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Barefootinc TH\Downloads\"/>
    </mc:Choice>
  </mc:AlternateContent>
  <xr:revisionPtr revIDLastSave="0" documentId="13_ncr:1_{EF966830-8182-41E5-939E-C917E1F8A25A}" xr6:coauthVersionLast="47" xr6:coauthVersionMax="47" xr10:uidLastSave="{00000000-0000-0000-0000-000000000000}"/>
  <bookViews>
    <workbookView xWindow="-120" yWindow="-16320" windowWidth="29040" windowHeight="15720" xr2:uid="{00000000-000D-0000-FFFF-FFFF00000000}"/>
  </bookViews>
  <sheets>
    <sheet name="VFF Shoes Stock" sheetId="20" r:id="rId1"/>
    <sheet name="K Village" sheetId="18" r:id="rId2"/>
    <sheet name="Paradise Park" sheetId="17" r:id="rId3"/>
    <sheet name="Siam Discovery" sheetId="16" r:id="rId4"/>
    <sheet name="Central CL (Department)" sheetId="12" r:id="rId5"/>
    <sheet name="Central LP" sheetId="19" r:id="rId6"/>
  </sheets>
  <definedNames>
    <definedName name="_xlnm._FilterDatabase" localSheetId="0" hidden="1">'VFF Shoes Stock'!$A$4:$P$463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9" roundtripDataChecksum="La/VvWFqrQM7SX8qe5vw/9OPoTUY52kqh2dM1HE/qb0="/>
    </ext>
  </extLst>
</workbook>
</file>

<file path=xl/calcChain.xml><?xml version="1.0" encoding="utf-8"?>
<calcChain xmlns="http://schemas.openxmlformats.org/spreadsheetml/2006/main">
  <c r="E49" i="20" l="1"/>
  <c r="N464" i="20"/>
  <c r="L464" i="20"/>
  <c r="J464" i="20"/>
  <c r="H464" i="20"/>
  <c r="F464" i="20"/>
  <c r="P463" i="20"/>
  <c r="P462" i="20"/>
  <c r="P461" i="20"/>
  <c r="P460" i="20"/>
  <c r="P459" i="20"/>
  <c r="P458" i="20"/>
  <c r="P457" i="20"/>
  <c r="P456" i="20"/>
  <c r="P455" i="20"/>
  <c r="P454" i="20"/>
  <c r="P453" i="20"/>
  <c r="P452" i="20"/>
  <c r="P451" i="20"/>
  <c r="P450" i="20"/>
  <c r="P449" i="20"/>
  <c r="P448" i="20"/>
  <c r="P447" i="20"/>
  <c r="P446" i="20"/>
  <c r="P445" i="20"/>
  <c r="P444" i="20"/>
  <c r="P443" i="20"/>
  <c r="P442" i="20"/>
  <c r="P441" i="20"/>
  <c r="P440" i="20"/>
  <c r="P439" i="20"/>
  <c r="P438" i="20"/>
  <c r="P437" i="20"/>
  <c r="P436" i="20"/>
  <c r="P435" i="20"/>
  <c r="P434" i="20"/>
  <c r="P433" i="20"/>
  <c r="P432" i="20"/>
  <c r="P431" i="20"/>
  <c r="P430" i="20"/>
  <c r="P429" i="20"/>
  <c r="P428" i="20"/>
  <c r="P427" i="20"/>
  <c r="P426" i="20"/>
  <c r="P425" i="20"/>
  <c r="P424" i="20"/>
  <c r="P423" i="20"/>
  <c r="P422" i="20"/>
  <c r="P421" i="20"/>
  <c r="P420" i="20"/>
  <c r="P419" i="20"/>
  <c r="P418" i="20"/>
  <c r="P417" i="20"/>
  <c r="P416" i="20"/>
  <c r="P415" i="20"/>
  <c r="P414" i="20"/>
  <c r="P413" i="20"/>
  <c r="P412" i="20"/>
  <c r="P411" i="20"/>
  <c r="P410" i="20"/>
  <c r="P409" i="20"/>
  <c r="P408" i="20"/>
  <c r="P407" i="20"/>
  <c r="P406" i="20"/>
  <c r="P405" i="20"/>
  <c r="P404" i="20"/>
  <c r="P403" i="20"/>
  <c r="P402" i="20"/>
  <c r="P401" i="20"/>
  <c r="P400" i="20"/>
  <c r="P399" i="20"/>
  <c r="P398" i="20"/>
  <c r="P397" i="20"/>
  <c r="P396" i="20"/>
  <c r="P395" i="20"/>
  <c r="P394" i="20"/>
  <c r="P393" i="20"/>
  <c r="P392" i="20"/>
  <c r="P391" i="20"/>
  <c r="P390" i="20"/>
  <c r="P389" i="20"/>
  <c r="P388" i="20"/>
  <c r="P387" i="20"/>
  <c r="P386" i="20"/>
  <c r="P385" i="20"/>
  <c r="P384" i="20"/>
  <c r="P383" i="20"/>
  <c r="P382" i="20"/>
  <c r="P381" i="20"/>
  <c r="P380" i="20"/>
  <c r="P379" i="20"/>
  <c r="P378" i="20"/>
  <c r="P377" i="20"/>
  <c r="P376" i="20"/>
  <c r="P375" i="20"/>
  <c r="P374" i="20"/>
  <c r="P373" i="20"/>
  <c r="P372" i="20"/>
  <c r="P371" i="20"/>
  <c r="P370" i="20"/>
  <c r="P369" i="20"/>
  <c r="P368" i="20"/>
  <c r="P367" i="20"/>
  <c r="P366" i="20"/>
  <c r="P365" i="20"/>
  <c r="P364" i="20"/>
  <c r="P363" i="20"/>
  <c r="P362" i="20"/>
  <c r="P361" i="20"/>
  <c r="P360" i="20"/>
  <c r="P359" i="20"/>
  <c r="P358" i="20"/>
  <c r="P357" i="20"/>
  <c r="P356" i="20"/>
  <c r="P355" i="20"/>
  <c r="P354" i="20"/>
  <c r="P353" i="20"/>
  <c r="P352" i="20"/>
  <c r="P351" i="20"/>
  <c r="P350" i="20"/>
  <c r="P349" i="20"/>
  <c r="P348" i="20"/>
  <c r="P347" i="20"/>
  <c r="P346" i="20"/>
  <c r="P345" i="20"/>
  <c r="P344" i="20"/>
  <c r="P343" i="20"/>
  <c r="P342" i="20"/>
  <c r="P341" i="20"/>
  <c r="P340" i="20"/>
  <c r="P339" i="20"/>
  <c r="P338" i="20"/>
  <c r="P337" i="20"/>
  <c r="P336" i="20"/>
  <c r="P335" i="20"/>
  <c r="P334" i="20"/>
  <c r="P333" i="20"/>
  <c r="P332" i="20"/>
  <c r="P331" i="20"/>
  <c r="P330" i="20"/>
  <c r="P329" i="20"/>
  <c r="P328" i="20"/>
  <c r="P327" i="20"/>
  <c r="P326" i="20"/>
  <c r="P325" i="20"/>
  <c r="P324" i="20"/>
  <c r="P323" i="20"/>
  <c r="P322" i="20"/>
  <c r="P321" i="20"/>
  <c r="P320" i="20"/>
  <c r="P319" i="20"/>
  <c r="P318" i="20"/>
  <c r="P317" i="20"/>
  <c r="P316" i="20"/>
  <c r="P315" i="20"/>
  <c r="P314" i="20"/>
  <c r="P313" i="20"/>
  <c r="P312" i="20"/>
  <c r="P311" i="20"/>
  <c r="P310" i="20"/>
  <c r="P309" i="20"/>
  <c r="P308" i="20"/>
  <c r="P307" i="20"/>
  <c r="P306" i="20"/>
  <c r="P305" i="20"/>
  <c r="P304" i="20"/>
  <c r="P303" i="20"/>
  <c r="P302" i="20"/>
  <c r="P301" i="20"/>
  <c r="P300" i="20"/>
  <c r="P299" i="20"/>
  <c r="P298" i="20"/>
  <c r="P297" i="20"/>
  <c r="P296" i="20"/>
  <c r="P295" i="20"/>
  <c r="P294" i="20"/>
  <c r="P293" i="20"/>
  <c r="P292" i="20"/>
  <c r="P291" i="20"/>
  <c r="P290" i="20"/>
  <c r="P289" i="20"/>
  <c r="P288" i="20"/>
  <c r="P287" i="20"/>
  <c r="P286" i="20"/>
  <c r="P285" i="20"/>
  <c r="P284" i="20"/>
  <c r="P283" i="20"/>
  <c r="P282" i="20"/>
  <c r="P281" i="20"/>
  <c r="P280" i="20"/>
  <c r="P279" i="20"/>
  <c r="P278" i="20"/>
  <c r="P277" i="20"/>
  <c r="P276" i="20"/>
  <c r="P275" i="20"/>
  <c r="P274" i="20"/>
  <c r="P273" i="20"/>
  <c r="P272" i="20"/>
  <c r="P271" i="20"/>
  <c r="P270" i="20"/>
  <c r="P269" i="20"/>
  <c r="P268" i="20"/>
  <c r="P267" i="20"/>
  <c r="P266" i="20"/>
  <c r="P265" i="20"/>
  <c r="P264" i="20"/>
  <c r="P263" i="20"/>
  <c r="P262" i="20"/>
  <c r="P261" i="20"/>
  <c r="P260" i="20"/>
  <c r="P259" i="20"/>
  <c r="P258" i="20"/>
  <c r="P257" i="20"/>
  <c r="P256" i="20"/>
  <c r="P255" i="20"/>
  <c r="P254" i="20"/>
  <c r="P253" i="20"/>
  <c r="P252" i="20"/>
  <c r="P251" i="20"/>
  <c r="P250" i="20"/>
  <c r="P249" i="20"/>
  <c r="P248" i="20"/>
  <c r="P247" i="20"/>
  <c r="P246" i="20"/>
  <c r="P245" i="20"/>
  <c r="P244" i="20"/>
  <c r="P243" i="20"/>
  <c r="P242" i="20"/>
  <c r="P241" i="20"/>
  <c r="P240" i="20"/>
  <c r="P239" i="20"/>
  <c r="P238" i="20"/>
  <c r="P237" i="20"/>
  <c r="P236" i="20"/>
  <c r="P235" i="20"/>
  <c r="P234" i="20"/>
  <c r="P233" i="20"/>
  <c r="P232" i="20"/>
  <c r="P231" i="20"/>
  <c r="P230" i="20"/>
  <c r="P229" i="20"/>
  <c r="P228" i="20"/>
  <c r="P227" i="20"/>
  <c r="P226" i="20"/>
  <c r="P225" i="20"/>
  <c r="P224" i="20"/>
  <c r="P223" i="20"/>
  <c r="P222" i="20"/>
  <c r="P221" i="20"/>
  <c r="P220" i="20"/>
  <c r="P219" i="20"/>
  <c r="P218" i="20"/>
  <c r="P217" i="20"/>
  <c r="P216" i="20"/>
  <c r="P215" i="20"/>
  <c r="P214" i="20"/>
  <c r="P213" i="20"/>
  <c r="P212" i="20"/>
  <c r="P211" i="20"/>
  <c r="P210" i="20"/>
  <c r="P209" i="20"/>
  <c r="P208" i="20"/>
  <c r="P207" i="20"/>
  <c r="P206" i="20"/>
  <c r="P205" i="20"/>
  <c r="P204" i="20"/>
  <c r="P203" i="20"/>
  <c r="P202" i="20"/>
  <c r="P201" i="20"/>
  <c r="P200" i="20"/>
  <c r="P199" i="20"/>
  <c r="P198" i="20"/>
  <c r="P197" i="20"/>
  <c r="P196" i="20"/>
  <c r="P195" i="20"/>
  <c r="P194" i="20"/>
  <c r="P193" i="20"/>
  <c r="P192" i="20"/>
  <c r="P191" i="20"/>
  <c r="P190" i="20"/>
  <c r="P189" i="20"/>
  <c r="P188" i="20"/>
  <c r="P187" i="20"/>
  <c r="P186" i="20"/>
  <c r="P185" i="20"/>
  <c r="P184" i="20"/>
  <c r="P183" i="20"/>
  <c r="P182" i="20"/>
  <c r="P181" i="20"/>
  <c r="P180" i="20"/>
  <c r="P179" i="20"/>
  <c r="P178" i="20"/>
  <c r="P177" i="20"/>
  <c r="P176" i="20"/>
  <c r="P175" i="20"/>
  <c r="P174" i="20"/>
  <c r="P173" i="20"/>
  <c r="P172" i="20"/>
  <c r="P171" i="20"/>
  <c r="P170" i="20"/>
  <c r="P169" i="20"/>
  <c r="P168" i="20"/>
  <c r="P167" i="20"/>
  <c r="P166" i="20"/>
  <c r="P165" i="20"/>
  <c r="P164" i="20"/>
  <c r="P163" i="20"/>
  <c r="P162" i="20"/>
  <c r="P161" i="20"/>
  <c r="P160" i="20"/>
  <c r="P159" i="20"/>
  <c r="P158" i="20"/>
  <c r="P157" i="20"/>
  <c r="P156" i="20"/>
  <c r="P155" i="20"/>
  <c r="P154" i="20"/>
  <c r="P153" i="20"/>
  <c r="P152" i="20"/>
  <c r="P151" i="20"/>
  <c r="P150" i="20"/>
  <c r="P149" i="20"/>
  <c r="P148" i="20"/>
  <c r="P147" i="20"/>
  <c r="P146" i="20"/>
  <c r="P145" i="20"/>
  <c r="P144" i="20"/>
  <c r="P143" i="20"/>
  <c r="P142" i="20"/>
  <c r="P141" i="20"/>
  <c r="P140" i="20"/>
  <c r="P139" i="20"/>
  <c r="P138" i="20"/>
  <c r="P137" i="20"/>
  <c r="P136" i="20"/>
  <c r="P135" i="20"/>
  <c r="P134" i="20"/>
  <c r="P133" i="20"/>
  <c r="P132" i="20"/>
  <c r="P131" i="20"/>
  <c r="P130" i="20"/>
  <c r="P129" i="20"/>
  <c r="P128" i="20"/>
  <c r="P127" i="20"/>
  <c r="P126" i="20"/>
  <c r="P125" i="20"/>
  <c r="P124" i="20"/>
  <c r="P123" i="20"/>
  <c r="P122" i="20"/>
  <c r="P121" i="20"/>
  <c r="P120" i="20"/>
  <c r="P119" i="20"/>
  <c r="P118" i="20"/>
  <c r="P117" i="20"/>
  <c r="P116" i="20"/>
  <c r="P115" i="20"/>
  <c r="P114" i="20"/>
  <c r="P113" i="20"/>
  <c r="P112" i="20"/>
  <c r="P111" i="20"/>
  <c r="P110" i="20"/>
  <c r="P109" i="20"/>
  <c r="P108" i="20"/>
  <c r="P107" i="20"/>
  <c r="P106" i="20"/>
  <c r="P105" i="20"/>
  <c r="P104" i="20"/>
  <c r="P103" i="20"/>
  <c r="P102" i="20"/>
  <c r="P101" i="20"/>
  <c r="P100" i="20"/>
  <c r="P99" i="20"/>
  <c r="P98" i="20"/>
  <c r="P97" i="20"/>
  <c r="P96" i="20"/>
  <c r="P95" i="20"/>
  <c r="P94" i="20"/>
  <c r="P93" i="20"/>
  <c r="P92" i="20"/>
  <c r="P91" i="20"/>
  <c r="P90" i="20"/>
  <c r="P89" i="20"/>
  <c r="P88" i="20"/>
  <c r="P87" i="20"/>
  <c r="P86" i="20"/>
  <c r="P85" i="20"/>
  <c r="P84" i="20"/>
  <c r="P83" i="20"/>
  <c r="P82" i="20"/>
  <c r="P81" i="20"/>
  <c r="P80" i="20"/>
  <c r="P79" i="20"/>
  <c r="P78" i="20"/>
  <c r="P77" i="20"/>
  <c r="P76" i="20"/>
  <c r="P75" i="20"/>
  <c r="P74" i="20"/>
  <c r="P73" i="20"/>
  <c r="P72" i="20"/>
  <c r="P71" i="20"/>
  <c r="P70" i="20"/>
  <c r="P69" i="20"/>
  <c r="P68" i="20"/>
  <c r="P67" i="20"/>
  <c r="P66" i="20"/>
  <c r="P65" i="20"/>
  <c r="P64" i="20"/>
  <c r="P63" i="20"/>
  <c r="P62" i="20"/>
  <c r="P61" i="20"/>
  <c r="P60" i="20"/>
  <c r="P59" i="20"/>
  <c r="P58" i="20"/>
  <c r="P57" i="20"/>
  <c r="P56" i="20"/>
  <c r="P55" i="20"/>
  <c r="P54" i="20"/>
  <c r="P53" i="20"/>
  <c r="P52" i="20"/>
  <c r="P51" i="20"/>
  <c r="P50" i="20"/>
  <c r="P49" i="20"/>
  <c r="P48" i="20"/>
  <c r="P47" i="20"/>
  <c r="P46" i="20"/>
  <c r="P45" i="20"/>
  <c r="P44" i="20"/>
  <c r="P43" i="20"/>
  <c r="P42" i="20"/>
  <c r="P41" i="20"/>
  <c r="P40" i="20"/>
  <c r="P39" i="20"/>
  <c r="P38" i="20"/>
  <c r="P37" i="20"/>
  <c r="P36" i="20"/>
  <c r="P35" i="20"/>
  <c r="P34" i="20"/>
  <c r="P33" i="20"/>
  <c r="P32" i="20"/>
  <c r="P31" i="20"/>
  <c r="P30" i="20"/>
  <c r="P29" i="20"/>
  <c r="P28" i="20"/>
  <c r="P27" i="20"/>
  <c r="P26" i="20"/>
  <c r="P25" i="20"/>
  <c r="P24" i="20"/>
  <c r="P23" i="20"/>
  <c r="P22" i="20"/>
  <c r="P21" i="20"/>
  <c r="P20" i="20"/>
  <c r="P19" i="20"/>
  <c r="P18" i="20"/>
  <c r="P17" i="20"/>
  <c r="P16" i="20"/>
  <c r="P15" i="20"/>
  <c r="P14" i="20"/>
  <c r="P13" i="20"/>
  <c r="P12" i="20"/>
  <c r="P11" i="20"/>
  <c r="P10" i="20"/>
  <c r="P9" i="20"/>
  <c r="P8" i="20"/>
  <c r="P7" i="20"/>
  <c r="P6" i="20"/>
  <c r="P5" i="20"/>
  <c r="M463" i="20"/>
  <c r="K463" i="20"/>
  <c r="I463" i="20"/>
  <c r="G463" i="20"/>
  <c r="E463" i="20"/>
  <c r="M462" i="20"/>
  <c r="K462" i="20"/>
  <c r="I462" i="20"/>
  <c r="G462" i="20"/>
  <c r="E462" i="20"/>
  <c r="M461" i="20"/>
  <c r="K461" i="20"/>
  <c r="I461" i="20"/>
  <c r="G461" i="20"/>
  <c r="E461" i="20"/>
  <c r="M460" i="20"/>
  <c r="K460" i="20"/>
  <c r="I460" i="20"/>
  <c r="G460" i="20"/>
  <c r="E460" i="20"/>
  <c r="M459" i="20"/>
  <c r="K459" i="20"/>
  <c r="I459" i="20"/>
  <c r="G459" i="20"/>
  <c r="E459" i="20"/>
  <c r="M458" i="20"/>
  <c r="K458" i="20"/>
  <c r="I458" i="20"/>
  <c r="G458" i="20"/>
  <c r="E458" i="20"/>
  <c r="M457" i="20"/>
  <c r="K457" i="20"/>
  <c r="I457" i="20"/>
  <c r="G457" i="20"/>
  <c r="E457" i="20"/>
  <c r="O457" i="20" s="1"/>
  <c r="M456" i="20"/>
  <c r="K456" i="20"/>
  <c r="I456" i="20"/>
  <c r="G456" i="20"/>
  <c r="E456" i="20"/>
  <c r="M455" i="20"/>
  <c r="K455" i="20"/>
  <c r="I455" i="20"/>
  <c r="G455" i="20"/>
  <c r="E455" i="20"/>
  <c r="M454" i="20"/>
  <c r="K454" i="20"/>
  <c r="I454" i="20"/>
  <c r="G454" i="20"/>
  <c r="E454" i="20"/>
  <c r="M453" i="20"/>
  <c r="K453" i="20"/>
  <c r="I453" i="20"/>
  <c r="G453" i="20"/>
  <c r="E453" i="20"/>
  <c r="M452" i="20"/>
  <c r="K452" i="20"/>
  <c r="I452" i="20"/>
  <c r="G452" i="20"/>
  <c r="E452" i="20"/>
  <c r="M451" i="20"/>
  <c r="K451" i="20"/>
  <c r="I451" i="20"/>
  <c r="G451" i="20"/>
  <c r="E451" i="20"/>
  <c r="M450" i="20"/>
  <c r="K450" i="20"/>
  <c r="I450" i="20"/>
  <c r="G450" i="20"/>
  <c r="E450" i="20"/>
  <c r="M449" i="20"/>
  <c r="K449" i="20"/>
  <c r="I449" i="20"/>
  <c r="G449" i="20"/>
  <c r="E449" i="20"/>
  <c r="M448" i="20"/>
  <c r="K448" i="20"/>
  <c r="I448" i="20"/>
  <c r="G448" i="20"/>
  <c r="E448" i="20"/>
  <c r="M447" i="20"/>
  <c r="K447" i="20"/>
  <c r="I447" i="20"/>
  <c r="G447" i="20"/>
  <c r="E447" i="20"/>
  <c r="M446" i="20"/>
  <c r="K446" i="20"/>
  <c r="I446" i="20"/>
  <c r="G446" i="20"/>
  <c r="E446" i="20"/>
  <c r="M445" i="20"/>
  <c r="K445" i="20"/>
  <c r="I445" i="20"/>
  <c r="G445" i="20"/>
  <c r="E445" i="20"/>
  <c r="M444" i="20"/>
  <c r="K444" i="20"/>
  <c r="I444" i="20"/>
  <c r="G444" i="20"/>
  <c r="E444" i="20"/>
  <c r="M443" i="20"/>
  <c r="K443" i="20"/>
  <c r="I443" i="20"/>
  <c r="G443" i="20"/>
  <c r="E443" i="20"/>
  <c r="M442" i="20"/>
  <c r="K442" i="20"/>
  <c r="I442" i="20"/>
  <c r="G442" i="20"/>
  <c r="E442" i="20"/>
  <c r="M441" i="20"/>
  <c r="K441" i="20"/>
  <c r="I441" i="20"/>
  <c r="G441" i="20"/>
  <c r="E441" i="20"/>
  <c r="M440" i="20"/>
  <c r="K440" i="20"/>
  <c r="I440" i="20"/>
  <c r="G440" i="20"/>
  <c r="E440" i="20"/>
  <c r="M439" i="20"/>
  <c r="K439" i="20"/>
  <c r="I439" i="20"/>
  <c r="G439" i="20"/>
  <c r="E439" i="20"/>
  <c r="O439" i="20" s="1"/>
  <c r="M438" i="20"/>
  <c r="K438" i="20"/>
  <c r="I438" i="20"/>
  <c r="G438" i="20"/>
  <c r="E438" i="20"/>
  <c r="M437" i="20"/>
  <c r="K437" i="20"/>
  <c r="I437" i="20"/>
  <c r="G437" i="20"/>
  <c r="E437" i="20"/>
  <c r="M436" i="20"/>
  <c r="K436" i="20"/>
  <c r="I436" i="20"/>
  <c r="G436" i="20"/>
  <c r="E436" i="20"/>
  <c r="M435" i="20"/>
  <c r="K435" i="20"/>
  <c r="I435" i="20"/>
  <c r="G435" i="20"/>
  <c r="E435" i="20"/>
  <c r="M434" i="20"/>
  <c r="K434" i="20"/>
  <c r="I434" i="20"/>
  <c r="G434" i="20"/>
  <c r="E434" i="20"/>
  <c r="M433" i="20"/>
  <c r="K433" i="20"/>
  <c r="I433" i="20"/>
  <c r="G433" i="20"/>
  <c r="E433" i="20"/>
  <c r="M432" i="20"/>
  <c r="K432" i="20"/>
  <c r="I432" i="20"/>
  <c r="G432" i="20"/>
  <c r="E432" i="20"/>
  <c r="M431" i="20"/>
  <c r="K431" i="20"/>
  <c r="I431" i="20"/>
  <c r="G431" i="20"/>
  <c r="E431" i="20"/>
  <c r="M430" i="20"/>
  <c r="K430" i="20"/>
  <c r="I430" i="20"/>
  <c r="G430" i="20"/>
  <c r="E430" i="20"/>
  <c r="M429" i="20"/>
  <c r="K429" i="20"/>
  <c r="I429" i="20"/>
  <c r="G429" i="20"/>
  <c r="E429" i="20"/>
  <c r="M428" i="20"/>
  <c r="K428" i="20"/>
  <c r="I428" i="20"/>
  <c r="G428" i="20"/>
  <c r="E428" i="20"/>
  <c r="M427" i="20"/>
  <c r="K427" i="20"/>
  <c r="I427" i="20"/>
  <c r="G427" i="20"/>
  <c r="E427" i="20"/>
  <c r="M426" i="20"/>
  <c r="K426" i="20"/>
  <c r="I426" i="20"/>
  <c r="G426" i="20"/>
  <c r="E426" i="20"/>
  <c r="M425" i="20"/>
  <c r="K425" i="20"/>
  <c r="I425" i="20"/>
  <c r="G425" i="20"/>
  <c r="E425" i="20"/>
  <c r="M424" i="20"/>
  <c r="K424" i="20"/>
  <c r="I424" i="20"/>
  <c r="G424" i="20"/>
  <c r="E424" i="20"/>
  <c r="M423" i="20"/>
  <c r="K423" i="20"/>
  <c r="I423" i="20"/>
  <c r="G423" i="20"/>
  <c r="E423" i="20"/>
  <c r="M422" i="20"/>
  <c r="K422" i="20"/>
  <c r="I422" i="20"/>
  <c r="G422" i="20"/>
  <c r="E422" i="20"/>
  <c r="M421" i="20"/>
  <c r="K421" i="20"/>
  <c r="I421" i="20"/>
  <c r="G421" i="20"/>
  <c r="E421" i="20"/>
  <c r="O421" i="20" s="1"/>
  <c r="M420" i="20"/>
  <c r="K420" i="20"/>
  <c r="I420" i="20"/>
  <c r="G420" i="20"/>
  <c r="E420" i="20"/>
  <c r="M419" i="20"/>
  <c r="K419" i="20"/>
  <c r="I419" i="20"/>
  <c r="G419" i="20"/>
  <c r="E419" i="20"/>
  <c r="M418" i="20"/>
  <c r="K418" i="20"/>
  <c r="I418" i="20"/>
  <c r="G418" i="20"/>
  <c r="E418" i="20"/>
  <c r="M417" i="20"/>
  <c r="K417" i="20"/>
  <c r="I417" i="20"/>
  <c r="G417" i="20"/>
  <c r="E417" i="20"/>
  <c r="M416" i="20"/>
  <c r="K416" i="20"/>
  <c r="I416" i="20"/>
  <c r="G416" i="20"/>
  <c r="E416" i="20"/>
  <c r="M415" i="20"/>
  <c r="K415" i="20"/>
  <c r="I415" i="20"/>
  <c r="G415" i="20"/>
  <c r="E415" i="20"/>
  <c r="M414" i="20"/>
  <c r="K414" i="20"/>
  <c r="I414" i="20"/>
  <c r="G414" i="20"/>
  <c r="E414" i="20"/>
  <c r="M413" i="20"/>
  <c r="K413" i="20"/>
  <c r="I413" i="20"/>
  <c r="G413" i="20"/>
  <c r="E413" i="20"/>
  <c r="M412" i="20"/>
  <c r="K412" i="20"/>
  <c r="I412" i="20"/>
  <c r="G412" i="20"/>
  <c r="E412" i="20"/>
  <c r="M411" i="20"/>
  <c r="K411" i="20"/>
  <c r="I411" i="20"/>
  <c r="E411" i="20"/>
  <c r="M410" i="20"/>
  <c r="K410" i="20"/>
  <c r="I410" i="20"/>
  <c r="G410" i="20"/>
  <c r="E410" i="20"/>
  <c r="M409" i="20"/>
  <c r="K409" i="20"/>
  <c r="I409" i="20"/>
  <c r="G409" i="20"/>
  <c r="E409" i="20"/>
  <c r="M408" i="20"/>
  <c r="K408" i="20"/>
  <c r="I408" i="20"/>
  <c r="G408" i="20"/>
  <c r="E408" i="20"/>
  <c r="M407" i="20"/>
  <c r="K407" i="20"/>
  <c r="I407" i="20"/>
  <c r="G407" i="20"/>
  <c r="E407" i="20"/>
  <c r="M406" i="20"/>
  <c r="K406" i="20"/>
  <c r="I406" i="20"/>
  <c r="G406" i="20"/>
  <c r="E406" i="20"/>
  <c r="M405" i="20"/>
  <c r="K405" i="20"/>
  <c r="I405" i="20"/>
  <c r="G405" i="20"/>
  <c r="E405" i="20"/>
  <c r="M404" i="20"/>
  <c r="K404" i="20"/>
  <c r="I404" i="20"/>
  <c r="G404" i="20"/>
  <c r="E404" i="20"/>
  <c r="M403" i="20"/>
  <c r="K403" i="20"/>
  <c r="I403" i="20"/>
  <c r="G403" i="20"/>
  <c r="E403" i="20"/>
  <c r="O403" i="20" s="1"/>
  <c r="M402" i="20"/>
  <c r="K402" i="20"/>
  <c r="I402" i="20"/>
  <c r="G402" i="20"/>
  <c r="E402" i="20"/>
  <c r="M401" i="20"/>
  <c r="K401" i="20"/>
  <c r="I401" i="20"/>
  <c r="G401" i="20"/>
  <c r="E401" i="20"/>
  <c r="M400" i="20"/>
  <c r="K400" i="20"/>
  <c r="I400" i="20"/>
  <c r="G400" i="20"/>
  <c r="E400" i="20"/>
  <c r="M399" i="20"/>
  <c r="K399" i="20"/>
  <c r="I399" i="20"/>
  <c r="G399" i="20"/>
  <c r="E399" i="20"/>
  <c r="O399" i="20" s="1"/>
  <c r="M398" i="20"/>
  <c r="K398" i="20"/>
  <c r="I398" i="20"/>
  <c r="G398" i="20"/>
  <c r="E398" i="20"/>
  <c r="M397" i="20"/>
  <c r="K397" i="20"/>
  <c r="I397" i="20"/>
  <c r="G397" i="20"/>
  <c r="E397" i="20"/>
  <c r="M396" i="20"/>
  <c r="K396" i="20"/>
  <c r="I396" i="20"/>
  <c r="G396" i="20"/>
  <c r="E396" i="20"/>
  <c r="M395" i="20"/>
  <c r="K395" i="20"/>
  <c r="I395" i="20"/>
  <c r="G395" i="20"/>
  <c r="E395" i="20"/>
  <c r="M394" i="20"/>
  <c r="K394" i="20"/>
  <c r="I394" i="20"/>
  <c r="G394" i="20"/>
  <c r="E394" i="20"/>
  <c r="M393" i="20"/>
  <c r="K393" i="20"/>
  <c r="I393" i="20"/>
  <c r="G393" i="20"/>
  <c r="E393" i="20"/>
  <c r="M392" i="20"/>
  <c r="K392" i="20"/>
  <c r="I392" i="20"/>
  <c r="G392" i="20"/>
  <c r="E392" i="20"/>
  <c r="M391" i="20"/>
  <c r="K391" i="20"/>
  <c r="I391" i="20"/>
  <c r="G391" i="20"/>
  <c r="E391" i="20"/>
  <c r="M390" i="20"/>
  <c r="K390" i="20"/>
  <c r="I390" i="20"/>
  <c r="G390" i="20"/>
  <c r="E390" i="20"/>
  <c r="M389" i="20"/>
  <c r="K389" i="20"/>
  <c r="I389" i="20"/>
  <c r="G389" i="20"/>
  <c r="E389" i="20"/>
  <c r="M388" i="20"/>
  <c r="K388" i="20"/>
  <c r="I388" i="20"/>
  <c r="G388" i="20"/>
  <c r="E388" i="20"/>
  <c r="M387" i="20"/>
  <c r="K387" i="20"/>
  <c r="I387" i="20"/>
  <c r="G387" i="20"/>
  <c r="E387" i="20"/>
  <c r="M386" i="20"/>
  <c r="K386" i="20"/>
  <c r="I386" i="20"/>
  <c r="G386" i="20"/>
  <c r="E386" i="20"/>
  <c r="M385" i="20"/>
  <c r="K385" i="20"/>
  <c r="I385" i="20"/>
  <c r="G385" i="20"/>
  <c r="E385" i="20"/>
  <c r="O385" i="20" s="1"/>
  <c r="M384" i="20"/>
  <c r="K384" i="20"/>
  <c r="I384" i="20"/>
  <c r="G384" i="20"/>
  <c r="E384" i="20"/>
  <c r="M383" i="20"/>
  <c r="K383" i="20"/>
  <c r="I383" i="20"/>
  <c r="G383" i="20"/>
  <c r="E383" i="20"/>
  <c r="M382" i="20"/>
  <c r="K382" i="20"/>
  <c r="I382" i="20"/>
  <c r="G382" i="20"/>
  <c r="E382" i="20"/>
  <c r="M381" i="20"/>
  <c r="K381" i="20"/>
  <c r="I381" i="20"/>
  <c r="G381" i="20"/>
  <c r="E381" i="20"/>
  <c r="O381" i="20" s="1"/>
  <c r="M380" i="20"/>
  <c r="K380" i="20"/>
  <c r="I380" i="20"/>
  <c r="G380" i="20"/>
  <c r="E380" i="20"/>
  <c r="M379" i="20"/>
  <c r="K379" i="20"/>
  <c r="I379" i="20"/>
  <c r="G379" i="20"/>
  <c r="E379" i="20"/>
  <c r="M378" i="20"/>
  <c r="K378" i="20"/>
  <c r="I378" i="20"/>
  <c r="G378" i="20"/>
  <c r="E378" i="20"/>
  <c r="M377" i="20"/>
  <c r="K377" i="20"/>
  <c r="I377" i="20"/>
  <c r="G377" i="20"/>
  <c r="E377" i="20"/>
  <c r="M376" i="20"/>
  <c r="K376" i="20"/>
  <c r="I376" i="20"/>
  <c r="G376" i="20"/>
  <c r="E376" i="20"/>
  <c r="M375" i="20"/>
  <c r="K375" i="20"/>
  <c r="I375" i="20"/>
  <c r="G375" i="20"/>
  <c r="E375" i="20"/>
  <c r="M374" i="20"/>
  <c r="K374" i="20"/>
  <c r="I374" i="20"/>
  <c r="G374" i="20"/>
  <c r="E374" i="20"/>
  <c r="M373" i="20"/>
  <c r="K373" i="20"/>
  <c r="I373" i="20"/>
  <c r="G373" i="20"/>
  <c r="E373" i="20"/>
  <c r="M372" i="20"/>
  <c r="K372" i="20"/>
  <c r="I372" i="20"/>
  <c r="G372" i="20"/>
  <c r="E372" i="20"/>
  <c r="M371" i="20"/>
  <c r="K371" i="20"/>
  <c r="I371" i="20"/>
  <c r="G371" i="20"/>
  <c r="E371" i="20"/>
  <c r="M370" i="20"/>
  <c r="K370" i="20"/>
  <c r="I370" i="20"/>
  <c r="G370" i="20"/>
  <c r="E370" i="20"/>
  <c r="M369" i="20"/>
  <c r="K369" i="20"/>
  <c r="I369" i="20"/>
  <c r="G369" i="20"/>
  <c r="E369" i="20"/>
  <c r="M368" i="20"/>
  <c r="K368" i="20"/>
  <c r="I368" i="20"/>
  <c r="G368" i="20"/>
  <c r="E368" i="20"/>
  <c r="M367" i="20"/>
  <c r="K367" i="20"/>
  <c r="I367" i="20"/>
  <c r="G367" i="20"/>
  <c r="E367" i="20"/>
  <c r="O367" i="20" s="1"/>
  <c r="M366" i="20"/>
  <c r="K366" i="20"/>
  <c r="I366" i="20"/>
  <c r="G366" i="20"/>
  <c r="E366" i="20"/>
  <c r="M365" i="20"/>
  <c r="K365" i="20"/>
  <c r="I365" i="20"/>
  <c r="G365" i="20"/>
  <c r="E365" i="20"/>
  <c r="M364" i="20"/>
  <c r="K364" i="20"/>
  <c r="I364" i="20"/>
  <c r="G364" i="20"/>
  <c r="E364" i="20"/>
  <c r="M363" i="20"/>
  <c r="K363" i="20"/>
  <c r="I363" i="20"/>
  <c r="G363" i="20"/>
  <c r="E363" i="20"/>
  <c r="O363" i="20" s="1"/>
  <c r="M362" i="20"/>
  <c r="K362" i="20"/>
  <c r="I362" i="20"/>
  <c r="G362" i="20"/>
  <c r="E362" i="20"/>
  <c r="M361" i="20"/>
  <c r="K361" i="20"/>
  <c r="I361" i="20"/>
  <c r="G361" i="20"/>
  <c r="E361" i="20"/>
  <c r="M360" i="20"/>
  <c r="K360" i="20"/>
  <c r="I360" i="20"/>
  <c r="G360" i="20"/>
  <c r="E360" i="20"/>
  <c r="M359" i="20"/>
  <c r="K359" i="20"/>
  <c r="I359" i="20"/>
  <c r="G359" i="20"/>
  <c r="E359" i="20"/>
  <c r="M358" i="20"/>
  <c r="K358" i="20"/>
  <c r="I358" i="20"/>
  <c r="G358" i="20"/>
  <c r="E358" i="20"/>
  <c r="M357" i="20"/>
  <c r="K357" i="20"/>
  <c r="I357" i="20"/>
  <c r="G357" i="20"/>
  <c r="E357" i="20"/>
  <c r="M356" i="20"/>
  <c r="K356" i="20"/>
  <c r="I356" i="20"/>
  <c r="G356" i="20"/>
  <c r="E356" i="20"/>
  <c r="M355" i="20"/>
  <c r="K355" i="20"/>
  <c r="I355" i="20"/>
  <c r="G355" i="20"/>
  <c r="E355" i="20"/>
  <c r="M354" i="20"/>
  <c r="K354" i="20"/>
  <c r="I354" i="20"/>
  <c r="G354" i="20"/>
  <c r="E354" i="20"/>
  <c r="M353" i="20"/>
  <c r="K353" i="20"/>
  <c r="I353" i="20"/>
  <c r="G353" i="20"/>
  <c r="E353" i="20"/>
  <c r="M352" i="20"/>
  <c r="K352" i="20"/>
  <c r="I352" i="20"/>
  <c r="G352" i="20"/>
  <c r="E352" i="20"/>
  <c r="M351" i="20"/>
  <c r="K351" i="20"/>
  <c r="I351" i="20"/>
  <c r="G351" i="20"/>
  <c r="E351" i="20"/>
  <c r="M350" i="20"/>
  <c r="K350" i="20"/>
  <c r="I350" i="20"/>
  <c r="G350" i="20"/>
  <c r="E350" i="20"/>
  <c r="M349" i="20"/>
  <c r="K349" i="20"/>
  <c r="I349" i="20"/>
  <c r="G349" i="20"/>
  <c r="E349" i="20"/>
  <c r="O349" i="20" s="1"/>
  <c r="M348" i="20"/>
  <c r="K348" i="20"/>
  <c r="I348" i="20"/>
  <c r="G348" i="20"/>
  <c r="E348" i="20"/>
  <c r="M347" i="20"/>
  <c r="K347" i="20"/>
  <c r="I347" i="20"/>
  <c r="G347" i="20"/>
  <c r="E347" i="20"/>
  <c r="M346" i="20"/>
  <c r="K346" i="20"/>
  <c r="I346" i="20"/>
  <c r="G346" i="20"/>
  <c r="E346" i="20"/>
  <c r="M345" i="20"/>
  <c r="K345" i="20"/>
  <c r="I345" i="20"/>
  <c r="G345" i="20"/>
  <c r="E345" i="20"/>
  <c r="O345" i="20" s="1"/>
  <c r="M344" i="20"/>
  <c r="K344" i="20"/>
  <c r="I344" i="20"/>
  <c r="G344" i="20"/>
  <c r="E344" i="20"/>
  <c r="M343" i="20"/>
  <c r="K343" i="20"/>
  <c r="I343" i="20"/>
  <c r="G343" i="20"/>
  <c r="E343" i="20"/>
  <c r="M342" i="20"/>
  <c r="K342" i="20"/>
  <c r="I342" i="20"/>
  <c r="G342" i="20"/>
  <c r="E342" i="20"/>
  <c r="M341" i="20"/>
  <c r="K341" i="20"/>
  <c r="I341" i="20"/>
  <c r="G341" i="20"/>
  <c r="E341" i="20"/>
  <c r="M340" i="20"/>
  <c r="K340" i="20"/>
  <c r="I340" i="20"/>
  <c r="G340" i="20"/>
  <c r="E340" i="20"/>
  <c r="M339" i="20"/>
  <c r="K339" i="20"/>
  <c r="I339" i="20"/>
  <c r="G339" i="20"/>
  <c r="E339" i="20"/>
  <c r="M338" i="20"/>
  <c r="K338" i="20"/>
  <c r="I338" i="20"/>
  <c r="G338" i="20"/>
  <c r="E338" i="20"/>
  <c r="M337" i="20"/>
  <c r="K337" i="20"/>
  <c r="I337" i="20"/>
  <c r="G337" i="20"/>
  <c r="E337" i="20"/>
  <c r="M336" i="20"/>
  <c r="K336" i="20"/>
  <c r="I336" i="20"/>
  <c r="G336" i="20"/>
  <c r="E336" i="20"/>
  <c r="M335" i="20"/>
  <c r="K335" i="20"/>
  <c r="I335" i="20"/>
  <c r="G335" i="20"/>
  <c r="E335" i="20"/>
  <c r="M334" i="20"/>
  <c r="K334" i="20"/>
  <c r="I334" i="20"/>
  <c r="G334" i="20"/>
  <c r="E334" i="20"/>
  <c r="M333" i="20"/>
  <c r="K333" i="20"/>
  <c r="I333" i="20"/>
  <c r="G333" i="20"/>
  <c r="E333" i="20"/>
  <c r="M332" i="20"/>
  <c r="K332" i="20"/>
  <c r="I332" i="20"/>
  <c r="G332" i="20"/>
  <c r="E332" i="20"/>
  <c r="M331" i="20"/>
  <c r="K331" i="20"/>
  <c r="I331" i="20"/>
  <c r="G331" i="20"/>
  <c r="E331" i="20"/>
  <c r="O331" i="20" s="1"/>
  <c r="M330" i="20"/>
  <c r="K330" i="20"/>
  <c r="I330" i="20"/>
  <c r="G330" i="20"/>
  <c r="E330" i="20"/>
  <c r="M329" i="20"/>
  <c r="K329" i="20"/>
  <c r="I329" i="20"/>
  <c r="G329" i="20"/>
  <c r="E329" i="20"/>
  <c r="M328" i="20"/>
  <c r="K328" i="20"/>
  <c r="I328" i="20"/>
  <c r="G328" i="20"/>
  <c r="E328" i="20"/>
  <c r="M327" i="20"/>
  <c r="K327" i="20"/>
  <c r="I327" i="20"/>
  <c r="G327" i="20"/>
  <c r="E327" i="20"/>
  <c r="O327" i="20" s="1"/>
  <c r="M326" i="20"/>
  <c r="K326" i="20"/>
  <c r="I326" i="20"/>
  <c r="G326" i="20"/>
  <c r="E326" i="20"/>
  <c r="M325" i="20"/>
  <c r="K325" i="20"/>
  <c r="I325" i="20"/>
  <c r="G325" i="20"/>
  <c r="E325" i="20"/>
  <c r="M324" i="20"/>
  <c r="K324" i="20"/>
  <c r="I324" i="20"/>
  <c r="G324" i="20"/>
  <c r="E324" i="20"/>
  <c r="M323" i="20"/>
  <c r="K323" i="20"/>
  <c r="I323" i="20"/>
  <c r="G323" i="20"/>
  <c r="E323" i="20"/>
  <c r="M322" i="20"/>
  <c r="K322" i="20"/>
  <c r="I322" i="20"/>
  <c r="G322" i="20"/>
  <c r="E322" i="20"/>
  <c r="M321" i="20"/>
  <c r="K321" i="20"/>
  <c r="I321" i="20"/>
  <c r="G321" i="20"/>
  <c r="E321" i="20"/>
  <c r="M320" i="20"/>
  <c r="K320" i="20"/>
  <c r="I320" i="20"/>
  <c r="G320" i="20"/>
  <c r="E320" i="20"/>
  <c r="M319" i="20"/>
  <c r="K319" i="20"/>
  <c r="I319" i="20"/>
  <c r="G319" i="20"/>
  <c r="E319" i="20"/>
  <c r="M318" i="20"/>
  <c r="K318" i="20"/>
  <c r="I318" i="20"/>
  <c r="G318" i="20"/>
  <c r="E318" i="20"/>
  <c r="M317" i="20"/>
  <c r="K317" i="20"/>
  <c r="I317" i="20"/>
  <c r="G317" i="20"/>
  <c r="E317" i="20"/>
  <c r="M316" i="20"/>
  <c r="K316" i="20"/>
  <c r="I316" i="20"/>
  <c r="G316" i="20"/>
  <c r="E316" i="20"/>
  <c r="M315" i="20"/>
  <c r="K315" i="20"/>
  <c r="I315" i="20"/>
  <c r="G315" i="20"/>
  <c r="E315" i="20"/>
  <c r="M314" i="20"/>
  <c r="K314" i="20"/>
  <c r="I314" i="20"/>
  <c r="G314" i="20"/>
  <c r="E314" i="20"/>
  <c r="M313" i="20"/>
  <c r="K313" i="20"/>
  <c r="I313" i="20"/>
  <c r="G313" i="20"/>
  <c r="E313" i="20"/>
  <c r="O313" i="20" s="1"/>
  <c r="M312" i="20"/>
  <c r="K312" i="20"/>
  <c r="I312" i="20"/>
  <c r="G312" i="20"/>
  <c r="E312" i="20"/>
  <c r="M311" i="20"/>
  <c r="K311" i="20"/>
  <c r="I311" i="20"/>
  <c r="G311" i="20"/>
  <c r="E311" i="20"/>
  <c r="M310" i="20"/>
  <c r="K310" i="20"/>
  <c r="I310" i="20"/>
  <c r="G310" i="20"/>
  <c r="E310" i="20"/>
  <c r="M309" i="20"/>
  <c r="K309" i="20"/>
  <c r="I309" i="20"/>
  <c r="G309" i="20"/>
  <c r="E309" i="20"/>
  <c r="O309" i="20" s="1"/>
  <c r="M308" i="20"/>
  <c r="K308" i="20"/>
  <c r="I308" i="20"/>
  <c r="G308" i="20"/>
  <c r="E308" i="20"/>
  <c r="M307" i="20"/>
  <c r="K307" i="20"/>
  <c r="I307" i="20"/>
  <c r="G307" i="20"/>
  <c r="E307" i="20"/>
  <c r="M306" i="20"/>
  <c r="K306" i="20"/>
  <c r="I306" i="20"/>
  <c r="G306" i="20"/>
  <c r="E306" i="20"/>
  <c r="M305" i="20"/>
  <c r="K305" i="20"/>
  <c r="I305" i="20"/>
  <c r="G305" i="20"/>
  <c r="M304" i="20"/>
  <c r="K304" i="20"/>
  <c r="I304" i="20"/>
  <c r="G304" i="20"/>
  <c r="E304" i="20"/>
  <c r="M303" i="20"/>
  <c r="K303" i="20"/>
  <c r="I303" i="20"/>
  <c r="G303" i="20"/>
  <c r="E303" i="20"/>
  <c r="M302" i="20"/>
  <c r="K302" i="20"/>
  <c r="I302" i="20"/>
  <c r="G302" i="20"/>
  <c r="E302" i="20"/>
  <c r="M301" i="20"/>
  <c r="K301" i="20"/>
  <c r="I301" i="20"/>
  <c r="G301" i="20"/>
  <c r="E301" i="20"/>
  <c r="M300" i="20"/>
  <c r="K300" i="20"/>
  <c r="I300" i="20"/>
  <c r="G300" i="20"/>
  <c r="E300" i="20"/>
  <c r="M299" i="20"/>
  <c r="K299" i="20"/>
  <c r="I299" i="20"/>
  <c r="G299" i="20"/>
  <c r="E299" i="20"/>
  <c r="M298" i="20"/>
  <c r="K298" i="20"/>
  <c r="I298" i="20"/>
  <c r="G298" i="20"/>
  <c r="E298" i="20"/>
  <c r="M297" i="20"/>
  <c r="K297" i="20"/>
  <c r="I297" i="20"/>
  <c r="G297" i="20"/>
  <c r="E297" i="20"/>
  <c r="M296" i="20"/>
  <c r="K296" i="20"/>
  <c r="I296" i="20"/>
  <c r="G296" i="20"/>
  <c r="E296" i="20"/>
  <c r="M295" i="20"/>
  <c r="K295" i="20"/>
  <c r="I295" i="20"/>
  <c r="G295" i="20"/>
  <c r="E295" i="20"/>
  <c r="O295" i="20" s="1"/>
  <c r="M294" i="20"/>
  <c r="K294" i="20"/>
  <c r="I294" i="20"/>
  <c r="G294" i="20"/>
  <c r="E294" i="20"/>
  <c r="M293" i="20"/>
  <c r="K293" i="20"/>
  <c r="I293" i="20"/>
  <c r="G293" i="20"/>
  <c r="E293" i="20"/>
  <c r="M292" i="20"/>
  <c r="K292" i="20"/>
  <c r="I292" i="20"/>
  <c r="G292" i="20"/>
  <c r="E292" i="20"/>
  <c r="M291" i="20"/>
  <c r="K291" i="20"/>
  <c r="I291" i="20"/>
  <c r="G291" i="20"/>
  <c r="E291" i="20"/>
  <c r="O291" i="20" s="1"/>
  <c r="M290" i="20"/>
  <c r="K290" i="20"/>
  <c r="I290" i="20"/>
  <c r="G290" i="20"/>
  <c r="E290" i="20"/>
  <c r="M289" i="20"/>
  <c r="K289" i="20"/>
  <c r="I289" i="20"/>
  <c r="G289" i="20"/>
  <c r="E289" i="20"/>
  <c r="M288" i="20"/>
  <c r="K288" i="20"/>
  <c r="I288" i="20"/>
  <c r="G288" i="20"/>
  <c r="E288" i="20"/>
  <c r="M287" i="20"/>
  <c r="K287" i="20"/>
  <c r="I287" i="20"/>
  <c r="G287" i="20"/>
  <c r="E287" i="20"/>
  <c r="M286" i="20"/>
  <c r="K286" i="20"/>
  <c r="I286" i="20"/>
  <c r="G286" i="20"/>
  <c r="E286" i="20"/>
  <c r="M285" i="20"/>
  <c r="K285" i="20"/>
  <c r="I285" i="20"/>
  <c r="G285" i="20"/>
  <c r="E285" i="20"/>
  <c r="M284" i="20"/>
  <c r="K284" i="20"/>
  <c r="I284" i="20"/>
  <c r="G284" i="20"/>
  <c r="E284" i="20"/>
  <c r="M283" i="20"/>
  <c r="K283" i="20"/>
  <c r="I283" i="20"/>
  <c r="G283" i="20"/>
  <c r="E283" i="20"/>
  <c r="M282" i="20"/>
  <c r="K282" i="20"/>
  <c r="I282" i="20"/>
  <c r="G282" i="20"/>
  <c r="E282" i="20"/>
  <c r="M281" i="20"/>
  <c r="K281" i="20"/>
  <c r="I281" i="20"/>
  <c r="G281" i="20"/>
  <c r="E281" i="20"/>
  <c r="M280" i="20"/>
  <c r="K280" i="20"/>
  <c r="I280" i="20"/>
  <c r="G280" i="20"/>
  <c r="E280" i="20"/>
  <c r="M279" i="20"/>
  <c r="K279" i="20"/>
  <c r="I279" i="20"/>
  <c r="G279" i="20"/>
  <c r="E279" i="20"/>
  <c r="M278" i="20"/>
  <c r="K278" i="20"/>
  <c r="I278" i="20"/>
  <c r="G278" i="20"/>
  <c r="E278" i="20"/>
  <c r="M277" i="20"/>
  <c r="K277" i="20"/>
  <c r="I277" i="20"/>
  <c r="G277" i="20"/>
  <c r="E277" i="20"/>
  <c r="O277" i="20" s="1"/>
  <c r="M276" i="20"/>
  <c r="K276" i="20"/>
  <c r="I276" i="20"/>
  <c r="G276" i="20"/>
  <c r="E276" i="20"/>
  <c r="M275" i="20"/>
  <c r="K275" i="20"/>
  <c r="I275" i="20"/>
  <c r="G275" i="20"/>
  <c r="E275" i="20"/>
  <c r="M274" i="20"/>
  <c r="K274" i="20"/>
  <c r="I274" i="20"/>
  <c r="G274" i="20"/>
  <c r="E274" i="20"/>
  <c r="M273" i="20"/>
  <c r="K273" i="20"/>
  <c r="I273" i="20"/>
  <c r="G273" i="20"/>
  <c r="E273" i="20"/>
  <c r="O273" i="20" s="1"/>
  <c r="M272" i="20"/>
  <c r="K272" i="20"/>
  <c r="I272" i="20"/>
  <c r="G272" i="20"/>
  <c r="E272" i="20"/>
  <c r="M271" i="20"/>
  <c r="K271" i="20"/>
  <c r="I271" i="20"/>
  <c r="G271" i="20"/>
  <c r="E271" i="20"/>
  <c r="M270" i="20"/>
  <c r="K270" i="20"/>
  <c r="I270" i="20"/>
  <c r="G270" i="20"/>
  <c r="E270" i="20"/>
  <c r="M269" i="20"/>
  <c r="K269" i="20"/>
  <c r="I269" i="20"/>
  <c r="G269" i="20"/>
  <c r="E269" i="20"/>
  <c r="M268" i="20"/>
  <c r="K268" i="20"/>
  <c r="I268" i="20"/>
  <c r="G268" i="20"/>
  <c r="E268" i="20"/>
  <c r="M267" i="20"/>
  <c r="K267" i="20"/>
  <c r="I267" i="20"/>
  <c r="G267" i="20"/>
  <c r="E267" i="20"/>
  <c r="M266" i="20"/>
  <c r="K266" i="20"/>
  <c r="I266" i="20"/>
  <c r="G266" i="20"/>
  <c r="E266" i="20"/>
  <c r="M265" i="20"/>
  <c r="K265" i="20"/>
  <c r="I265" i="20"/>
  <c r="G265" i="20"/>
  <c r="E265" i="20"/>
  <c r="M264" i="20"/>
  <c r="K264" i="20"/>
  <c r="I264" i="20"/>
  <c r="G264" i="20"/>
  <c r="E264" i="20"/>
  <c r="M263" i="20"/>
  <c r="K263" i="20"/>
  <c r="I263" i="20"/>
  <c r="G263" i="20"/>
  <c r="E263" i="20"/>
  <c r="M262" i="20"/>
  <c r="K262" i="20"/>
  <c r="I262" i="20"/>
  <c r="G262" i="20"/>
  <c r="E262" i="20"/>
  <c r="M261" i="20"/>
  <c r="K261" i="20"/>
  <c r="I261" i="20"/>
  <c r="G261" i="20"/>
  <c r="E261" i="20"/>
  <c r="M260" i="20"/>
  <c r="K260" i="20"/>
  <c r="I260" i="20"/>
  <c r="G260" i="20"/>
  <c r="E260" i="20"/>
  <c r="M259" i="20"/>
  <c r="K259" i="20"/>
  <c r="I259" i="20"/>
  <c r="G259" i="20"/>
  <c r="E259" i="20"/>
  <c r="O259" i="20" s="1"/>
  <c r="M258" i="20"/>
  <c r="K258" i="20"/>
  <c r="I258" i="20"/>
  <c r="G258" i="20"/>
  <c r="E258" i="20"/>
  <c r="M257" i="20"/>
  <c r="K257" i="20"/>
  <c r="I257" i="20"/>
  <c r="G257" i="20"/>
  <c r="E257" i="20"/>
  <c r="M256" i="20"/>
  <c r="K256" i="20"/>
  <c r="I256" i="20"/>
  <c r="G256" i="20"/>
  <c r="E256" i="20"/>
  <c r="M255" i="20"/>
  <c r="K255" i="20"/>
  <c r="I255" i="20"/>
  <c r="G255" i="20"/>
  <c r="E255" i="20"/>
  <c r="O255" i="20" s="1"/>
  <c r="M254" i="20"/>
  <c r="K254" i="20"/>
  <c r="I254" i="20"/>
  <c r="G254" i="20"/>
  <c r="E254" i="20"/>
  <c r="M253" i="20"/>
  <c r="K253" i="20"/>
  <c r="I253" i="20"/>
  <c r="G253" i="20"/>
  <c r="E253" i="20"/>
  <c r="M252" i="20"/>
  <c r="K252" i="20"/>
  <c r="I252" i="20"/>
  <c r="G252" i="20"/>
  <c r="E252" i="20"/>
  <c r="M251" i="20"/>
  <c r="K251" i="20"/>
  <c r="I251" i="20"/>
  <c r="G251" i="20"/>
  <c r="E251" i="20"/>
  <c r="M250" i="20"/>
  <c r="K250" i="20"/>
  <c r="I250" i="20"/>
  <c r="G250" i="20"/>
  <c r="E250" i="20"/>
  <c r="M249" i="20"/>
  <c r="K249" i="20"/>
  <c r="I249" i="20"/>
  <c r="G249" i="20"/>
  <c r="E249" i="20"/>
  <c r="M248" i="20"/>
  <c r="K248" i="20"/>
  <c r="I248" i="20"/>
  <c r="G248" i="20"/>
  <c r="E248" i="20"/>
  <c r="M247" i="20"/>
  <c r="K247" i="20"/>
  <c r="I247" i="20"/>
  <c r="G247" i="20"/>
  <c r="E247" i="20"/>
  <c r="M246" i="20"/>
  <c r="K246" i="20"/>
  <c r="I246" i="20"/>
  <c r="G246" i="20"/>
  <c r="E246" i="20"/>
  <c r="M245" i="20"/>
  <c r="K245" i="20"/>
  <c r="I245" i="20"/>
  <c r="G245" i="20"/>
  <c r="E245" i="20"/>
  <c r="M244" i="20"/>
  <c r="K244" i="20"/>
  <c r="I244" i="20"/>
  <c r="G244" i="20"/>
  <c r="E244" i="20"/>
  <c r="M243" i="20"/>
  <c r="K243" i="20"/>
  <c r="I243" i="20"/>
  <c r="G243" i="20"/>
  <c r="E243" i="20"/>
  <c r="M242" i="20"/>
  <c r="K242" i="20"/>
  <c r="I242" i="20"/>
  <c r="G242" i="20"/>
  <c r="E242" i="20"/>
  <c r="M241" i="20"/>
  <c r="K241" i="20"/>
  <c r="I241" i="20"/>
  <c r="G241" i="20"/>
  <c r="E241" i="20"/>
  <c r="O241" i="20" s="1"/>
  <c r="M240" i="20"/>
  <c r="K240" i="20"/>
  <c r="I240" i="20"/>
  <c r="G240" i="20"/>
  <c r="E240" i="20"/>
  <c r="M239" i="20"/>
  <c r="K239" i="20"/>
  <c r="I239" i="20"/>
  <c r="G239" i="20"/>
  <c r="E239" i="20"/>
  <c r="M238" i="20"/>
  <c r="K238" i="20"/>
  <c r="I238" i="20"/>
  <c r="G238" i="20"/>
  <c r="E238" i="20"/>
  <c r="M237" i="20"/>
  <c r="K237" i="20"/>
  <c r="I237" i="20"/>
  <c r="G237" i="20"/>
  <c r="E237" i="20"/>
  <c r="O237" i="20" s="1"/>
  <c r="M236" i="20"/>
  <c r="K236" i="20"/>
  <c r="I236" i="20"/>
  <c r="G236" i="20"/>
  <c r="E236" i="20"/>
  <c r="M235" i="20"/>
  <c r="K235" i="20"/>
  <c r="I235" i="20"/>
  <c r="G235" i="20"/>
  <c r="E235" i="20"/>
  <c r="M234" i="20"/>
  <c r="K234" i="20"/>
  <c r="I234" i="20"/>
  <c r="G234" i="20"/>
  <c r="E234" i="20"/>
  <c r="M233" i="20"/>
  <c r="K233" i="20"/>
  <c r="I233" i="20"/>
  <c r="G233" i="20"/>
  <c r="E233" i="20"/>
  <c r="M232" i="20"/>
  <c r="K232" i="20"/>
  <c r="I232" i="20"/>
  <c r="G232" i="20"/>
  <c r="E232" i="20"/>
  <c r="M231" i="20"/>
  <c r="K231" i="20"/>
  <c r="I231" i="20"/>
  <c r="G231" i="20"/>
  <c r="E231" i="20"/>
  <c r="M230" i="20"/>
  <c r="K230" i="20"/>
  <c r="I230" i="20"/>
  <c r="G230" i="20"/>
  <c r="E230" i="20"/>
  <c r="M229" i="20"/>
  <c r="K229" i="20"/>
  <c r="I229" i="20"/>
  <c r="G229" i="20"/>
  <c r="E229" i="20"/>
  <c r="M228" i="20"/>
  <c r="K228" i="20"/>
  <c r="I228" i="20"/>
  <c r="G228" i="20"/>
  <c r="E228" i="20"/>
  <c r="M227" i="20"/>
  <c r="K227" i="20"/>
  <c r="I227" i="20"/>
  <c r="G227" i="20"/>
  <c r="E227" i="20"/>
  <c r="M226" i="20"/>
  <c r="K226" i="20"/>
  <c r="I226" i="20"/>
  <c r="G226" i="20"/>
  <c r="E226" i="20"/>
  <c r="M225" i="20"/>
  <c r="K225" i="20"/>
  <c r="I225" i="20"/>
  <c r="G225" i="20"/>
  <c r="E225" i="20"/>
  <c r="M224" i="20"/>
  <c r="K224" i="20"/>
  <c r="I224" i="20"/>
  <c r="G224" i="20"/>
  <c r="E224" i="20"/>
  <c r="M223" i="20"/>
  <c r="K223" i="20"/>
  <c r="I223" i="20"/>
  <c r="G223" i="20"/>
  <c r="E223" i="20"/>
  <c r="O223" i="20" s="1"/>
  <c r="M222" i="20"/>
  <c r="K222" i="20"/>
  <c r="I222" i="20"/>
  <c r="G222" i="20"/>
  <c r="E222" i="20"/>
  <c r="M221" i="20"/>
  <c r="K221" i="20"/>
  <c r="I221" i="20"/>
  <c r="G221" i="20"/>
  <c r="E221" i="20"/>
  <c r="M220" i="20"/>
  <c r="K220" i="20"/>
  <c r="I220" i="20"/>
  <c r="G220" i="20"/>
  <c r="E220" i="20"/>
  <c r="M219" i="20"/>
  <c r="K219" i="20"/>
  <c r="I219" i="20"/>
  <c r="G219" i="20"/>
  <c r="E219" i="20"/>
  <c r="O219" i="20" s="1"/>
  <c r="M218" i="20"/>
  <c r="K218" i="20"/>
  <c r="I218" i="20"/>
  <c r="G218" i="20"/>
  <c r="E218" i="20"/>
  <c r="M217" i="20"/>
  <c r="K217" i="20"/>
  <c r="I217" i="20"/>
  <c r="G217" i="20"/>
  <c r="E217" i="20"/>
  <c r="M216" i="20"/>
  <c r="K216" i="20"/>
  <c r="I216" i="20"/>
  <c r="G216" i="20"/>
  <c r="E216" i="20"/>
  <c r="M215" i="20"/>
  <c r="K215" i="20"/>
  <c r="I215" i="20"/>
  <c r="G215" i="20"/>
  <c r="E215" i="20"/>
  <c r="M214" i="20"/>
  <c r="K214" i="20"/>
  <c r="I214" i="20"/>
  <c r="G214" i="20"/>
  <c r="E214" i="20"/>
  <c r="M213" i="20"/>
  <c r="K213" i="20"/>
  <c r="I213" i="20"/>
  <c r="G213" i="20"/>
  <c r="E213" i="20"/>
  <c r="M212" i="20"/>
  <c r="K212" i="20"/>
  <c r="I212" i="20"/>
  <c r="G212" i="20"/>
  <c r="E212" i="20"/>
  <c r="M211" i="20"/>
  <c r="K211" i="20"/>
  <c r="I211" i="20"/>
  <c r="G211" i="20"/>
  <c r="E211" i="20"/>
  <c r="M210" i="20"/>
  <c r="K210" i="20"/>
  <c r="I210" i="20"/>
  <c r="G210" i="20"/>
  <c r="E210" i="20"/>
  <c r="M209" i="20"/>
  <c r="K209" i="20"/>
  <c r="I209" i="20"/>
  <c r="G209" i="20"/>
  <c r="E209" i="20"/>
  <c r="M208" i="20"/>
  <c r="K208" i="20"/>
  <c r="I208" i="20"/>
  <c r="G208" i="20"/>
  <c r="E208" i="20"/>
  <c r="M207" i="20"/>
  <c r="K207" i="20"/>
  <c r="I207" i="20"/>
  <c r="G207" i="20"/>
  <c r="E207" i="20"/>
  <c r="M206" i="20"/>
  <c r="K206" i="20"/>
  <c r="I206" i="20"/>
  <c r="G206" i="20"/>
  <c r="E206" i="20"/>
  <c r="M205" i="20"/>
  <c r="K205" i="20"/>
  <c r="I205" i="20"/>
  <c r="G205" i="20"/>
  <c r="E205" i="20"/>
  <c r="O205" i="20" s="1"/>
  <c r="M204" i="20"/>
  <c r="K204" i="20"/>
  <c r="I204" i="20"/>
  <c r="G204" i="20"/>
  <c r="E204" i="20"/>
  <c r="M203" i="20"/>
  <c r="K203" i="20"/>
  <c r="I203" i="20"/>
  <c r="G203" i="20"/>
  <c r="E203" i="20"/>
  <c r="M202" i="20"/>
  <c r="K202" i="20"/>
  <c r="I202" i="20"/>
  <c r="G202" i="20"/>
  <c r="E202" i="20"/>
  <c r="M201" i="20"/>
  <c r="K201" i="20"/>
  <c r="I201" i="20"/>
  <c r="G201" i="20"/>
  <c r="E201" i="20"/>
  <c r="O201" i="20" s="1"/>
  <c r="M200" i="20"/>
  <c r="K200" i="20"/>
  <c r="I200" i="20"/>
  <c r="G200" i="20"/>
  <c r="E200" i="20"/>
  <c r="M199" i="20"/>
  <c r="K199" i="20"/>
  <c r="I199" i="20"/>
  <c r="G199" i="20"/>
  <c r="E199" i="20"/>
  <c r="M198" i="20"/>
  <c r="K198" i="20"/>
  <c r="I198" i="20"/>
  <c r="G198" i="20"/>
  <c r="E198" i="20"/>
  <c r="M197" i="20"/>
  <c r="K197" i="20"/>
  <c r="I197" i="20"/>
  <c r="G197" i="20"/>
  <c r="E197" i="20"/>
  <c r="M196" i="20"/>
  <c r="K196" i="20"/>
  <c r="I196" i="20"/>
  <c r="G196" i="20"/>
  <c r="E196" i="20"/>
  <c r="M195" i="20"/>
  <c r="K195" i="20"/>
  <c r="I195" i="20"/>
  <c r="G195" i="20"/>
  <c r="E195" i="20"/>
  <c r="M194" i="20"/>
  <c r="K194" i="20"/>
  <c r="I194" i="20"/>
  <c r="G194" i="20"/>
  <c r="E194" i="20"/>
  <c r="M193" i="20"/>
  <c r="K193" i="20"/>
  <c r="I193" i="20"/>
  <c r="G193" i="20"/>
  <c r="E193" i="20"/>
  <c r="M192" i="20"/>
  <c r="K192" i="20"/>
  <c r="I192" i="20"/>
  <c r="G192" i="20"/>
  <c r="E192" i="20"/>
  <c r="M191" i="20"/>
  <c r="K191" i="20"/>
  <c r="I191" i="20"/>
  <c r="G191" i="20"/>
  <c r="E191" i="20"/>
  <c r="M190" i="20"/>
  <c r="K190" i="20"/>
  <c r="I190" i="20"/>
  <c r="G190" i="20"/>
  <c r="E190" i="20"/>
  <c r="M189" i="20"/>
  <c r="K189" i="20"/>
  <c r="I189" i="20"/>
  <c r="G189" i="20"/>
  <c r="E189" i="20"/>
  <c r="M188" i="20"/>
  <c r="K188" i="20"/>
  <c r="I188" i="20"/>
  <c r="G188" i="20"/>
  <c r="E188" i="20"/>
  <c r="M187" i="20"/>
  <c r="K187" i="20"/>
  <c r="I187" i="20"/>
  <c r="G187" i="20"/>
  <c r="O187" i="20"/>
  <c r="M186" i="20"/>
  <c r="K186" i="20"/>
  <c r="I186" i="20"/>
  <c r="G186" i="20"/>
  <c r="E186" i="20"/>
  <c r="M185" i="20"/>
  <c r="K185" i="20"/>
  <c r="I185" i="20"/>
  <c r="G185" i="20"/>
  <c r="E185" i="20"/>
  <c r="M184" i="20"/>
  <c r="K184" i="20"/>
  <c r="I184" i="20"/>
  <c r="G184" i="20"/>
  <c r="E184" i="20"/>
  <c r="M183" i="20"/>
  <c r="K183" i="20"/>
  <c r="I183" i="20"/>
  <c r="G183" i="20"/>
  <c r="E183" i="20"/>
  <c r="O183" i="20" s="1"/>
  <c r="M182" i="20"/>
  <c r="K182" i="20"/>
  <c r="I182" i="20"/>
  <c r="G182" i="20"/>
  <c r="E182" i="20"/>
  <c r="M181" i="20"/>
  <c r="K181" i="20"/>
  <c r="I181" i="20"/>
  <c r="G181" i="20"/>
  <c r="E181" i="20"/>
  <c r="M180" i="20"/>
  <c r="K180" i="20"/>
  <c r="I180" i="20"/>
  <c r="G180" i="20"/>
  <c r="E180" i="20"/>
  <c r="M179" i="20"/>
  <c r="K179" i="20"/>
  <c r="I179" i="20"/>
  <c r="G179" i="20"/>
  <c r="E179" i="20"/>
  <c r="M178" i="20"/>
  <c r="K178" i="20"/>
  <c r="I178" i="20"/>
  <c r="G178" i="20"/>
  <c r="E178" i="20"/>
  <c r="M177" i="20"/>
  <c r="K177" i="20"/>
  <c r="I177" i="20"/>
  <c r="G177" i="20"/>
  <c r="E177" i="20"/>
  <c r="M176" i="20"/>
  <c r="K176" i="20"/>
  <c r="I176" i="20"/>
  <c r="G176" i="20"/>
  <c r="E176" i="20"/>
  <c r="M175" i="20"/>
  <c r="K175" i="20"/>
  <c r="I175" i="20"/>
  <c r="G175" i="20"/>
  <c r="E175" i="20"/>
  <c r="M174" i="20"/>
  <c r="K174" i="20"/>
  <c r="I174" i="20"/>
  <c r="G174" i="20"/>
  <c r="E174" i="20"/>
  <c r="M173" i="20"/>
  <c r="K173" i="20"/>
  <c r="I173" i="20"/>
  <c r="G173" i="20"/>
  <c r="E173" i="20"/>
  <c r="M172" i="20"/>
  <c r="K172" i="20"/>
  <c r="I172" i="20"/>
  <c r="G172" i="20"/>
  <c r="E172" i="20"/>
  <c r="M171" i="20"/>
  <c r="K171" i="20"/>
  <c r="I171" i="20"/>
  <c r="G171" i="20"/>
  <c r="E171" i="20"/>
  <c r="M170" i="20"/>
  <c r="K170" i="20"/>
  <c r="I170" i="20"/>
  <c r="G170" i="20"/>
  <c r="E170" i="20"/>
  <c r="M169" i="20"/>
  <c r="K169" i="20"/>
  <c r="I169" i="20"/>
  <c r="G169" i="20"/>
  <c r="M168" i="20"/>
  <c r="K168" i="20"/>
  <c r="I168" i="20"/>
  <c r="G168" i="20"/>
  <c r="M167" i="20"/>
  <c r="K167" i="20"/>
  <c r="I167" i="20"/>
  <c r="G167" i="20"/>
  <c r="E167" i="20"/>
  <c r="M166" i="20"/>
  <c r="K166" i="20"/>
  <c r="I166" i="20"/>
  <c r="G166" i="20"/>
  <c r="E166" i="20"/>
  <c r="M165" i="20"/>
  <c r="K165" i="20"/>
  <c r="I165" i="20"/>
  <c r="G165" i="20"/>
  <c r="E165" i="20"/>
  <c r="O165" i="20" s="1"/>
  <c r="M164" i="20"/>
  <c r="K164" i="20"/>
  <c r="I164" i="20"/>
  <c r="G164" i="20"/>
  <c r="E164" i="20"/>
  <c r="M163" i="20"/>
  <c r="K163" i="20"/>
  <c r="I163" i="20"/>
  <c r="G163" i="20"/>
  <c r="E163" i="20"/>
  <c r="M162" i="20"/>
  <c r="K162" i="20"/>
  <c r="I162" i="20"/>
  <c r="G162" i="20"/>
  <c r="E162" i="20"/>
  <c r="M161" i="20"/>
  <c r="K161" i="20"/>
  <c r="I161" i="20"/>
  <c r="G161" i="20"/>
  <c r="E161" i="20"/>
  <c r="M160" i="20"/>
  <c r="K160" i="20"/>
  <c r="I160" i="20"/>
  <c r="G160" i="20"/>
  <c r="E160" i="20"/>
  <c r="M159" i="20"/>
  <c r="K159" i="20"/>
  <c r="I159" i="20"/>
  <c r="G159" i="20"/>
  <c r="E159" i="20"/>
  <c r="M158" i="20"/>
  <c r="K158" i="20"/>
  <c r="I158" i="20"/>
  <c r="G158" i="20"/>
  <c r="E158" i="20"/>
  <c r="M157" i="20"/>
  <c r="K157" i="20"/>
  <c r="I157" i="20"/>
  <c r="G157" i="20"/>
  <c r="E157" i="20"/>
  <c r="M156" i="20"/>
  <c r="K156" i="20"/>
  <c r="I156" i="20"/>
  <c r="G156" i="20"/>
  <c r="E156" i="20"/>
  <c r="M155" i="20"/>
  <c r="K155" i="20"/>
  <c r="I155" i="20"/>
  <c r="G155" i="20"/>
  <c r="E155" i="20"/>
  <c r="M154" i="20"/>
  <c r="K154" i="20"/>
  <c r="I154" i="20"/>
  <c r="G154" i="20"/>
  <c r="E154" i="20"/>
  <c r="M153" i="20"/>
  <c r="K153" i="20"/>
  <c r="I153" i="20"/>
  <c r="G153" i="20"/>
  <c r="E153" i="20"/>
  <c r="M152" i="20"/>
  <c r="K152" i="20"/>
  <c r="I152" i="20"/>
  <c r="G152" i="20"/>
  <c r="E152" i="20"/>
  <c r="M151" i="20"/>
  <c r="K151" i="20"/>
  <c r="I151" i="20"/>
  <c r="G151" i="20"/>
  <c r="E151" i="20"/>
  <c r="M150" i="20"/>
  <c r="K150" i="20"/>
  <c r="I150" i="20"/>
  <c r="G150" i="20"/>
  <c r="E150" i="20"/>
  <c r="M149" i="20"/>
  <c r="K149" i="20"/>
  <c r="I149" i="20"/>
  <c r="G149" i="20"/>
  <c r="M148" i="20"/>
  <c r="K148" i="20"/>
  <c r="I148" i="20"/>
  <c r="G148" i="20"/>
  <c r="E148" i="20"/>
  <c r="M147" i="20"/>
  <c r="K147" i="20"/>
  <c r="I147" i="20"/>
  <c r="G147" i="20"/>
  <c r="E147" i="20"/>
  <c r="O147" i="20" s="1"/>
  <c r="M146" i="20"/>
  <c r="K146" i="20"/>
  <c r="I146" i="20"/>
  <c r="G146" i="20"/>
  <c r="M145" i="20"/>
  <c r="K145" i="20"/>
  <c r="I145" i="20"/>
  <c r="G145" i="20"/>
  <c r="E145" i="20"/>
  <c r="M144" i="20"/>
  <c r="I144" i="20"/>
  <c r="G144" i="20"/>
  <c r="E144" i="20"/>
  <c r="M143" i="20"/>
  <c r="K143" i="20"/>
  <c r="I143" i="20"/>
  <c r="G143" i="20"/>
  <c r="E143" i="20"/>
  <c r="M142" i="20"/>
  <c r="K142" i="20"/>
  <c r="I142" i="20"/>
  <c r="G142" i="20"/>
  <c r="E142" i="20"/>
  <c r="M141" i="20"/>
  <c r="K141" i="20"/>
  <c r="I141" i="20"/>
  <c r="G141" i="20"/>
  <c r="E141" i="20"/>
  <c r="M140" i="20"/>
  <c r="K140" i="20"/>
  <c r="I140" i="20"/>
  <c r="G140" i="20"/>
  <c r="E140" i="20"/>
  <c r="M139" i="20"/>
  <c r="K139" i="20"/>
  <c r="I139" i="20"/>
  <c r="G139" i="20"/>
  <c r="E139" i="20"/>
  <c r="M138" i="20"/>
  <c r="K138" i="20"/>
  <c r="I138" i="20"/>
  <c r="G138" i="20"/>
  <c r="E138" i="20"/>
  <c r="M137" i="20"/>
  <c r="K137" i="20"/>
  <c r="I137" i="20"/>
  <c r="G137" i="20"/>
  <c r="E137" i="20"/>
  <c r="M136" i="20"/>
  <c r="K136" i="20"/>
  <c r="I136" i="20"/>
  <c r="G136" i="20"/>
  <c r="E136" i="20"/>
  <c r="M135" i="20"/>
  <c r="K135" i="20"/>
  <c r="I135" i="20"/>
  <c r="G135" i="20"/>
  <c r="E135" i="20"/>
  <c r="M134" i="20"/>
  <c r="K134" i="20"/>
  <c r="I134" i="20"/>
  <c r="G134" i="20"/>
  <c r="E134" i="20"/>
  <c r="M133" i="20"/>
  <c r="K133" i="20"/>
  <c r="I133" i="20"/>
  <c r="G133" i="20"/>
  <c r="E133" i="20"/>
  <c r="M132" i="20"/>
  <c r="K132" i="20"/>
  <c r="I132" i="20"/>
  <c r="G132" i="20"/>
  <c r="E132" i="20"/>
  <c r="M131" i="20"/>
  <c r="K131" i="20"/>
  <c r="I131" i="20"/>
  <c r="G131" i="20"/>
  <c r="M130" i="20"/>
  <c r="K130" i="20"/>
  <c r="I130" i="20"/>
  <c r="G130" i="20"/>
  <c r="E130" i="20"/>
  <c r="M129" i="20"/>
  <c r="K129" i="20"/>
  <c r="I129" i="20"/>
  <c r="G129" i="20"/>
  <c r="E129" i="20"/>
  <c r="O129" i="20" s="1"/>
  <c r="M128" i="20"/>
  <c r="K128" i="20"/>
  <c r="I128" i="20"/>
  <c r="G128" i="20"/>
  <c r="E128" i="20"/>
  <c r="M127" i="20"/>
  <c r="K127" i="20"/>
  <c r="I127" i="20"/>
  <c r="G127" i="20"/>
  <c r="E127" i="20"/>
  <c r="M126" i="20"/>
  <c r="K126" i="20"/>
  <c r="I126" i="20"/>
  <c r="G126" i="20"/>
  <c r="E126" i="20"/>
  <c r="M125" i="20"/>
  <c r="K125" i="20"/>
  <c r="I125" i="20"/>
  <c r="G125" i="20"/>
  <c r="E125" i="20"/>
  <c r="M124" i="20"/>
  <c r="K124" i="20"/>
  <c r="I124" i="20"/>
  <c r="G124" i="20"/>
  <c r="E124" i="20"/>
  <c r="M123" i="20"/>
  <c r="K123" i="20"/>
  <c r="I123" i="20"/>
  <c r="E123" i="20"/>
  <c r="M122" i="20"/>
  <c r="K122" i="20"/>
  <c r="I122" i="20"/>
  <c r="G122" i="20"/>
  <c r="E122" i="20"/>
  <c r="M121" i="20"/>
  <c r="K121" i="20"/>
  <c r="I121" i="20"/>
  <c r="G121" i="20"/>
  <c r="E121" i="20"/>
  <c r="M120" i="20"/>
  <c r="K120" i="20"/>
  <c r="I120" i="20"/>
  <c r="G120" i="20"/>
  <c r="E120" i="20"/>
  <c r="M119" i="20"/>
  <c r="K119" i="20"/>
  <c r="I119" i="20"/>
  <c r="G119" i="20"/>
  <c r="E119" i="20"/>
  <c r="M118" i="20"/>
  <c r="K118" i="20"/>
  <c r="I118" i="20"/>
  <c r="G118" i="20"/>
  <c r="E118" i="20"/>
  <c r="M117" i="20"/>
  <c r="K117" i="20"/>
  <c r="I117" i="20"/>
  <c r="G117" i="20"/>
  <c r="E117" i="20"/>
  <c r="M116" i="20"/>
  <c r="K116" i="20"/>
  <c r="I116" i="20"/>
  <c r="G116" i="20"/>
  <c r="E116" i="20"/>
  <c r="M115" i="20"/>
  <c r="K115" i="20"/>
  <c r="I115" i="20"/>
  <c r="E115" i="20"/>
  <c r="M114" i="20"/>
  <c r="K114" i="20"/>
  <c r="I114" i="20"/>
  <c r="G114" i="20"/>
  <c r="E114" i="20"/>
  <c r="M113" i="20"/>
  <c r="K113" i="20"/>
  <c r="I113" i="20"/>
  <c r="G113" i="20"/>
  <c r="E113" i="20"/>
  <c r="M112" i="20"/>
  <c r="K112" i="20"/>
  <c r="I112" i="20"/>
  <c r="G112" i="20"/>
  <c r="E112" i="20"/>
  <c r="M111" i="20"/>
  <c r="K111" i="20"/>
  <c r="I111" i="20"/>
  <c r="G111" i="20"/>
  <c r="E111" i="20"/>
  <c r="O111" i="20" s="1"/>
  <c r="M110" i="20"/>
  <c r="K110" i="20"/>
  <c r="I110" i="20"/>
  <c r="G110" i="20"/>
  <c r="E110" i="20"/>
  <c r="M109" i="20"/>
  <c r="K109" i="20"/>
  <c r="I109" i="20"/>
  <c r="G109" i="20"/>
  <c r="E109" i="20"/>
  <c r="M108" i="20"/>
  <c r="K108" i="20"/>
  <c r="I108" i="20"/>
  <c r="G108" i="20"/>
  <c r="E108" i="20"/>
  <c r="M107" i="20"/>
  <c r="K107" i="20"/>
  <c r="I107" i="20"/>
  <c r="G107" i="20"/>
  <c r="E107" i="20"/>
  <c r="M106" i="20"/>
  <c r="K106" i="20"/>
  <c r="I106" i="20"/>
  <c r="G106" i="20"/>
  <c r="E106" i="20"/>
  <c r="M105" i="20"/>
  <c r="K105" i="20"/>
  <c r="I105" i="20"/>
  <c r="G105" i="20"/>
  <c r="E105" i="20"/>
  <c r="M104" i="20"/>
  <c r="K104" i="20"/>
  <c r="I104" i="20"/>
  <c r="G104" i="20"/>
  <c r="E104" i="20"/>
  <c r="M103" i="20"/>
  <c r="K103" i="20"/>
  <c r="I103" i="20"/>
  <c r="G103" i="20"/>
  <c r="E103" i="20"/>
  <c r="M102" i="20"/>
  <c r="K102" i="20"/>
  <c r="I102" i="20"/>
  <c r="G102" i="20"/>
  <c r="E102" i="20"/>
  <c r="M101" i="20"/>
  <c r="K101" i="20"/>
  <c r="I101" i="20"/>
  <c r="G101" i="20"/>
  <c r="E101" i="20"/>
  <c r="M100" i="20"/>
  <c r="K100" i="20"/>
  <c r="I100" i="20"/>
  <c r="G100" i="20"/>
  <c r="E100" i="20"/>
  <c r="M99" i="20"/>
  <c r="K99" i="20"/>
  <c r="I99" i="20"/>
  <c r="G99" i="20"/>
  <c r="E99" i="20"/>
  <c r="M98" i="20"/>
  <c r="K98" i="20"/>
  <c r="I98" i="20"/>
  <c r="G98" i="20"/>
  <c r="E98" i="20"/>
  <c r="M97" i="20"/>
  <c r="K97" i="20"/>
  <c r="I97" i="20"/>
  <c r="G97" i="20"/>
  <c r="E97" i="20"/>
  <c r="M96" i="20"/>
  <c r="K96" i="20"/>
  <c r="I96" i="20"/>
  <c r="G96" i="20"/>
  <c r="E96" i="20"/>
  <c r="M95" i="20"/>
  <c r="K95" i="20"/>
  <c r="I95" i="20"/>
  <c r="G95" i="20"/>
  <c r="E95" i="20"/>
  <c r="M94" i="20"/>
  <c r="K94" i="20"/>
  <c r="I94" i="20"/>
  <c r="G94" i="20"/>
  <c r="E94" i="20"/>
  <c r="M93" i="20"/>
  <c r="K93" i="20"/>
  <c r="I93" i="20"/>
  <c r="G93" i="20"/>
  <c r="E93" i="20"/>
  <c r="O93" i="20" s="1"/>
  <c r="M92" i="20"/>
  <c r="K92" i="20"/>
  <c r="I92" i="20"/>
  <c r="G92" i="20"/>
  <c r="E92" i="20"/>
  <c r="M91" i="20"/>
  <c r="K91" i="20"/>
  <c r="I91" i="20"/>
  <c r="G91" i="20"/>
  <c r="E91" i="20"/>
  <c r="M90" i="20"/>
  <c r="K90" i="20"/>
  <c r="I90" i="20"/>
  <c r="G90" i="20"/>
  <c r="E90" i="20"/>
  <c r="M89" i="20"/>
  <c r="K89" i="20"/>
  <c r="I89" i="20"/>
  <c r="G89" i="20"/>
  <c r="E89" i="20"/>
  <c r="M88" i="20"/>
  <c r="K88" i="20"/>
  <c r="I88" i="20"/>
  <c r="G88" i="20"/>
  <c r="E88" i="20"/>
  <c r="M87" i="20"/>
  <c r="K87" i="20"/>
  <c r="I87" i="20"/>
  <c r="G87" i="20"/>
  <c r="E87" i="20"/>
  <c r="M86" i="20"/>
  <c r="K86" i="20"/>
  <c r="I86" i="20"/>
  <c r="G86" i="20"/>
  <c r="E86" i="20"/>
  <c r="M85" i="20"/>
  <c r="K85" i="20"/>
  <c r="I85" i="20"/>
  <c r="G85" i="20"/>
  <c r="E85" i="20"/>
  <c r="M84" i="20"/>
  <c r="K84" i="20"/>
  <c r="I84" i="20"/>
  <c r="G84" i="20"/>
  <c r="E84" i="20"/>
  <c r="M83" i="20"/>
  <c r="K83" i="20"/>
  <c r="I83" i="20"/>
  <c r="G83" i="20"/>
  <c r="E83" i="20"/>
  <c r="M82" i="20"/>
  <c r="K82" i="20"/>
  <c r="I82" i="20"/>
  <c r="G82" i="20"/>
  <c r="E82" i="20"/>
  <c r="M81" i="20"/>
  <c r="K81" i="20"/>
  <c r="I81" i="20"/>
  <c r="G81" i="20"/>
  <c r="E81" i="20"/>
  <c r="M80" i="20"/>
  <c r="K80" i="20"/>
  <c r="I80" i="20"/>
  <c r="G80" i="20"/>
  <c r="E80" i="20"/>
  <c r="M79" i="20"/>
  <c r="K79" i="20"/>
  <c r="I79" i="20"/>
  <c r="G79" i="20"/>
  <c r="E79" i="20"/>
  <c r="M78" i="20"/>
  <c r="K78" i="20"/>
  <c r="I78" i="20"/>
  <c r="G78" i="20"/>
  <c r="E78" i="20"/>
  <c r="M77" i="20"/>
  <c r="K77" i="20"/>
  <c r="I77" i="20"/>
  <c r="G77" i="20"/>
  <c r="E77" i="20"/>
  <c r="M76" i="20"/>
  <c r="K76" i="20"/>
  <c r="I76" i="20"/>
  <c r="G76" i="20"/>
  <c r="E76" i="20"/>
  <c r="M75" i="20"/>
  <c r="K75" i="20"/>
  <c r="I75" i="20"/>
  <c r="G75" i="20"/>
  <c r="E75" i="20"/>
  <c r="M74" i="20"/>
  <c r="K74" i="20"/>
  <c r="I74" i="20"/>
  <c r="G74" i="20"/>
  <c r="E74" i="20"/>
  <c r="M73" i="20"/>
  <c r="K73" i="20"/>
  <c r="I73" i="20"/>
  <c r="G73" i="20"/>
  <c r="E73" i="20"/>
  <c r="M72" i="20"/>
  <c r="K72" i="20"/>
  <c r="I72" i="20"/>
  <c r="G72" i="20"/>
  <c r="E72" i="20"/>
  <c r="M71" i="20"/>
  <c r="K71" i="20"/>
  <c r="I71" i="20"/>
  <c r="G71" i="20"/>
  <c r="E71" i="20"/>
  <c r="M70" i="20"/>
  <c r="K70" i="20"/>
  <c r="I70" i="20"/>
  <c r="G70" i="20"/>
  <c r="E70" i="20"/>
  <c r="M69" i="20"/>
  <c r="K69" i="20"/>
  <c r="I69" i="20"/>
  <c r="G69" i="20"/>
  <c r="E69" i="20"/>
  <c r="M68" i="20"/>
  <c r="K68" i="20"/>
  <c r="I68" i="20"/>
  <c r="G68" i="20"/>
  <c r="E68" i="20"/>
  <c r="M67" i="20"/>
  <c r="K67" i="20"/>
  <c r="I67" i="20"/>
  <c r="G67" i="20"/>
  <c r="E67" i="20"/>
  <c r="M66" i="20"/>
  <c r="I66" i="20"/>
  <c r="G66" i="20"/>
  <c r="E66" i="20"/>
  <c r="M65" i="20"/>
  <c r="K65" i="20"/>
  <c r="I65" i="20"/>
  <c r="G65" i="20"/>
  <c r="E65" i="20"/>
  <c r="M64" i="20"/>
  <c r="K64" i="20"/>
  <c r="I64" i="20"/>
  <c r="G64" i="20"/>
  <c r="E64" i="20"/>
  <c r="M63" i="20"/>
  <c r="K63" i="20"/>
  <c r="I63" i="20"/>
  <c r="G63" i="20"/>
  <c r="E63" i="20"/>
  <c r="M62" i="20"/>
  <c r="K62" i="20"/>
  <c r="I62" i="20"/>
  <c r="G62" i="20"/>
  <c r="E62" i="20"/>
  <c r="M61" i="20"/>
  <c r="K61" i="20"/>
  <c r="I61" i="20"/>
  <c r="G61" i="20"/>
  <c r="E61" i="20"/>
  <c r="M60" i="20"/>
  <c r="K60" i="20"/>
  <c r="I60" i="20"/>
  <c r="G60" i="20"/>
  <c r="E60" i="20"/>
  <c r="M59" i="20"/>
  <c r="K59" i="20"/>
  <c r="I59" i="20"/>
  <c r="G59" i="20"/>
  <c r="E59" i="20"/>
  <c r="M58" i="20"/>
  <c r="K58" i="20"/>
  <c r="I58" i="20"/>
  <c r="G58" i="20"/>
  <c r="E58" i="20"/>
  <c r="M57" i="20"/>
  <c r="K57" i="20"/>
  <c r="I57" i="20"/>
  <c r="G57" i="20"/>
  <c r="E57" i="20"/>
  <c r="O57" i="20" s="1"/>
  <c r="M56" i="20"/>
  <c r="K56" i="20"/>
  <c r="I56" i="20"/>
  <c r="G56" i="20"/>
  <c r="E56" i="20"/>
  <c r="M55" i="20"/>
  <c r="K55" i="20"/>
  <c r="I55" i="20"/>
  <c r="G55" i="20"/>
  <c r="E55" i="20"/>
  <c r="M54" i="20"/>
  <c r="K54" i="20"/>
  <c r="I54" i="20"/>
  <c r="G54" i="20"/>
  <c r="E54" i="20"/>
  <c r="M53" i="20"/>
  <c r="K53" i="20"/>
  <c r="I53" i="20"/>
  <c r="G53" i="20"/>
  <c r="E53" i="20"/>
  <c r="M52" i="20"/>
  <c r="K52" i="20"/>
  <c r="I52" i="20"/>
  <c r="G52" i="20"/>
  <c r="E52" i="20"/>
  <c r="M51" i="20"/>
  <c r="K51" i="20"/>
  <c r="I51" i="20"/>
  <c r="G51" i="20"/>
  <c r="E51" i="20"/>
  <c r="M50" i="20"/>
  <c r="K50" i="20"/>
  <c r="G50" i="20"/>
  <c r="E50" i="20"/>
  <c r="M49" i="20"/>
  <c r="K49" i="20"/>
  <c r="I49" i="20"/>
  <c r="G49" i="20"/>
  <c r="M48" i="20"/>
  <c r="K48" i="20"/>
  <c r="I48" i="20"/>
  <c r="G48" i="20"/>
  <c r="E48" i="20"/>
  <c r="M47" i="20"/>
  <c r="K47" i="20"/>
  <c r="I47" i="20"/>
  <c r="G47" i="20"/>
  <c r="E47" i="20"/>
  <c r="M46" i="20"/>
  <c r="K46" i="20"/>
  <c r="I46" i="20"/>
  <c r="G46" i="20"/>
  <c r="E46" i="20"/>
  <c r="M45" i="20"/>
  <c r="K45" i="20"/>
  <c r="I45" i="20"/>
  <c r="G45" i="20"/>
  <c r="E45" i="20"/>
  <c r="M44" i="20"/>
  <c r="K44" i="20"/>
  <c r="I44" i="20"/>
  <c r="G44" i="20"/>
  <c r="E44" i="20"/>
  <c r="M43" i="20"/>
  <c r="K43" i="20"/>
  <c r="I43" i="20"/>
  <c r="G43" i="20"/>
  <c r="E43" i="20"/>
  <c r="M42" i="20"/>
  <c r="K42" i="20"/>
  <c r="I42" i="20"/>
  <c r="G42" i="20"/>
  <c r="E42" i="20"/>
  <c r="M41" i="20"/>
  <c r="K41" i="20"/>
  <c r="I41" i="20"/>
  <c r="G41" i="20"/>
  <c r="E41" i="20"/>
  <c r="M40" i="20"/>
  <c r="K40" i="20"/>
  <c r="I40" i="20"/>
  <c r="G40" i="20"/>
  <c r="E40" i="20"/>
  <c r="M39" i="20"/>
  <c r="K39" i="20"/>
  <c r="I39" i="20"/>
  <c r="G39" i="20"/>
  <c r="E39" i="20"/>
  <c r="M38" i="20"/>
  <c r="K38" i="20"/>
  <c r="I38" i="20"/>
  <c r="G38" i="20"/>
  <c r="E38" i="20"/>
  <c r="M37" i="20"/>
  <c r="K37" i="20"/>
  <c r="I37" i="20"/>
  <c r="G37" i="20"/>
  <c r="E37" i="20"/>
  <c r="M36" i="20"/>
  <c r="K36" i="20"/>
  <c r="I36" i="20"/>
  <c r="G36" i="20"/>
  <c r="E36" i="20"/>
  <c r="M35" i="20"/>
  <c r="K35" i="20"/>
  <c r="I35" i="20"/>
  <c r="G35" i="20"/>
  <c r="E35" i="20"/>
  <c r="M34" i="20"/>
  <c r="K34" i="20"/>
  <c r="I34" i="20"/>
  <c r="G34" i="20"/>
  <c r="E34" i="20"/>
  <c r="M33" i="20"/>
  <c r="K33" i="20"/>
  <c r="I33" i="20"/>
  <c r="G33" i="20"/>
  <c r="E33" i="20"/>
  <c r="M32" i="20"/>
  <c r="K32" i="20"/>
  <c r="I32" i="20"/>
  <c r="G32" i="20"/>
  <c r="E32" i="20"/>
  <c r="M31" i="20"/>
  <c r="K31" i="20"/>
  <c r="I31" i="20"/>
  <c r="G31" i="20"/>
  <c r="E31" i="20"/>
  <c r="M30" i="20"/>
  <c r="K30" i="20"/>
  <c r="I30" i="20"/>
  <c r="G30" i="20"/>
  <c r="E30" i="20"/>
  <c r="M29" i="20"/>
  <c r="K29" i="20"/>
  <c r="I29" i="20"/>
  <c r="G29" i="20"/>
  <c r="E29" i="20"/>
  <c r="M28" i="20"/>
  <c r="K28" i="20"/>
  <c r="I28" i="20"/>
  <c r="G28" i="20"/>
  <c r="E28" i="20"/>
  <c r="K27" i="20"/>
  <c r="I27" i="20"/>
  <c r="G27" i="20"/>
  <c r="E27" i="20"/>
  <c r="M26" i="20"/>
  <c r="K26" i="20"/>
  <c r="I26" i="20"/>
  <c r="G26" i="20"/>
  <c r="E26" i="20"/>
  <c r="M25" i="20"/>
  <c r="K25" i="20"/>
  <c r="I25" i="20"/>
  <c r="G25" i="20"/>
  <c r="E25" i="20"/>
  <c r="M24" i="20"/>
  <c r="K24" i="20"/>
  <c r="I24" i="20"/>
  <c r="G24" i="20"/>
  <c r="E24" i="20"/>
  <c r="M23" i="20"/>
  <c r="K23" i="20"/>
  <c r="I23" i="20"/>
  <c r="G23" i="20"/>
  <c r="E23" i="20"/>
  <c r="M22" i="20"/>
  <c r="K22" i="20"/>
  <c r="I22" i="20"/>
  <c r="G22" i="20"/>
  <c r="E22" i="20"/>
  <c r="M21" i="20"/>
  <c r="K21" i="20"/>
  <c r="I21" i="20"/>
  <c r="G21" i="20"/>
  <c r="E21" i="20"/>
  <c r="M20" i="20"/>
  <c r="K20" i="20"/>
  <c r="I20" i="20"/>
  <c r="G20" i="20"/>
  <c r="E20" i="20"/>
  <c r="M19" i="20"/>
  <c r="K19" i="20"/>
  <c r="I19" i="20"/>
  <c r="G19" i="20"/>
  <c r="E19" i="20"/>
  <c r="M18" i="20"/>
  <c r="K18" i="20"/>
  <c r="I18" i="20"/>
  <c r="G18" i="20"/>
  <c r="E18" i="20"/>
  <c r="M17" i="20"/>
  <c r="K17" i="20"/>
  <c r="I17" i="20"/>
  <c r="G17" i="20"/>
  <c r="E17" i="20"/>
  <c r="M16" i="20"/>
  <c r="K16" i="20"/>
  <c r="I16" i="20"/>
  <c r="G16" i="20"/>
  <c r="E16" i="20"/>
  <c r="M15" i="20"/>
  <c r="K15" i="20"/>
  <c r="I15" i="20"/>
  <c r="G15" i="20"/>
  <c r="E15" i="20"/>
  <c r="M14" i="20"/>
  <c r="K14" i="20"/>
  <c r="I14" i="20"/>
  <c r="G14" i="20"/>
  <c r="E14" i="20"/>
  <c r="M13" i="20"/>
  <c r="K13" i="20"/>
  <c r="I13" i="20"/>
  <c r="G13" i="20"/>
  <c r="E13" i="20"/>
  <c r="M12" i="20"/>
  <c r="K12" i="20"/>
  <c r="I12" i="20"/>
  <c r="G12" i="20"/>
  <c r="E12" i="20"/>
  <c r="M11" i="20"/>
  <c r="K11" i="20"/>
  <c r="G11" i="20"/>
  <c r="E11" i="20"/>
  <c r="M10" i="20"/>
  <c r="K10" i="20"/>
  <c r="I10" i="20"/>
  <c r="G10" i="20"/>
  <c r="E10" i="20"/>
  <c r="M9" i="20"/>
  <c r="K9" i="20"/>
  <c r="I9" i="20"/>
  <c r="G9" i="20"/>
  <c r="E9" i="20"/>
  <c r="M8" i="20"/>
  <c r="K8" i="20"/>
  <c r="I8" i="20"/>
  <c r="G8" i="20"/>
  <c r="E8" i="20"/>
  <c r="M7" i="20"/>
  <c r="K7" i="20"/>
  <c r="I7" i="20"/>
  <c r="G7" i="20"/>
  <c r="E7" i="20"/>
  <c r="M6" i="20"/>
  <c r="K6" i="20"/>
  <c r="I6" i="20"/>
  <c r="G6" i="20"/>
  <c r="E6" i="20"/>
  <c r="E5" i="20"/>
  <c r="G5" i="20"/>
  <c r="I5" i="20"/>
  <c r="K5" i="20"/>
  <c r="M5" i="20"/>
  <c r="BN62" i="12"/>
  <c r="AU62" i="12"/>
  <c r="BN220" i="12"/>
  <c r="BN66" i="12"/>
  <c r="BN65" i="12"/>
  <c r="BN64" i="12"/>
  <c r="BN63" i="12"/>
  <c r="BN51" i="12"/>
  <c r="BN47" i="12"/>
  <c r="BN46" i="12"/>
  <c r="BN45" i="12"/>
  <c r="BN44" i="12"/>
  <c r="BN43" i="12"/>
  <c r="BO27" i="12"/>
  <c r="BO49" i="12"/>
  <c r="BO55" i="12"/>
  <c r="BO56" i="12"/>
  <c r="BO61" i="12"/>
  <c r="BO88" i="12"/>
  <c r="BO105" i="12"/>
  <c r="BO106" i="12"/>
  <c r="BO113" i="12"/>
  <c r="BO115" i="12"/>
  <c r="BO116" i="12"/>
  <c r="BO125" i="12"/>
  <c r="BO134" i="12"/>
  <c r="BO176" i="12"/>
  <c r="BO177" i="12"/>
  <c r="BO178" i="12"/>
  <c r="BO179" i="12"/>
  <c r="BO188" i="12"/>
  <c r="BO196" i="12"/>
  <c r="BO197" i="12"/>
  <c r="BO215" i="12"/>
  <c r="BO224" i="12"/>
  <c r="BO230" i="12"/>
  <c r="BO231" i="12"/>
  <c r="BO250" i="12"/>
  <c r="BO251" i="12"/>
  <c r="BO257" i="12"/>
  <c r="BO259" i="12"/>
  <c r="BO303" i="12"/>
  <c r="BO304" i="12"/>
  <c r="BO305" i="12"/>
  <c r="BO323" i="12"/>
  <c r="BO341" i="12"/>
  <c r="BO349" i="12"/>
  <c r="BO350" i="12"/>
  <c r="BO359" i="12"/>
  <c r="BO368" i="12"/>
  <c r="BO376" i="12"/>
  <c r="BO386" i="12"/>
  <c r="BO394" i="12"/>
  <c r="BO395" i="12"/>
  <c r="BO401" i="12"/>
  <c r="BO413" i="12"/>
  <c r="BO415" i="12"/>
  <c r="BO420" i="12"/>
  <c r="C223" i="16"/>
  <c r="BM440" i="12"/>
  <c r="BL440" i="12"/>
  <c r="BK440" i="12"/>
  <c r="BJ440" i="12"/>
  <c r="BI440" i="12"/>
  <c r="BH440" i="12"/>
  <c r="BG440" i="12"/>
  <c r="BF440" i="12"/>
  <c r="BE440" i="12"/>
  <c r="BD440" i="12"/>
  <c r="BC440" i="12"/>
  <c r="BB440" i="12"/>
  <c r="BA440" i="12"/>
  <c r="AZ440" i="12"/>
  <c r="AY440" i="12"/>
  <c r="AX440" i="12"/>
  <c r="AW440" i="12"/>
  <c r="AV440" i="12"/>
  <c r="AT440" i="12"/>
  <c r="AS440" i="12"/>
  <c r="AR440" i="12"/>
  <c r="AQ440" i="12"/>
  <c r="AP440" i="12"/>
  <c r="AO440" i="12"/>
  <c r="AN440" i="12"/>
  <c r="AM440" i="12"/>
  <c r="AL440" i="12"/>
  <c r="AK440" i="12"/>
  <c r="AJ440" i="12"/>
  <c r="AI440" i="12"/>
  <c r="AH440" i="12"/>
  <c r="AG440" i="12"/>
  <c r="AF440" i="12"/>
  <c r="AE440" i="12"/>
  <c r="AD440" i="12"/>
  <c r="AC440" i="12"/>
  <c r="AB440" i="12"/>
  <c r="AA440" i="12"/>
  <c r="Z440" i="12"/>
  <c r="Y440" i="12"/>
  <c r="X440" i="12"/>
  <c r="W440" i="12"/>
  <c r="V440" i="12"/>
  <c r="U440" i="12"/>
  <c r="T440" i="12"/>
  <c r="S440" i="12"/>
  <c r="R440" i="12"/>
  <c r="Q440" i="12"/>
  <c r="P440" i="12"/>
  <c r="O440" i="12"/>
  <c r="N440" i="12"/>
  <c r="M440" i="12"/>
  <c r="L440" i="12"/>
  <c r="K440" i="12"/>
  <c r="J440" i="12"/>
  <c r="I440" i="12"/>
  <c r="H440" i="12"/>
  <c r="G440" i="12"/>
  <c r="F440" i="12"/>
  <c r="E440" i="12"/>
  <c r="D440" i="12"/>
  <c r="C440" i="12"/>
  <c r="BN439" i="12"/>
  <c r="AU439" i="12"/>
  <c r="BO439" i="12" s="1"/>
  <c r="BN438" i="12"/>
  <c r="AU438" i="12"/>
  <c r="BN437" i="12"/>
  <c r="AU437" i="12"/>
  <c r="BO437" i="12" s="1"/>
  <c r="BN436" i="12"/>
  <c r="AU436" i="12"/>
  <c r="BO436" i="12" s="1"/>
  <c r="BN435" i="12"/>
  <c r="AU435" i="12"/>
  <c r="BN434" i="12"/>
  <c r="AU434" i="12"/>
  <c r="BO434" i="12" s="1"/>
  <c r="BN433" i="12"/>
  <c r="AU433" i="12"/>
  <c r="BO433" i="12" s="1"/>
  <c r="BN432" i="12"/>
  <c r="BO432" i="12" s="1"/>
  <c r="AU432" i="12"/>
  <c r="BN431" i="12"/>
  <c r="AU431" i="12"/>
  <c r="BO431" i="12" s="1"/>
  <c r="BN430" i="12"/>
  <c r="AU430" i="12"/>
  <c r="BN429" i="12"/>
  <c r="AU429" i="12"/>
  <c r="BO429" i="12" s="1"/>
  <c r="BN428" i="12"/>
  <c r="AU428" i="12"/>
  <c r="BO428" i="12" s="1"/>
  <c r="BN427" i="12"/>
  <c r="AU427" i="12"/>
  <c r="BO427" i="12" s="1"/>
  <c r="BN426" i="12"/>
  <c r="AU426" i="12"/>
  <c r="BO426" i="12" s="1"/>
  <c r="BN425" i="12"/>
  <c r="AU425" i="12"/>
  <c r="BO425" i="12" s="1"/>
  <c r="BN424" i="12"/>
  <c r="AU424" i="12"/>
  <c r="BO424" i="12" s="1"/>
  <c r="BN423" i="12"/>
  <c r="AU423" i="12"/>
  <c r="BO423" i="12" s="1"/>
  <c r="BN422" i="12"/>
  <c r="AU422" i="12"/>
  <c r="BO422" i="12" s="1"/>
  <c r="BN421" i="12"/>
  <c r="AU421" i="12"/>
  <c r="BO421" i="12" s="1"/>
  <c r="BN420" i="12"/>
  <c r="AU420" i="12"/>
  <c r="BN419" i="12"/>
  <c r="AU419" i="12"/>
  <c r="BO419" i="12" s="1"/>
  <c r="BN418" i="12"/>
  <c r="AU418" i="12"/>
  <c r="BO418" i="12" s="1"/>
  <c r="BN417" i="12"/>
  <c r="AU417" i="12"/>
  <c r="BN416" i="12"/>
  <c r="AU416" i="12"/>
  <c r="BO416" i="12" s="1"/>
  <c r="BN415" i="12"/>
  <c r="AU415" i="12"/>
  <c r="BN414" i="12"/>
  <c r="BO414" i="12" s="1"/>
  <c r="AU414" i="12"/>
  <c r="BN413" i="12"/>
  <c r="AU413" i="12"/>
  <c r="BN412" i="12"/>
  <c r="AU412" i="12"/>
  <c r="BN411" i="12"/>
  <c r="AU411" i="12"/>
  <c r="BO411" i="12" s="1"/>
  <c r="BN410" i="12"/>
  <c r="AU410" i="12"/>
  <c r="BO410" i="12" s="1"/>
  <c r="BN409" i="12"/>
  <c r="AU409" i="12"/>
  <c r="BO409" i="12" s="1"/>
  <c r="BN408" i="12"/>
  <c r="AU408" i="12"/>
  <c r="BO408" i="12" s="1"/>
  <c r="BN407" i="12"/>
  <c r="AU407" i="12"/>
  <c r="BO407" i="12" s="1"/>
  <c r="BN406" i="12"/>
  <c r="AU406" i="12"/>
  <c r="BO406" i="12" s="1"/>
  <c r="BN405" i="12"/>
  <c r="BO405" i="12" s="1"/>
  <c r="AU405" i="12"/>
  <c r="BN404" i="12"/>
  <c r="AU404" i="12"/>
  <c r="BO404" i="12" s="1"/>
  <c r="BN403" i="12"/>
  <c r="AU403" i="12"/>
  <c r="BO403" i="12" s="1"/>
  <c r="BN402" i="12"/>
  <c r="AU402" i="12"/>
  <c r="BO402" i="12" s="1"/>
  <c r="BN401" i="12"/>
  <c r="AU401" i="12"/>
  <c r="BN400" i="12"/>
  <c r="AU400" i="12"/>
  <c r="BO400" i="12" s="1"/>
  <c r="BN399" i="12"/>
  <c r="AU399" i="12"/>
  <c r="BN398" i="12"/>
  <c r="AU398" i="12"/>
  <c r="BO398" i="12" s="1"/>
  <c r="BN397" i="12"/>
  <c r="AU397" i="12"/>
  <c r="BO397" i="12" s="1"/>
  <c r="BN396" i="12"/>
  <c r="BO396" i="12" s="1"/>
  <c r="AU396" i="12"/>
  <c r="BN395" i="12"/>
  <c r="AU395" i="12"/>
  <c r="BN394" i="12"/>
  <c r="AU394" i="12"/>
  <c r="BN393" i="12"/>
  <c r="AU393" i="12"/>
  <c r="BO393" i="12" s="1"/>
  <c r="BN392" i="12"/>
  <c r="AU392" i="12"/>
  <c r="BO392" i="12" s="1"/>
  <c r="BN391" i="12"/>
  <c r="AU391" i="12"/>
  <c r="BO391" i="12" s="1"/>
  <c r="BN390" i="12"/>
  <c r="AU390" i="12"/>
  <c r="BN389" i="12"/>
  <c r="AU389" i="12"/>
  <c r="BO389" i="12" s="1"/>
  <c r="BN388" i="12"/>
  <c r="AU388" i="12"/>
  <c r="BO388" i="12" s="1"/>
  <c r="BN387" i="12"/>
  <c r="BO387" i="12" s="1"/>
  <c r="AU387" i="12"/>
  <c r="BN386" i="12"/>
  <c r="AU386" i="12"/>
  <c r="BN385" i="12"/>
  <c r="AU385" i="12"/>
  <c r="BO385" i="12" s="1"/>
  <c r="BN384" i="12"/>
  <c r="AU384" i="12"/>
  <c r="BO384" i="12" s="1"/>
  <c r="BN383" i="12"/>
  <c r="AU383" i="12"/>
  <c r="BO383" i="12" s="1"/>
  <c r="BN382" i="12"/>
  <c r="AU382" i="12"/>
  <c r="BO382" i="12" s="1"/>
  <c r="BN381" i="12"/>
  <c r="AU381" i="12"/>
  <c r="BN380" i="12"/>
  <c r="AU380" i="12"/>
  <c r="BO380" i="12" s="1"/>
  <c r="BN379" i="12"/>
  <c r="AU379" i="12"/>
  <c r="BO379" i="12" s="1"/>
  <c r="BN378" i="12"/>
  <c r="BO378" i="12" s="1"/>
  <c r="AU378" i="12"/>
  <c r="BN377" i="12"/>
  <c r="AU377" i="12"/>
  <c r="BO377" i="12" s="1"/>
  <c r="BN376" i="12"/>
  <c r="AU376" i="12"/>
  <c r="BN375" i="12"/>
  <c r="AU375" i="12"/>
  <c r="BO375" i="12" s="1"/>
  <c r="BN374" i="12"/>
  <c r="AU374" i="12"/>
  <c r="BO374" i="12" s="1"/>
  <c r="BN373" i="12"/>
  <c r="AU373" i="12"/>
  <c r="BO373" i="12" s="1"/>
  <c r="BN372" i="12"/>
  <c r="AU372" i="12"/>
  <c r="BN371" i="12"/>
  <c r="AU371" i="12"/>
  <c r="BN370" i="12"/>
  <c r="AU370" i="12"/>
  <c r="BO370" i="12" s="1"/>
  <c r="BN369" i="12"/>
  <c r="BO369" i="12" s="1"/>
  <c r="AU369" i="12"/>
  <c r="BN368" i="12"/>
  <c r="AU368" i="12"/>
  <c r="BN367" i="12"/>
  <c r="AU367" i="12"/>
  <c r="BN366" i="12"/>
  <c r="AU366" i="12"/>
  <c r="BN365" i="12"/>
  <c r="AU365" i="12"/>
  <c r="BO365" i="12" s="1"/>
  <c r="BN364" i="12"/>
  <c r="AU364" i="12"/>
  <c r="BO364" i="12" s="1"/>
  <c r="BN363" i="12"/>
  <c r="AU363" i="12"/>
  <c r="BN362" i="12"/>
  <c r="AU362" i="12"/>
  <c r="BO362" i="12" s="1"/>
  <c r="BN361" i="12"/>
  <c r="AU361" i="12"/>
  <c r="BO361" i="12" s="1"/>
  <c r="BN360" i="12"/>
  <c r="BO360" i="12" s="1"/>
  <c r="AU360" i="12"/>
  <c r="BN359" i="12"/>
  <c r="AU359" i="12"/>
  <c r="BN358" i="12"/>
  <c r="AU358" i="12"/>
  <c r="BN357" i="12"/>
  <c r="AU357" i="12"/>
  <c r="BO357" i="12" s="1"/>
  <c r="BN356" i="12"/>
  <c r="AU356" i="12"/>
  <c r="BO356" i="12" s="1"/>
  <c r="BN355" i="12"/>
  <c r="AU355" i="12"/>
  <c r="BO355" i="12" s="1"/>
  <c r="BN354" i="12"/>
  <c r="AU354" i="12"/>
  <c r="BO354" i="12" s="1"/>
  <c r="BN353" i="12"/>
  <c r="AU353" i="12"/>
  <c r="BO353" i="12" s="1"/>
  <c r="BN352" i="12"/>
  <c r="AU352" i="12"/>
  <c r="BO352" i="12" s="1"/>
  <c r="BN351" i="12"/>
  <c r="BO351" i="12" s="1"/>
  <c r="AU351" i="12"/>
  <c r="BN350" i="12"/>
  <c r="AU350" i="12"/>
  <c r="BN349" i="12"/>
  <c r="AU349" i="12"/>
  <c r="BN348" i="12"/>
  <c r="AU348" i="12"/>
  <c r="BN347" i="12"/>
  <c r="AU347" i="12"/>
  <c r="BO347" i="12" s="1"/>
  <c r="BN346" i="12"/>
  <c r="AU346" i="12"/>
  <c r="BO346" i="12" s="1"/>
  <c r="BN345" i="12"/>
  <c r="AU345" i="12"/>
  <c r="BN344" i="12"/>
  <c r="AU344" i="12"/>
  <c r="BO344" i="12" s="1"/>
  <c r="BN343" i="12"/>
  <c r="AU343" i="12"/>
  <c r="BO343" i="12" s="1"/>
  <c r="BN342" i="12"/>
  <c r="BO342" i="12" s="1"/>
  <c r="AU342" i="12"/>
  <c r="BN341" i="12"/>
  <c r="AU341" i="12"/>
  <c r="BN340" i="12"/>
  <c r="AU340" i="12"/>
  <c r="BN339" i="12"/>
  <c r="AU339" i="12"/>
  <c r="BO339" i="12" s="1"/>
  <c r="BN338" i="12"/>
  <c r="AU338" i="12"/>
  <c r="BO338" i="12" s="1"/>
  <c r="BN337" i="12"/>
  <c r="AU337" i="12"/>
  <c r="BO337" i="12" s="1"/>
  <c r="BN336" i="12"/>
  <c r="AU336" i="12"/>
  <c r="BO336" i="12" s="1"/>
  <c r="BN335" i="12"/>
  <c r="AU335" i="12"/>
  <c r="BO335" i="12" s="1"/>
  <c r="BN334" i="12"/>
  <c r="AU334" i="12"/>
  <c r="BO334" i="12" s="1"/>
  <c r="BN333" i="12"/>
  <c r="BO333" i="12" s="1"/>
  <c r="AU333" i="12"/>
  <c r="BN332" i="12"/>
  <c r="AU332" i="12"/>
  <c r="BO332" i="12" s="1"/>
  <c r="BN331" i="12"/>
  <c r="AU331" i="12"/>
  <c r="BO331" i="12" s="1"/>
  <c r="BN330" i="12"/>
  <c r="AU330" i="12"/>
  <c r="BN329" i="12"/>
  <c r="AU329" i="12"/>
  <c r="BO329" i="12" s="1"/>
  <c r="BN328" i="12"/>
  <c r="AU328" i="12"/>
  <c r="BO328" i="12" s="1"/>
  <c r="BN327" i="12"/>
  <c r="AU327" i="12"/>
  <c r="BN326" i="12"/>
  <c r="AU326" i="12"/>
  <c r="BO326" i="12" s="1"/>
  <c r="BN325" i="12"/>
  <c r="AU325" i="12"/>
  <c r="BO325" i="12" s="1"/>
  <c r="BN324" i="12"/>
  <c r="AU324" i="12"/>
  <c r="BO324" i="12" s="1"/>
  <c r="BN323" i="12"/>
  <c r="AU323" i="12"/>
  <c r="BN322" i="12"/>
  <c r="AU322" i="12"/>
  <c r="BN321" i="12"/>
  <c r="AU321" i="12"/>
  <c r="BN320" i="12"/>
  <c r="AU320" i="12"/>
  <c r="BO320" i="12" s="1"/>
  <c r="BN319" i="12"/>
  <c r="AU319" i="12"/>
  <c r="BO319" i="12" s="1"/>
  <c r="BN318" i="12"/>
  <c r="AU318" i="12"/>
  <c r="BO318" i="12" s="1"/>
  <c r="BN317" i="12"/>
  <c r="AU317" i="12"/>
  <c r="BO317" i="12" s="1"/>
  <c r="BN316" i="12"/>
  <c r="AU316" i="12"/>
  <c r="BO316" i="12" s="1"/>
  <c r="BN315" i="12"/>
  <c r="BO315" i="12" s="1"/>
  <c r="AU315" i="12"/>
  <c r="BN314" i="12"/>
  <c r="AU314" i="12"/>
  <c r="BO314" i="12" s="1"/>
  <c r="BN313" i="12"/>
  <c r="AU313" i="12"/>
  <c r="BN312" i="12"/>
  <c r="AU312" i="12"/>
  <c r="BN311" i="12"/>
  <c r="AU311" i="12"/>
  <c r="BO311" i="12" s="1"/>
  <c r="BN310" i="12"/>
  <c r="AU310" i="12"/>
  <c r="BO310" i="12" s="1"/>
  <c r="BN309" i="12"/>
  <c r="AU309" i="12"/>
  <c r="BN308" i="12"/>
  <c r="AU308" i="12"/>
  <c r="BO308" i="12" s="1"/>
  <c r="BN307" i="12"/>
  <c r="AU307" i="12"/>
  <c r="BO307" i="12" s="1"/>
  <c r="BN306" i="12"/>
  <c r="BO306" i="12" s="1"/>
  <c r="AU306" i="12"/>
  <c r="BN305" i="12"/>
  <c r="AU305" i="12"/>
  <c r="BN304" i="12"/>
  <c r="AU304" i="12"/>
  <c r="BN303" i="12"/>
  <c r="AU303" i="12"/>
  <c r="BN302" i="12"/>
  <c r="AU302" i="12"/>
  <c r="BO302" i="12" s="1"/>
  <c r="BN301" i="12"/>
  <c r="AU301" i="12"/>
  <c r="BO301" i="12" s="1"/>
  <c r="BN300" i="12"/>
  <c r="AU300" i="12"/>
  <c r="BN299" i="12"/>
  <c r="AU299" i="12"/>
  <c r="BO299" i="12" s="1"/>
  <c r="BN298" i="12"/>
  <c r="AU298" i="12"/>
  <c r="BO298" i="12" s="1"/>
  <c r="BN297" i="12"/>
  <c r="BO297" i="12" s="1"/>
  <c r="AU297" i="12"/>
  <c r="BN296" i="12"/>
  <c r="AU296" i="12"/>
  <c r="BO296" i="12" s="1"/>
  <c r="BN295" i="12"/>
  <c r="AU295" i="12"/>
  <c r="BN294" i="12"/>
  <c r="AU294" i="12"/>
  <c r="BN293" i="12"/>
  <c r="AU293" i="12"/>
  <c r="BO293" i="12" s="1"/>
  <c r="BN292" i="12"/>
  <c r="AU292" i="12"/>
  <c r="BO292" i="12" s="1"/>
  <c r="BN291" i="12"/>
  <c r="AU291" i="12"/>
  <c r="BN290" i="12"/>
  <c r="AU290" i="12"/>
  <c r="BO290" i="12" s="1"/>
  <c r="BN289" i="12"/>
  <c r="AU289" i="12"/>
  <c r="BO289" i="12" s="1"/>
  <c r="BN288" i="12"/>
  <c r="BO288" i="12" s="1"/>
  <c r="AU288" i="12"/>
  <c r="BN287" i="12"/>
  <c r="AU287" i="12"/>
  <c r="BO287" i="12" s="1"/>
  <c r="BN286" i="12"/>
  <c r="AU286" i="12"/>
  <c r="BN285" i="12"/>
  <c r="AU285" i="12"/>
  <c r="BO285" i="12" s="1"/>
  <c r="BN284" i="12"/>
  <c r="AU284" i="12"/>
  <c r="BO284" i="12" s="1"/>
  <c r="BN283" i="12"/>
  <c r="AU283" i="12"/>
  <c r="BO283" i="12" s="1"/>
  <c r="BN282" i="12"/>
  <c r="AU282" i="12"/>
  <c r="BN281" i="12"/>
  <c r="AU281" i="12"/>
  <c r="BO281" i="12" s="1"/>
  <c r="BN280" i="12"/>
  <c r="AU280" i="12"/>
  <c r="BO280" i="12" s="1"/>
  <c r="BN279" i="12"/>
  <c r="BO279" i="12" s="1"/>
  <c r="AU279" i="12"/>
  <c r="BN278" i="12"/>
  <c r="AU278" i="12"/>
  <c r="BO278" i="12" s="1"/>
  <c r="BN277" i="12"/>
  <c r="AU277" i="12"/>
  <c r="BN276" i="12"/>
  <c r="AU276" i="12"/>
  <c r="BN275" i="12"/>
  <c r="AU275" i="12"/>
  <c r="BO275" i="12" s="1"/>
  <c r="BN274" i="12"/>
  <c r="AU274" i="12"/>
  <c r="BO274" i="12" s="1"/>
  <c r="BN273" i="12"/>
  <c r="AU273" i="12"/>
  <c r="BN272" i="12"/>
  <c r="AU272" i="12"/>
  <c r="BO272" i="12" s="1"/>
  <c r="BN271" i="12"/>
  <c r="AU271" i="12"/>
  <c r="BO271" i="12" s="1"/>
  <c r="BN270" i="12"/>
  <c r="AU270" i="12"/>
  <c r="BO270" i="12" s="1"/>
  <c r="BN269" i="12"/>
  <c r="AU269" i="12"/>
  <c r="BO269" i="12" s="1"/>
  <c r="BN268" i="12"/>
  <c r="AU268" i="12"/>
  <c r="BN267" i="12"/>
  <c r="AU267" i="12"/>
  <c r="BO267" i="12" s="1"/>
  <c r="BN266" i="12"/>
  <c r="AU266" i="12"/>
  <c r="BO266" i="12" s="1"/>
  <c r="BN265" i="12"/>
  <c r="AU265" i="12"/>
  <c r="BO265" i="12" s="1"/>
  <c r="BN264" i="12"/>
  <c r="AU264" i="12"/>
  <c r="BO264" i="12" s="1"/>
  <c r="BN263" i="12"/>
  <c r="AU263" i="12"/>
  <c r="BO263" i="12" s="1"/>
  <c r="BN262" i="12"/>
  <c r="AU262" i="12"/>
  <c r="BO262" i="12" s="1"/>
  <c r="BN261" i="12"/>
  <c r="AU261" i="12"/>
  <c r="BO261" i="12" s="1"/>
  <c r="BN260" i="12"/>
  <c r="AU260" i="12"/>
  <c r="BO260" i="12" s="1"/>
  <c r="BN259" i="12"/>
  <c r="AU259" i="12"/>
  <c r="BN258" i="12"/>
  <c r="AU258" i="12"/>
  <c r="BN257" i="12"/>
  <c r="AU257" i="12"/>
  <c r="BN256" i="12"/>
  <c r="AU256" i="12"/>
  <c r="BO256" i="12" s="1"/>
  <c r="BN255" i="12"/>
  <c r="AU255" i="12"/>
  <c r="BN254" i="12"/>
  <c r="AU254" i="12"/>
  <c r="BO254" i="12" s="1"/>
  <c r="BN253" i="12"/>
  <c r="AU253" i="12"/>
  <c r="BO253" i="12" s="1"/>
  <c r="BN252" i="12"/>
  <c r="BO252" i="12" s="1"/>
  <c r="AU252" i="12"/>
  <c r="BN251" i="12"/>
  <c r="AU251" i="12"/>
  <c r="BN250" i="12"/>
  <c r="AU250" i="12"/>
  <c r="BN249" i="12"/>
  <c r="AU249" i="12"/>
  <c r="BO249" i="12" s="1"/>
  <c r="BN248" i="12"/>
  <c r="AU248" i="12"/>
  <c r="BO248" i="12" s="1"/>
  <c r="BN247" i="12"/>
  <c r="AU247" i="12"/>
  <c r="BO247" i="12" s="1"/>
  <c r="BN246" i="12"/>
  <c r="AU246" i="12"/>
  <c r="BN245" i="12"/>
  <c r="AU245" i="12"/>
  <c r="BO245" i="12" s="1"/>
  <c r="BN244" i="12"/>
  <c r="AU244" i="12"/>
  <c r="BO244" i="12" s="1"/>
  <c r="BN243" i="12"/>
  <c r="BO243" i="12" s="1"/>
  <c r="AU243" i="12"/>
  <c r="BN242" i="12"/>
  <c r="AU242" i="12"/>
  <c r="BO242" i="12" s="1"/>
  <c r="BN241" i="12"/>
  <c r="AU241" i="12"/>
  <c r="BN240" i="12"/>
  <c r="AU240" i="12"/>
  <c r="BN239" i="12"/>
  <c r="AU239" i="12"/>
  <c r="BO239" i="12" s="1"/>
  <c r="BN238" i="12"/>
  <c r="AU238" i="12"/>
  <c r="BO238" i="12" s="1"/>
  <c r="BN237" i="12"/>
  <c r="AU237" i="12"/>
  <c r="BN236" i="12"/>
  <c r="AU236" i="12"/>
  <c r="BO236" i="12" s="1"/>
  <c r="BN235" i="12"/>
  <c r="AU235" i="12"/>
  <c r="BO235" i="12" s="1"/>
  <c r="BN234" i="12"/>
  <c r="BO234" i="12" s="1"/>
  <c r="AU234" i="12"/>
  <c r="BN233" i="12"/>
  <c r="AU233" i="12"/>
  <c r="BO233" i="12" s="1"/>
  <c r="BN232" i="12"/>
  <c r="AU232" i="12"/>
  <c r="BN231" i="12"/>
  <c r="AU231" i="12"/>
  <c r="BN230" i="12"/>
  <c r="AU230" i="12"/>
  <c r="BN229" i="12"/>
  <c r="AU229" i="12"/>
  <c r="BO229" i="12" s="1"/>
  <c r="BN228" i="12"/>
  <c r="AU228" i="12"/>
  <c r="BN227" i="12"/>
  <c r="AU227" i="12"/>
  <c r="BO227" i="12" s="1"/>
  <c r="BN226" i="12"/>
  <c r="AU226" i="12"/>
  <c r="BO226" i="12" s="1"/>
  <c r="BN225" i="12"/>
  <c r="BO225" i="12" s="1"/>
  <c r="AU225" i="12"/>
  <c r="BN224" i="12"/>
  <c r="AU224" i="12"/>
  <c r="BN223" i="12"/>
  <c r="AU223" i="12"/>
  <c r="BN222" i="12"/>
  <c r="AU222" i="12"/>
  <c r="BN221" i="12"/>
  <c r="AU221" i="12"/>
  <c r="BO221" i="12" s="1"/>
  <c r="AU220" i="12"/>
  <c r="BO220" i="12" s="1"/>
  <c r="BN219" i="12"/>
  <c r="AU219" i="12"/>
  <c r="BO219" i="12" s="1"/>
  <c r="BN218" i="12"/>
  <c r="AU218" i="12"/>
  <c r="BN217" i="12"/>
  <c r="AU217" i="12"/>
  <c r="BO217" i="12" s="1"/>
  <c r="BN216" i="12"/>
  <c r="AU216" i="12"/>
  <c r="BN215" i="12"/>
  <c r="AU215" i="12"/>
  <c r="BN214" i="12"/>
  <c r="AU214" i="12"/>
  <c r="BN213" i="12"/>
  <c r="AU213" i="12"/>
  <c r="BO213" i="12" s="1"/>
  <c r="BN212" i="12"/>
  <c r="AU212" i="12"/>
  <c r="BO212" i="12" s="1"/>
  <c r="BN211" i="12"/>
  <c r="AU211" i="12"/>
  <c r="BO211" i="12" s="1"/>
  <c r="BN210" i="12"/>
  <c r="AU210" i="12"/>
  <c r="BO210" i="12" s="1"/>
  <c r="BN209" i="12"/>
  <c r="AU209" i="12"/>
  <c r="BN208" i="12"/>
  <c r="AU208" i="12"/>
  <c r="BO208" i="12" s="1"/>
  <c r="BN207" i="12"/>
  <c r="AU207" i="12"/>
  <c r="BO207" i="12" s="1"/>
  <c r="BN206" i="12"/>
  <c r="AU206" i="12"/>
  <c r="BO206" i="12" s="1"/>
  <c r="BN205" i="12"/>
  <c r="AU205" i="12"/>
  <c r="BO205" i="12" s="1"/>
  <c r="BN204" i="12"/>
  <c r="AU204" i="12"/>
  <c r="BO204" i="12" s="1"/>
  <c r="BN203" i="12"/>
  <c r="AU203" i="12"/>
  <c r="BO203" i="12" s="1"/>
  <c r="BN202" i="12"/>
  <c r="AU202" i="12"/>
  <c r="BO202" i="12" s="1"/>
  <c r="BN201" i="12"/>
  <c r="AU201" i="12"/>
  <c r="BO201" i="12" s="1"/>
  <c r="BN200" i="12"/>
  <c r="AU200" i="12"/>
  <c r="BN199" i="12"/>
  <c r="AU199" i="12"/>
  <c r="BO199" i="12" s="1"/>
  <c r="BN198" i="12"/>
  <c r="AU198" i="12"/>
  <c r="BO198" i="12" s="1"/>
  <c r="BN197" i="12"/>
  <c r="AU197" i="12"/>
  <c r="BN196" i="12"/>
  <c r="AU196" i="12"/>
  <c r="BN195" i="12"/>
  <c r="AU195" i="12"/>
  <c r="BO195" i="12" s="1"/>
  <c r="BN194" i="12"/>
  <c r="AU194" i="12"/>
  <c r="BO194" i="12" s="1"/>
  <c r="BN193" i="12"/>
  <c r="AU193" i="12"/>
  <c r="BO193" i="12" s="1"/>
  <c r="BN192" i="12"/>
  <c r="AU192" i="12"/>
  <c r="BO192" i="12" s="1"/>
  <c r="BN191" i="12"/>
  <c r="AU191" i="12"/>
  <c r="BN190" i="12"/>
  <c r="AU190" i="12"/>
  <c r="BO190" i="12" s="1"/>
  <c r="BN189" i="12"/>
  <c r="AU189" i="12"/>
  <c r="BN188" i="12"/>
  <c r="AU188" i="12"/>
  <c r="BN187" i="12"/>
  <c r="AU187" i="12"/>
  <c r="BN186" i="12"/>
  <c r="AU186" i="12"/>
  <c r="BO186" i="12" s="1"/>
  <c r="BN185" i="12"/>
  <c r="AU185" i="12"/>
  <c r="BO185" i="12" s="1"/>
  <c r="BN184" i="12"/>
  <c r="AU184" i="12"/>
  <c r="BO184" i="12" s="1"/>
  <c r="BN183" i="12"/>
  <c r="AU183" i="12"/>
  <c r="BO183" i="12" s="1"/>
  <c r="BN182" i="12"/>
  <c r="AU182" i="12"/>
  <c r="BN181" i="12"/>
  <c r="AU181" i="12"/>
  <c r="BO181" i="12" s="1"/>
  <c r="BN180" i="12"/>
  <c r="AU180" i="12"/>
  <c r="BO180" i="12" s="1"/>
  <c r="BN179" i="12"/>
  <c r="AU179" i="12"/>
  <c r="BN178" i="12"/>
  <c r="AU178" i="12"/>
  <c r="BN177" i="12"/>
  <c r="AU177" i="12"/>
  <c r="BN176" i="12"/>
  <c r="AU176" i="12"/>
  <c r="BN175" i="12"/>
  <c r="AU175" i="12"/>
  <c r="BO175" i="12" s="1"/>
  <c r="BN174" i="12"/>
  <c r="AU174" i="12"/>
  <c r="BO174" i="12" s="1"/>
  <c r="BN173" i="12"/>
  <c r="AU173" i="12"/>
  <c r="BO173" i="12" s="1"/>
  <c r="BN172" i="12"/>
  <c r="AU172" i="12"/>
  <c r="BO172" i="12" s="1"/>
  <c r="BN171" i="12"/>
  <c r="AU171" i="12"/>
  <c r="BN170" i="12"/>
  <c r="AU170" i="12"/>
  <c r="BO170" i="12" s="1"/>
  <c r="BN169" i="12"/>
  <c r="AU169" i="12"/>
  <c r="BN168" i="12"/>
  <c r="AU168" i="12"/>
  <c r="BO168" i="12" s="1"/>
  <c r="BN167" i="12"/>
  <c r="AU167" i="12"/>
  <c r="BO167" i="12" s="1"/>
  <c r="BN166" i="12"/>
  <c r="AU166" i="12"/>
  <c r="BO166" i="12" s="1"/>
  <c r="BN165" i="12"/>
  <c r="AU165" i="12"/>
  <c r="BO165" i="12" s="1"/>
  <c r="BN164" i="12"/>
  <c r="AU164" i="12"/>
  <c r="BN163" i="12"/>
  <c r="AU163" i="12"/>
  <c r="BO163" i="12" s="1"/>
  <c r="BN162" i="12"/>
  <c r="AU162" i="12"/>
  <c r="BN161" i="12"/>
  <c r="AU161" i="12"/>
  <c r="BO161" i="12" s="1"/>
  <c r="BN160" i="12"/>
  <c r="AU160" i="12"/>
  <c r="BN159" i="12"/>
  <c r="AU159" i="12"/>
  <c r="BO159" i="12" s="1"/>
  <c r="BN158" i="12"/>
  <c r="AU158" i="12"/>
  <c r="BO158" i="12" s="1"/>
  <c r="BN157" i="12"/>
  <c r="AU157" i="12"/>
  <c r="BO157" i="12" s="1"/>
  <c r="BN156" i="12"/>
  <c r="AU156" i="12"/>
  <c r="BO156" i="12" s="1"/>
  <c r="BN155" i="12"/>
  <c r="AU155" i="12"/>
  <c r="BN154" i="12"/>
  <c r="AU154" i="12"/>
  <c r="BO154" i="12" s="1"/>
  <c r="BN153" i="12"/>
  <c r="AU153" i="12"/>
  <c r="BN152" i="12"/>
  <c r="AU152" i="12"/>
  <c r="BO152" i="12" s="1"/>
  <c r="BN151" i="12"/>
  <c r="AU151" i="12"/>
  <c r="BN150" i="12"/>
  <c r="AU150" i="12"/>
  <c r="BO150" i="12" s="1"/>
  <c r="BN149" i="12"/>
  <c r="AU149" i="12"/>
  <c r="BO149" i="12" s="1"/>
  <c r="BN148" i="12"/>
  <c r="AU148" i="12"/>
  <c r="BO148" i="12" s="1"/>
  <c r="BN147" i="12"/>
  <c r="AU147" i="12"/>
  <c r="BO147" i="12" s="1"/>
  <c r="BN146" i="12"/>
  <c r="AU146" i="12"/>
  <c r="BN145" i="12"/>
  <c r="AU145" i="12"/>
  <c r="BO145" i="12" s="1"/>
  <c r="BN144" i="12"/>
  <c r="AU144" i="12"/>
  <c r="BN143" i="12"/>
  <c r="AU143" i="12"/>
  <c r="BO143" i="12" s="1"/>
  <c r="BN142" i="12"/>
  <c r="AU142" i="12"/>
  <c r="BN141" i="12"/>
  <c r="AU141" i="12"/>
  <c r="BO141" i="12" s="1"/>
  <c r="BN140" i="12"/>
  <c r="AU140" i="12"/>
  <c r="BO140" i="12" s="1"/>
  <c r="BN139" i="12"/>
  <c r="AU139" i="12"/>
  <c r="BO139" i="12" s="1"/>
  <c r="BN138" i="12"/>
  <c r="AU138" i="12"/>
  <c r="BO138" i="12" s="1"/>
  <c r="BN137" i="12"/>
  <c r="AU137" i="12"/>
  <c r="BO137" i="12" s="1"/>
  <c r="BN136" i="12"/>
  <c r="AU136" i="12"/>
  <c r="BO136" i="12" s="1"/>
  <c r="BN135" i="12"/>
  <c r="AU135" i="12"/>
  <c r="BO135" i="12" s="1"/>
  <c r="BN134" i="12"/>
  <c r="AU134" i="12"/>
  <c r="BN133" i="12"/>
  <c r="AU133" i="12"/>
  <c r="BO133" i="12" s="1"/>
  <c r="BN132" i="12"/>
  <c r="AU132" i="12"/>
  <c r="BO132" i="12" s="1"/>
  <c r="BN131" i="12"/>
  <c r="AU131" i="12"/>
  <c r="BO131" i="12" s="1"/>
  <c r="BN130" i="12"/>
  <c r="AU130" i="12"/>
  <c r="BO130" i="12" s="1"/>
  <c r="BN129" i="12"/>
  <c r="AU129" i="12"/>
  <c r="BO129" i="12" s="1"/>
  <c r="BN128" i="12"/>
  <c r="AU128" i="12"/>
  <c r="BN127" i="12"/>
  <c r="AU127" i="12"/>
  <c r="BO127" i="12" s="1"/>
  <c r="BN126" i="12"/>
  <c r="AU126" i="12"/>
  <c r="BO126" i="12" s="1"/>
  <c r="BN125" i="12"/>
  <c r="AU125" i="12"/>
  <c r="BN124" i="12"/>
  <c r="AU124" i="12"/>
  <c r="BN123" i="12"/>
  <c r="AU123" i="12"/>
  <c r="BO123" i="12" s="1"/>
  <c r="BN122" i="12"/>
  <c r="AU122" i="12"/>
  <c r="BO122" i="12" s="1"/>
  <c r="BN121" i="12"/>
  <c r="AU121" i="12"/>
  <c r="BO121" i="12" s="1"/>
  <c r="BN120" i="12"/>
  <c r="AU120" i="12"/>
  <c r="BO120" i="12" s="1"/>
  <c r="BN119" i="12"/>
  <c r="AU119" i="12"/>
  <c r="BN118" i="12"/>
  <c r="AU118" i="12"/>
  <c r="BO118" i="12" s="1"/>
  <c r="BN117" i="12"/>
  <c r="AU117" i="12"/>
  <c r="BO117" i="12" s="1"/>
  <c r="BN116" i="12"/>
  <c r="AU116" i="12"/>
  <c r="BN115" i="12"/>
  <c r="AU115" i="12"/>
  <c r="BN114" i="12"/>
  <c r="AU114" i="12"/>
  <c r="BO114" i="12" s="1"/>
  <c r="BN113" i="12"/>
  <c r="AU113" i="12"/>
  <c r="AU112" i="12"/>
  <c r="BO112" i="12" s="1"/>
  <c r="BN111" i="12"/>
  <c r="AU111" i="12"/>
  <c r="BO111" i="12" s="1"/>
  <c r="BN110" i="12"/>
  <c r="AU110" i="12"/>
  <c r="BN109" i="12"/>
  <c r="AU109" i="12"/>
  <c r="BO109" i="12" s="1"/>
  <c r="BN108" i="12"/>
  <c r="AU108" i="12"/>
  <c r="BO108" i="12" s="1"/>
  <c r="BN107" i="12"/>
  <c r="BO107" i="12" s="1"/>
  <c r="AU107" i="12"/>
  <c r="BN106" i="12"/>
  <c r="AU106" i="12"/>
  <c r="BN105" i="12"/>
  <c r="AU105" i="12"/>
  <c r="BN104" i="12"/>
  <c r="AU104" i="12"/>
  <c r="BO104" i="12" s="1"/>
  <c r="BN103" i="12"/>
  <c r="AU103" i="12"/>
  <c r="BO103" i="12" s="1"/>
  <c r="BN102" i="12"/>
  <c r="AU102" i="12"/>
  <c r="BO102" i="12" s="1"/>
  <c r="BN101" i="12"/>
  <c r="AU101" i="12"/>
  <c r="BO101" i="12" s="1"/>
  <c r="BN100" i="12"/>
  <c r="AU100" i="12"/>
  <c r="BO100" i="12" s="1"/>
  <c r="BN99" i="12"/>
  <c r="AU99" i="12"/>
  <c r="BO99" i="12" s="1"/>
  <c r="BN98" i="12"/>
  <c r="BO98" i="12" s="1"/>
  <c r="AU98" i="12"/>
  <c r="BN97" i="12"/>
  <c r="AU97" i="12"/>
  <c r="BO97" i="12" s="1"/>
  <c r="BN96" i="12"/>
  <c r="AU96" i="12"/>
  <c r="BO96" i="12" s="1"/>
  <c r="BN95" i="12"/>
  <c r="AU95" i="12"/>
  <c r="BO95" i="12" s="1"/>
  <c r="BN94" i="12"/>
  <c r="AU94" i="12"/>
  <c r="BO94" i="12" s="1"/>
  <c r="BN93" i="12"/>
  <c r="AU93" i="12"/>
  <c r="BO93" i="12" s="1"/>
  <c r="BN92" i="12"/>
  <c r="AU92" i="12"/>
  <c r="BN91" i="12"/>
  <c r="AU91" i="12"/>
  <c r="BO91" i="12" s="1"/>
  <c r="BN90" i="12"/>
  <c r="AU90" i="12"/>
  <c r="BO90" i="12" s="1"/>
  <c r="BN89" i="12"/>
  <c r="AU89" i="12"/>
  <c r="BN88" i="12"/>
  <c r="AU88" i="12"/>
  <c r="BN87" i="12"/>
  <c r="AU87" i="12"/>
  <c r="BO87" i="12" s="1"/>
  <c r="BN86" i="12"/>
  <c r="AU86" i="12"/>
  <c r="BO86" i="12" s="1"/>
  <c r="BN85" i="12"/>
  <c r="AU85" i="12"/>
  <c r="BO85" i="12" s="1"/>
  <c r="BN84" i="12"/>
  <c r="AU84" i="12"/>
  <c r="BO84" i="12" s="1"/>
  <c r="BN83" i="12"/>
  <c r="AU83" i="12"/>
  <c r="BO83" i="12" s="1"/>
  <c r="BN82" i="12"/>
  <c r="AU82" i="12"/>
  <c r="BO82" i="12" s="1"/>
  <c r="BN81" i="12"/>
  <c r="AU81" i="12"/>
  <c r="BO81" i="12" s="1"/>
  <c r="BN80" i="12"/>
  <c r="AU80" i="12"/>
  <c r="BO80" i="12" s="1"/>
  <c r="BN79" i="12"/>
  <c r="AU79" i="12"/>
  <c r="BO79" i="12" s="1"/>
  <c r="BN78" i="12"/>
  <c r="AU78" i="12"/>
  <c r="BO78" i="12" s="1"/>
  <c r="BN77" i="12"/>
  <c r="AU77" i="12"/>
  <c r="BN76" i="12"/>
  <c r="AU76" i="12"/>
  <c r="BO76" i="12" s="1"/>
  <c r="BN75" i="12"/>
  <c r="AU75" i="12"/>
  <c r="BO75" i="12" s="1"/>
  <c r="BN74" i="12"/>
  <c r="AU74" i="12"/>
  <c r="BN73" i="12"/>
  <c r="AU73" i="12"/>
  <c r="BN72" i="12"/>
  <c r="AU72" i="12"/>
  <c r="BO72" i="12" s="1"/>
  <c r="BN71" i="12"/>
  <c r="AU71" i="12"/>
  <c r="BN70" i="12"/>
  <c r="AU70" i="12"/>
  <c r="BO70" i="12" s="1"/>
  <c r="BN69" i="12"/>
  <c r="AU69" i="12"/>
  <c r="BN68" i="12"/>
  <c r="AU68" i="12"/>
  <c r="BN67" i="12"/>
  <c r="AU67" i="12"/>
  <c r="BO67" i="12" s="1"/>
  <c r="AU66" i="12"/>
  <c r="BO66" i="12" s="1"/>
  <c r="AU65" i="12"/>
  <c r="BO65" i="12" s="1"/>
  <c r="AU64" i="12"/>
  <c r="BO64" i="12" s="1"/>
  <c r="AU63" i="12"/>
  <c r="BO63" i="12" s="1"/>
  <c r="BN61" i="12"/>
  <c r="AU61" i="12"/>
  <c r="BN60" i="12"/>
  <c r="AU60" i="12"/>
  <c r="BO60" i="12" s="1"/>
  <c r="BN59" i="12"/>
  <c r="BO59" i="12" s="1"/>
  <c r="AU59" i="12"/>
  <c r="BN58" i="12"/>
  <c r="AU58" i="12"/>
  <c r="BO58" i="12" s="1"/>
  <c r="BN57" i="12"/>
  <c r="AU57" i="12"/>
  <c r="BO57" i="12" s="1"/>
  <c r="BN56" i="12"/>
  <c r="AU56" i="12"/>
  <c r="BN55" i="12"/>
  <c r="AU55" i="12"/>
  <c r="BN54" i="12"/>
  <c r="AU54" i="12"/>
  <c r="BO54" i="12" s="1"/>
  <c r="BN53" i="12"/>
  <c r="AU53" i="12"/>
  <c r="BN52" i="12"/>
  <c r="AU52" i="12"/>
  <c r="BO52" i="12" s="1"/>
  <c r="AU51" i="12"/>
  <c r="BN50" i="12"/>
  <c r="AU50" i="12"/>
  <c r="BO50" i="12" s="1"/>
  <c r="BN49" i="12"/>
  <c r="AU49" i="12"/>
  <c r="BN48" i="12"/>
  <c r="AU48" i="12"/>
  <c r="AU47" i="12"/>
  <c r="AU46" i="12"/>
  <c r="AU45" i="12"/>
  <c r="AU44" i="12"/>
  <c r="AU43" i="12"/>
  <c r="BN42" i="12"/>
  <c r="AU42" i="12"/>
  <c r="BO42" i="12" s="1"/>
  <c r="BN41" i="12"/>
  <c r="AU41" i="12"/>
  <c r="BN40" i="12"/>
  <c r="AU40" i="12"/>
  <c r="BO40" i="12" s="1"/>
  <c r="BN39" i="12"/>
  <c r="AU39" i="12"/>
  <c r="BO39" i="12" s="1"/>
  <c r="BN38" i="12"/>
  <c r="AU38" i="12"/>
  <c r="BN37" i="12"/>
  <c r="AU37" i="12"/>
  <c r="BO37" i="12" s="1"/>
  <c r="BN36" i="12"/>
  <c r="AU36" i="12"/>
  <c r="BO36" i="12" s="1"/>
  <c r="BN35" i="12"/>
  <c r="AU35" i="12"/>
  <c r="BO35" i="12" s="1"/>
  <c r="BN34" i="12"/>
  <c r="AU34" i="12"/>
  <c r="BO34" i="12" s="1"/>
  <c r="BN33" i="12"/>
  <c r="AU33" i="12"/>
  <c r="BO33" i="12" s="1"/>
  <c r="BN32" i="12"/>
  <c r="AU32" i="12"/>
  <c r="BO32" i="12" s="1"/>
  <c r="BN31" i="12"/>
  <c r="AU31" i="12"/>
  <c r="BO31" i="12" s="1"/>
  <c r="BN30" i="12"/>
  <c r="AU30" i="12"/>
  <c r="BN29" i="12"/>
  <c r="BO29" i="12" s="1"/>
  <c r="AU29" i="12"/>
  <c r="BN28" i="12"/>
  <c r="AU28" i="12"/>
  <c r="BO28" i="12" s="1"/>
  <c r="BN27" i="12"/>
  <c r="AU27" i="12"/>
  <c r="BN26" i="12"/>
  <c r="AU26" i="12"/>
  <c r="BN25" i="12"/>
  <c r="AU25" i="12"/>
  <c r="BO25" i="12" s="1"/>
  <c r="BN24" i="12"/>
  <c r="AU24" i="12"/>
  <c r="BO24" i="12" s="1"/>
  <c r="BN23" i="12"/>
  <c r="AU23" i="12"/>
  <c r="BN22" i="12"/>
  <c r="AU22" i="12"/>
  <c r="BO22" i="12" s="1"/>
  <c r="BN21" i="12"/>
  <c r="AU21" i="12"/>
  <c r="BO21" i="12" s="1"/>
  <c r="BN20" i="12"/>
  <c r="BO20" i="12" s="1"/>
  <c r="AU20" i="12"/>
  <c r="BN19" i="12"/>
  <c r="AU19" i="12"/>
  <c r="BO19" i="12" s="1"/>
  <c r="BN18" i="12"/>
  <c r="AU18" i="12"/>
  <c r="BO18" i="12" s="1"/>
  <c r="BN17" i="12"/>
  <c r="AU17" i="12"/>
  <c r="BO17" i="12" s="1"/>
  <c r="BN16" i="12"/>
  <c r="AU16" i="12"/>
  <c r="BO16" i="12" s="1"/>
  <c r="BN15" i="12"/>
  <c r="AU15" i="12"/>
  <c r="BO15" i="12" s="1"/>
  <c r="BN14" i="12"/>
  <c r="AU14" i="12"/>
  <c r="BO14" i="12" s="1"/>
  <c r="BN13" i="12"/>
  <c r="AU13" i="12"/>
  <c r="BO13" i="12" s="1"/>
  <c r="BN12" i="12"/>
  <c r="AU12" i="12"/>
  <c r="BO12" i="12" s="1"/>
  <c r="BN11" i="12"/>
  <c r="AU11" i="12"/>
  <c r="BO11" i="12" s="1"/>
  <c r="BN10" i="12"/>
  <c r="AU10" i="12"/>
  <c r="BO10" i="12" s="1"/>
  <c r="BN9" i="12"/>
  <c r="AU9" i="12"/>
  <c r="BO9" i="12" s="1"/>
  <c r="BN8" i="12"/>
  <c r="AU8" i="12"/>
  <c r="BO8" i="12" s="1"/>
  <c r="BN7" i="12"/>
  <c r="AU7" i="12"/>
  <c r="BO7" i="12" s="1"/>
  <c r="BN6" i="12"/>
  <c r="AU6" i="12"/>
  <c r="BO6" i="12" s="1"/>
  <c r="BN5" i="12"/>
  <c r="AU5" i="12"/>
  <c r="BN4" i="12"/>
  <c r="AU4" i="12"/>
  <c r="BO4" i="12" s="1"/>
  <c r="O26" i="20" l="1"/>
  <c r="O73" i="20"/>
  <c r="O109" i="20"/>
  <c r="O145" i="20"/>
  <c r="O181" i="20"/>
  <c r="O217" i="20"/>
  <c r="O253" i="20"/>
  <c r="O289" i="20"/>
  <c r="O325" i="20"/>
  <c r="O361" i="20"/>
  <c r="O8" i="20"/>
  <c r="O55" i="20"/>
  <c r="O91" i="20"/>
  <c r="O127" i="20"/>
  <c r="O163" i="20"/>
  <c r="O199" i="20"/>
  <c r="O235" i="20"/>
  <c r="O271" i="20"/>
  <c r="O307" i="20"/>
  <c r="O343" i="20"/>
  <c r="O379" i="20"/>
  <c r="O397" i="20"/>
  <c r="O413" i="20"/>
  <c r="O305" i="20"/>
  <c r="O323" i="20"/>
  <c r="O341" i="20"/>
  <c r="O359" i="20"/>
  <c r="O377" i="20"/>
  <c r="O395" i="20"/>
  <c r="O424" i="20"/>
  <c r="O442" i="20"/>
  <c r="O460" i="20"/>
  <c r="O431" i="20"/>
  <c r="O161" i="20"/>
  <c r="O79" i="20"/>
  <c r="O97" i="20"/>
  <c r="O14" i="20"/>
  <c r="O133" i="20"/>
  <c r="O169" i="20"/>
  <c r="O32" i="20"/>
  <c r="O61" i="20"/>
  <c r="O151" i="20"/>
  <c r="O48" i="20"/>
  <c r="O30" i="20"/>
  <c r="O12" i="20"/>
  <c r="O449" i="20"/>
  <c r="O40" i="20"/>
  <c r="O51" i="20"/>
  <c r="O69" i="20"/>
  <c r="O87" i="20"/>
  <c r="O105" i="20"/>
  <c r="O141" i="20"/>
  <c r="O159" i="20"/>
  <c r="O177" i="20"/>
  <c r="O195" i="20"/>
  <c r="O213" i="20"/>
  <c r="O231" i="20"/>
  <c r="O249" i="20"/>
  <c r="O267" i="20"/>
  <c r="O285" i="20"/>
  <c r="O303" i="20"/>
  <c r="O321" i="20"/>
  <c r="O339" i="20"/>
  <c r="O357" i="20"/>
  <c r="O451" i="20"/>
  <c r="O423" i="20"/>
  <c r="O441" i="20"/>
  <c r="O459" i="20"/>
  <c r="O6" i="20"/>
  <c r="O24" i="20"/>
  <c r="O42" i="20"/>
  <c r="O53" i="20"/>
  <c r="O71" i="20"/>
  <c r="O89" i="20"/>
  <c r="O107" i="20"/>
  <c r="O125" i="20"/>
  <c r="O143" i="20"/>
  <c r="O179" i="20"/>
  <c r="O197" i="20"/>
  <c r="O215" i="20"/>
  <c r="O233" i="20"/>
  <c r="O251" i="20"/>
  <c r="O269" i="20"/>
  <c r="O287" i="20"/>
  <c r="O17" i="20"/>
  <c r="O35" i="20"/>
  <c r="O64" i="20"/>
  <c r="O82" i="20"/>
  <c r="O100" i="20"/>
  <c r="O118" i="20"/>
  <c r="O136" i="20"/>
  <c r="O154" i="20"/>
  <c r="O172" i="20"/>
  <c r="O190" i="20"/>
  <c r="O208" i="20"/>
  <c r="O226" i="20"/>
  <c r="O244" i="20"/>
  <c r="O262" i="20"/>
  <c r="O280" i="20"/>
  <c r="O298" i="20"/>
  <c r="O316" i="20"/>
  <c r="O334" i="20"/>
  <c r="O352" i="20"/>
  <c r="O370" i="20"/>
  <c r="O388" i="20"/>
  <c r="O406" i="20"/>
  <c r="O417" i="20"/>
  <c r="O435" i="20"/>
  <c r="O453" i="20"/>
  <c r="O10" i="20"/>
  <c r="O46" i="20"/>
  <c r="O28" i="20"/>
  <c r="O75" i="20"/>
  <c r="O234" i="20"/>
  <c r="O11" i="20"/>
  <c r="O29" i="20"/>
  <c r="O415" i="20"/>
  <c r="O433" i="20"/>
  <c r="O44" i="20"/>
  <c r="O419" i="20"/>
  <c r="O437" i="20"/>
  <c r="O81" i="20"/>
  <c r="O117" i="20"/>
  <c r="O135" i="20"/>
  <c r="O153" i="20"/>
  <c r="O171" i="20"/>
  <c r="O189" i="20"/>
  <c r="O207" i="20"/>
  <c r="O243" i="20"/>
  <c r="O261" i="20"/>
  <c r="O279" i="20"/>
  <c r="O297" i="20"/>
  <c r="O315" i="20"/>
  <c r="O333" i="20"/>
  <c r="O351" i="20"/>
  <c r="O369" i="20"/>
  <c r="O387" i="20"/>
  <c r="O405" i="20"/>
  <c r="O27" i="20"/>
  <c r="O45" i="20"/>
  <c r="O67" i="20"/>
  <c r="O85" i="20"/>
  <c r="O103" i="20"/>
  <c r="O21" i="20"/>
  <c r="O39" i="20"/>
  <c r="O50" i="20"/>
  <c r="O68" i="20"/>
  <c r="O86" i="20"/>
  <c r="O104" i="20"/>
  <c r="O122" i="20"/>
  <c r="O140" i="20"/>
  <c r="O158" i="20"/>
  <c r="O176" i="20"/>
  <c r="O194" i="20"/>
  <c r="O212" i="20"/>
  <c r="O230" i="20"/>
  <c r="O248" i="20"/>
  <c r="O266" i="20"/>
  <c r="O284" i="20"/>
  <c r="O302" i="20"/>
  <c r="O320" i="20"/>
  <c r="O338" i="20"/>
  <c r="O356" i="20"/>
  <c r="O374" i="20"/>
  <c r="O392" i="20"/>
  <c r="O410" i="20"/>
  <c r="O428" i="20"/>
  <c r="O446" i="20"/>
  <c r="O7" i="20"/>
  <c r="O25" i="20"/>
  <c r="O43" i="20"/>
  <c r="O54" i="20"/>
  <c r="O198" i="20"/>
  <c r="O270" i="20"/>
  <c r="O324" i="20"/>
  <c r="O360" i="20"/>
  <c r="O396" i="20"/>
  <c r="O432" i="20"/>
  <c r="O18" i="20"/>
  <c r="O65" i="20"/>
  <c r="O83" i="20"/>
  <c r="O101" i="20"/>
  <c r="O119" i="20"/>
  <c r="O137" i="20"/>
  <c r="O155" i="20"/>
  <c r="O173" i="20"/>
  <c r="O191" i="20"/>
  <c r="O209" i="20"/>
  <c r="O227" i="20"/>
  <c r="O245" i="20"/>
  <c r="O263" i="20"/>
  <c r="O281" i="20"/>
  <c r="O299" i="20"/>
  <c r="O317" i="20"/>
  <c r="O335" i="20"/>
  <c r="O353" i="20"/>
  <c r="O47" i="20"/>
  <c r="O76" i="20"/>
  <c r="O112" i="20"/>
  <c r="O15" i="20"/>
  <c r="O33" i="20"/>
  <c r="O62" i="20"/>
  <c r="O80" i="20"/>
  <c r="O98" i="20"/>
  <c r="O116" i="20"/>
  <c r="O134" i="20"/>
  <c r="O152" i="20"/>
  <c r="O170" i="20"/>
  <c r="O188" i="20"/>
  <c r="O206" i="20"/>
  <c r="O224" i="20"/>
  <c r="O242" i="20"/>
  <c r="O260" i="20"/>
  <c r="O278" i="20"/>
  <c r="O296" i="20"/>
  <c r="O314" i="20"/>
  <c r="O332" i="20"/>
  <c r="O350" i="20"/>
  <c r="O368" i="20"/>
  <c r="O386" i="20"/>
  <c r="O404" i="20"/>
  <c r="O422" i="20"/>
  <c r="O440" i="20"/>
  <c r="O458" i="20"/>
  <c r="O19" i="20"/>
  <c r="O37" i="20"/>
  <c r="O66" i="20"/>
  <c r="O84" i="20"/>
  <c r="O102" i="20"/>
  <c r="O120" i="20"/>
  <c r="O138" i="20"/>
  <c r="O156" i="20"/>
  <c r="O174" i="20"/>
  <c r="O192" i="20"/>
  <c r="O210" i="20"/>
  <c r="O228" i="20"/>
  <c r="O246" i="20"/>
  <c r="O264" i="20"/>
  <c r="O282" i="20"/>
  <c r="O300" i="20"/>
  <c r="O318" i="20"/>
  <c r="O336" i="20"/>
  <c r="O354" i="20"/>
  <c r="O372" i="20"/>
  <c r="O390" i="20"/>
  <c r="O408" i="20"/>
  <c r="O426" i="20"/>
  <c r="O444" i="20"/>
  <c r="O462" i="20"/>
  <c r="O455" i="20"/>
  <c r="O5" i="20"/>
  <c r="O13" i="20"/>
  <c r="O31" i="20"/>
  <c r="O60" i="20"/>
  <c r="O78" i="20"/>
  <c r="O96" i="20"/>
  <c r="O49" i="20"/>
  <c r="O225" i="20"/>
  <c r="O121" i="20"/>
  <c r="O148" i="20"/>
  <c r="O274" i="20"/>
  <c r="O288" i="20"/>
  <c r="O292" i="20"/>
  <c r="O306" i="20"/>
  <c r="O310" i="20"/>
  <c r="O328" i="20"/>
  <c r="O342" i="20"/>
  <c r="O346" i="20"/>
  <c r="O364" i="20"/>
  <c r="O371" i="20"/>
  <c r="O375" i="20"/>
  <c r="O378" i="20"/>
  <c r="O382" i="20"/>
  <c r="O389" i="20"/>
  <c r="O393" i="20"/>
  <c r="O400" i="20"/>
  <c r="O407" i="20"/>
  <c r="O414" i="20"/>
  <c r="O418" i="20"/>
  <c r="O425" i="20"/>
  <c r="O429" i="20"/>
  <c r="O436" i="20"/>
  <c r="O443" i="20"/>
  <c r="O447" i="20"/>
  <c r="O450" i="20"/>
  <c r="O454" i="20"/>
  <c r="O461" i="20"/>
  <c r="O144" i="20"/>
  <c r="O22" i="20"/>
  <c r="O36" i="20"/>
  <c r="O220" i="20"/>
  <c r="O252" i="20"/>
  <c r="O108" i="20"/>
  <c r="O126" i="20"/>
  <c r="O202" i="20"/>
  <c r="O72" i="20"/>
  <c r="O162" i="20"/>
  <c r="O166" i="20"/>
  <c r="O256" i="20"/>
  <c r="O130" i="20"/>
  <c r="O94" i="20"/>
  <c r="O180" i="20"/>
  <c r="O184" i="20"/>
  <c r="O216" i="20"/>
  <c r="O238" i="20"/>
  <c r="O9" i="20"/>
  <c r="O63" i="20"/>
  <c r="O99" i="20"/>
  <c r="O58" i="20"/>
  <c r="O90" i="20"/>
  <c r="O203" i="20"/>
  <c r="O221" i="20"/>
  <c r="O239" i="20"/>
  <c r="O257" i="20"/>
  <c r="O275" i="20"/>
  <c r="O293" i="20"/>
  <c r="O311" i="20"/>
  <c r="O329" i="20"/>
  <c r="O347" i="20"/>
  <c r="O365" i="20"/>
  <c r="O383" i="20"/>
  <c r="O401" i="20"/>
  <c r="O59" i="20"/>
  <c r="O77" i="20"/>
  <c r="O113" i="20"/>
  <c r="O167" i="20"/>
  <c r="O185" i="20"/>
  <c r="O52" i="20"/>
  <c r="O232" i="20"/>
  <c r="O250" i="20"/>
  <c r="O268" i="20"/>
  <c r="O286" i="20"/>
  <c r="O304" i="20"/>
  <c r="O322" i="20"/>
  <c r="O340" i="20"/>
  <c r="O358" i="20"/>
  <c r="O376" i="20"/>
  <c r="O394" i="20"/>
  <c r="O412" i="20"/>
  <c r="O430" i="20"/>
  <c r="O448" i="20"/>
  <c r="O23" i="20"/>
  <c r="O41" i="20"/>
  <c r="O16" i="20"/>
  <c r="O160" i="20"/>
  <c r="O178" i="20"/>
  <c r="O196" i="20"/>
  <c r="O214" i="20"/>
  <c r="P464" i="20"/>
  <c r="O95" i="20"/>
  <c r="O131" i="20"/>
  <c r="O149" i="20"/>
  <c r="O34" i="20"/>
  <c r="O70" i="20"/>
  <c r="O88" i="20"/>
  <c r="O106" i="20"/>
  <c r="O124" i="20"/>
  <c r="O142" i="20"/>
  <c r="O20" i="20"/>
  <c r="O38" i="20"/>
  <c r="O56" i="20"/>
  <c r="O74" i="20"/>
  <c r="O92" i="20"/>
  <c r="O110" i="20"/>
  <c r="O128" i="20"/>
  <c r="O146" i="20"/>
  <c r="O164" i="20"/>
  <c r="O182" i="20"/>
  <c r="O200" i="20"/>
  <c r="O218" i="20"/>
  <c r="O236" i="20"/>
  <c r="O254" i="20"/>
  <c r="O272" i="20"/>
  <c r="O290" i="20"/>
  <c r="O308" i="20"/>
  <c r="O326" i="20"/>
  <c r="O344" i="20"/>
  <c r="O362" i="20"/>
  <c r="O380" i="20"/>
  <c r="O398" i="20"/>
  <c r="O416" i="20"/>
  <c r="O434" i="20"/>
  <c r="O452" i="20"/>
  <c r="O139" i="20"/>
  <c r="O157" i="20"/>
  <c r="O175" i="20"/>
  <c r="O193" i="20"/>
  <c r="O211" i="20"/>
  <c r="O229" i="20"/>
  <c r="O247" i="20"/>
  <c r="O265" i="20"/>
  <c r="O283" i="20"/>
  <c r="O301" i="20"/>
  <c r="O319" i="20"/>
  <c r="O337" i="20"/>
  <c r="O355" i="20"/>
  <c r="O373" i="20"/>
  <c r="O391" i="20"/>
  <c r="O409" i="20"/>
  <c r="O427" i="20"/>
  <c r="O445" i="20"/>
  <c r="O463" i="20"/>
  <c r="O114" i="20"/>
  <c r="O132" i="20"/>
  <c r="O150" i="20"/>
  <c r="O168" i="20"/>
  <c r="O186" i="20"/>
  <c r="O204" i="20"/>
  <c r="O222" i="20"/>
  <c r="O240" i="20"/>
  <c r="O258" i="20"/>
  <c r="O276" i="20"/>
  <c r="O294" i="20"/>
  <c r="O312" i="20"/>
  <c r="O330" i="20"/>
  <c r="O348" i="20"/>
  <c r="O366" i="20"/>
  <c r="O384" i="20"/>
  <c r="O402" i="20"/>
  <c r="O420" i="20"/>
  <c r="O438" i="20"/>
  <c r="O456" i="20"/>
  <c r="M464" i="20"/>
  <c r="K464" i="20"/>
  <c r="I464" i="20"/>
  <c r="E464" i="20"/>
  <c r="BO89" i="12"/>
  <c r="BO71" i="12"/>
  <c r="BO62" i="12"/>
  <c r="BO189" i="12"/>
  <c r="BO216" i="12"/>
  <c r="BO191" i="12"/>
  <c r="BO209" i="12"/>
  <c r="BO53" i="12"/>
  <c r="BO228" i="12"/>
  <c r="BO246" i="12"/>
  <c r="BO282" i="12"/>
  <c r="BO300" i="12"/>
  <c r="BO372" i="12"/>
  <c r="BO390" i="12"/>
  <c r="BO43" i="12"/>
  <c r="BO45" i="12"/>
  <c r="BO77" i="12"/>
  <c r="BO321" i="12"/>
  <c r="BO47" i="12"/>
  <c r="BO48" i="12"/>
  <c r="BO124" i="12"/>
  <c r="BO142" i="12"/>
  <c r="BO151" i="12"/>
  <c r="BO160" i="12"/>
  <c r="BO169" i="12"/>
  <c r="BO187" i="12"/>
  <c r="BO214" i="12"/>
  <c r="BO223" i="12"/>
  <c r="BO232" i="12"/>
  <c r="BO241" i="12"/>
  <c r="BO268" i="12"/>
  <c r="G411" i="20" s="1"/>
  <c r="G464" i="20" s="1"/>
  <c r="BO277" i="12"/>
  <c r="BO286" i="12"/>
  <c r="BO295" i="12"/>
  <c r="BO313" i="12"/>
  <c r="BO322" i="12"/>
  <c r="BO340" i="12"/>
  <c r="BO358" i="12"/>
  <c r="BO367" i="12"/>
  <c r="BO412" i="12"/>
  <c r="BO430" i="12"/>
  <c r="BO119" i="12"/>
  <c r="BO164" i="12"/>
  <c r="BO74" i="12"/>
  <c r="G123" i="20" s="1"/>
  <c r="O123" i="20" s="1"/>
  <c r="BO46" i="12"/>
  <c r="BO146" i="12"/>
  <c r="BO44" i="12"/>
  <c r="BO438" i="12"/>
  <c r="BO38" i="12"/>
  <c r="BO26" i="12"/>
  <c r="BO68" i="12"/>
  <c r="BO222" i="12"/>
  <c r="BO240" i="12"/>
  <c r="BO258" i="12"/>
  <c r="BO276" i="12"/>
  <c r="BO294" i="12"/>
  <c r="BO312" i="12"/>
  <c r="BO330" i="12"/>
  <c r="BO348" i="12"/>
  <c r="BO366" i="12"/>
  <c r="BO51" i="12"/>
  <c r="BO69" i="12"/>
  <c r="G115" i="20" s="1"/>
  <c r="O115" i="20" s="1"/>
  <c r="BO30" i="12"/>
  <c r="BO128" i="12"/>
  <c r="BO155" i="12"/>
  <c r="BO182" i="12"/>
  <c r="BO200" i="12"/>
  <c r="BO218" i="12"/>
  <c r="BO371" i="12"/>
  <c r="BO5" i="12"/>
  <c r="BO23" i="12"/>
  <c r="BO41" i="12"/>
  <c r="BO92" i="12"/>
  <c r="BO110" i="12"/>
  <c r="BO237" i="12"/>
  <c r="BO255" i="12"/>
  <c r="BO273" i="12"/>
  <c r="BO291" i="12"/>
  <c r="BO309" i="12"/>
  <c r="BO327" i="12"/>
  <c r="BO345" i="12"/>
  <c r="BO363" i="12"/>
  <c r="BO381" i="12"/>
  <c r="BO399" i="12"/>
  <c r="BO417" i="12"/>
  <c r="BO435" i="12"/>
  <c r="BO144" i="12"/>
  <c r="BO153" i="12"/>
  <c r="BO162" i="12"/>
  <c r="BO171" i="12"/>
  <c r="BO73" i="12"/>
  <c r="BN440" i="12"/>
  <c r="AU440" i="12"/>
  <c r="O411" i="20" l="1"/>
  <c r="O464" i="20" s="1"/>
  <c r="BO440" i="12"/>
</calcChain>
</file>

<file path=xl/sharedStrings.xml><?xml version="1.0" encoding="utf-8"?>
<sst xmlns="http://schemas.openxmlformats.org/spreadsheetml/2006/main" count="5913" uniqueCount="1662">
  <si>
    <t>Code</t>
  </si>
  <si>
    <t>items</t>
  </si>
  <si>
    <t>Total</t>
  </si>
  <si>
    <t>Sale</t>
  </si>
  <si>
    <t>Balance</t>
  </si>
  <si>
    <t>VFF0002(BK/YL,M42)</t>
  </si>
  <si>
    <t>VFF V-Run(M42, Black/Yellow)</t>
  </si>
  <si>
    <t>Delivery note</t>
  </si>
  <si>
    <t>VFF0002(BK/YL,M43)</t>
  </si>
  <si>
    <t>VFF V-Run(M43, Black/Yellow)</t>
  </si>
  <si>
    <t>VFF0002(BK/YL,M44)</t>
  </si>
  <si>
    <t>VFF V-Run(M44, Black/Yellow)</t>
  </si>
  <si>
    <t>VFF0002(BK/YL,M45)</t>
  </si>
  <si>
    <t>VFF V-Run(M45, Black/Yellow)</t>
  </si>
  <si>
    <t>VFF0016(BK,S)</t>
  </si>
  <si>
    <t>VFF0016(BK/GY,S)</t>
  </si>
  <si>
    <t>VFF0008(BK,W36)</t>
  </si>
  <si>
    <t>VFF V-Soul(W36, Black)</t>
  </si>
  <si>
    <t>VFF0016(GY/RD,S)</t>
  </si>
  <si>
    <t>VFF0008(BK,W37)</t>
  </si>
  <si>
    <t>VFF V-Soul(W37, Black)</t>
  </si>
  <si>
    <t>VFF0008(BK,W38)</t>
  </si>
  <si>
    <t>VFF V-Soul(W38, Black)</t>
  </si>
  <si>
    <t>VFF0008(BK,W39)</t>
  </si>
  <si>
    <t>VFF V-Soul(W39, Black)</t>
  </si>
  <si>
    <t>VFF0008(BK,W40)</t>
  </si>
  <si>
    <t>VFF V-Soul(W40, Black)</t>
  </si>
  <si>
    <t>VFF0008(BK,W41)</t>
  </si>
  <si>
    <t>VFF V-Soul(W41, Black)</t>
  </si>
  <si>
    <t>VFF0008(BK,W42)</t>
  </si>
  <si>
    <t>VFF V-Soul(W42, Black)</t>
  </si>
  <si>
    <t>VFF0008(SV,W36)</t>
  </si>
  <si>
    <t>VFF V-Soul(W36, Silver)</t>
  </si>
  <si>
    <t>VFF0008(SV,W37)</t>
  </si>
  <si>
    <t>VFF V-Soul(W37, Silver)</t>
  </si>
  <si>
    <t>VFF0008(SV,W38)</t>
  </si>
  <si>
    <t>VFF V-Soul(W38, Silver)</t>
  </si>
  <si>
    <t>VFF0008(SV,W39)</t>
  </si>
  <si>
    <t>VFF V-Soul(W39, Silver)</t>
  </si>
  <si>
    <t>VFF0008(SV,W40)</t>
  </si>
  <si>
    <t>VFF V-Soul(W40, Silver)</t>
  </si>
  <si>
    <t>VFF0008(SV,W41)</t>
  </si>
  <si>
    <t>VFF V-Soul(W41, Silver)</t>
  </si>
  <si>
    <t>VFF0008(SV,W42)</t>
  </si>
  <si>
    <t>VFF V-Soul(W42, Silver)</t>
  </si>
  <si>
    <t>VFF0008(IV/DPK,W37)</t>
  </si>
  <si>
    <t>VFF V-Soul(W37, Ivory/Dusty Pink)</t>
  </si>
  <si>
    <t>VFF0008(IV/DPK,W38)</t>
  </si>
  <si>
    <t>VFF V-Soul(W38, Ivory/Dusty Pink)</t>
  </si>
  <si>
    <t>VFF0008(IV/DPK,W39)</t>
  </si>
  <si>
    <t>VFF V-Soul(W39, Ivory/Dusty Pink)</t>
  </si>
  <si>
    <t>VFF0008(IV/DPK,W40)</t>
  </si>
  <si>
    <t>VFF V-Soul(W40, Ivory/Dusty Pink)</t>
  </si>
  <si>
    <t>06/26</t>
  </si>
  <si>
    <t>01/26</t>
  </si>
  <si>
    <t>02/26</t>
  </si>
  <si>
    <t>03/26</t>
  </si>
  <si>
    <t>BFJ0001(BK,L)</t>
  </si>
  <si>
    <t>BFJ Socks(L, Black)</t>
  </si>
  <si>
    <t>BFJ0001(BK,M)</t>
  </si>
  <si>
    <t>BFJ Socks(M, Black)</t>
  </si>
  <si>
    <t>BFJ0001(BK,S)</t>
  </si>
  <si>
    <t>BFJ Socks(S, Black)</t>
  </si>
  <si>
    <t>BFJ0001(GY,L)</t>
  </si>
  <si>
    <t>BFJ Socks(L, Gray)</t>
  </si>
  <si>
    <t>BFJ0001(GY,M)</t>
  </si>
  <si>
    <t>BFJ Socks(M, Gray)</t>
  </si>
  <si>
    <t>BFJ0001(GY,S)</t>
  </si>
  <si>
    <t>BFJ Socks(S, Gray)</t>
  </si>
  <si>
    <t>VFF0002(BK/YL,M46)</t>
  </si>
  <si>
    <t>VFF V-Run(M46, Black/Yellow)</t>
  </si>
  <si>
    <t>OLN0001(BK,25)</t>
  </si>
  <si>
    <t>Oleno Ultimate(23-25, Black)</t>
  </si>
  <si>
    <t>VFF0002(BK/BL,M40)</t>
  </si>
  <si>
    <t>VFF V-Run(M40, Black/Blue)</t>
  </si>
  <si>
    <t>OLN0001(BK,27)</t>
  </si>
  <si>
    <t>Oleno Ultimate(25-27, Black)</t>
  </si>
  <si>
    <t>VFF0002(BK/BL,M41)</t>
  </si>
  <si>
    <t>VFF V-Run(M41, Black/Blue)</t>
  </si>
  <si>
    <t>OLN0001(BK,29)</t>
  </si>
  <si>
    <t>Oleno Ultimate(27-29, Black)</t>
  </si>
  <si>
    <t>VFF0002(BK/BL,M42)</t>
  </si>
  <si>
    <t>VFF V-Run(M42, Black/Blue)</t>
  </si>
  <si>
    <t>OLN0002(BK,25)</t>
  </si>
  <si>
    <t>Oleno Ultimate ASO(23-25, Black)</t>
  </si>
  <si>
    <t>VFF0002(BK/BL,M43)</t>
  </si>
  <si>
    <t>VFF V-Run(M43, Black/Blue)</t>
  </si>
  <si>
    <t>OLN0002(BK,27)</t>
  </si>
  <si>
    <t>Oleno Ultimate ASO(25-27, Black)</t>
  </si>
  <si>
    <t>VFF0002(BK/BL,M44)</t>
  </si>
  <si>
    <t>OLN0002(BK,29)</t>
  </si>
  <si>
    <t>VFF V-Run(M44, Black/Blue)</t>
  </si>
  <si>
    <t>Oleno Ultimate ASO(27-29, Black)</t>
  </si>
  <si>
    <t>VFF0002(BK/BL,M45)</t>
  </si>
  <si>
    <t>VFF V-Run(M45, Black/Blue)</t>
  </si>
  <si>
    <t>VFF0002(BK/BL,M46)</t>
  </si>
  <si>
    <t>VFF V-Run(M46, Black/Blue)</t>
  </si>
  <si>
    <t>OLN0003(BL/M,25)</t>
  </si>
  <si>
    <t>Oleno Ultimate SHR(23-25, Blue Mix)</t>
  </si>
  <si>
    <t>OLN0003(BL/M,27)</t>
  </si>
  <si>
    <t>Oleno Ultimate SHR(25-27, Blue Mix)</t>
  </si>
  <si>
    <t>OLN0003(BL/M,29)</t>
  </si>
  <si>
    <t>Oleno Ultimate SHR(27-29, Blue Mix)</t>
  </si>
  <si>
    <t>VFF0024(BK,M41)</t>
  </si>
  <si>
    <t>VFF Trailope(M41, Black)</t>
  </si>
  <si>
    <t>VFF0024(BK,M42)</t>
  </si>
  <si>
    <t>VFF Trailope(M42, Black)</t>
  </si>
  <si>
    <t>VFF0024(BK,M43)</t>
  </si>
  <si>
    <t>VFF Trailope(M43, Black)</t>
  </si>
  <si>
    <t>VFF0024(BK,M44)</t>
  </si>
  <si>
    <t>VFF Trailope(M44, Black)</t>
  </si>
  <si>
    <t>VFF0024(BK,M45)</t>
  </si>
  <si>
    <t>VFF Trailope(M45, Black)</t>
  </si>
  <si>
    <t>VFF0024(BK,M46)</t>
  </si>
  <si>
    <t>VFF Trailope(M46, Black)</t>
  </si>
  <si>
    <t>VFF Trailope(M42, Deep Lake)</t>
  </si>
  <si>
    <t>VFF Trailope(M43, Deep Lake)</t>
  </si>
  <si>
    <t>VFF Trailope(M44, Deep Lake)</t>
  </si>
  <si>
    <t>VFF0017(BK/BK,M41)</t>
  </si>
  <si>
    <t>VFF V-Trek(M41, Black/Black)</t>
  </si>
  <si>
    <t>VFF0017(BK/BK,M42)</t>
  </si>
  <si>
    <t>VFF V-Trek(M42, Black/Black)</t>
  </si>
  <si>
    <t>VFF0017(BK/BK,M43)</t>
  </si>
  <si>
    <t>VFF V-Trek(M43, Black/Black)</t>
  </si>
  <si>
    <t>VFF0017(BK/BK,M44)</t>
  </si>
  <si>
    <t>VFF V-Trek(M44, Black/Black)</t>
  </si>
  <si>
    <t>VFF0017(BK/BK,M45)</t>
  </si>
  <si>
    <t>VFF V-Trek(M45, Black/Black)</t>
  </si>
  <si>
    <t>VFF0017(BK/BK,M46)</t>
  </si>
  <si>
    <t>VFF V-Trek(M46, Black/Black)</t>
  </si>
  <si>
    <t>OLN0005(BK/GY,25)</t>
  </si>
  <si>
    <t>Oleno Ultimate TNG(23-25, Black/Gray)</t>
  </si>
  <si>
    <t>OLN0005(BK/GY,27)</t>
  </si>
  <si>
    <t>Oleno Ultimate TNG(25-27, Black/Gray)</t>
  </si>
  <si>
    <t>VFF0017(BK/BK,W37)</t>
  </si>
  <si>
    <t>VFF V-Trek(W37, Black/Black)</t>
  </si>
  <si>
    <t>VFF0017(BK/BK,W38)</t>
  </si>
  <si>
    <t>VFF V-Trek(W38, Black/Black)</t>
  </si>
  <si>
    <t>VFF0017(BK/BK,W39)</t>
  </si>
  <si>
    <t>VFF V-Trek(W39, Black/Black)</t>
  </si>
  <si>
    <t>VFF0025(BK,U41)</t>
  </si>
  <si>
    <t>VFF Scramkey(U41, Black)</t>
  </si>
  <si>
    <t>VFF0025(BK,U42)</t>
  </si>
  <si>
    <t>VFF Scramkey(U42, Black)</t>
  </si>
  <si>
    <t>VFF0025(BK,U43)</t>
  </si>
  <si>
    <t>VFF Scramkey(U43, Black)</t>
  </si>
  <si>
    <t>VFF0025(BK,U44)</t>
  </si>
  <si>
    <t>VFF Scramkey(U44, Black)</t>
  </si>
  <si>
    <t>VFF0025(BK,U45)</t>
  </si>
  <si>
    <t>VFF Scramkey(U45, Black)</t>
  </si>
  <si>
    <t>VFF0025(DL/BK,U40)</t>
  </si>
  <si>
    <t>VFF Scramkey(U40, Deep Lake/Black)</t>
  </si>
  <si>
    <t>VFF0025(DL/BK,U41)</t>
  </si>
  <si>
    <t>VFF Scramkey(U41, Deep Lake/Black)</t>
  </si>
  <si>
    <t>VFF0025(DL/BK,U42)</t>
  </si>
  <si>
    <t>VFF Scramkey(U42, Deep Lake/Black)</t>
  </si>
  <si>
    <t>VFF0025(DL/BK,U43)</t>
  </si>
  <si>
    <t>VFF Scramkey(U43, Deep Lake/Black)</t>
  </si>
  <si>
    <t>VFF0025(DL/BK,U44)</t>
  </si>
  <si>
    <t>VFF Scramkey(U44, Deep Lake/Black)</t>
  </si>
  <si>
    <t>VFF0025(DL/BK,U45)</t>
  </si>
  <si>
    <t>VFF Scramkey(U45, Deep Lake/Black)</t>
  </si>
  <si>
    <t>OLN0005(BK/BL,25)</t>
  </si>
  <si>
    <t>Oleno Ultimate TNG(23-25, Black/Blue)</t>
  </si>
  <si>
    <t>OLN0005(BK/BL,27)</t>
  </si>
  <si>
    <t>Oleno Ultimate TNG(25-27, Black/Blue)</t>
  </si>
  <si>
    <t>OLN0005(BK/BL,29)</t>
  </si>
  <si>
    <t>Oleno Ultimate TNG(27-29, Black/Blue)</t>
  </si>
  <si>
    <t>OLN0005(BK/GY,29)</t>
  </si>
  <si>
    <t>Oleno Ultimate TNG(27-29, Black/Gray)</t>
  </si>
  <si>
    <t>OLN0006(BK,25)</t>
  </si>
  <si>
    <t>Oleno Ultimate ASO Long(23-25, Black)</t>
  </si>
  <si>
    <t>OLN0006(BK,27)</t>
  </si>
  <si>
    <t>Oleno Ultimate ASO Long(25-27, Black)</t>
  </si>
  <si>
    <t>OLN0006(BK,29)</t>
  </si>
  <si>
    <t>Oleno Ultimate ASO Long(27-29, Black)</t>
  </si>
  <si>
    <t>VFF0002(BK/YL,M47)</t>
  </si>
  <si>
    <t>VFF V-Run(M47, Black/Yellow)</t>
  </si>
  <si>
    <t>VFF0002(TT/BK,M41)</t>
  </si>
  <si>
    <t>VFF V-Run(M41, Total Black)</t>
  </si>
  <si>
    <t>VFF0002(TT/BK,M42)</t>
  </si>
  <si>
    <t>VFF V-Run(M42, Total Black)</t>
  </si>
  <si>
    <t>VFF0002(TT/BK,M43)</t>
  </si>
  <si>
    <t>VFF V-Run(M43, Total Black)</t>
  </si>
  <si>
    <t>VFF0002(TT/BK,M44)</t>
  </si>
  <si>
    <t>VFF V-Run(M44, Total Black)</t>
  </si>
  <si>
    <t>VFF0002(TT/BK,M45)</t>
  </si>
  <si>
    <t>VFF V-Run(M45, Total Black)</t>
  </si>
  <si>
    <t>VFF0002(TT/BK,M46)</t>
  </si>
  <si>
    <t>VFF V-Run(M46, Total Black)</t>
  </si>
  <si>
    <t>VFF0002(BK/LI/BK,M41)</t>
  </si>
  <si>
    <t>VFF V-Run(M41, Black Lime/Black)</t>
  </si>
  <si>
    <t>VFF0002(BK/LI/BK,M42)</t>
  </si>
  <si>
    <t>VFF V-Run(M42, Black Lime/Black)</t>
  </si>
  <si>
    <t>VFF0002(BK/LI/BK,M43)</t>
  </si>
  <si>
    <t>VFF V-Run(M43, Black Lime/Black)</t>
  </si>
  <si>
    <t>VFF0002(BK/LI/BK,M44)</t>
  </si>
  <si>
    <t>VFF V-Run(M44, Black Lime/Black)</t>
  </si>
  <si>
    <t>VFF0002(BK/LI/BK,M45)</t>
  </si>
  <si>
    <t>VFF V-Run(M45, Black Lime/Black)</t>
  </si>
  <si>
    <t>VFF0002(LI/BL,W37)</t>
  </si>
  <si>
    <t>VFF V-Run(W37, Lime/Blue)</t>
  </si>
  <si>
    <t>VFF0002(LI/BL,W38)</t>
  </si>
  <si>
    <t>VFF V-Run(W38, Lime/Blue)</t>
  </si>
  <si>
    <t>VFF0002(LI/BL,W39)</t>
  </si>
  <si>
    <t>VFF V-Run(W39, Lime/Blue)</t>
  </si>
  <si>
    <t>VFF0002(LI/BL,W40)</t>
  </si>
  <si>
    <t>VFF V-Run(W40, Lime/Blue)</t>
  </si>
  <si>
    <t>VFF0002(BK/F,W37)</t>
  </si>
  <si>
    <t>VFF V-Run(W37, Black/Fig)</t>
  </si>
  <si>
    <t>VFF0002(BK/F,W38)</t>
  </si>
  <si>
    <t>VFF V-Run(W38, Black/Fig)</t>
  </si>
  <si>
    <t>VFF0002(BK/F,W39)</t>
  </si>
  <si>
    <t>VFF V-Run(W39, Black/Fig)</t>
  </si>
  <si>
    <t>VFF0002(BK/F,W40)</t>
  </si>
  <si>
    <t>VFF V-Run(W40, Black/Fig)</t>
  </si>
  <si>
    <t>VFF0005(BK/BK,M39)</t>
  </si>
  <si>
    <t>VFF V-Train 2.0(M39, Black/Black)</t>
  </si>
  <si>
    <t>VFF0005(BK/BK,M40)</t>
  </si>
  <si>
    <t>VFF V-Train 2.0(M40, Black/Black)</t>
  </si>
  <si>
    <t>VFF0005(BK/BK,M41)</t>
  </si>
  <si>
    <t>VFF V-Train 2.0(M41, Black/Black)</t>
  </si>
  <si>
    <t>VFF0005(BK/BK,M43)</t>
  </si>
  <si>
    <t>VFF V-Train 2.0(M43, Black/Black)</t>
  </si>
  <si>
    <t>VFF0005(BK/BK,M47)</t>
  </si>
  <si>
    <t>VFF V-Train 2.0(M47, Black/Black)</t>
  </si>
  <si>
    <t>VFF0005(BK/PK,W37)</t>
  </si>
  <si>
    <t>VFF V-Train 2.0(W37, Black/Pink)</t>
  </si>
  <si>
    <t>VFF0005(BK/PK,W38)</t>
  </si>
  <si>
    <t>VFF V-Train 2.0(W38, Black/Pink)</t>
  </si>
  <si>
    <t>VFF0005(BK/PK,W39)</t>
  </si>
  <si>
    <t>VFF V-Train 2.0(W39, Black/Pink)</t>
  </si>
  <si>
    <t>VFF0009(BK,M41)</t>
  </si>
  <si>
    <t>VFF KSO EVO(M41, Black)</t>
  </si>
  <si>
    <t>VFF0009(BK,M42)</t>
  </si>
  <si>
    <t>VFF KSO EVO(M42, Black)</t>
  </si>
  <si>
    <t>VFF0009(BK,M43)</t>
  </si>
  <si>
    <t>VFF KSO EVO(M43, Black)</t>
  </si>
  <si>
    <t>VFF0009(BK,M44)</t>
  </si>
  <si>
    <t>VFF KSO EVO(M44, Black)</t>
  </si>
  <si>
    <t>VFF0009(BK,M45)</t>
  </si>
  <si>
    <t>VFF KSO EVO(M45, Black)</t>
  </si>
  <si>
    <t>VFF0009(BK,M46)</t>
  </si>
  <si>
    <t>VFF KSO EVO(M46, Black)</t>
  </si>
  <si>
    <t>VFF0024(DL,M41)</t>
  </si>
  <si>
    <t>VFF Trailope(M41, Deep Lake)</t>
  </si>
  <si>
    <t>VFF0024(DL,M42)</t>
  </si>
  <si>
    <t>VFF0024(DL,M43)</t>
  </si>
  <si>
    <t>VFF0024(DL,M44)</t>
  </si>
  <si>
    <t>VFF0024(DL,M45)</t>
  </si>
  <si>
    <t>VFF Trailope(M45, Deep Lake)</t>
  </si>
  <si>
    <t>VFF0008(BK26,W38)</t>
  </si>
  <si>
    <t>VFF0008(BK26,W39)</t>
  </si>
  <si>
    <t>VFF0008(BK26,W40)</t>
  </si>
  <si>
    <t>VFF0008(BK26,W41)</t>
  </si>
  <si>
    <t>OLN0005(BK/RD,27)</t>
  </si>
  <si>
    <t>Oleno Ultimate TNG(25-27, Black/Red)</t>
  </si>
  <si>
    <t>OLN0005(BK/RD,29)</t>
  </si>
  <si>
    <t>Oleno Ultimate TNG(27-29, Black/Red)</t>
  </si>
  <si>
    <t>VFF0005(BK/BK,M42)</t>
  </si>
  <si>
    <t>VFF V-Train 2.0(M42, Black/Black)</t>
  </si>
  <si>
    <t>VFF0005(BK/BK,M44)</t>
  </si>
  <si>
    <t>VFF V-Train 2.0(M44, Black/Black)</t>
  </si>
  <si>
    <t>VFF0005(BK/BK,M45)</t>
  </si>
  <si>
    <t>VFF V-Train 2.0(M45, Black/Black)</t>
  </si>
  <si>
    <t>VFF0005(BK/BK,M46)</t>
  </si>
  <si>
    <t>VFF V-Train 2.0(M46, Black/Black)</t>
  </si>
  <si>
    <t>VFF0005(LIG/GY,M41)</t>
  </si>
  <si>
    <t>VFF V-Train 2.0(M41, Lime Green/Gray)</t>
  </si>
  <si>
    <t>VFF0005(LIG/GY,M42)</t>
  </si>
  <si>
    <t>VFF V-Train 2.0(M42, Lime Green/Gray)</t>
  </si>
  <si>
    <t>08/26</t>
  </si>
  <si>
    <t>VFF0005(LIG/GY,M43)</t>
  </si>
  <si>
    <t>VFF V-Train 2.0(M43, Lime Green/Gray)</t>
  </si>
  <si>
    <t>VFF0005(LIG/GY,M44)</t>
  </si>
  <si>
    <t>VFF V-Train 2.0(M44, Lime Green/Gray)</t>
  </si>
  <si>
    <t>VFF0005(LIG/GY,M45)</t>
  </si>
  <si>
    <t>VFF V-Train 2.0(M45, Lime Green/Gray)</t>
  </si>
  <si>
    <t>OLN0003(RD/PP,27)</t>
  </si>
  <si>
    <t>Oleno Ultimate SHR(25-27, Red Purple)</t>
  </si>
  <si>
    <t>OLN0003(RD/PP,29)</t>
  </si>
  <si>
    <t>Oleno Ultimate SHR(27-29, Red Purple)</t>
  </si>
  <si>
    <t>OLN0005(BK/RD,25)</t>
  </si>
  <si>
    <t>Oleno Ultimate TNG(23-25, Black/Red)</t>
  </si>
  <si>
    <t>VFF0008(BK,W35)</t>
  </si>
  <si>
    <t>VFF V-Soul(W35, Black)</t>
  </si>
  <si>
    <t>VFF0008(IV/DPK,W36)</t>
  </si>
  <si>
    <t>VFF V-Soul(W36, Ivory/Dusty Pink)</t>
  </si>
  <si>
    <t>VFF0009(BK,M40)</t>
  </si>
  <si>
    <t>VFF KSO EVO(M40, Black)</t>
  </si>
  <si>
    <t>VFF0009(BK,M47)</t>
  </si>
  <si>
    <t>VFF KSO EVO(M47, Black)</t>
  </si>
  <si>
    <t>VFF0022(BK,M47)</t>
  </si>
  <si>
    <t>VFF Breezandal(M47, Black)</t>
  </si>
  <si>
    <t>VFF0009(BK,W37)</t>
  </si>
  <si>
    <t>VFF KSO EVO(W37, Black)</t>
  </si>
  <si>
    <t>VFF0009(BK,W38)</t>
  </si>
  <si>
    <t>VFF KSO EVO(W38, Black)</t>
  </si>
  <si>
    <t>VFF0009(BK,W39)</t>
  </si>
  <si>
    <t>VFF KSO EVO(W39, Black)</t>
  </si>
  <si>
    <t>VFF0009(BK,W40)</t>
  </si>
  <si>
    <t>VFF KSO EVO(W40, Black)</t>
  </si>
  <si>
    <t>VFF0009(BK,W41)</t>
  </si>
  <si>
    <t>VFF KSO EVO(W41, Black)</t>
  </si>
  <si>
    <t>VFF0009(DL/BK,M42)</t>
  </si>
  <si>
    <t>VFF KSO EVO(M42, Deep Lake/Black)</t>
  </si>
  <si>
    <t>VFF0009(DL/BK,M43)</t>
  </si>
  <si>
    <t>VFF KSO EVO(M43, Deep Lake/Black)</t>
  </si>
  <si>
    <t>VFF0009(DL/BK,M44)</t>
  </si>
  <si>
    <t>VFF KSO EVO(M44, Deep Lake/Black)</t>
  </si>
  <si>
    <t>VFF0009(DL/BK,M45)</t>
  </si>
  <si>
    <t>VFF KSO EVO(M45, Deep Lake/Black)</t>
  </si>
  <si>
    <t>VFF0009(DL/BK,W37)</t>
  </si>
  <si>
    <t>VFF KSO EVO(W37, Deep Lake/Black)</t>
  </si>
  <si>
    <t>VFF0009(DL/BK,W38)</t>
  </si>
  <si>
    <t>VFF KSO EVO(W38, Deep Lake/Black)</t>
  </si>
  <si>
    <t>VFF0009(DL/BK,W39)</t>
  </si>
  <si>
    <t>VFF KSO EVO(W39, Deep Lake/Black)</t>
  </si>
  <si>
    <t>VFF0009(DL/BK,W40)</t>
  </si>
  <si>
    <t>VFF KSO EVO(W40, Deep Lake/Black)</t>
  </si>
  <si>
    <t>VFF0009(F/GN,M42)</t>
  </si>
  <si>
    <t>VFF KSO EVO(M42, Fig/A Green)</t>
  </si>
  <si>
    <t>VFF0009(F/GN,M43)</t>
  </si>
  <si>
    <t>VFF KSO EVO(M43, Fig/A Green)</t>
  </si>
  <si>
    <t>VFF0009(F/GN,M44)</t>
  </si>
  <si>
    <t>VFF KSO EVO(M44, Fig/A Green)</t>
  </si>
  <si>
    <t>VFF0009(F/GN,M45)</t>
  </si>
  <si>
    <t>VFF KSO EVO(M45, Fig/A Green)</t>
  </si>
  <si>
    <t>VFF0027(LI,L)</t>
  </si>
  <si>
    <t>VFF Socks Mini Crew Summer(L, Lime)</t>
  </si>
  <si>
    <t>VFF0027(LI,M)</t>
  </si>
  <si>
    <t>VFF Socks Mini Crew Summer(M, Lime)</t>
  </si>
  <si>
    <t>VFF0027(IV,L)</t>
  </si>
  <si>
    <t>VFF Socks Mini Crew Summer(L, Ivory)</t>
  </si>
  <si>
    <t>VFF0027(IV,M)</t>
  </si>
  <si>
    <t>VFF Socks Mini Crew Summer(M, Ivory)</t>
  </si>
  <si>
    <t>VFF0027(BK,L)</t>
  </si>
  <si>
    <t>VFF Socks Mini Crew Summer(L, Black)</t>
  </si>
  <si>
    <t>VFF0027(BK,M)</t>
  </si>
  <si>
    <t>VFF Socks Mini Crew Summer(M, Black)</t>
  </si>
  <si>
    <t>VFF0027(BK,S)</t>
  </si>
  <si>
    <t>VFF Socks Mini Crew Summer(S, Black)</t>
  </si>
  <si>
    <t>Central Chidlom</t>
  </si>
  <si>
    <t>IVT-20250900009</t>
  </si>
  <si>
    <t>IVT-20250900011</t>
  </si>
  <si>
    <t>CNT-20250900006</t>
  </si>
  <si>
    <t>CNT-20250900007</t>
  </si>
  <si>
    <t>IVT-20251000002</t>
  </si>
  <si>
    <t>IVT-20251000003</t>
  </si>
  <si>
    <t>IVT-20251000005</t>
  </si>
  <si>
    <t>IVT-20251000009</t>
  </si>
  <si>
    <t>IVT-20251000011</t>
  </si>
  <si>
    <t>IVT-20251000012</t>
  </si>
  <si>
    <t>IVT-20251000013</t>
  </si>
  <si>
    <t>CNT-20251000004</t>
  </si>
  <si>
    <t>IVT-20251100004</t>
  </si>
  <si>
    <t>IVT-20251200006</t>
  </si>
  <si>
    <t>IVT-20251200013</t>
  </si>
  <si>
    <t>IVT-20251200017</t>
  </si>
  <si>
    <t>IVT-20251200022</t>
  </si>
  <si>
    <t>CNT-20251200005</t>
  </si>
  <si>
    <t>IVT-20260200002</t>
  </si>
  <si>
    <t>IVT-20260200010</t>
  </si>
  <si>
    <t>IVT-20260200011</t>
  </si>
  <si>
    <t>IVT-20260300001</t>
  </si>
  <si>
    <t>IVT-20260300003</t>
  </si>
  <si>
    <t>IVT-20260300007</t>
  </si>
  <si>
    <t>IVT-20260300010</t>
  </si>
  <si>
    <t>IVT-20260400003</t>
  </si>
  <si>
    <t>IVT-20260400004</t>
  </si>
  <si>
    <t>IVT-20260400008</t>
  </si>
  <si>
    <t>IVT-20260500001</t>
  </si>
  <si>
    <t>IVT-20260500005</t>
  </si>
  <si>
    <t>IVT-20260500012</t>
  </si>
  <si>
    <t>IVT-20260600002</t>
  </si>
  <si>
    <t>IVT-20260600006</t>
  </si>
  <si>
    <t>IVT-20260600011</t>
  </si>
  <si>
    <t>IVT-20260700005</t>
  </si>
  <si>
    <t>IVT-20260700012</t>
  </si>
  <si>
    <t>CN 21/7/26</t>
  </si>
  <si>
    <t>IVT-20260800003</t>
  </si>
  <si>
    <t>IVT-20260800004</t>
  </si>
  <si>
    <t>IVT-20260800007</t>
  </si>
  <si>
    <t>IVT-20260800010</t>
  </si>
  <si>
    <t>IVT-20260900007</t>
  </si>
  <si>
    <t>04/26</t>
  </si>
  <si>
    <t>05/26</t>
  </si>
  <si>
    <t>07/26</t>
  </si>
  <si>
    <t>09/26</t>
  </si>
  <si>
    <t>VFF0002(BK/BL,M47)</t>
  </si>
  <si>
    <t>VFF V-Run(M47, Black/Blue)</t>
  </si>
  <si>
    <t>VFF0002(TT/BK,M40)</t>
  </si>
  <si>
    <t>VFF V-Run(M40, Total Black)</t>
  </si>
  <si>
    <t>VFF0002(BK/F,W36)</t>
  </si>
  <si>
    <t>VFF V-Run(W36, Black/Fig)</t>
  </si>
  <si>
    <t>VFF0002(BK/F,W41)</t>
  </si>
  <si>
    <t>VFF V-Run(W41, Black/Fig)</t>
  </si>
  <si>
    <t>VFF0002(DL/IV,W37)</t>
  </si>
  <si>
    <t>VFF V-Run(W37, Deep Lake/Ivory)</t>
  </si>
  <si>
    <t>VFF0002(DL/IV,W38)</t>
  </si>
  <si>
    <t>VFF V-Run(W38, Deep Lake/Ivory)</t>
  </si>
  <si>
    <t>VFF0002(DL/IV,W39)</t>
  </si>
  <si>
    <t>VFF V-Run(W39, Deep Lake/Ivory)</t>
  </si>
  <si>
    <t>VFF0002(DL/IV,W40)</t>
  </si>
  <si>
    <t>VFF V-Run(W40, Deep Lake/Ivory)</t>
  </si>
  <si>
    <t>VFF0002(DPK,W37)</t>
  </si>
  <si>
    <t>VFF V-Run(W37, Dusty Pink)</t>
  </si>
  <si>
    <t>VFF0002(DPK,W38)</t>
  </si>
  <si>
    <t>VFF V-Run(W38, Dusty Pink)</t>
  </si>
  <si>
    <t>VFF0002(DPK,W39)</t>
  </si>
  <si>
    <t>VFF V-Run(W39, Dusty Pink)</t>
  </si>
  <si>
    <t>VFF0002(DPK,W40)</t>
  </si>
  <si>
    <t>VFF V-Run(W40, Dusty Pink)</t>
  </si>
  <si>
    <t>VFF0005(BK/BK,W37)</t>
  </si>
  <si>
    <t>VFF V-Train 2.0(W37, Black/Black)</t>
  </si>
  <si>
    <t>VFF0005(BK/BK,W38)</t>
  </si>
  <si>
    <t>VFF V-Train 2.0(W38, Black/Black)</t>
  </si>
  <si>
    <t>VFF0005(BK/BK,W39)</t>
  </si>
  <si>
    <t>VFF V-Train 2.0(W39, Black/Black)</t>
  </si>
  <si>
    <t>VFF0005(BK/BK,W40)</t>
  </si>
  <si>
    <t>VFF V-Train 2.0(W40, Black/Black)</t>
  </si>
  <si>
    <t>VFF0008(BB/BL,W36)</t>
  </si>
  <si>
    <t>VFF V-Soul(W36, Baby Blue)</t>
  </si>
  <si>
    <t>VFF0008(BB/BL,W37)</t>
  </si>
  <si>
    <t>VFF V-Soul(W37, Baby Blue)</t>
  </si>
  <si>
    <t>VFF0008(BB/BL,W38)</t>
  </si>
  <si>
    <t>VFF V-Soul(W38, Baby Blue)</t>
  </si>
  <si>
    <t>VFF0008(BB/BL,W39)</t>
  </si>
  <si>
    <t>VFF V-Soul(W39, Baby Blue)</t>
  </si>
  <si>
    <t>VFF0008(BB/BL,W40)</t>
  </si>
  <si>
    <t>VFF V-Soul(W40, Baby Blue)</t>
  </si>
  <si>
    <t>VFF0008(BB/BL,W41)</t>
  </si>
  <si>
    <t>VFF V-Soul(W41, Baby Blue)</t>
  </si>
  <si>
    <t>VFF0008(BK26,W36)</t>
  </si>
  <si>
    <t>VFF0008(BK26,W37)</t>
  </si>
  <si>
    <t>VFF0008(FU,W36)</t>
  </si>
  <si>
    <t>VFF V-Soul(W36, Fuchsia)</t>
  </si>
  <si>
    <t>VFF0008(FU,W37)</t>
  </si>
  <si>
    <t>VFF V-Soul(W37, Fuchsia)</t>
  </si>
  <si>
    <t>VFF0008(FU,W38)</t>
  </si>
  <si>
    <t>VFF V-Soul(W38, Fuchsia)</t>
  </si>
  <si>
    <t>VFF0008(FU,W39)</t>
  </si>
  <si>
    <t>VFF V-Soul(W39, Fuchsia)</t>
  </si>
  <si>
    <t>VFF0008(FU,W40)</t>
  </si>
  <si>
    <t>VFF V-Soul(W40, Fuchsia)</t>
  </si>
  <si>
    <t>VFF0008(FU,W41)</t>
  </si>
  <si>
    <t>VFF V-Soul(W41, Fuchsia)</t>
  </si>
  <si>
    <t>VFF0008(LI/GN,W36)</t>
  </si>
  <si>
    <t>VFF V-Soul(W36, Lime Green)</t>
  </si>
  <si>
    <t>VFF0008(LI/GN,W37)</t>
  </si>
  <si>
    <t>VFF V-Soul(W37, Lime Green)</t>
  </si>
  <si>
    <t>VFF0008(LI/GN,W38)</t>
  </si>
  <si>
    <t>VFF V-Soul(W38, Lime Green)</t>
  </si>
  <si>
    <t>VFF0008(LI/GN,W39)</t>
  </si>
  <si>
    <t>VFF V-Soul(W39, Lime Green)</t>
  </si>
  <si>
    <t>VFF0008(LI/GN,W40)</t>
  </si>
  <si>
    <t>VFF V-Soul(W40, Lime Green)</t>
  </si>
  <si>
    <t>VFF0008(LI/GN,W41)</t>
  </si>
  <si>
    <t>VFF V-Soul(W41, Lime Green)</t>
  </si>
  <si>
    <t>VFF0008(BR,W37)</t>
  </si>
  <si>
    <t>VFF V-Soul(W37, Brown)</t>
  </si>
  <si>
    <t>VFF0008(BR,W38)</t>
  </si>
  <si>
    <t>VFF V-Soul(W38, Brown)</t>
  </si>
  <si>
    <t>VFF0008(BR,W39)</t>
  </si>
  <si>
    <t>VFF V-Soul(W39, Brown)</t>
  </si>
  <si>
    <t>VFF0008(BR,W40)</t>
  </si>
  <si>
    <t>VFF V-Soul(W40, Brown)</t>
  </si>
  <si>
    <t>VFF0008(PP,W36)</t>
  </si>
  <si>
    <t>VFF V-Soul(W36, Purple)</t>
  </si>
  <si>
    <t>VFF0008(PP,W37)</t>
  </si>
  <si>
    <t>VFF V-Soul(W37, Purple)</t>
  </si>
  <si>
    <t>VFF0008(PP,W38)</t>
  </si>
  <si>
    <t>VFF V-Soul(W38, Purple)</t>
  </si>
  <si>
    <t>VFF0008(PP,W39)</t>
  </si>
  <si>
    <t>VFF V-Soul(W39, Purple)</t>
  </si>
  <si>
    <t>VFF0008(PP,W40)</t>
  </si>
  <si>
    <t>VFF V-Soul(W40, Purple)</t>
  </si>
  <si>
    <t>VFF0008(PP,W41)</t>
  </si>
  <si>
    <t>VFF V-Soul(W41, Purple)</t>
  </si>
  <si>
    <t>VFF V-Soul(W39, Nude)</t>
  </si>
  <si>
    <t>VFF0009(DL/BK,M41)</t>
  </si>
  <si>
    <t>VFF KSO EVO(M41, Deep Lake/Black)</t>
  </si>
  <si>
    <t>VFF0009(YL/WT,M42)</t>
  </si>
  <si>
    <t>VFF KSO EVO(M42, Yellow/White)</t>
  </si>
  <si>
    <t>VFF0009(YL/WT,M43)</t>
  </si>
  <si>
    <t>VFF KSO EVO(M43, Yellow/White)</t>
  </si>
  <si>
    <t>VFF0009(YL/WT,M44)</t>
  </si>
  <si>
    <t>VFF KSO EVO(M44, Yellow/White)</t>
  </si>
  <si>
    <t>VFF0009(YL/WT,M45)</t>
  </si>
  <si>
    <t>VFF KSO EVO(M45, Yellow/White)</t>
  </si>
  <si>
    <t>VFF0009(YL/WT,M46)</t>
  </si>
  <si>
    <t>VFF KSO EVO(M46, Yellow/White)</t>
  </si>
  <si>
    <t>VFF0009(YL/WT,W37)</t>
  </si>
  <si>
    <t>VFF KSO EVO(W37, Yellow/White)</t>
  </si>
  <si>
    <t>VFF0009(YL/WT,W38)</t>
  </si>
  <si>
    <t>VFF KSO EVO(W38, Yellow/White)</t>
  </si>
  <si>
    <t>VFF0009(YL/WT,W39)</t>
  </si>
  <si>
    <t>VFF KSO EVO(W39, Yellow/White)</t>
  </si>
  <si>
    <t>VFF0009(YL/WT,W40)</t>
  </si>
  <si>
    <t>VFF KSO EVO(W40, Yellow/White)</t>
  </si>
  <si>
    <t>VFF0009(YL/WT,W41)</t>
  </si>
  <si>
    <t>VFF KSO EVO(W41, Yellow/White)</t>
  </si>
  <si>
    <t>VFF0013(BK,M42)</t>
  </si>
  <si>
    <t>VFF CVT-Hemp(M42, Black)</t>
  </si>
  <si>
    <t>VFF0013(BK,M43)</t>
  </si>
  <si>
    <t>VFF CVT-Hemp(M43, Black)</t>
  </si>
  <si>
    <t>VFF0013(BK,M44)</t>
  </si>
  <si>
    <t>VFF CVT-Hemp(M44, Black)</t>
  </si>
  <si>
    <t>VFF0013(BK,M45)</t>
  </si>
  <si>
    <t>VFF CVT-Hemp(M45, Black)</t>
  </si>
  <si>
    <t>VFF0013(KK,W36)</t>
  </si>
  <si>
    <t>VFF CVT-Hemp(W36, Khaki)</t>
  </si>
  <si>
    <t>VFF0013(KK,W37)</t>
  </si>
  <si>
    <t>VFF CVT-Hemp(W37, Khaki)</t>
  </si>
  <si>
    <t>VFF0013(KK,W38)</t>
  </si>
  <si>
    <t>VFF CVT-Hemp(W38, Khaki)</t>
  </si>
  <si>
    <t>VFF0013(KK,W39)</t>
  </si>
  <si>
    <t>VFF CVT-Hemp(W39, Khaki)</t>
  </si>
  <si>
    <t>VFF0013(KK,W40)</t>
  </si>
  <si>
    <t>VFF CVT-Hemp(W40, Khaki)</t>
  </si>
  <si>
    <t>VFF0017(BK/BK,M40)</t>
  </si>
  <si>
    <t>VFF V-Trek(M40, Black/Black)</t>
  </si>
  <si>
    <t>VFF0017(MIL/DGY,M41)</t>
  </si>
  <si>
    <t>VFF V-Trek(M41, Military/Dark Gray)</t>
  </si>
  <si>
    <t>VFF0017(MIL/DGY,M42)</t>
  </si>
  <si>
    <t>VFF V-Trek(M42, Military/Dark Gray)</t>
  </si>
  <si>
    <t>VFF0017(MIL/DGY,M43)</t>
  </si>
  <si>
    <t>VFF V-Trek(M43, Military/Dark Gray)</t>
  </si>
  <si>
    <t>VFF0017(MIL/DGY,M44)</t>
  </si>
  <si>
    <t>VFF V-Trek(M44, Military/Dark Gray)</t>
  </si>
  <si>
    <t>VFF0017(MIL/DGY,M45)</t>
  </si>
  <si>
    <t>VFF V-Trek(M45, Military/Dark Gray)</t>
  </si>
  <si>
    <t>VFF0018(BK,M41)</t>
  </si>
  <si>
    <t>VFF KMD Evo(M41, Black)</t>
  </si>
  <si>
    <t>VFF0018(BK,M42)</t>
  </si>
  <si>
    <t>VFF KMD Evo(M42, Black)</t>
  </si>
  <si>
    <t>VFF0018(BK,M43)</t>
  </si>
  <si>
    <t>VFF KMD Evo(M43, Black)</t>
  </si>
  <si>
    <t>VFF0018(BK,M44)</t>
  </si>
  <si>
    <t>VFF KMD Evo(M44, Black)</t>
  </si>
  <si>
    <t>VFF0018(BK,M45)</t>
  </si>
  <si>
    <t>VFF KMD Evo(M45, Black)</t>
  </si>
  <si>
    <t>VFF0018(BK,M46)</t>
  </si>
  <si>
    <t>VFF KMD Evo(M46, Black)</t>
  </si>
  <si>
    <t>VFF0018(YL/BL/RD,M42)</t>
  </si>
  <si>
    <t>VFF KMD Evo(M42, Yellow/Blue/Red)</t>
  </si>
  <si>
    <t>VFF0018(YL/BL/RD,M44)</t>
  </si>
  <si>
    <t>VFF KMD Evo(M44, Yellow/Blue/Red)</t>
  </si>
  <si>
    <t>VFF0018(YL/BL/RD,M47)</t>
  </si>
  <si>
    <t>VFF KMD Evo(M47, Yellow/Blue/Red)</t>
  </si>
  <si>
    <t>VFF0021(BK,M42)</t>
  </si>
  <si>
    <t>VFF Graspifier(M42, Black)</t>
  </si>
  <si>
    <t>VFF0021(BK,M43)</t>
  </si>
  <si>
    <t>VFF Graspifier(M43, Black)</t>
  </si>
  <si>
    <t>VFF0021(BK,M45)</t>
  </si>
  <si>
    <t>VFF Graspifier(M45, Black)</t>
  </si>
  <si>
    <t>VFF0021(BK,M46)</t>
  </si>
  <si>
    <t>VFF Graspifier(M46, Black)</t>
  </si>
  <si>
    <t>VFF0021(BK,M47)</t>
  </si>
  <si>
    <t>VFF Graspifier(M47, Black)</t>
  </si>
  <si>
    <t>VFF0021(IV/FU,W37)</t>
  </si>
  <si>
    <t>VFF Graspifier(W37, Ivory/Fuchsia)</t>
  </si>
  <si>
    <t>VFF0021(IV/FU,W38)</t>
  </si>
  <si>
    <t>VFF Graspifier(W38, Ivory/Fuchsia)</t>
  </si>
  <si>
    <t>VFF0021(IV/FU,W39)</t>
  </si>
  <si>
    <t>VFF Graspifier(W39, Ivory/Fuchsia)</t>
  </si>
  <si>
    <t>VFF0021(IV/FU,W40)</t>
  </si>
  <si>
    <t>VFF Graspifier(W40, Ivory/Fuchsia)</t>
  </si>
  <si>
    <t>VFF0021(IV/FU,W41)</t>
  </si>
  <si>
    <t>VFF Graspifier(W41, Ivory/Fuchsia)</t>
  </si>
  <si>
    <t>VFF0021(IV/FU,W42)</t>
  </si>
  <si>
    <t>VFF Graspifier(W42, Ivory/Fuchsia)</t>
  </si>
  <si>
    <t>VFF0021(TT/BK,M40)</t>
  </si>
  <si>
    <t>VFF Graspifier(M40, Total Black)</t>
  </si>
  <si>
    <t>VFF0021(TT/BK,M41)</t>
  </si>
  <si>
    <t>VFF Graspifier(M41, Total Black)</t>
  </si>
  <si>
    <t>VFF0021(TT/BK,M42)</t>
  </si>
  <si>
    <t>VFF Graspifier(M42, Total Black)</t>
  </si>
  <si>
    <t>VFF0021(TT/BK,M43)</t>
  </si>
  <si>
    <t>VFF Graspifier(M43, Total Black)</t>
  </si>
  <si>
    <t>VFF0021(TT/BK,M44)</t>
  </si>
  <si>
    <t>VFF Graspifier(M44, Total Black)</t>
  </si>
  <si>
    <t>VFF0021(TT/BK,M45)</t>
  </si>
  <si>
    <t>VFF Graspifier(M45, Total Black)</t>
  </si>
  <si>
    <t>VFF0021(TT/BK,M46)</t>
  </si>
  <si>
    <t>VFF Graspifier(M46, Total Black)</t>
  </si>
  <si>
    <t>VFF0021(TT/BK,M47)</t>
  </si>
  <si>
    <t>VFF Graspifier(M47, Total Black)</t>
  </si>
  <si>
    <t>VFF0022(BK,M41)</t>
  </si>
  <si>
    <t>VFF Breezandal(M41, Black)</t>
  </si>
  <si>
    <t>VFF0002(F/IV/GN,M41)</t>
  </si>
  <si>
    <t>VFF V-Run(M41, Fig/Ivory/A.Green)</t>
  </si>
  <si>
    <t>VFF0022(BK,M42)</t>
  </si>
  <si>
    <t>VFF Breezandal(M42, Black)</t>
  </si>
  <si>
    <t>VFF0002(F/IV/GN,M42)</t>
  </si>
  <si>
    <t>VFF V-Run(M42, Fig/Ivory/A.Green)</t>
  </si>
  <si>
    <t>VFF0022(BK,M43)</t>
  </si>
  <si>
    <t>VFF Breezandal(M43, Black)</t>
  </si>
  <si>
    <t>VFF0002(F/IV/GN,M43)</t>
  </si>
  <si>
    <t>VFF V-Run(M43, Fig/Ivory/A.Green)</t>
  </si>
  <si>
    <t>VFF0002(F/IV/GN,M44)</t>
  </si>
  <si>
    <t>VFF V-Run(M44, Fig/Ivory/A.Green)</t>
  </si>
  <si>
    <t>VFF0022(BK,M44)</t>
  </si>
  <si>
    <t>VFF Breezandal(M44, Black)</t>
  </si>
  <si>
    <t>VFF0002(F/IV/GN,M45)</t>
  </si>
  <si>
    <t>VFF V-Run(M45, Fig/Ivory/A.Green)</t>
  </si>
  <si>
    <t>VFF0022(BK,M45)</t>
  </si>
  <si>
    <t>VFF Breezandal(M45, Black)</t>
  </si>
  <si>
    <t>VFF0022(BK,W36)</t>
  </si>
  <si>
    <t>VFF Breezandal(W36, Black)</t>
  </si>
  <si>
    <t>VFF0022(BK,W37)</t>
  </si>
  <si>
    <t>VFF Breezandal(W37, Black)</t>
  </si>
  <si>
    <t>VFF0022(BK,W38)</t>
  </si>
  <si>
    <t>VFF Breezandal(W38, Black)</t>
  </si>
  <si>
    <t>VFF0022(BK,W39)</t>
  </si>
  <si>
    <t>VFF Breezandal(W39, Black)</t>
  </si>
  <si>
    <t>VFF0022(BK,W40)</t>
  </si>
  <si>
    <t>VFF Breezandal(W40, Black)</t>
  </si>
  <si>
    <t>VFF0002(TT/IV,W37)</t>
  </si>
  <si>
    <t>VFF V-Run(W37, Total Ivory)</t>
  </si>
  <si>
    <t>VFF0002(TT/IV,W38)</t>
  </si>
  <si>
    <t>VFF V-Run(W38, Total Ivory)</t>
  </si>
  <si>
    <t>VFF0022(BK,W41)</t>
  </si>
  <si>
    <t>VFF Breezandal(W41, Black)</t>
  </si>
  <si>
    <t>VFF0002(TT/IV,W39)</t>
  </si>
  <si>
    <t>VFF V-Run(W39, Total Ivory)</t>
  </si>
  <si>
    <t>VFF0002(TT/IV,W40)</t>
  </si>
  <si>
    <t>VFF V-Run(W40, Total Ivory)</t>
  </si>
  <si>
    <t>VFF0022(IV/G,M41)</t>
  </si>
  <si>
    <t>VFF Breezandal(M41, Ivory/Green)</t>
  </si>
  <si>
    <t>VFF0022(IV/G,M42)</t>
  </si>
  <si>
    <t>VFF Breezandal(M42, Ivory/Green)</t>
  </si>
  <si>
    <t>VFF0022(IV/G,M43)</t>
  </si>
  <si>
    <t>VFF Breezandal(M43, Ivory/Green)</t>
  </si>
  <si>
    <t>VFF0022(IV/G,M44)</t>
  </si>
  <si>
    <t>VFF Breezandal(M44, Ivory/Green)</t>
  </si>
  <si>
    <t>VFF0022(IV/G,M45)</t>
  </si>
  <si>
    <t>VFF Breezandal(M45, Ivory/Green)</t>
  </si>
  <si>
    <t>VFF0022(IV/G,M46)</t>
  </si>
  <si>
    <t>VFF Breezandal(M46, Ivory/Green)</t>
  </si>
  <si>
    <t>VFF0022(IV/G,W36)</t>
  </si>
  <si>
    <t>VFF Breezandal(W36, Ivory/Green)</t>
  </si>
  <si>
    <t>VFF0022(IV/G,W37)</t>
  </si>
  <si>
    <t>VFF Breezandal(W37, Ivory/Green)</t>
  </si>
  <si>
    <t>VFF0022(IV/G,W38)</t>
  </si>
  <si>
    <t>VFF Breezandal(W38, Ivory/Green)</t>
  </si>
  <si>
    <t>VFF0022(IV/G,W39)</t>
  </si>
  <si>
    <t>VFF Breezandal(W39, Ivory/Green)</t>
  </si>
  <si>
    <t>VFF0022(IV/G,W40)</t>
  </si>
  <si>
    <t>VFF Breezandal(W40, Ivory/Green)</t>
  </si>
  <si>
    <t>VFF0022(IV/G,W41)</t>
  </si>
  <si>
    <t>VFF Breezandal(W41, Ivory/Green)</t>
  </si>
  <si>
    <t>VFF0022(MT/BK,M41)</t>
  </si>
  <si>
    <t>VFF Breezandal(M41, Mustard/Black)</t>
  </si>
  <si>
    <t>VFF0022(MT/BK,M42)</t>
  </si>
  <si>
    <t>VFF Breezandal(M42, Mustard/Black)</t>
  </si>
  <si>
    <t>VFF0022(MT/BK,M43)</t>
  </si>
  <si>
    <t>VFF Breezandal(M43, Mustard/Black)</t>
  </si>
  <si>
    <t>VFF0022(MT/BK,M44)</t>
  </si>
  <si>
    <t>VFF Breezandal(M44, Mustard/Black)</t>
  </si>
  <si>
    <t>VFF0022(MT/BK,M45)</t>
  </si>
  <si>
    <t>VFF Breezandal(M45, Mustard/Black)</t>
  </si>
  <si>
    <t>VFF0022(MT/BK,M46)</t>
  </si>
  <si>
    <t>VFF Breezandal(M46, Mustard/Black)</t>
  </si>
  <si>
    <t>VFF0022(MT/BK,M47)</t>
  </si>
  <si>
    <t>VFF Breezandal(M47, Mustard/Black)</t>
  </si>
  <si>
    <t>VFF0023(BK,M40)</t>
  </si>
  <si>
    <t>VFF V-Alpha(M40, Black)</t>
  </si>
  <si>
    <t>VFF0023(BK,M41)</t>
  </si>
  <si>
    <t>VFF V-Alpha(M41, Black)</t>
  </si>
  <si>
    <t>VFF0023(BK,M42)</t>
  </si>
  <si>
    <t>VFF V-Alpha(M42, Black)</t>
  </si>
  <si>
    <t>VFF0023(BK,M43)</t>
  </si>
  <si>
    <t>VFF V-Alpha(M43, Black)</t>
  </si>
  <si>
    <t>VFF0009(BK,W36)</t>
  </si>
  <si>
    <t>VFF KSO EVO(W36, Black)</t>
  </si>
  <si>
    <t>VFF0023(BK,M44)</t>
  </si>
  <si>
    <t>VFF V-Alpha(M44, Black)</t>
  </si>
  <si>
    <t>VFF0023(BK,M45)</t>
  </si>
  <si>
    <t>VFF V-Alpha(M45, Black)</t>
  </si>
  <si>
    <t>VFF0023(BK,M46)</t>
  </si>
  <si>
    <t>VFF V-Alpha(M46, Black)</t>
  </si>
  <si>
    <t>VFF0023(BK,W36)</t>
  </si>
  <si>
    <t>VFF V-Alpha(W36, Black)</t>
  </si>
  <si>
    <t>VFF0023(BK,W37)</t>
  </si>
  <si>
    <t>VFF V-Alpha(W37, Black)</t>
  </si>
  <si>
    <t>VFF0023(BK,W38)</t>
  </si>
  <si>
    <t>VFF V-Alpha(W38, Black)</t>
  </si>
  <si>
    <t>VFF0023(BK,W39)</t>
  </si>
  <si>
    <t>VFF V-Alpha(W39, Black)</t>
  </si>
  <si>
    <t>VFF0023(BK,W40)</t>
  </si>
  <si>
    <t>VFF V-Alpha(W40, Black)</t>
  </si>
  <si>
    <t>VFF0023(DL,M40)</t>
  </si>
  <si>
    <t>VFF V-Alpha(M40, Deep Lake)</t>
  </si>
  <si>
    <t>VFF0023(DL,M41)</t>
  </si>
  <si>
    <t>VFF V-Alpha(M41, Deep Lake)</t>
  </si>
  <si>
    <t>VFF0023(DL,M42)</t>
  </si>
  <si>
    <t>VFF V-Alpha(M42, Deep Lake)</t>
  </si>
  <si>
    <t>VFF0023(DL,M43)</t>
  </si>
  <si>
    <t>VFF V-Alpha(M43, Deep Lake)</t>
  </si>
  <si>
    <t>VFF0023(DL,M44)</t>
  </si>
  <si>
    <t>VFF V-Alpha(M44, Deep Lake)</t>
  </si>
  <si>
    <t>VFF0023(DL,M46)</t>
  </si>
  <si>
    <t>VFF V-Alpha(M46, Deep Lake)</t>
  </si>
  <si>
    <t>VFF0023(DL,W36)</t>
  </si>
  <si>
    <t>VFF V-Alpha(W36, Deep Lake)</t>
  </si>
  <si>
    <t>VFF0023(DL,W37)</t>
  </si>
  <si>
    <t>VFF V-Alpha(W37, Deep Lake)</t>
  </si>
  <si>
    <t>VFF0023(DL,W38)</t>
  </si>
  <si>
    <t>VFF V-Alpha(W38, Deep Lake)</t>
  </si>
  <si>
    <t>VFF0023(DL,W39)</t>
  </si>
  <si>
    <t>VFF V-Alpha(W39, Deep Lake)</t>
  </si>
  <si>
    <t>VFF0023(DL,W40)</t>
  </si>
  <si>
    <t>VFF V-Alpha(W40, Deep Lake)</t>
  </si>
  <si>
    <t>VFF0023(LGN/BK,M40)</t>
  </si>
  <si>
    <t>VFF V-Alpha(M40, Lime Green/Black)</t>
  </si>
  <si>
    <t>VFF0023(LGN/BK,M41)</t>
  </si>
  <si>
    <t>VFF V-Alpha(M41, Lime Green/Black)</t>
  </si>
  <si>
    <t>VFF0023(LGN/BK,M42)</t>
  </si>
  <si>
    <t>VFF V-Alpha(M42, Lime Green/Black)</t>
  </si>
  <si>
    <t>VFF0023(LGN/BK,M43)</t>
  </si>
  <si>
    <t>VFF V-Alpha(M43, Lime Green/Black)</t>
  </si>
  <si>
    <t>VFF0023(LGN/BK,M44)</t>
  </si>
  <si>
    <t>VFF V-Alpha(M44, Lime Green/Black)</t>
  </si>
  <si>
    <t>VFF0023(LGN/BK,M45)</t>
  </si>
  <si>
    <t>VFF V-Alpha(M45, Lime Green/Black)</t>
  </si>
  <si>
    <t>VFF0022(IV/GN,W37)</t>
  </si>
  <si>
    <t>VFF0022(IV/GN,W38)</t>
  </si>
  <si>
    <t>VFF0023(LGN/BK,M46)</t>
  </si>
  <si>
    <t>VFF V-Alpha(M46, Lime Green/Black)</t>
  </si>
  <si>
    <t>VFF0022(IV/GN,W39)</t>
  </si>
  <si>
    <t>VFF0022(IV/GN,W40)</t>
  </si>
  <si>
    <t>VFF0024(BK,M40)</t>
  </si>
  <si>
    <t>VFF Trailope(M40, Black)</t>
  </si>
  <si>
    <t>VFF0022(IV/GN,W41)</t>
  </si>
  <si>
    <t>VFF0023(BK,M47)</t>
  </si>
  <si>
    <t>VFF V-Alpha(M47, Black)</t>
  </si>
  <si>
    <t>VFF0023(BK,M48)</t>
  </si>
  <si>
    <t>VFF V-Alpha(M48, Black)</t>
  </si>
  <si>
    <t>VFF0025(BK,U36)</t>
  </si>
  <si>
    <t>VFF Scramkey(U36, Black)</t>
  </si>
  <si>
    <t>VFF0025(BK,U37)</t>
  </si>
  <si>
    <t>VFF Scramkey(U37, Black)</t>
  </si>
  <si>
    <t>VFF0025(BK,U38)</t>
  </si>
  <si>
    <t>VFF Scramkey(U38, Black)</t>
  </si>
  <si>
    <t>VFF0025(BK,U39)</t>
  </si>
  <si>
    <t>VFF Scramkey(U39, Black)</t>
  </si>
  <si>
    <t>VFF0025(BK,U40)</t>
  </si>
  <si>
    <t>VFF Scramkey(U40, Black)</t>
  </si>
  <si>
    <t>VFF0024(BK,M47)</t>
  </si>
  <si>
    <t>VFF Trailope(M47, Black)</t>
  </si>
  <si>
    <t>VFF0025(BK,U46)</t>
  </si>
  <si>
    <t>VFF Scramkey(U46, Black)</t>
  </si>
  <si>
    <t>VFF0025(BK,U47)</t>
  </si>
  <si>
    <t>VFF Scramkey(U47, Black)</t>
  </si>
  <si>
    <t>VFF0026(FU,W37)</t>
  </si>
  <si>
    <t>VFF Spidrwalk(W37, Fuchsia)</t>
  </si>
  <si>
    <t>VFF0026(FU,W38)</t>
  </si>
  <si>
    <t>VFF Spidrwalk(W38, Fuchsia)</t>
  </si>
  <si>
    <t>VFF0026(FU,W39)</t>
  </si>
  <si>
    <t>VFF Spidrwalk(W39, Fuchsia)</t>
  </si>
  <si>
    <t>VFF0025(DL/BK,U46)</t>
  </si>
  <si>
    <t>VFF Scramkey(U46, Deep Lake/Black)</t>
  </si>
  <si>
    <t>VFF0026(FU,W40)</t>
  </si>
  <si>
    <t>VFF Spidrwalk(W40, Fuchsia)</t>
  </si>
  <si>
    <t>VFF0026(FU,W41)</t>
  </si>
  <si>
    <t>VFF Spidrwalk(W41, Fuchsia)</t>
  </si>
  <si>
    <t>VFF0025(DL/BK,U47)</t>
  </si>
  <si>
    <t>VFF Scramkey(U47, Deep Lake/Black)</t>
  </si>
  <si>
    <t>VFF0026(LI/GN,M40)</t>
  </si>
  <si>
    <t>VFF Spidrwalk(M40, Lime Green)</t>
  </si>
  <si>
    <t>VFF0026(LI/GN,M41)</t>
  </si>
  <si>
    <t>VFF Spidrwalk(M41, Lime Green)</t>
  </si>
  <si>
    <t>VFF0026(TT/BK,M41)</t>
  </si>
  <si>
    <t>VFF Spidrwalk(M41, Total Black)</t>
  </si>
  <si>
    <t>VFF0026(LI/GN,M42)</t>
  </si>
  <si>
    <t>VFF Spidrwalk(M42, Lime Green)</t>
  </si>
  <si>
    <t>VFF0026(TT/BK,M42)</t>
  </si>
  <si>
    <t>VFF Spidrwalk(M42, Total Black)</t>
  </si>
  <si>
    <t>VFF0026(LI/GN,M43)</t>
  </si>
  <si>
    <t>VFF Spidrwalk(M43, Lime Green)</t>
  </si>
  <si>
    <t>VFF0026(LI/GN,M44)</t>
  </si>
  <si>
    <t>VFF Spidrwalk(M44, Lime Green)</t>
  </si>
  <si>
    <t>VFF0026(TT/BK,M43)</t>
  </si>
  <si>
    <t>VFF Spidrwalk(M43, Total Black)</t>
  </si>
  <si>
    <t>VFF0026(LI/GN,M45)</t>
  </si>
  <si>
    <t>VFF Spidrwalk(M45, Lime Green)</t>
  </si>
  <si>
    <t>VFF0026(TT/BK,M40)</t>
  </si>
  <si>
    <t>VFF Spidrwalk(M40, Total Black)</t>
  </si>
  <si>
    <t>VFF0026(TT/BK,M44)</t>
  </si>
  <si>
    <t>VFF Spidrwalk(M44, Total Black)</t>
  </si>
  <si>
    <t>VFF0026(TT/BK,M45)</t>
  </si>
  <si>
    <t>VFF Spidrwalk(M45, Total Black)</t>
  </si>
  <si>
    <t>VFF0026(TT/BK,W37)</t>
  </si>
  <si>
    <t>VFF Spidrwalk(W37, Total Black)</t>
  </si>
  <si>
    <t>VFF0026(TT/BK,M46)</t>
  </si>
  <si>
    <t>VFF0026(TT/BK,W38)</t>
  </si>
  <si>
    <t>VFF Spidrwalk(M46, Total Black)</t>
  </si>
  <si>
    <t>VFF Spidrwalk(W38, Total Black)</t>
  </si>
  <si>
    <t>VFF0026(TT/BK,W39)</t>
  </si>
  <si>
    <t>VFF Spidrwalk(W39, Total Black)</t>
  </si>
  <si>
    <t>VFF0026(TT/BK,W40)</t>
  </si>
  <si>
    <t>VFF Spidrwalk(W40, Total Black)</t>
  </si>
  <si>
    <t>VFF0026(TT/BK,W41)</t>
  </si>
  <si>
    <t>VFF Spidrwalk(W41, Total Black)</t>
  </si>
  <si>
    <t>VFF0030(BK,M40)</t>
  </si>
  <si>
    <t>VFF Groundsplay(M40, Black)</t>
  </si>
  <si>
    <t>VFF0026(FU,W36)</t>
  </si>
  <si>
    <t>VFF Spidrwalk(W36, Fuchsia)</t>
  </si>
  <si>
    <t>VFF0030(BK,M41)</t>
  </si>
  <si>
    <t>VFF Groundsplay(M41, Black)</t>
  </si>
  <si>
    <t>VFF0030(BK,M42)</t>
  </si>
  <si>
    <t>VFF Groundsplay(M42, Black)</t>
  </si>
  <si>
    <t>VFF0030(BK,M43)</t>
  </si>
  <si>
    <t>VFF Groundsplay(M43, Black)</t>
  </si>
  <si>
    <t>VFF0030(BK,M44)</t>
  </si>
  <si>
    <t>VFF Groundsplay(M44, Black)</t>
  </si>
  <si>
    <t>VFF0030(BK,M45)</t>
  </si>
  <si>
    <t>VFF Groundsplay(M45, Black)</t>
  </si>
  <si>
    <t>VFF0030(BK,M46)</t>
  </si>
  <si>
    <t>VFF Groundsplay(M46, Black)</t>
  </si>
  <si>
    <t>MTB0002(ZB/NV,25.5)</t>
  </si>
  <si>
    <t>Marugo Tabi Hitoe+(25.5, Zebra Navy)</t>
  </si>
  <si>
    <t>MTB0002(ZB/NV,26)</t>
  </si>
  <si>
    <t>Marugo Tabi Hitoe+(26, Zebra Navy)</t>
  </si>
  <si>
    <t>MTB0002(ZB/NV,26.5)</t>
  </si>
  <si>
    <t>Marugo Tabi Hitoe+(26.5, Zebra Navy)</t>
  </si>
  <si>
    <t>MTB0002(ZB/NV,27)</t>
  </si>
  <si>
    <t>Marugo Tabi Hitoe+(27, Zebra Navy)</t>
  </si>
  <si>
    <t>MTB0002(ZB/NV,27.5)</t>
  </si>
  <si>
    <t>Marugo Tabi Hitoe+(27.5, Zebra Navy)</t>
  </si>
  <si>
    <t>MTB0002(ZB/NV,28)</t>
  </si>
  <si>
    <t>Marugo Tabi Hitoe+(28, Zebra Navy)</t>
  </si>
  <si>
    <t>MTB0002(ZB/WT,25.5)</t>
  </si>
  <si>
    <t>Marugo Tabi Hitoe+(25.5, Zebra White)</t>
  </si>
  <si>
    <t>MTB0002(ZB/WT,26)</t>
  </si>
  <si>
    <t>Marugo Tabi Hitoe+(26, Zebra White)</t>
  </si>
  <si>
    <t>MTB0002(ZB/WT,26.5)</t>
  </si>
  <si>
    <t>Marugo Tabi Hitoe+(26.5, Zebra White)</t>
  </si>
  <si>
    <t>MTB0002(ZB/WT,27)</t>
  </si>
  <si>
    <t>Marugo Tabi Hitoe+(27, Zebra White)</t>
  </si>
  <si>
    <t>MTB0002(ZB/WT,27.5)</t>
  </si>
  <si>
    <t>Marugo Tabi Hitoe+(27.5, Zebra White)</t>
  </si>
  <si>
    <t>MTB0002(ZB/WT,28)</t>
  </si>
  <si>
    <t>Marugo Tabi Hitoe+(28, Zebra White)</t>
  </si>
  <si>
    <t>MTB0002(ZB/WT,29)</t>
  </si>
  <si>
    <t>Marugo Tabi Hitoe+(29, Zebra White)</t>
  </si>
  <si>
    <t>MTB0001(BK,26)</t>
  </si>
  <si>
    <t>Marugo TabiRela(26, Black)</t>
  </si>
  <si>
    <t>MTB0001(BK,26.5)</t>
  </si>
  <si>
    <t>Marugo TabiRela(26.5, Black)</t>
  </si>
  <si>
    <t>BFJ0001(BL,L)</t>
  </si>
  <si>
    <t>BFJ Socks(L, Blue)</t>
  </si>
  <si>
    <t>BFJ0001(BL,M)</t>
  </si>
  <si>
    <t>MTB0001(DN,23)</t>
  </si>
  <si>
    <t>BFJ Socks(M, Blue)</t>
  </si>
  <si>
    <t>Marugo TabiRela(23, Denim)</t>
  </si>
  <si>
    <t>MTB0001(DN,23.5)</t>
  </si>
  <si>
    <t>Marugo TabiRela(23.5, Denim)</t>
  </si>
  <si>
    <t>MTB0001(DN,24)</t>
  </si>
  <si>
    <t>Marugo TabiRela(24, Denim)</t>
  </si>
  <si>
    <t>MTB0001(DN,24.5)</t>
  </si>
  <si>
    <t>Marugo TabiRela(24.5, Denim)</t>
  </si>
  <si>
    <t>BFJ0001(PK,M)</t>
  </si>
  <si>
    <t>BFJ Socks(M, Pink)</t>
  </si>
  <si>
    <t>MTB0001(DN,25)</t>
  </si>
  <si>
    <t>Marugo TabiRela(25, Denim)</t>
  </si>
  <si>
    <t>BFJ0001(PK,S)</t>
  </si>
  <si>
    <t>BFJ Socks(S, Pink)</t>
  </si>
  <si>
    <t>MTB0001(DN,25.5)</t>
  </si>
  <si>
    <t>Marugo TabiRela(25.5, Denim)</t>
  </si>
  <si>
    <t>BFJ0001(YL,L)</t>
  </si>
  <si>
    <t>BFJ Socks(L, Yellow)</t>
  </si>
  <si>
    <t>BFJ0001(YL,M)</t>
  </si>
  <si>
    <t>BFJ Socks(M, Yellow)</t>
  </si>
  <si>
    <t>MTB0001(DN,26)</t>
  </si>
  <si>
    <t>Marugo TabiRela(26, Denim)</t>
  </si>
  <si>
    <t>MTB0001(DN,26.5)</t>
  </si>
  <si>
    <t>Marugo TabiRela(26.5, Denim)</t>
  </si>
  <si>
    <t>MTB0001(DN,27)</t>
  </si>
  <si>
    <t>Marugo TabiRela(27, Denim)</t>
  </si>
  <si>
    <t>VFF0027(BK,XL)</t>
  </si>
  <si>
    <t>MTB0001(LM,23)</t>
  </si>
  <si>
    <t>VFF Socks Mini Crew Summer(XL, Black)</t>
  </si>
  <si>
    <t>Marugo TabiRela(23, Lemon)</t>
  </si>
  <si>
    <t>VFF0027(IV,S)</t>
  </si>
  <si>
    <t>VFF Socks Mini Crew Summer(S, Ivory)</t>
  </si>
  <si>
    <t>MTB0001(LM,23.5)</t>
  </si>
  <si>
    <t>Marugo TabiRela(23.5, Lemon)</t>
  </si>
  <si>
    <t>MTB0001(LM,24)</t>
  </si>
  <si>
    <t>Marugo TabiRela(24, Lemon)</t>
  </si>
  <si>
    <t>VFF0027(IV,XL)</t>
  </si>
  <si>
    <t>VFF Socks Mini Crew Summer(XL, Ivory)</t>
  </si>
  <si>
    <t>MTB0001(LM,24.5)</t>
  </si>
  <si>
    <t>Marugo TabiRela(24.5, Lemon)</t>
  </si>
  <si>
    <t>VFF0027(FI,S)</t>
  </si>
  <si>
    <t>VFF Socks Mini Crew Summer(S, Fig)</t>
  </si>
  <si>
    <t>VFF0027(FI,M)</t>
  </si>
  <si>
    <t>VFF Socks Mini Crew Summer(M, Fig)</t>
  </si>
  <si>
    <t>MTB0001(NG/C,23)</t>
  </si>
  <si>
    <t>Marugo TabiRela(23, Nagi/Calm)</t>
  </si>
  <si>
    <t>VFF0027(FI,L)</t>
  </si>
  <si>
    <t>VFF Socks Mini Crew Summer(L, Fig)</t>
  </si>
  <si>
    <t>MTB0001(NG/C,23.5)</t>
  </si>
  <si>
    <t>Marugo TabiRela(23.5, Nagi/Calm)</t>
  </si>
  <si>
    <t>VFF0027(FI,XL)</t>
  </si>
  <si>
    <t>VFF Socks Mini Crew Summer(XL, Fig)</t>
  </si>
  <si>
    <t>VFF0027(LI,S)</t>
  </si>
  <si>
    <t>VFF Socks Mini Crew Summer(S, Lime)</t>
  </si>
  <si>
    <t>MTB0001(NG/C,24)</t>
  </si>
  <si>
    <t>Marugo TabiRela(24, Nagi/Calm)</t>
  </si>
  <si>
    <t>MTB0001(NG/C,24.5)</t>
  </si>
  <si>
    <t>Marugo TabiRela(24.5, Nagi/Calm)</t>
  </si>
  <si>
    <t>VFF0027(LI,XL)</t>
  </si>
  <si>
    <t>VFF Socks Mini Crew Summer(XL, Lime)</t>
  </si>
  <si>
    <t>MTB0001(SV,23)</t>
  </si>
  <si>
    <t>Marugo TabiRela(23, Silver)</t>
  </si>
  <si>
    <t>VFF0028(BK,S)</t>
  </si>
  <si>
    <t>VFF Socks Crew Summer(S, Black)</t>
  </si>
  <si>
    <t>MTB0001(SV,23.5)</t>
  </si>
  <si>
    <t>Marugo TabiRela(23.5, Silver)</t>
  </si>
  <si>
    <t>MTB0001(SV,24)</t>
  </si>
  <si>
    <t>Marugo TabiRela(24, Silver)</t>
  </si>
  <si>
    <t>MTB0001(SV,24.5)</t>
  </si>
  <si>
    <t>Marugo TabiRela(24.5, Silver)</t>
  </si>
  <si>
    <t>VFF0028(BK,M)</t>
  </si>
  <si>
    <t>VFF Socks Crew Summer(M, Black)</t>
  </si>
  <si>
    <t>MTB0001(SV,25)</t>
  </si>
  <si>
    <t>Marugo TabiRela(25, Silver)</t>
  </si>
  <si>
    <t>VFF0028(BK,L)</t>
  </si>
  <si>
    <t>VFF Socks Crew Summer(L, Black)</t>
  </si>
  <si>
    <t>MTB0001(TK/M,22.5)</t>
  </si>
  <si>
    <t>VFF0028(BK,XL)</t>
  </si>
  <si>
    <t>VFF Socks Crew Summer(XL, Black)</t>
  </si>
  <si>
    <t>Marugo TabiRela(22.5, Tsuki/Moon)</t>
  </si>
  <si>
    <t>VFF0029(BK,S)</t>
  </si>
  <si>
    <t>VFF Socks High Crew Summer(S, Black)</t>
  </si>
  <si>
    <t>MTB0001(TK/M,23)</t>
  </si>
  <si>
    <t>Marugo TabiRela(23, Tsuki/Moon)</t>
  </si>
  <si>
    <t>VFF0029(BK,M)</t>
  </si>
  <si>
    <t>VFF Socks High Crew Summer(M, Black)</t>
  </si>
  <si>
    <t>MTB0001(TK/M,23.5)</t>
  </si>
  <si>
    <t>Marugo TabiRela(23.5, Tsuki/Moon)</t>
  </si>
  <si>
    <t>VFF0029(BK,L)</t>
  </si>
  <si>
    <t>VFF Socks High Crew Summer(L, Black)</t>
  </si>
  <si>
    <t>MTB0001(TK/M,24)</t>
  </si>
  <si>
    <t>Marugo TabiRela(24, Tsuki/Moon)</t>
  </si>
  <si>
    <t>VFF0029(BK,XL)</t>
  </si>
  <si>
    <t>VFF Socks High Crew Summer(XL, Black)</t>
  </si>
  <si>
    <t>MTB0001(TK/M,24.5)</t>
  </si>
  <si>
    <t>Marugo TabiRela(24.5, Tsuki/Moon)</t>
  </si>
  <si>
    <t>MTB0001(TK/M,25)</t>
  </si>
  <si>
    <t>Marugo TabiRela(25, Tsuki/Moon)</t>
  </si>
  <si>
    <t>MTB0001(UM/O,22)</t>
  </si>
  <si>
    <t>Marugo TabiRela(22, Umi/Ocean)</t>
  </si>
  <si>
    <t>MTB0001(UM/O,22.5)</t>
  </si>
  <si>
    <t>Marugo TabiRela(22.5, Umi/Ocean)</t>
  </si>
  <si>
    <t>MTB0001(UM/O,23)</t>
  </si>
  <si>
    <t>Marugo TabiRela(23, Umi/Ocean)</t>
  </si>
  <si>
    <t>MTB0001(UM/O,23.5)</t>
  </si>
  <si>
    <t>Marugo TabiRela(23.5, Umi/Ocean)</t>
  </si>
  <si>
    <t>MTB0001(UM/O,24)</t>
  </si>
  <si>
    <t>Marugo TabiRela(24, Umi/Ocean)</t>
  </si>
  <si>
    <t>MTB0001(UM/O,24.5)</t>
  </si>
  <si>
    <t>Marugo TabiRela(24.5, Umi/Ocean)</t>
  </si>
  <si>
    <t>MTB0001(UM/O,25)</t>
  </si>
  <si>
    <t>Marugo TabiRela(25, Umi/Ocean)</t>
  </si>
  <si>
    <t>MTB0001(UM/O,25.5)</t>
  </si>
  <si>
    <t>Marugo TabiRela(25.5, Umi/Ocean)</t>
  </si>
  <si>
    <t>MTB0002(ZB/NV,25)</t>
  </si>
  <si>
    <t>Marugo Tabi Hitoe+(25, Zebra Navy)</t>
  </si>
  <si>
    <t>MTB0002(ZB/WT,24)</t>
  </si>
  <si>
    <t>Marugo Tabi Hitoe+(24, Zebra White)</t>
  </si>
  <si>
    <t>MTB0002(ZB/WT,24.5)</t>
  </si>
  <si>
    <t>Marugo Tabi Hitoe+(24.5, Zebra White)</t>
  </si>
  <si>
    <t>MTB0002(ZB/WT,30)</t>
  </si>
  <si>
    <t>Marugo Tabi Hitoe+(30, Zebra White)</t>
  </si>
  <si>
    <t>BFJ0001(BL,S)</t>
  </si>
  <si>
    <t>BFJ Socks(S, Blue)</t>
  </si>
  <si>
    <t>BFJ0001(YL,S)</t>
  </si>
  <si>
    <t>BFJ Socks(S, Yellow)</t>
  </si>
  <si>
    <t>OLN0003(RD/PP,25)</t>
  </si>
  <si>
    <t>Oleno Ultimate SHR(23-25, Red Purple)</t>
  </si>
  <si>
    <t>OLN0007(DN,25)</t>
  </si>
  <si>
    <t>Oleno Hadashi Socks Road(23-25, Denim)</t>
  </si>
  <si>
    <t>OLN0007(DN,27)</t>
  </si>
  <si>
    <t>Oleno Hadashi Socks Road(25-27, Denim)</t>
  </si>
  <si>
    <t>OLN0007(DN,29)</t>
  </si>
  <si>
    <t>Oleno Hadashi Socks Road(27-29, Denim)</t>
  </si>
  <si>
    <t>OLN0007(W/M,25)</t>
  </si>
  <si>
    <t>Oleno Hadashi Socks Road(23-25, Wine Mix)</t>
  </si>
  <si>
    <t>OLN0007(W/M,27)</t>
  </si>
  <si>
    <t>Oleno Hadashi Socks Road(25-27, Wine Mix)</t>
  </si>
  <si>
    <t>OLN0009(DN,25)</t>
  </si>
  <si>
    <t>Oleno Hadashi Socks Openfinger(23-25, Denim)</t>
  </si>
  <si>
    <t>OLN0009(DN,27)</t>
  </si>
  <si>
    <t>Oleno Hadashi Socks Openfinger(25-27, Denim)</t>
  </si>
  <si>
    <t>OLN0009(DN,29)</t>
  </si>
  <si>
    <t>Oleno Hadashi Socks Openfinger(27-29, Denim)</t>
  </si>
  <si>
    <t>CP0002(BK)</t>
  </si>
  <si>
    <t>CP Multi-Chill(Black)</t>
  </si>
  <si>
    <t>CP0002(GY,24)</t>
  </si>
  <si>
    <t>CP Multi-Chill(Gray)</t>
  </si>
  <si>
    <t>CP0002(WT)</t>
  </si>
  <si>
    <t>CP Multi-Chill(White)</t>
  </si>
  <si>
    <t>CP0002(CMNV,24)</t>
  </si>
  <si>
    <t>CP Multi-Chill(Camo Navy)</t>
  </si>
  <si>
    <t>CP0002(CMGY,24)</t>
  </si>
  <si>
    <t>CP Multi-Chill(Camo Gray)</t>
  </si>
  <si>
    <t>CP0002(CMF)</t>
  </si>
  <si>
    <t>CP Multi-Chill(Camouflage)</t>
  </si>
  <si>
    <t>CP0003(HBL)</t>
  </si>
  <si>
    <t>CP Outdoor Chill Towel(Heritage Blue)</t>
  </si>
  <si>
    <t>CP0003(SBL)</t>
  </si>
  <si>
    <t>CP Outdoor Chill Towel(Sky Blue)</t>
  </si>
  <si>
    <t>CP0003(BL)</t>
  </si>
  <si>
    <t>CP Outdoor Chill Towel(Diva Blue)</t>
  </si>
  <si>
    <t>CP0004(TQ,24)</t>
  </si>
  <si>
    <t>CP Sports Chill Towel(Turquoise)</t>
  </si>
  <si>
    <t>CP0004(FU,24)</t>
  </si>
  <si>
    <t>CP Sports Chill Towel(Fuscia)</t>
  </si>
  <si>
    <t>CP0004(YL,24)</t>
  </si>
  <si>
    <t>CP Sports Chill Towel(Yellow)</t>
  </si>
  <si>
    <t>CP0004(BK)</t>
  </si>
  <si>
    <t>CP Sports Chill Towel(Black)</t>
  </si>
  <si>
    <t>CP0004(DGY)</t>
  </si>
  <si>
    <t>CP Sports Chill Towel(Dark Gray)</t>
  </si>
  <si>
    <t>CP0004(BL)</t>
  </si>
  <si>
    <t>CP Sports Chill Towel(Diva Blue)</t>
  </si>
  <si>
    <t>VFF V-Alpha(M45, Deep Lake)</t>
  </si>
  <si>
    <t>VFF0023(DL,M45)</t>
  </si>
  <si>
    <t>VFF KSO EVO(M41, Fig/A Green)</t>
  </si>
  <si>
    <t>VFF0009(F/GN,M41)</t>
  </si>
  <si>
    <t>VFF KSO EVO(W41, Deep Lake/Black)</t>
  </si>
  <si>
    <t>VFF0009(DL/BK,W41)</t>
  </si>
  <si>
    <t>VFF V-Train 2.0(W41, Black/Black)</t>
  </si>
  <si>
    <t>VFF0005(BK/BK,W41)</t>
  </si>
  <si>
    <t>VFF V-Run(M45, Brown Ivory/Black)</t>
  </si>
  <si>
    <t>VFF0002(BR/IV/BK,M45)</t>
  </si>
  <si>
    <t>VFF V-Run(M44, Brown Ivory/Black)</t>
  </si>
  <si>
    <t>VFF0002(BR/IV/BK,M44)</t>
  </si>
  <si>
    <t>VFF V-Run(M43, Brown Ivory/Black)</t>
  </si>
  <si>
    <t>VFF0002(BR/IV/BK,M43)</t>
  </si>
  <si>
    <t>VFF V-Run(M42, Brown Ivory/Black)</t>
  </si>
  <si>
    <t>VFF0002(BR/IV/BK,M42)</t>
  </si>
  <si>
    <t>VFF V-Run(M41, Brown Ivory/Black)</t>
  </si>
  <si>
    <t>VFF0002(BR/IV/BK,M41)</t>
  </si>
  <si>
    <t>VFF V-Run(M40, Brown Ivory/Black)</t>
  </si>
  <si>
    <t>VFF0002(BR/IV/BK,M40)</t>
  </si>
  <si>
    <t>Siam Discovery</t>
  </si>
  <si>
    <t>22/9/2026 14:28+07:00</t>
  </si>
  <si>
    <t>Date Time</t>
  </si>
  <si>
    <t>acc.bftcoltd@gmail.com</t>
  </si>
  <si>
    <t>Exported by</t>
  </si>
  <si>
    <t>VFF Groundsplay(M47, Black)</t>
  </si>
  <si>
    <t>VFF0030(BK,M47)</t>
  </si>
  <si>
    <t>VFF Spidrwalk(W36, Total Black)</t>
  </si>
  <si>
    <t>VFF0026(TT/BK,W36)</t>
  </si>
  <si>
    <t>VFF Spidrwalk(M47, Total Black)</t>
  </si>
  <si>
    <t>VFF0026(TT/BK,M47)</t>
  </si>
  <si>
    <t>VFF Spidrwalk(M47, Lime Green)</t>
  </si>
  <si>
    <t>VFF0026(LI/GN,M47)</t>
  </si>
  <si>
    <t>VFF Spidrwalk(M46, Lime Green)</t>
  </si>
  <si>
    <t>VFF0026(LI/GN,M46)</t>
  </si>
  <si>
    <t>VFF Scramkey(U48, Black)</t>
  </si>
  <si>
    <t>VFF0025(BK,U48)</t>
  </si>
  <si>
    <t>VFF Trailope(M47, Deep Lake)</t>
  </si>
  <si>
    <t>VFF0024(DL,M47)</t>
  </si>
  <si>
    <t>VFF Trailope(M46, Deep Lake)</t>
  </si>
  <si>
    <t>VFF0024(DL,M46)</t>
  </si>
  <si>
    <t>VFF Trailope(M40, Deep Lake)</t>
  </si>
  <si>
    <t>VFF0024(DL,M40)</t>
  </si>
  <si>
    <t>VFF V-Alpha(M47, Lime Green/Black)</t>
  </si>
  <si>
    <t>VFF0023(LGN/BK,M47)</t>
  </si>
  <si>
    <t>VFF V-Alpha(W41, Deep Lake)</t>
  </si>
  <si>
    <t>VFF0023(DL,W41)</t>
  </si>
  <si>
    <t>VFF V-Alpha(M47, Deep Lake)</t>
  </si>
  <si>
    <t>VFF0023(DL,M47)</t>
  </si>
  <si>
    <t>VFF V-Alpha(M39, Black)</t>
  </si>
  <si>
    <t>VFF0023(BK,M39)</t>
  </si>
  <si>
    <t>VFF Breezandal(M40, Mustard/Black)</t>
  </si>
  <si>
    <t>VFF0022(MT/BK,M40)</t>
  </si>
  <si>
    <t>VFF Breezandal(W42, Ivory/Green)</t>
  </si>
  <si>
    <t>VFF0022(IV/GN,W42)</t>
  </si>
  <si>
    <t>VFF0022(IV/GN,M45)</t>
  </si>
  <si>
    <t>VFF0022(IV/GN,M44)</t>
  </si>
  <si>
    <t>VFF0022(IV/GN,M43)</t>
  </si>
  <si>
    <t>VFF0022(IV/GN,M42)</t>
  </si>
  <si>
    <t>VFF0022(IV/GN,M41)</t>
  </si>
  <si>
    <t>VFF Breezandal(M40, Ivory/Green)</t>
  </si>
  <si>
    <t>VFF0022(IV/GN,M40)</t>
  </si>
  <si>
    <t>VFF Breezandal(M39, Black)</t>
  </si>
  <si>
    <t>VFF0022(BK,M39)</t>
  </si>
  <si>
    <t>VFF CVT-Hemp(M47, Black)</t>
  </si>
  <si>
    <t>VFF0013(BK,M47)</t>
  </si>
  <si>
    <t>VFF CVT-Hemp(M46, Black)</t>
  </si>
  <si>
    <t>VFF0013(BK,M46)</t>
  </si>
  <si>
    <t>VFF CVT-Hemp(M41, Black)</t>
  </si>
  <si>
    <t>VFF0013(BK,M41)</t>
  </si>
  <si>
    <t>VFF KSO EVO(W41, Fig/A Green)</t>
  </si>
  <si>
    <t>VFF0009(F/GN,W41)</t>
  </si>
  <si>
    <t>VFF KSO EVO(W40, Fig/A Green)</t>
  </si>
  <si>
    <t>VFF0009(F/GN,W40)</t>
  </si>
  <si>
    <t>VFF KSO EVO(W39, Fig/A Green)</t>
  </si>
  <si>
    <t>VFF0009(F/GN,W39)</t>
  </si>
  <si>
    <t>VFF KSO EVO(W38, Fig/A Green)</t>
  </si>
  <si>
    <t>VFF0009(F/GN,W38)</t>
  </si>
  <si>
    <t>VFF KSO EVO(W37, Fig/A Green)</t>
  </si>
  <si>
    <t>VFF0009(F/GN,W37)</t>
  </si>
  <si>
    <t>VFF KSO EVO(M47, Fig/A Green)</t>
  </si>
  <si>
    <t>VFF0009(F/GN,M47)</t>
  </si>
  <si>
    <t>VFF KSO EVO(M46, Fig/A Green)</t>
  </si>
  <si>
    <t>VFF0009(F/GN,M46)</t>
  </si>
  <si>
    <t>VFF KSO EVO(W36, Deep Lake/Black)</t>
  </si>
  <si>
    <t>VFF0009(DL/BK,W36)</t>
  </si>
  <si>
    <t>VFF KSO EVO(M47, Deep Lake/Black)</t>
  </si>
  <si>
    <t>VFF0009(DL/BK,M47)</t>
  </si>
  <si>
    <t>VFF KSO EVO(M46, Deep Lake/Black)</t>
  </si>
  <si>
    <t>VFF0009(DL/BK,M46)</t>
  </si>
  <si>
    <t>VFF KSO EVO(M40, Deep Lake/Black)</t>
  </si>
  <si>
    <t>VFF0009(DL/BK,M40)</t>
  </si>
  <si>
    <t>VFF KSO EVO(W42, Black)</t>
  </si>
  <si>
    <t>VFF0009(BK,W42)</t>
  </si>
  <si>
    <t>VFF KSO EVO(W35, Black)</t>
  </si>
  <si>
    <t>VFF0009(BK,W35)</t>
  </si>
  <si>
    <t>VFF KSO EVO(M48, Black)</t>
  </si>
  <si>
    <t>VFF0009(BK,M48)</t>
  </si>
  <si>
    <t>VFF V-Soul(W35, Silver)</t>
  </si>
  <si>
    <t>VFF0008(SV,W35)</t>
  </si>
  <si>
    <t>VFF V-Soul(W42, Nude)</t>
  </si>
  <si>
    <t>VFF0008(NU,W42)</t>
  </si>
  <si>
    <t>VFF V-Soul(W41, Nude)</t>
  </si>
  <si>
    <t>VFF0008(NU,W41)</t>
  </si>
  <si>
    <t>VFF V-Soul(W40, Nude)</t>
  </si>
  <si>
    <t>VFF0008(NU,W40)</t>
  </si>
  <si>
    <t>VFF0008(NU,W39)</t>
  </si>
  <si>
    <t>VFF V-Soul(W38, Nude)</t>
  </si>
  <si>
    <t>VFF0008(NU,W38)</t>
  </si>
  <si>
    <t>VFF V-Soul(W37, Nude)</t>
  </si>
  <si>
    <t>VFF0008(NU,W37)</t>
  </si>
  <si>
    <t>VFF V-Soul(W36, Nude)</t>
  </si>
  <si>
    <t>VFF0008(NU,W36)</t>
  </si>
  <si>
    <t>VFF V-Soul(W35, Nude)</t>
  </si>
  <si>
    <t>VFF0008(NU,W35)</t>
  </si>
  <si>
    <t>VFF V-Soul(W42, Fuchsia)</t>
  </si>
  <si>
    <t>VFF0008(FU,W42)</t>
  </si>
  <si>
    <t>VFF V-Soul(W41, Fig/A. Green)</t>
  </si>
  <si>
    <t>VFF0008(F/GN,W41)</t>
  </si>
  <si>
    <t>VFF V-Soul(W38, Fig/A. Green)</t>
  </si>
  <si>
    <t>VFF0008(F/GN,W38)</t>
  </si>
  <si>
    <t>VFF V-Soul(W37, Fig/A. Green)</t>
  </si>
  <si>
    <t>VFF0008(F/GN,W37)</t>
  </si>
  <si>
    <t>VFF V-Soul(W41, Brown)</t>
  </si>
  <si>
    <t>VFF0008(BR,W41)</t>
  </si>
  <si>
    <t>VFF0008(BK26,W42)</t>
  </si>
  <si>
    <t>VFF0008(BK26,W35)</t>
  </si>
  <si>
    <t>VFF V-Soul(W43, Baby Blue)</t>
  </si>
  <si>
    <t>VFF0008(BB/BL,W43)</t>
  </si>
  <si>
    <t>VFF V-Soul(W42, Baby Blue)</t>
  </si>
  <si>
    <t>VFF0008(BB/BL,W42)</t>
  </si>
  <si>
    <t>VFF V-Soul(W35, Baby Blue)</t>
  </si>
  <si>
    <t>VFF0008(BB/BL,W35)</t>
  </si>
  <si>
    <t>VFF V-Train 2.0(W42, Black/Black)</t>
  </si>
  <si>
    <t>VFF0005(BK/BK,W42)</t>
  </si>
  <si>
    <t>VFF V-Train 2.0(W36, Black/Black)</t>
  </si>
  <si>
    <t>VFF0005(BK/BK,W36)</t>
  </si>
  <si>
    <t>VFF V-Run(W41, Total Ivory)</t>
  </si>
  <si>
    <t>VFF0002(TT/IV,W41)</t>
  </si>
  <si>
    <t>VFF V-Run(W36, Total Ivory)</t>
  </si>
  <si>
    <t>VFF0002(TT/IV,W36)</t>
  </si>
  <si>
    <t>VFF V-Run(M46, Total Ivory)</t>
  </si>
  <si>
    <t>VFF0002(TT/IV,M46)</t>
  </si>
  <si>
    <t>VFF V-Run(M45, Total Ivory)</t>
  </si>
  <si>
    <t>VFF0002(TT/IV,M45)</t>
  </si>
  <si>
    <t>VFF V-Run(M44, Total Ivory)</t>
  </si>
  <si>
    <t>VFF0002(TT/IV,M44)</t>
  </si>
  <si>
    <t>VFF V-Run(M43, Total Ivory)</t>
  </si>
  <si>
    <t>VFF0002(TT/IV,M43)</t>
  </si>
  <si>
    <t>VFF V-Run(M42, Total Ivory)</t>
  </si>
  <si>
    <t>VFF0002(TT/IV,M42)</t>
  </si>
  <si>
    <t>VFF V-Run(M41, Total Ivory)</t>
  </si>
  <si>
    <t>VFF0002(TT/IV,M41)</t>
  </si>
  <si>
    <t>VFF V-Run(M47, Total Black)</t>
  </si>
  <si>
    <t>VFF0002(TT/BK,M47)</t>
  </si>
  <si>
    <t>VFF V-Run(M46, Fig/Ivory/A.Green)</t>
  </si>
  <si>
    <t>VFF0002(F/IV/GN,M46)</t>
  </si>
  <si>
    <t>VFF V-Run(M40, Fig/Ivory/A.Green)</t>
  </si>
  <si>
    <t>VFF0002(F/IV/GN,M40)</t>
  </si>
  <si>
    <t>VFF V-Run(W41, Dusty Pink)</t>
  </si>
  <si>
    <t>VFF0002(DPK,W41)</t>
  </si>
  <si>
    <t>VFF V-Run(W36, Dusty Pink)</t>
  </si>
  <si>
    <t>VFF0002(DPK,W36)</t>
  </si>
  <si>
    <t>VFF V-Run(M46, Brown Ivory/Black)</t>
  </si>
  <si>
    <t>VFF0002(BR/IV/BK,M46)</t>
  </si>
  <si>
    <t>VFF V-Run(M47, Black Lime/Black)</t>
  </si>
  <si>
    <t>VFF0002(BK/LI/BK,M47)</t>
  </si>
  <si>
    <t>VFF V-Run(M46, Black Lime/Black)</t>
  </si>
  <si>
    <t>VFF0002(BK/LI/BK,M46)</t>
  </si>
  <si>
    <t>VFF V-Run(M40, Black Lime/Black)</t>
  </si>
  <si>
    <t>VFF0002(BK/LI/BK,M40)</t>
  </si>
  <si>
    <t>VFF V-Run(M48, Black/Blue)</t>
  </si>
  <si>
    <t>VFF0002(BK/BL,M48)</t>
  </si>
  <si>
    <t>Oleno Premium Outdoor Socks(26-28, Charcoal)</t>
  </si>
  <si>
    <t>OLN0020(CC,28)</t>
  </si>
  <si>
    <t>Oleno Premium Outdoor Socks(24-26, Charcoal)</t>
  </si>
  <si>
    <t>OLN0020(CC,26)</t>
  </si>
  <si>
    <t>Oleno Premium Outdoor Socks(22-24, Charcoal)</t>
  </si>
  <si>
    <t>OLN0020(CC,24)</t>
  </si>
  <si>
    <t>Oleno Comod (Y) Life(26-28, Saxophone)</t>
  </si>
  <si>
    <t>OLN0019(SX,28)</t>
  </si>
  <si>
    <t>Oleno Comod (Y) Life(24-26, Saxophone)</t>
  </si>
  <si>
    <t>OLN0019(SX,26)</t>
  </si>
  <si>
    <t>Oleno Comod (Y) Life(22-24, Saxophone)</t>
  </si>
  <si>
    <t>OLN0019(SX,24)</t>
  </si>
  <si>
    <t>Oleno Comod (Y) Life(26-28, Orange)</t>
  </si>
  <si>
    <t>OLN0019(OR,28)</t>
  </si>
  <si>
    <t>Oleno Comod (Y) Life(24-26, Orange)</t>
  </si>
  <si>
    <t>OLN0019(OR,26)</t>
  </si>
  <si>
    <t>Oleno Comod (Y) Life(22-24, Orange)</t>
  </si>
  <si>
    <t>OLN0019(OR,24)</t>
  </si>
  <si>
    <t>Oleno Comod (Y) Life(26-28, Green)</t>
  </si>
  <si>
    <t>OLN0019(GN,28)</t>
  </si>
  <si>
    <t>Oleno Comod (Y) Life(24-26, Green)</t>
  </si>
  <si>
    <t>OLN0019(GN,26)</t>
  </si>
  <si>
    <t>Oleno Comod (Y) Life(22-24, Green)</t>
  </si>
  <si>
    <t>OLN0019(GN,24)</t>
  </si>
  <si>
    <t>Oleno Comod (Y) Life(26-28, Black)</t>
  </si>
  <si>
    <t>OLN0019(BK,28)</t>
  </si>
  <si>
    <t>Oleno Comod (Y) Life(24-26, Black)</t>
  </si>
  <si>
    <t>OLN0019(BK,26)</t>
  </si>
  <si>
    <t>Oleno Comod (Y) Life(22-24, Black)</t>
  </si>
  <si>
    <t>OLN0019(BK,24)</t>
  </si>
  <si>
    <t>Oleno Performance Wool Crew Heavyweight(26-28, Gray)</t>
  </si>
  <si>
    <t>OLN0018(GY,28)</t>
  </si>
  <si>
    <t>Oleno Performance Wool Crew Heavyweight(24-26, Gray)</t>
  </si>
  <si>
    <t>OLN0018(GY,26)</t>
  </si>
  <si>
    <t>Oleno Performance Wool Crew Heavyweight(22-24, Gray)</t>
  </si>
  <si>
    <t>OLN0018(GY,24)</t>
  </si>
  <si>
    <t>Oleno Performance Wool Crew Middle Thickness(26-28, Gray)</t>
  </si>
  <si>
    <t>OLN0017(GY,28)</t>
  </si>
  <si>
    <t>Oleno Performance Wool Crew Middle Thickness(24-26, Gray)</t>
  </si>
  <si>
    <t>OLN0017(GY,26)</t>
  </si>
  <si>
    <t>Oleno Performance Wool Crew Middle Thickness(22-24, Gray)</t>
  </si>
  <si>
    <t>OLN0017(GY,24)</t>
  </si>
  <si>
    <t>Oleno S-70(27-29, Black Turquoise)</t>
  </si>
  <si>
    <t>OLN0016(BK/TQ,29)</t>
  </si>
  <si>
    <t>Oleno S-70(25-27, Black Turquoise)</t>
  </si>
  <si>
    <t>OLN0016(BK/TQ,27)</t>
  </si>
  <si>
    <t>Oleno S-70(23-25, Black Turquoise)</t>
  </si>
  <si>
    <t>OLN0016(BK/TQ,25)</t>
  </si>
  <si>
    <t>Oleno S-70(27-29, Black/Gold)</t>
  </si>
  <si>
    <t>OLN0016(BK/GO,29)</t>
  </si>
  <si>
    <t>Oleno S-70(25-27, Black/Gold)</t>
  </si>
  <si>
    <t>OLN0016(BK/GO,27)</t>
  </si>
  <si>
    <t>Oleno S-70(23-25, Black/Gold)</t>
  </si>
  <si>
    <t>OLN0016(BK/GO,25)</t>
  </si>
  <si>
    <t>Oleno Calf Supporter Pixel Map(M, Black)</t>
  </si>
  <si>
    <t>OLN0015(BK,M)</t>
  </si>
  <si>
    <t>Oleno Calf Supporter Pixel Map(L, Black)</t>
  </si>
  <si>
    <t>OLN0015(BK,L)</t>
  </si>
  <si>
    <t>Oleno Arm Sleeve UL With Thumb Hole(S, Charcoal/Gold)</t>
  </si>
  <si>
    <t>OLN0014(CC/GO,S)</t>
  </si>
  <si>
    <t>Oleno Arm Sleeve UL With Thumb Hole(M, Charcoal/Gold)</t>
  </si>
  <si>
    <t>OLN0014(CC/GO,M)</t>
  </si>
  <si>
    <t>Oleno Arm Sleeve UL With Thumb Hole(S, Brown/Red)</t>
  </si>
  <si>
    <t>OLN0014(BR/RD,S)</t>
  </si>
  <si>
    <t>Oleno Arm Sleeve UL With Thumb Hole(M, Brown/Red)</t>
  </si>
  <si>
    <t>OLN0014(BR/RD,M)</t>
  </si>
  <si>
    <t>Oleno Arm Sleeve UL With Thumb Hole(S, Black/Emerald)</t>
  </si>
  <si>
    <t>OLN0014(BK/ER,S)</t>
  </si>
  <si>
    <t>Oleno Arm Sleeve UL With Thumb Hole(M, Black/Emerald)</t>
  </si>
  <si>
    <t>OLN0014(BK/ER,M)</t>
  </si>
  <si>
    <t>Oleno Arm Sleeve UL With Thumb Hole(S, Black/Charcoal)</t>
  </si>
  <si>
    <t>OLN0014(BK/CC,S)</t>
  </si>
  <si>
    <t>Oleno Arm Sleeve UL With Thumb Hole(M, Black/Charcoal)</t>
  </si>
  <si>
    <t>OLN0014(BK/CC,M)</t>
  </si>
  <si>
    <t>Oleno Arm Sleeve UL With Thumb Hole(L, Black/Charcoal)</t>
  </si>
  <si>
    <t>OLN0014(BK/CC,L)</t>
  </si>
  <si>
    <t>Oleno Arm Sleeve UL(S, Jungle Green/Melon)</t>
  </si>
  <si>
    <t>OLN0013(JG/ML,S)</t>
  </si>
  <si>
    <t>Oleno Arm Sleeve UL(M, Jungle Green/Melon)</t>
  </si>
  <si>
    <t>OLN0013(JG/ML,M)</t>
  </si>
  <si>
    <t>Oleno Arm Sleeve UL(S, Emerald/Smoke Blue)</t>
  </si>
  <si>
    <t>OLN0013(ER/SBL,S)</t>
  </si>
  <si>
    <t>Oleno Arm Sleeve UL(M, Emerald/Smoke Blue)</t>
  </si>
  <si>
    <t>OLN0013(ER/SBL,M)</t>
  </si>
  <si>
    <t>Oleno Arm Sleeve UL(S, Charcoal/Light Gray)</t>
  </si>
  <si>
    <t>OLN0013(CC/LGY,S)</t>
  </si>
  <si>
    <t>Oleno Arm Sleeve UL(M, Charcoal/Light Gray)</t>
  </si>
  <si>
    <t>OLN0013(CC/LGY,M)</t>
  </si>
  <si>
    <t>Oleno Arm Sleeve UL(S, Black Navy/Cherry)</t>
  </si>
  <si>
    <t>OLN0013(BK/NV/CR,S)</t>
  </si>
  <si>
    <t>Oleno Arm Sleeve UL(M, Black Navy/Cherry)</t>
  </si>
  <si>
    <t>OLN0013(BK/NV/CR,M)</t>
  </si>
  <si>
    <t>Oleno Arm Sleeve UL(S, Black/Khaki)</t>
  </si>
  <si>
    <t>OLN0013(BK/KK,S)</t>
  </si>
  <si>
    <t>Oleno Arm Sleeve UL(M, Black/Khaki)</t>
  </si>
  <si>
    <t>OLN0013(BK/KK,M)</t>
  </si>
  <si>
    <t>Oleno Arm Sleeve UL(S, Black/Charcoal)</t>
  </si>
  <si>
    <t>OLN0013(BK/CC,S)</t>
  </si>
  <si>
    <t>Oleno Arm Sleeve UL(M, Black/Charcoal)</t>
  </si>
  <si>
    <t>OLN0013(BK/CC,M)</t>
  </si>
  <si>
    <t>Oleno Calf Supporter Bicolor(M, Navy/Red)</t>
  </si>
  <si>
    <t>OLN0012(NV/RD,M)</t>
  </si>
  <si>
    <t>Oleno Calf Supporter Bicolor(L, Navy/Red)</t>
  </si>
  <si>
    <t>OLN0012(NV/RD,L)</t>
  </si>
  <si>
    <t>Oleno Calf Supporter Bicolor(M, Black/Charcoal)</t>
  </si>
  <si>
    <t>OLN0012(BK/CC,M)</t>
  </si>
  <si>
    <t>Oleno Calf Supporter Bicolor(L, Black/Charcoal)</t>
  </si>
  <si>
    <t>OLN0012(BK/CC,L)</t>
  </si>
  <si>
    <t>Oleno Calf Supporter Plain(M, Navy)</t>
  </si>
  <si>
    <t>OLN0011(NV,M)</t>
  </si>
  <si>
    <t>Oleno Calf Supporter Plain(L, Navy)</t>
  </si>
  <si>
    <t>OLN0011(NV,L)</t>
  </si>
  <si>
    <t>Oleno Calf Supporter Plain(M, Black)</t>
  </si>
  <si>
    <t>OLN0011(BK,M)</t>
  </si>
  <si>
    <t>Oleno Calf Supporter Plain(L, Black)</t>
  </si>
  <si>
    <t>OLN0011(BK,L)</t>
  </si>
  <si>
    <t>Oleno Calf Protection(XL, Black)</t>
  </si>
  <si>
    <t>OLN0010(BK,XL)</t>
  </si>
  <si>
    <t>Oleno Calf Protection(S, Black)</t>
  </si>
  <si>
    <t>OLN0010(BK,S)</t>
  </si>
  <si>
    <t>Oleno Calf Protection(M, Black)</t>
  </si>
  <si>
    <t>OLN0010(BK,M)</t>
  </si>
  <si>
    <t>Oleno Calf Protection(L, Black)</t>
  </si>
  <si>
    <t>OLN0010(BK,L)</t>
  </si>
  <si>
    <t>Oleno Ultimate SHR(27-29, Khaki Mix)</t>
  </si>
  <si>
    <t>OLN0003(KK/M,29)</t>
  </si>
  <si>
    <t>Oleno Ultimate SHR(25-27, Khaki Mix)</t>
  </si>
  <si>
    <t>OLN0003(KK/M,27)</t>
  </si>
  <si>
    <t>Oleno Ultimate SHR(23-25, Khaki Mix)</t>
  </si>
  <si>
    <t>OLN0003(KK/M,25)</t>
  </si>
  <si>
    <t>Marugo Tabi Hitoe+(M30, Zebra White)</t>
  </si>
  <si>
    <t>MTB0002(ZB/WT,M30)</t>
  </si>
  <si>
    <t>Marugo Tabi Hitoe+(M29, Zebra White)</t>
  </si>
  <si>
    <t>MTB0002(ZB/WT,M29)</t>
  </si>
  <si>
    <t>Marugo Tabi Hitoe+(M28, Zebra White)</t>
  </si>
  <si>
    <t>MTB0002(ZB/WT,M28)</t>
  </si>
  <si>
    <t>Marugo Tabi Hitoe+(M27.5, Zebra White)</t>
  </si>
  <si>
    <t>MTB0002(ZB/WT,M27.5)</t>
  </si>
  <si>
    <t>Marugo Tabi Hitoe+(M27, Zebra White)</t>
  </si>
  <si>
    <t>MTB0002(ZB/WT,M27)</t>
  </si>
  <si>
    <t>Marugo Tabi Hitoe+(M26.5, Zebra White)</t>
  </si>
  <si>
    <t>MTB0002(ZB/WT,M26.5)</t>
  </si>
  <si>
    <t>Marugo Tabi Hitoe+(M26, Zebra White)</t>
  </si>
  <si>
    <t>MTB0002(ZB/WT,M26)</t>
  </si>
  <si>
    <t>Marugo Tabi Hitoe+(M24.5, Zebra White)</t>
  </si>
  <si>
    <t>MTB0002(ZB/WT,M24.5)</t>
  </si>
  <si>
    <t>Marugo Tabi Hitoe+(M24, Zebra White)</t>
  </si>
  <si>
    <t>MTB0002(ZB/WT,M24)</t>
  </si>
  <si>
    <t>Marugo Tabi Hitoe+(M28, Zebra Navy)</t>
  </si>
  <si>
    <t>MTB0002(ZB/NV,M28)</t>
  </si>
  <si>
    <t>Marugo Tabi Hitoe+(M27.5, Zebra Navy)</t>
  </si>
  <si>
    <t>MTB0002(ZB/NV,M27.5)</t>
  </si>
  <si>
    <t>Marugo Tabi Hitoe+(M27, Zebra Navy)</t>
  </si>
  <si>
    <t>MTB0002(ZB/NV,M27)</t>
  </si>
  <si>
    <t>Marugo Tabi Hitoe+(M26.5, Zebra Navy)</t>
  </si>
  <si>
    <t>MTB0002(ZB/NV,M26.5)</t>
  </si>
  <si>
    <t>Marugo Tabi Hitoe+(M26, Zebra Navy)</t>
  </si>
  <si>
    <t>MTB0002(ZB/NV,M26)</t>
  </si>
  <si>
    <t>Marugo Tabi Hitoe+(M25.5, Zebra Navy)</t>
  </si>
  <si>
    <t>MTB0002(ZB/NV,M25.5)</t>
  </si>
  <si>
    <t>Marugo TabiRela(W23, Umi/Ocean)</t>
  </si>
  <si>
    <t>MTB0001(UM/O,W23)</t>
  </si>
  <si>
    <t>Marugo TabiRela(W22.5, Umi/Ocean)</t>
  </si>
  <si>
    <t>MTB0001(UM/O,W22.5)</t>
  </si>
  <si>
    <t>Marugo TabiRela(W25, Tsuki/Moon)</t>
  </si>
  <si>
    <t>MTB0001(TK/M,W25)</t>
  </si>
  <si>
    <t>Marugo TabiRela(W24.5, Tsuki/Moon)</t>
  </si>
  <si>
    <t>MTB0001(TK/M,W24.5)</t>
  </si>
  <si>
    <t>Marugo TabiRela(W24, Tsuki/Moon)</t>
  </si>
  <si>
    <t>MTB0001(TK/M,W24)</t>
  </si>
  <si>
    <t>Marugo TabiRela(W23, Tsuki/Moon)</t>
  </si>
  <si>
    <t>MTB0001(TK/M,W23)</t>
  </si>
  <si>
    <t>Marugo TabiRela(W23.5, Silver)</t>
  </si>
  <si>
    <t>MTB0001(SV,W23.5)</t>
  </si>
  <si>
    <t>Marugo TabiRela(W24.5, Nagi/Calm)</t>
  </si>
  <si>
    <t>MTB0001(NG/C,W24.5)</t>
  </si>
  <si>
    <t>Marugo TabiRela(W24, Nagi/Calm)</t>
  </si>
  <si>
    <t>MTB0001(NG/C,W24)</t>
  </si>
  <si>
    <t>Marugo TabiRela(W24, Lemon)</t>
  </si>
  <si>
    <t>MTB0001(LM,W24)</t>
  </si>
  <si>
    <t>Marugo TabiRela(W23.5, Lemon)</t>
  </si>
  <si>
    <t>MTB0001(LM,W23.5)</t>
  </si>
  <si>
    <t>BFJ Socks(L, Pink)</t>
  </si>
  <si>
    <t>BFJ0001(PK,L)</t>
  </si>
  <si>
    <t>Paradise Park</t>
  </si>
  <si>
    <t>KV, LP, Paradise = 21/9/26</t>
  </si>
  <si>
    <t>CL, Siam dis = 15/9/26</t>
  </si>
  <si>
    <t>สินค้า - Kvillage</t>
  </si>
  <si>
    <t>#</t>
  </si>
  <si>
    <t>CC0007(FLP)</t>
  </si>
  <si>
    <t>Running Cap(Floral Print)</t>
  </si>
  <si>
    <t>CC0009(HPM)</t>
  </si>
  <si>
    <t>Headband Run 2(Heathered Plum)</t>
  </si>
  <si>
    <t>CC0010(BK)</t>
  </si>
  <si>
    <t>Headband Studio(Black)</t>
  </si>
  <si>
    <t>CC0010(BO)</t>
  </si>
  <si>
    <t>Headband Studio(Brush Ocean)</t>
  </si>
  <si>
    <t>CC0010(GBL)</t>
  </si>
  <si>
    <t>Headband Studio(Geo Camo Blue)</t>
  </si>
  <si>
    <t>CC0010(IC)</t>
  </si>
  <si>
    <t>Headband Studio(Ice Camo)</t>
  </si>
  <si>
    <t>CC0010(PBL)</t>
  </si>
  <si>
    <t>Headband Studio(Pixel Ocean Blue)</t>
  </si>
  <si>
    <t>CC0010(PGN)</t>
  </si>
  <si>
    <t>Headband Studio(Pixel Ocean Green)</t>
  </si>
  <si>
    <t>CP0001(BK,L)</t>
  </si>
  <si>
    <t>CP Arm Sleeves (Black, L)</t>
  </si>
  <si>
    <t>CP0001(BK,M)</t>
  </si>
  <si>
    <t>CP Arm Sleeves (Black, M)</t>
  </si>
  <si>
    <t>CP0001(BK,S)</t>
  </si>
  <si>
    <t>CP Arm Sleeves (Black, S)</t>
  </si>
  <si>
    <t>CP0001(BK,XL)</t>
  </si>
  <si>
    <t>CP Arm Sleeves (Black, XL)</t>
  </si>
  <si>
    <t>CP0001(CMF,L)</t>
  </si>
  <si>
    <t>CP Arm Sleeves(Camouflage, L)</t>
  </si>
  <si>
    <t>CP0001(CMF,M)</t>
  </si>
  <si>
    <t>CP Arm Sleeves(Camouflage, M)</t>
  </si>
  <si>
    <t>CP0001(CMF,S)</t>
  </si>
  <si>
    <t>CP Arm Sleeves(Camouflage, S)</t>
  </si>
  <si>
    <t>CP0001(CMGY,L,24)</t>
  </si>
  <si>
    <t>CP Arm Sleeves(Camo Gray, L)</t>
  </si>
  <si>
    <t>CP0001(CMGY,M,24)</t>
  </si>
  <si>
    <t>CP Arm Sleeves(Camo Gray, M)</t>
  </si>
  <si>
    <t>CP0001(CMGY,S,24)</t>
  </si>
  <si>
    <t>CP Arm Sleeves(Camo Gray, S)</t>
  </si>
  <si>
    <t>CP0001(CMGY,XL,24)</t>
  </si>
  <si>
    <t>CP Arm Sleeves(Camo Gray, XL)</t>
  </si>
  <si>
    <t>CP0001(CMGY,XS,24)</t>
  </si>
  <si>
    <t>CP Arm Sleeves(Camo Gray, XS)</t>
  </si>
  <si>
    <t>CP0001(CMNV,L,24)</t>
  </si>
  <si>
    <t>CP Arm Sleeves(Camo Navy, L)</t>
  </si>
  <si>
    <t>CP0001(CMNV,M,24)</t>
  </si>
  <si>
    <t>CP Arm Sleeves(Camo Navy, M)</t>
  </si>
  <si>
    <t>CP0001(CMNV,S,24)</t>
  </si>
  <si>
    <t>CP Arm Sleeves(Camo Navy, S)</t>
  </si>
  <si>
    <t>CP0001(CMNV,XL,24)</t>
  </si>
  <si>
    <t>CP Arm Sleeves(Camo Navy, XL)</t>
  </si>
  <si>
    <t>CP0001(CMNV,XS,24)</t>
  </si>
  <si>
    <t>CP Arm Sleeves(Camo Navy, XS)</t>
  </si>
  <si>
    <t>CP0001(GY,L,24)</t>
  </si>
  <si>
    <t>CP Arm Sleeves(Gray, L)</t>
  </si>
  <si>
    <t>CP0001(GY,M,24)</t>
  </si>
  <si>
    <t>CP Arm Sleeves(Gray, M)</t>
  </si>
  <si>
    <t>CP0001(GY,S,24)</t>
  </si>
  <si>
    <t>CP Arm Sleeves(Gray, S)</t>
  </si>
  <si>
    <t>CP0001(GY,XL,24)</t>
  </si>
  <si>
    <t>CP Arm Sleeves(Gray, XL)</t>
  </si>
  <si>
    <t>CP0001(GY,XS,24)</t>
  </si>
  <si>
    <t>CP Arm Sleeves(Gray, XS)</t>
  </si>
  <si>
    <t>CP0001(WT,L)</t>
  </si>
  <si>
    <t>CP Arm Sleeves (White, L)</t>
  </si>
  <si>
    <t>CP0001(WT,M)</t>
  </si>
  <si>
    <t>CP Arm Sleeves (White, M)</t>
  </si>
  <si>
    <t>CP0001(WT,S)</t>
  </si>
  <si>
    <t>CP Arm Sleeves (White, S)</t>
  </si>
  <si>
    <t>CP0001(WT,XL)</t>
  </si>
  <si>
    <t>CP Arm Sleeves (White, XL)</t>
  </si>
  <si>
    <t>CP0001(WT,XS)</t>
  </si>
  <si>
    <t>CP Arm Sleeves (White, XS)</t>
  </si>
  <si>
    <t>CP0003(BK)</t>
  </si>
  <si>
    <t>CP Outdoor Chill Towel(Black)</t>
  </si>
  <si>
    <t>CP0004(NV,24)</t>
  </si>
  <si>
    <t>CP Sports Chill Towel(Navy)</t>
  </si>
  <si>
    <t>CP0005(BK,L)</t>
  </si>
  <si>
    <t>CP Multi-Chill Open Ear(Black, L)</t>
  </si>
  <si>
    <t>CP0005(BK,M)</t>
  </si>
  <si>
    <t>CP Multi-Chill Open Ear(Black, M)</t>
  </si>
  <si>
    <t>KA0001 (FSMT3182)</t>
  </si>
  <si>
    <t>Knockaround FSMT3182(Rubberized Navy/Mint, Fast Lanes Sport)</t>
  </si>
  <si>
    <t>KA0001 (FSRM3325)</t>
  </si>
  <si>
    <t>Knockaround FSRM3325(Funkwave, Fast Lanes Sport)</t>
  </si>
  <si>
    <t>KA0001 (FSYB3315)</t>
  </si>
  <si>
    <t>Knockaround FSYB3315(Apex, Fast Lanes Sport)</t>
  </si>
  <si>
    <t>KA0002 (PMSK3352)</t>
  </si>
  <si>
    <t>Knockaround PMSK3352(Malibu Pink, Premiums)</t>
  </si>
  <si>
    <t>KA0002 (PSAQ3216)</t>
  </si>
  <si>
    <t>Knockaround PSAQ3216(Coastal, Premiums Sport)</t>
  </si>
  <si>
    <t>KA0002 (PSFU3008)</t>
  </si>
  <si>
    <t>Knockaround PSFU3008(Aquamarine/Fuchsia, Premiums Sport)</t>
  </si>
  <si>
    <t>KA0002 (PSMS3173)</t>
  </si>
  <si>
    <t>Knockaround PSMS3173(Jelly Black/Moonshine, Premiums Sport)</t>
  </si>
  <si>
    <t>KA0002 (PSMS3423)</t>
  </si>
  <si>
    <t>Knockaround PSMS3423(Largemouth Bass, Premiums Sport)</t>
  </si>
  <si>
    <t>KA0002 (PSYB3314)</t>
  </si>
  <si>
    <t>Knockaround PSYB3314(Prismic, Premiums Sport)</t>
  </si>
  <si>
    <t>KA0003 (TSMS3239)</t>
  </si>
  <si>
    <t>Knockaround TSMS3239(Victory Lap, Torrey Pines Sport)</t>
  </si>
  <si>
    <t>KA0003 (TSPS3309)</t>
  </si>
  <si>
    <t>Knockaround TSPS3309(Second Set, Torrey Pines Sport)</t>
  </si>
  <si>
    <t>KA0006 (FPLM4364)</t>
  </si>
  <si>
    <t>Knockaround FPLM4364(Odyssey/CE, Flight Path Knockterra)</t>
  </si>
  <si>
    <t>KA0006 (FPRE4362)</t>
  </si>
  <si>
    <t>Knockaround FPRE4362(Fairway, Flight Path Knockterra)</t>
  </si>
  <si>
    <t>LN0009(BK)</t>
  </si>
  <si>
    <t>LUNA Socks(Black)</t>
  </si>
  <si>
    <t>Oleno Calf Supporter Plain</t>
  </si>
  <si>
    <t>Oleno Calf Supporter Plain (M, Black)</t>
  </si>
  <si>
    <t>Oleno Calf Supporter Bicolor</t>
  </si>
  <si>
    <t>Oleno Calf Supporter Pixel Map</t>
  </si>
  <si>
    <t>VFF0002(BK/LI/BK,M39)</t>
  </si>
  <si>
    <t>VFF V-Run(M39, Black Lime/Black)</t>
  </si>
  <si>
    <t>VFF0002(BR/IV/BK,M39)</t>
  </si>
  <si>
    <t>VFF V-Run(M39, Brown Ivory/Black)</t>
  </si>
  <si>
    <t>VFF0002(TT/BK,M48)</t>
  </si>
  <si>
    <t>VFF V-Run(M48, Total Black)</t>
  </si>
  <si>
    <t>VFF0002(TT/IV,M40)</t>
  </si>
  <si>
    <t>VFF V-Run(M40, Total Ivory)</t>
  </si>
  <si>
    <t>VFF V-Soul 26(W36, Black)</t>
  </si>
  <si>
    <t>VFF V-Soul 26(W37, Black)</t>
  </si>
  <si>
    <t>VFF V-Soul 26(W38, Black)</t>
  </si>
  <si>
    <t>VFF V-Soul 26(W39, Black)</t>
  </si>
  <si>
    <t>VFF V-Soul 26(W41, Black)</t>
  </si>
  <si>
    <t>VFF0008(BK26,W43)</t>
  </si>
  <si>
    <t>VFF V-Soul 26(W43, Black)</t>
  </si>
  <si>
    <t>VFF0008(F/GN,W40)</t>
  </si>
  <si>
    <t>VFF V-Soul(W40, Fig/A. Green)</t>
  </si>
  <si>
    <t>VFF0009(BK,M39)</t>
  </si>
  <si>
    <t>VFF KSO EVO(M39, Black)</t>
  </si>
  <si>
    <t>VFF0009(F/GN,M40)</t>
  </si>
  <si>
    <t>VFF KSO EVO(M40, Fig/A Green)</t>
  </si>
  <si>
    <t>Socks Pack1(S, Black)</t>
  </si>
  <si>
    <t>Socks Pack2(S, Black/Gray)</t>
  </si>
  <si>
    <t>Socks Pack2(S, Gray/Red)</t>
  </si>
  <si>
    <t>VFF0022(BK,M38)</t>
  </si>
  <si>
    <t>VFF Breezandal(M38, Black)</t>
  </si>
  <si>
    <t>VFF0022(BK,M40)</t>
  </si>
  <si>
    <t>VFF Breezandal(M40, Black)</t>
  </si>
  <si>
    <t>VFF0022(IV/G,M40)</t>
  </si>
  <si>
    <t>VFF0022(IV/G,M47)</t>
  </si>
  <si>
    <t>VFF Breezandal(M47, Ivory/Green)</t>
  </si>
  <si>
    <t>VFF0024(BK,M48)</t>
  </si>
  <si>
    <t>VFF Trailope(M48, Black)</t>
  </si>
  <si>
    <t>VFF0026(TT/BK,W42)</t>
  </si>
  <si>
    <t>VFF Spidrwalk(W42, Total Black)</t>
  </si>
  <si>
    <t>สินค้า - Coollabo Cen LP 3F</t>
  </si>
  <si>
    <t>BFJ0002(BK,S)</t>
  </si>
  <si>
    <t>BFJ Free Socks(S, Black)</t>
  </si>
  <si>
    <t>BFJ0002(GY,S)</t>
  </si>
  <si>
    <t>BFJ Free Socks(S, Gray)</t>
  </si>
  <si>
    <t>CC0005(RD)</t>
  </si>
  <si>
    <t>Golf Cap(Red)</t>
  </si>
  <si>
    <t>CC0010(WTD)</t>
  </si>
  <si>
    <t>Headband Studio(White Digi Floral)</t>
  </si>
  <si>
    <t>CP0001(BK,XS)</t>
  </si>
  <si>
    <t>CP Arm Sleeves (Black, XS)</t>
  </si>
  <si>
    <t>CP0001(CMF,XS)</t>
  </si>
  <si>
    <t>CP Arm Sleeves(Camouflage, XS)</t>
  </si>
  <si>
    <t>VFF0005(LIG/GY,M46)</t>
  </si>
  <si>
    <t>VFF V-Train 2.0(M46, Lime Green/Gray)</t>
  </si>
  <si>
    <t>VFF V-Soul 26(W40, Black)</t>
  </si>
  <si>
    <t>VFF V-Soul 26(W42, Black)</t>
  </si>
  <si>
    <t>VFF0017(BK/BK,M47)</t>
  </si>
  <si>
    <t>VFF V-Trek(M47, Black/Black)</t>
  </si>
  <si>
    <t>VFF0017(BK/BK,W36)</t>
  </si>
  <si>
    <t>VFF V-Trek(W36, Black/Black)</t>
  </si>
  <si>
    <t>VFF0017(MIL/DGY,M40)</t>
  </si>
  <si>
    <t>VFF V-Trek(M40, Military/Dark Gray)</t>
  </si>
  <si>
    <t>VFF0017(MIL/DGY,M46)</t>
  </si>
  <si>
    <t>VFF V-Trek(M46, Military/Dark Gray)</t>
  </si>
  <si>
    <t>VFF0022(BK,M46)</t>
  </si>
  <si>
    <t>VFF Breezandal(M46, Black)</t>
  </si>
  <si>
    <t>VFF V-Soul 26(W35, Black)</t>
  </si>
  <si>
    <t>VFF0002(BK/LI/BK,M38)</t>
  </si>
  <si>
    <t>VFF V-Run(M38, Black Lime/Black)</t>
  </si>
  <si>
    <t>ADJ 24/9/26 在庫0</t>
  </si>
  <si>
    <t>ADD 24/9/26</t>
  </si>
  <si>
    <t>VFF0022(IV/GN,W36)</t>
  </si>
  <si>
    <t>Model</t>
  </si>
  <si>
    <t>VFF V-Run</t>
  </si>
  <si>
    <t>VFF V-Train 2.0</t>
  </si>
  <si>
    <t>VFF V-Soul</t>
  </si>
  <si>
    <t>VFF V-Soul 26</t>
  </si>
  <si>
    <t>VFF KSO EVO</t>
  </si>
  <si>
    <t>VFF CVT-Hemp</t>
  </si>
  <si>
    <t>VFF V-Trek</t>
  </si>
  <si>
    <t>VFF KMD Evo</t>
  </si>
  <si>
    <t>VFF Graspifier</t>
  </si>
  <si>
    <t>VFF Breezandal</t>
  </si>
  <si>
    <t>VFF V-Alpha</t>
  </si>
  <si>
    <t>VFF Trailope</t>
  </si>
  <si>
    <t>VFF Scramkey</t>
  </si>
  <si>
    <t>VFF Spidrwalk</t>
  </si>
  <si>
    <t>VFF Groundsplay</t>
  </si>
  <si>
    <t>Color</t>
  </si>
  <si>
    <t>Size</t>
  </si>
  <si>
    <t>Black/Blue</t>
  </si>
  <si>
    <t>M40</t>
  </si>
  <si>
    <t>M41</t>
  </si>
  <si>
    <t>M42</t>
  </si>
  <si>
    <t>M43</t>
  </si>
  <si>
    <t>M44</t>
  </si>
  <si>
    <t>M45</t>
  </si>
  <si>
    <t>M46</t>
  </si>
  <si>
    <t>M47</t>
  </si>
  <si>
    <t>M48</t>
  </si>
  <si>
    <t>Black/Fig</t>
  </si>
  <si>
    <t>W36</t>
  </si>
  <si>
    <t>W37</t>
  </si>
  <si>
    <t>W38</t>
  </si>
  <si>
    <t>W39</t>
  </si>
  <si>
    <t>W40</t>
  </si>
  <si>
    <t>W41</t>
  </si>
  <si>
    <t>Black Lime/Black</t>
  </si>
  <si>
    <t>M38</t>
  </si>
  <si>
    <t>M39</t>
  </si>
  <si>
    <t>Black/Yellow</t>
  </si>
  <si>
    <t>Brown Ivory/Black</t>
  </si>
  <si>
    <t>Deep Lake/Ivory</t>
  </si>
  <si>
    <t>Dusty Pink</t>
  </si>
  <si>
    <t>Fig/Ivory/A.Green</t>
  </si>
  <si>
    <t>Lime/Blue</t>
  </si>
  <si>
    <t>Total Black</t>
  </si>
  <si>
    <t>Total Ivory</t>
  </si>
  <si>
    <t>Black/Black</t>
  </si>
  <si>
    <t>W42</t>
  </si>
  <si>
    <t>Black/Pink</t>
  </si>
  <si>
    <t>Lime Green/Gray</t>
  </si>
  <si>
    <t>Baby Blue</t>
  </si>
  <si>
    <t>W35</t>
  </si>
  <si>
    <t>W43</t>
  </si>
  <si>
    <t>Black</t>
  </si>
  <si>
    <t>Brown</t>
  </si>
  <si>
    <t>Fig/A. Green</t>
  </si>
  <si>
    <t>Fuchsia</t>
  </si>
  <si>
    <t>Ivory/Dusty Pink</t>
  </si>
  <si>
    <t>Lime Green</t>
  </si>
  <si>
    <t>Nude</t>
  </si>
  <si>
    <t>Purple</t>
  </si>
  <si>
    <t>Silver</t>
  </si>
  <si>
    <t>Deep Lake/Black</t>
  </si>
  <si>
    <t>Fig/A Green</t>
  </si>
  <si>
    <t>Yellow/White</t>
  </si>
  <si>
    <t>Khaki</t>
  </si>
  <si>
    <t>Military/Dark Gray</t>
  </si>
  <si>
    <t>Yellow/Blue/Red</t>
  </si>
  <si>
    <t>Ivory/Fuchsia</t>
  </si>
  <si>
    <t>Ivory/Green</t>
  </si>
  <si>
    <t>Mustard/Black</t>
  </si>
  <si>
    <t>Deep Lake</t>
  </si>
  <si>
    <t>Lime Green/Black</t>
  </si>
  <si>
    <t>U36</t>
  </si>
  <si>
    <t>U37</t>
  </si>
  <si>
    <t>U38</t>
  </si>
  <si>
    <t>U39</t>
  </si>
  <si>
    <t>U40</t>
  </si>
  <si>
    <t>U41</t>
  </si>
  <si>
    <t>U42</t>
  </si>
  <si>
    <t>U43</t>
  </si>
  <si>
    <t>U44</t>
  </si>
  <si>
    <t>U45</t>
  </si>
  <si>
    <t>U46</t>
  </si>
  <si>
    <t>U47</t>
  </si>
  <si>
    <t>U48</t>
  </si>
  <si>
    <t>Return</t>
  </si>
  <si>
    <t>K Village</t>
  </si>
  <si>
    <t>Central CL (Department)</t>
  </si>
  <si>
    <t>Central LP</t>
  </si>
  <si>
    <t>VFF Shoe Inventory List (by Store)</t>
  </si>
  <si>
    <t>Quantity</t>
  </si>
  <si>
    <t>As of 09/25/2026 (End of Business Hours)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</si>
</sst>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m/d"/>
    <numFmt numFmtId="165" formatCode="#,###_ ;\-#,###"/>
    <numFmt numFmtId="166" formatCode="#,###_);[Red]\(#,###\)"/>
    <numFmt numFmtId="167" formatCode="[Blue]#,##0;;[Black]0"/>
    <numFmt numFmtId="168" formatCode="#,##0;;0"/>
    <numFmt numFmtId="169" formatCode="#,##0;\(#,##0\);\-"/>
  </numFmts>
  <fonts count="24">
    <font>
      <sz val="11"/>
      <color rgb="FF000000"/>
      <name val="Calibri"/>
      <scheme val="minor"/>
    </font>
    <font>
      <b/>
      <sz val="12"/>
      <color theme="1"/>
      <name val="Calibri"/>
    </font>
    <font>
      <sz val="11"/>
      <name val="Calibri"/>
    </font>
    <font>
      <sz val="11"/>
      <color theme="1"/>
      <name val="Calibri"/>
    </font>
    <font>
      <sz val="12"/>
      <color theme="1"/>
      <name val="Calibri"/>
    </font>
    <font>
      <b/>
      <sz val="11"/>
      <color rgb="FF222222"/>
      <name val="&quot;Google Sans&quot;"/>
    </font>
    <font>
      <b/>
      <sz val="11"/>
      <color rgb="FFFF0000"/>
      <name val="&quot;Google Sans&quot;"/>
    </font>
    <font>
      <b/>
      <sz val="12"/>
      <color rgb="FFFF0000"/>
      <name val="Calibri"/>
    </font>
    <font>
      <sz val="12"/>
      <color rgb="FFFF0000"/>
      <name val="Calibri"/>
    </font>
    <font>
      <sz val="11"/>
      <color rgb="FFFF0000"/>
      <name val="Calibri"/>
    </font>
    <font>
      <sz val="11"/>
      <name val="Calibri"/>
      <family val="2"/>
    </font>
    <font>
      <sz val="12"/>
      <name val="Calibri"/>
      <family val="2"/>
    </font>
    <font>
      <b/>
      <sz val="11"/>
      <name val="Calibri"/>
      <family val="2"/>
    </font>
    <font>
      <sz val="11"/>
      <color indexed="8"/>
      <name val="Calibri"/>
      <family val="2"/>
      <scheme val="minor"/>
    </font>
    <font>
      <b/>
      <sz val="12"/>
      <name val="Calibri"/>
      <family val="2"/>
    </font>
    <font>
      <b/>
      <sz val="14"/>
      <color indexed="8"/>
      <name val="Calibri"/>
      <family val="2"/>
      <scheme val="minor"/>
    </font>
    <font>
      <b/>
      <sz val="14"/>
      <name val="Calibri"/>
      <family val="2"/>
    </font>
    <font>
      <b/>
      <sz val="12"/>
      <color rgb="FF222222"/>
      <name val="&quot;Google Sans&quot;"/>
    </font>
    <font>
      <b/>
      <sz val="12"/>
      <name val="Calibri"/>
    </font>
    <font>
      <sz val="12"/>
      <name val="Calibri"/>
    </font>
    <font>
      <b/>
      <sz val="11"/>
      <color rgb="FF000000"/>
      <name val="Calibri"/>
      <scheme val="minor"/>
    </font>
    <font>
      <b/>
      <sz val="14"/>
      <color rgb="FF000000"/>
      <name val="Calibri"/>
      <scheme val="minor"/>
    </font>
    <font>
      <b/>
      <sz val="11"/>
      <color rgb="FFFFFFFF"/>
      <name val="Calibri"/>
      <scheme val="minor"/>
    </font>
    <font>
      <sz val="11"/>
      <color rgb="FF0000FF"/>
      <name val="Calibri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D3D3D3"/>
        <bgColor rgb="FFD3D3D3"/>
      </patternFill>
    </fill>
    <fill>
      <patternFill patternType="solid">
        <fgColor rgb="FF99FFCC"/>
        <bgColor rgb="FF99FFCC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00FFFF"/>
        <bgColor rgb="FF00FFFF"/>
      </patternFill>
    </fill>
    <fill>
      <patternFill patternType="solid">
        <fgColor rgb="FFFFFF00"/>
        <bgColor indexed="64"/>
      </patternFill>
    </fill>
    <fill>
      <patternFill patternType="solid">
        <fgColor rgb="FFD0CECE"/>
      </patternFill>
    </fill>
    <fill>
      <patternFill patternType="solid">
        <fgColor rgb="FFFFFFFF"/>
      </patternFill>
    </fill>
    <fill>
      <patternFill patternType="solid">
        <fgColor rgb="FF1F4E78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BF8F00"/>
        <bgColor indexed="64"/>
      </patternFill>
    </fill>
  </fills>
  <borders count="21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4">
    <xf numFmtId="0" fontId="0" fillId="0" borderId="0"/>
    <xf numFmtId="0" fontId="10" fillId="0" borderId="0"/>
    <xf numFmtId="0" fontId="11" fillId="0" borderId="15">
      <alignment horizontal="center"/>
    </xf>
    <xf numFmtId="0" fontId="13" fillId="0" borderId="0"/>
  </cellStyleXfs>
  <cellXfs count="100">
    <xf numFmtId="0" fontId="0" fillId="0" borderId="0" xfId="0"/>
    <xf numFmtId="0" fontId="1" fillId="3" borderId="5" xfId="0" applyFont="1" applyFill="1" applyBorder="1" applyAlignment="1">
      <alignment horizontal="center" vertical="center" wrapText="1"/>
    </xf>
    <xf numFmtId="0" fontId="1" fillId="3" borderId="5" xfId="0" quotePrefix="1" applyFont="1" applyFill="1" applyBorder="1" applyAlignment="1">
      <alignment horizontal="center" vertical="center" wrapText="1"/>
    </xf>
    <xf numFmtId="0" fontId="4" fillId="0" borderId="8" xfId="0" applyFont="1" applyBorder="1" applyAlignment="1">
      <alignment horizontal="left"/>
    </xf>
    <xf numFmtId="0" fontId="3" fillId="0" borderId="0" xfId="0" applyFont="1" applyAlignment="1">
      <alignment horizontal="center"/>
    </xf>
    <xf numFmtId="164" fontId="1" fillId="3" borderId="5" xfId="0" applyNumberFormat="1" applyFont="1" applyFill="1" applyBorder="1" applyAlignment="1">
      <alignment horizontal="center" vertical="center" wrapText="1"/>
    </xf>
    <xf numFmtId="0" fontId="4" fillId="0" borderId="6" xfId="0" applyFont="1" applyBorder="1" applyAlignment="1">
      <alignment horizontal="left"/>
    </xf>
    <xf numFmtId="0" fontId="4" fillId="5" borderId="8" xfId="0" applyFont="1" applyFill="1" applyBorder="1" applyAlignment="1">
      <alignment horizontal="left"/>
    </xf>
    <xf numFmtId="165" fontId="4" fillId="0" borderId="8" xfId="0" applyNumberFormat="1" applyFont="1" applyBorder="1" applyAlignment="1">
      <alignment horizontal="center"/>
    </xf>
    <xf numFmtId="165" fontId="4" fillId="0" borderId="10" xfId="0" applyNumberFormat="1" applyFont="1" applyBorder="1" applyAlignment="1">
      <alignment horizontal="center"/>
    </xf>
    <xf numFmtId="0" fontId="4" fillId="0" borderId="14" xfId="0" applyFont="1" applyBorder="1" applyAlignment="1">
      <alignment horizontal="left"/>
    </xf>
    <xf numFmtId="165" fontId="4" fillId="0" borderId="14" xfId="0" applyNumberFormat="1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165" fontId="4" fillId="0" borderId="6" xfId="0" applyNumberFormat="1" applyFont="1" applyBorder="1" applyAlignment="1">
      <alignment horizontal="center"/>
    </xf>
    <xf numFmtId="165" fontId="4" fillId="0" borderId="5" xfId="0" applyNumberFormat="1" applyFont="1" applyBorder="1" applyAlignment="1">
      <alignment horizontal="center"/>
    </xf>
    <xf numFmtId="0" fontId="3" fillId="0" borderId="0" xfId="0" applyFont="1" applyAlignment="1">
      <alignment horizontal="left"/>
    </xf>
    <xf numFmtId="0" fontId="5" fillId="6" borderId="0" xfId="0" applyFont="1" applyFill="1" applyAlignment="1">
      <alignment horizontal="center"/>
    </xf>
    <xf numFmtId="0" fontId="6" fillId="6" borderId="0" xfId="0" applyFont="1" applyFill="1" applyAlignment="1">
      <alignment horizontal="center"/>
    </xf>
    <xf numFmtId="0" fontId="1" fillId="6" borderId="0" xfId="0" applyFont="1" applyFill="1" applyAlignment="1">
      <alignment horizontal="center" vertical="center" wrapText="1"/>
    </xf>
    <xf numFmtId="0" fontId="7" fillId="3" borderId="5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165" fontId="8" fillId="0" borderId="8" xfId="0" applyNumberFormat="1" applyFont="1" applyBorder="1" applyAlignment="1">
      <alignment horizontal="center"/>
    </xf>
    <xf numFmtId="166" fontId="4" fillId="4" borderId="8" xfId="0" applyNumberFormat="1" applyFont="1" applyFill="1" applyBorder="1" applyAlignment="1">
      <alignment horizontal="center"/>
    </xf>
    <xf numFmtId="166" fontId="4" fillId="6" borderId="0" xfId="0" applyNumberFormat="1" applyFont="1" applyFill="1" applyAlignment="1">
      <alignment horizontal="center"/>
    </xf>
    <xf numFmtId="166" fontId="4" fillId="4" borderId="9" xfId="0" applyNumberFormat="1" applyFont="1" applyFill="1" applyBorder="1" applyAlignment="1">
      <alignment horizontal="center"/>
    </xf>
    <xf numFmtId="165" fontId="4" fillId="6" borderId="8" xfId="0" applyNumberFormat="1" applyFont="1" applyFill="1" applyBorder="1" applyAlignment="1">
      <alignment horizontal="center"/>
    </xf>
    <xf numFmtId="165" fontId="8" fillId="6" borderId="8" xfId="0" applyNumberFormat="1" applyFont="1" applyFill="1" applyBorder="1" applyAlignment="1">
      <alignment horizontal="center"/>
    </xf>
    <xf numFmtId="0" fontId="4" fillId="7" borderId="8" xfId="0" applyFont="1" applyFill="1" applyBorder="1" applyAlignment="1">
      <alignment horizontal="left"/>
    </xf>
    <xf numFmtId="165" fontId="4" fillId="7" borderId="8" xfId="0" applyNumberFormat="1" applyFont="1" applyFill="1" applyBorder="1" applyAlignment="1">
      <alignment horizontal="center"/>
    </xf>
    <xf numFmtId="165" fontId="8" fillId="7" borderId="8" xfId="0" applyNumberFormat="1" applyFont="1" applyFill="1" applyBorder="1" applyAlignment="1">
      <alignment horizontal="center"/>
    </xf>
    <xf numFmtId="165" fontId="4" fillId="5" borderId="8" xfId="0" applyNumberFormat="1" applyFont="1" applyFill="1" applyBorder="1" applyAlignment="1">
      <alignment horizontal="center"/>
    </xf>
    <xf numFmtId="165" fontId="8" fillId="5" borderId="8" xfId="0" applyNumberFormat="1" applyFont="1" applyFill="1" applyBorder="1" applyAlignment="1">
      <alignment horizontal="center"/>
    </xf>
    <xf numFmtId="0" fontId="4" fillId="6" borderId="8" xfId="0" applyFont="1" applyFill="1" applyBorder="1" applyAlignment="1">
      <alignment horizontal="left"/>
    </xf>
    <xf numFmtId="165" fontId="8" fillId="0" borderId="14" xfId="0" applyNumberFormat="1" applyFont="1" applyBorder="1" applyAlignment="1">
      <alignment horizontal="center"/>
    </xf>
    <xf numFmtId="165" fontId="8" fillId="0" borderId="6" xfId="0" applyNumberFormat="1" applyFont="1" applyBorder="1" applyAlignment="1">
      <alignment horizontal="center"/>
    </xf>
    <xf numFmtId="165" fontId="8" fillId="0" borderId="10" xfId="0" applyNumberFormat="1" applyFont="1" applyBorder="1" applyAlignment="1">
      <alignment horizontal="center"/>
    </xf>
    <xf numFmtId="165" fontId="8" fillId="0" borderId="5" xfId="0" applyNumberFormat="1" applyFont="1" applyBorder="1" applyAlignment="1">
      <alignment horizontal="center"/>
    </xf>
    <xf numFmtId="166" fontId="4" fillId="4" borderId="5" xfId="0" applyNumberFormat="1" applyFont="1" applyFill="1" applyBorder="1" applyAlignment="1">
      <alignment horizontal="center"/>
    </xf>
    <xf numFmtId="0" fontId="9" fillId="0" borderId="0" xfId="0" applyFont="1" applyAlignment="1">
      <alignment horizontal="center"/>
    </xf>
    <xf numFmtId="0" fontId="3" fillId="6" borderId="0" xfId="0" applyFont="1" applyFill="1" applyAlignment="1">
      <alignment horizontal="center"/>
    </xf>
    <xf numFmtId="0" fontId="10" fillId="0" borderId="0" xfId="1"/>
    <xf numFmtId="0" fontId="10" fillId="0" borderId="0" xfId="1" applyAlignment="1">
      <alignment horizontal="center"/>
    </xf>
    <xf numFmtId="0" fontId="10" fillId="0" borderId="0" xfId="1" applyAlignment="1">
      <alignment horizontal="left"/>
    </xf>
    <xf numFmtId="0" fontId="11" fillId="0" borderId="16" xfId="2" applyBorder="1" applyAlignment="1">
      <alignment horizontal="left"/>
    </xf>
    <xf numFmtId="0" fontId="11" fillId="8" borderId="16" xfId="2" applyFill="1" applyBorder="1" applyAlignment="1">
      <alignment horizontal="left"/>
    </xf>
    <xf numFmtId="0" fontId="12" fillId="0" borderId="0" xfId="1" applyFont="1" applyAlignment="1">
      <alignment horizontal="center"/>
    </xf>
    <xf numFmtId="0" fontId="12" fillId="0" borderId="16" xfId="1" applyFont="1" applyBorder="1" applyAlignment="1">
      <alignment horizontal="center"/>
    </xf>
    <xf numFmtId="0" fontId="12" fillId="0" borderId="0" xfId="1" applyFont="1"/>
    <xf numFmtId="0" fontId="12" fillId="0" borderId="0" xfId="1" applyFont="1" applyAlignment="1">
      <alignment horizontal="left"/>
    </xf>
    <xf numFmtId="0" fontId="13" fillId="0" borderId="0" xfId="3"/>
    <xf numFmtId="0" fontId="11" fillId="0" borderId="0" xfId="3" applyFont="1" applyAlignment="1">
      <alignment horizontal="left"/>
    </xf>
    <xf numFmtId="0" fontId="14" fillId="0" borderId="0" xfId="3" applyFont="1" applyAlignment="1">
      <alignment horizontal="center"/>
    </xf>
    <xf numFmtId="0" fontId="14" fillId="0" borderId="0" xfId="3" applyFont="1" applyAlignment="1">
      <alignment horizontal="left"/>
    </xf>
    <xf numFmtId="0" fontId="16" fillId="0" borderId="0" xfId="1" applyFont="1" applyAlignment="1">
      <alignment horizontal="left"/>
    </xf>
    <xf numFmtId="0" fontId="17" fillId="6" borderId="0" xfId="0" applyFont="1" applyFill="1" applyAlignment="1">
      <alignment horizontal="left"/>
    </xf>
    <xf numFmtId="0" fontId="18" fillId="10" borderId="16" xfId="0" applyFont="1" applyFill="1" applyBorder="1" applyAlignment="1">
      <alignment horizontal="center"/>
    </xf>
    <xf numFmtId="0" fontId="18" fillId="0" borderId="0" xfId="0" applyFont="1" applyAlignment="1">
      <alignment horizontal="center"/>
    </xf>
    <xf numFmtId="0" fontId="18" fillId="0" borderId="0" xfId="0" applyFont="1" applyAlignment="1">
      <alignment horizontal="left"/>
    </xf>
    <xf numFmtId="0" fontId="18" fillId="10" borderId="16" xfId="1" applyFont="1" applyFill="1" applyBorder="1" applyAlignment="1">
      <alignment horizontal="center"/>
    </xf>
    <xf numFmtId="0" fontId="18" fillId="0" borderId="0" xfId="1" applyFont="1" applyAlignment="1">
      <alignment horizontal="center"/>
    </xf>
    <xf numFmtId="0" fontId="18" fillId="0" borderId="0" xfId="1" applyFont="1" applyAlignment="1">
      <alignment horizontal="left"/>
    </xf>
    <xf numFmtId="167" fontId="19" fillId="0" borderId="0" xfId="0" applyNumberFormat="1" applyFont="1" applyAlignment="1">
      <alignment horizontal="right"/>
    </xf>
    <xf numFmtId="168" fontId="11" fillId="0" borderId="16" xfId="2" applyNumberFormat="1" applyBorder="1">
      <alignment horizontal="center"/>
    </xf>
    <xf numFmtId="168" fontId="11" fillId="8" borderId="16" xfId="2" applyNumberFormat="1" applyFill="1" applyBorder="1">
      <alignment horizontal="center"/>
    </xf>
    <xf numFmtId="168" fontId="10" fillId="0" borderId="0" xfId="1" applyNumberFormat="1" applyAlignment="1">
      <alignment horizontal="center"/>
    </xf>
    <xf numFmtId="167" fontId="11" fillId="0" borderId="0" xfId="3" applyNumberFormat="1" applyFont="1" applyAlignment="1">
      <alignment horizontal="right"/>
    </xf>
    <xf numFmtId="168" fontId="13" fillId="0" borderId="0" xfId="3" applyNumberFormat="1"/>
    <xf numFmtId="167" fontId="19" fillId="0" borderId="0" xfId="1" applyNumberFormat="1" applyFont="1" applyAlignment="1">
      <alignment horizontal="right"/>
    </xf>
    <xf numFmtId="0" fontId="21" fillId="0" borderId="0" xfId="0" applyFont="1"/>
    <xf numFmtId="0" fontId="0" fillId="0" borderId="18" xfId="0" applyBorder="1"/>
    <xf numFmtId="169" fontId="0" fillId="0" borderId="18" xfId="0" applyNumberFormat="1" applyBorder="1" applyAlignment="1">
      <alignment horizontal="center"/>
    </xf>
    <xf numFmtId="169" fontId="20" fillId="0" borderId="18" xfId="0" applyNumberFormat="1" applyFont="1" applyBorder="1" applyAlignment="1">
      <alignment horizontal="center"/>
    </xf>
    <xf numFmtId="0" fontId="20" fillId="12" borderId="19" xfId="0" applyFont="1" applyFill="1" applyBorder="1"/>
    <xf numFmtId="169" fontId="20" fillId="12" borderId="19" xfId="0" applyNumberFormat="1" applyFont="1" applyFill="1" applyBorder="1" applyAlignment="1">
      <alignment horizontal="center"/>
    </xf>
    <xf numFmtId="0" fontId="0" fillId="0" borderId="18" xfId="0" applyBorder="1" applyAlignment="1">
      <alignment horizontal="center"/>
    </xf>
    <xf numFmtId="169" fontId="23" fillId="13" borderId="18" xfId="0" applyNumberFormat="1" applyFont="1" applyFill="1" applyBorder="1" applyAlignment="1">
      <alignment horizontal="center"/>
    </xf>
    <xf numFmtId="0" fontId="0" fillId="0" borderId="0" xfId="0" applyAlignment="1">
      <alignment wrapText="1"/>
    </xf>
    <xf numFmtId="0" fontId="0" fillId="0" borderId="17" xfId="0" applyBorder="1"/>
    <xf numFmtId="0" fontId="0" fillId="0" borderId="17" xfId="0" applyBorder="1" applyAlignment="1">
      <alignment horizontal="center"/>
    </xf>
    <xf numFmtId="169" fontId="0" fillId="0" borderId="17" xfId="0" applyNumberFormat="1" applyBorder="1" applyAlignment="1">
      <alignment horizontal="center"/>
    </xf>
    <xf numFmtId="169" fontId="23" fillId="13" borderId="17" xfId="0" applyNumberFormat="1" applyFont="1" applyFill="1" applyBorder="1" applyAlignment="1">
      <alignment horizontal="center"/>
    </xf>
    <xf numFmtId="169" fontId="20" fillId="0" borderId="17" xfId="0" applyNumberFormat="1" applyFont="1" applyBorder="1" applyAlignment="1">
      <alignment horizontal="center"/>
    </xf>
    <xf numFmtId="0" fontId="22" fillId="11" borderId="20" xfId="0" applyFont="1" applyFill="1" applyBorder="1" applyAlignment="1">
      <alignment horizontal="center" vertical="center"/>
    </xf>
    <xf numFmtId="0" fontId="22" fillId="14" borderId="20" xfId="0" applyFont="1" applyFill="1" applyBorder="1" applyAlignment="1">
      <alignment horizontal="center" vertical="center"/>
    </xf>
    <xf numFmtId="0" fontId="22" fillId="11" borderId="20" xfId="0" applyFont="1" applyFill="1" applyBorder="1" applyAlignment="1">
      <alignment horizontal="center" vertical="center"/>
    </xf>
    <xf numFmtId="0" fontId="18" fillId="9" borderId="0" xfId="0" applyFont="1" applyFill="1" applyAlignment="1">
      <alignment horizontal="center"/>
    </xf>
    <xf numFmtId="0" fontId="0" fillId="0" borderId="0" xfId="0"/>
    <xf numFmtId="0" fontId="15" fillId="0" borderId="0" xfId="3" applyFont="1"/>
    <xf numFmtId="0" fontId="1" fillId="4" borderId="4" xfId="0" applyFont="1" applyFill="1" applyBorder="1" applyAlignment="1">
      <alignment horizontal="center" vertical="center" wrapText="1"/>
    </xf>
    <xf numFmtId="0" fontId="2" fillId="0" borderId="6" xfId="0" applyFont="1" applyBorder="1"/>
    <xf numFmtId="0" fontId="1" fillId="2" borderId="4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center" vertical="center" wrapText="1"/>
    </xf>
    <xf numFmtId="0" fontId="2" fillId="0" borderId="12" xfId="0" applyFont="1" applyBorder="1"/>
    <xf numFmtId="0" fontId="2" fillId="0" borderId="13" xfId="0" applyFont="1" applyBorder="1"/>
    <xf numFmtId="0" fontId="1" fillId="3" borderId="4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2" fillId="0" borderId="2" xfId="0" applyFont="1" applyBorder="1"/>
    <xf numFmtId="0" fontId="2" fillId="0" borderId="3" xfId="0" applyFont="1" applyBorder="1"/>
    <xf numFmtId="0" fontId="18" fillId="9" borderId="0" xfId="1" applyFont="1" applyFill="1" applyAlignment="1">
      <alignment horizontal="center"/>
    </xf>
    <xf numFmtId="0" fontId="10" fillId="0" borderId="0" xfId="1"/>
  </cellXfs>
  <cellStyles count="4">
    <cellStyle name="datailColumnTableStyle" xfId="2" xr:uid="{86E15CBC-E97C-455A-8DC6-789244532422}"/>
    <cellStyle name="Normal" xfId="0" builtinId="0"/>
    <cellStyle name="Normal 2" xfId="1" xr:uid="{54B9B174-8450-4224-8F1D-BAA5E1FF58D0}"/>
    <cellStyle name="Normal 3" xfId="3" xr:uid="{E0866B45-2AEF-4AE6-9E7F-AA8FE993FA5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2" Type="http://schemas.openxmlformats.org/officeDocument/2006/relationships/worksheet" Target="worksheets/sheet2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23" Type="http://schemas.openxmlformats.org/officeDocument/2006/relationships/calcChain" Target="calcChain.xml"/><Relationship Id="rId19" Type="http://customschemas.google.com/relationships/workbookmetadata" Target="metadata"/><Relationship Id="rId4" Type="http://schemas.openxmlformats.org/officeDocument/2006/relationships/worksheet" Target="worksheets/sheet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CFD8E5A5-C2F1-4930-98CB-1E6AB6856E69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41c2ac06-d484-4fab-91cd-f1550011fdfd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B6353E-A092-48EC-983C-EED71C72CA77}">
  <dimension ref="A1:P464"/>
  <sheetViews>
    <sheetView tabSelected="1" workbookViewId="0">
      <pane ySplit="4" topLeftCell="A5" activePane="bottomLeft" state="frozen"/>
      <selection activeCell="I1" sqref="I1"/>
      <selection pane="bottomLeft" activeCell="A3" sqref="A3:A4"/>
    </sheetView>
  </sheetViews>
  <sheetFormatPr defaultRowHeight="14.5"/>
  <cols>
    <col min="1" max="1" width="23.6328125" customWidth="1"/>
    <col min="2" max="2" width="15.26953125" bestFit="1" customWidth="1"/>
    <col min="3" max="3" width="16.6328125" bestFit="1" customWidth="1"/>
    <col min="4" max="4" width="10.90625" customWidth="1"/>
    <col min="5" max="5" width="12.36328125" bestFit="1" customWidth="1"/>
    <col min="6" max="6" width="11.1796875" bestFit="1" customWidth="1"/>
    <col min="7" max="7" width="12.36328125" bestFit="1" customWidth="1"/>
    <col min="8" max="8" width="11.1796875" bestFit="1" customWidth="1"/>
    <col min="9" max="9" width="12.36328125" bestFit="1" customWidth="1"/>
    <col min="10" max="10" width="11.1796875" bestFit="1" customWidth="1"/>
    <col min="11" max="11" width="12.36328125" bestFit="1" customWidth="1"/>
    <col min="12" max="12" width="11.1796875" bestFit="1" customWidth="1"/>
    <col min="13" max="13" width="12.36328125" bestFit="1" customWidth="1"/>
    <col min="14" max="14" width="11.1796875" bestFit="1" customWidth="1"/>
    <col min="15" max="15" width="12.36328125" bestFit="1" customWidth="1"/>
    <col min="16" max="16" width="11.1796875" bestFit="1" customWidth="1"/>
  </cols>
  <sheetData>
    <row r="1" spans="1:16" ht="18.5">
      <c r="A1" s="68" t="s">
        <v>1659</v>
      </c>
    </row>
    <row r="2" spans="1:16">
      <c r="A2" t="s">
        <v>1661</v>
      </c>
    </row>
    <row r="3" spans="1:16" ht="20" customHeight="1">
      <c r="A3" s="84" t="s">
        <v>0</v>
      </c>
      <c r="B3" s="84" t="s">
        <v>1569</v>
      </c>
      <c r="C3" s="84" t="s">
        <v>1585</v>
      </c>
      <c r="D3" s="84" t="s">
        <v>1586</v>
      </c>
      <c r="E3" s="84" t="s">
        <v>1656</v>
      </c>
      <c r="F3" s="84"/>
      <c r="G3" s="84" t="s">
        <v>1657</v>
      </c>
      <c r="H3" s="84"/>
      <c r="I3" s="84" t="s">
        <v>1049</v>
      </c>
      <c r="J3" s="84"/>
      <c r="K3" s="84" t="s">
        <v>1386</v>
      </c>
      <c r="L3" s="84"/>
      <c r="M3" s="84" t="s">
        <v>1658</v>
      </c>
      <c r="N3" s="84"/>
      <c r="O3" s="84" t="s">
        <v>2</v>
      </c>
      <c r="P3" s="84"/>
    </row>
    <row r="4" spans="1:16" s="76" customFormat="1" ht="20" customHeight="1">
      <c r="A4" s="84"/>
      <c r="B4" s="84"/>
      <c r="C4" s="84"/>
      <c r="D4" s="84"/>
      <c r="E4" s="82" t="s">
        <v>1660</v>
      </c>
      <c r="F4" s="83" t="s">
        <v>1655</v>
      </c>
      <c r="G4" s="82" t="s">
        <v>1660</v>
      </c>
      <c r="H4" s="83" t="s">
        <v>1655</v>
      </c>
      <c r="I4" s="82" t="s">
        <v>1660</v>
      </c>
      <c r="J4" s="83" t="s">
        <v>1655</v>
      </c>
      <c r="K4" s="82" t="s">
        <v>1660</v>
      </c>
      <c r="L4" s="83" t="s">
        <v>1655</v>
      </c>
      <c r="M4" s="82" t="s">
        <v>1660</v>
      </c>
      <c r="N4" s="83" t="s">
        <v>1655</v>
      </c>
      <c r="O4" s="82" t="s">
        <v>1660</v>
      </c>
      <c r="P4" s="83" t="s">
        <v>1655</v>
      </c>
    </row>
    <row r="5" spans="1:16">
      <c r="A5" s="77" t="s">
        <v>73</v>
      </c>
      <c r="B5" s="77" t="s">
        <v>1570</v>
      </c>
      <c r="C5" s="77" t="s">
        <v>1587</v>
      </c>
      <c r="D5" s="78" t="s">
        <v>1588</v>
      </c>
      <c r="E5" s="79">
        <f>SUMIFS('K Village'!$D:$D,'K Village'!$B:$B,$A5)</f>
        <v>0</v>
      </c>
      <c r="F5" s="80"/>
      <c r="G5" s="79">
        <f>SUMIFS('Central CL (Department)'!$BO:$BO,'Central CL (Department)'!$A:$A,$A5)</f>
        <v>0</v>
      </c>
      <c r="H5" s="80"/>
      <c r="I5" s="79">
        <f>SUMIFS('Siam Discovery'!$C:$C,'Siam Discovery'!$A:$A,$A5)</f>
        <v>0</v>
      </c>
      <c r="J5" s="80"/>
      <c r="K5" s="79">
        <f>SUMIFS('Paradise Park'!$C:$C,'Paradise Park'!$A:$A,$A5)</f>
        <v>0</v>
      </c>
      <c r="L5" s="80"/>
      <c r="M5" s="79">
        <f>SUMIFS('Central LP'!$D:$D,'Central LP'!$B:$B,$A5)</f>
        <v>1</v>
      </c>
      <c r="N5" s="80"/>
      <c r="O5" s="81">
        <f>E5+G5+I5+K5+M5</f>
        <v>1</v>
      </c>
      <c r="P5" s="81">
        <f>F5+H5+J5+L5+N5</f>
        <v>0</v>
      </c>
    </row>
    <row r="6" spans="1:16">
      <c r="A6" s="69" t="s">
        <v>77</v>
      </c>
      <c r="B6" s="69" t="s">
        <v>1570</v>
      </c>
      <c r="C6" s="69" t="s">
        <v>1587</v>
      </c>
      <c r="D6" s="74" t="s">
        <v>1589</v>
      </c>
      <c r="E6" s="70">
        <f>SUMIFS('K Village'!$D:$D,'K Village'!$B:$B,$A6)</f>
        <v>0</v>
      </c>
      <c r="F6" s="75"/>
      <c r="G6" s="70">
        <f>SUMIFS('Central CL (Department)'!$BO:$BO,'Central CL (Department)'!$A:$A,$A6)</f>
        <v>2</v>
      </c>
      <c r="H6" s="75"/>
      <c r="I6" s="70">
        <f>SUMIFS('Siam Discovery'!$C:$C,'Siam Discovery'!$A:$A,$A6)</f>
        <v>0</v>
      </c>
      <c r="J6" s="75"/>
      <c r="K6" s="70">
        <f>SUMIFS('Paradise Park'!$C:$C,'Paradise Park'!$A:$A,$A6)</f>
        <v>1</v>
      </c>
      <c r="L6" s="75"/>
      <c r="M6" s="70">
        <f>SUMIFS('Central LP'!$D:$D,'Central LP'!$B:$B,$A6)</f>
        <v>3</v>
      </c>
      <c r="N6" s="75"/>
      <c r="O6" s="71">
        <f t="shared" ref="O6:O69" si="0">E6+G6+I6+K6+M6</f>
        <v>6</v>
      </c>
      <c r="P6" s="71">
        <f t="shared" ref="P6:P69" si="1">F6+H6+J6+L6+N6</f>
        <v>0</v>
      </c>
    </row>
    <row r="7" spans="1:16">
      <c r="A7" s="69" t="s">
        <v>81</v>
      </c>
      <c r="B7" s="69" t="s">
        <v>1570</v>
      </c>
      <c r="C7" s="69" t="s">
        <v>1587</v>
      </c>
      <c r="D7" s="74" t="s">
        <v>1590</v>
      </c>
      <c r="E7" s="70">
        <f>SUMIFS('K Village'!$D:$D,'K Village'!$B:$B,$A7)</f>
        <v>0</v>
      </c>
      <c r="F7" s="75"/>
      <c r="G7" s="70">
        <f>SUMIFS('Central CL (Department)'!$BO:$BO,'Central CL (Department)'!$A:$A,$A7)</f>
        <v>3</v>
      </c>
      <c r="H7" s="75"/>
      <c r="I7" s="70">
        <f>SUMIFS('Siam Discovery'!$C:$C,'Siam Discovery'!$A:$A,$A7)</f>
        <v>0</v>
      </c>
      <c r="J7" s="75"/>
      <c r="K7" s="70">
        <f>SUMIFS('Paradise Park'!$C:$C,'Paradise Park'!$A:$A,$A7)</f>
        <v>1</v>
      </c>
      <c r="L7" s="75"/>
      <c r="M7" s="70">
        <f>SUMIFS('Central LP'!$D:$D,'Central LP'!$B:$B,$A7)</f>
        <v>1</v>
      </c>
      <c r="N7" s="75"/>
      <c r="O7" s="71">
        <f t="shared" si="0"/>
        <v>5</v>
      </c>
      <c r="P7" s="71">
        <f t="shared" si="1"/>
        <v>0</v>
      </c>
    </row>
    <row r="8" spans="1:16">
      <c r="A8" s="69" t="s">
        <v>85</v>
      </c>
      <c r="B8" s="69" t="s">
        <v>1570</v>
      </c>
      <c r="C8" s="69" t="s">
        <v>1587</v>
      </c>
      <c r="D8" s="74" t="s">
        <v>1591</v>
      </c>
      <c r="E8" s="70">
        <f>SUMIFS('K Village'!$D:$D,'K Village'!$B:$B,$A8)</f>
        <v>0</v>
      </c>
      <c r="F8" s="75"/>
      <c r="G8" s="70">
        <f>SUMIFS('Central CL (Department)'!$BO:$BO,'Central CL (Department)'!$A:$A,$A8)</f>
        <v>0</v>
      </c>
      <c r="H8" s="75"/>
      <c r="I8" s="70">
        <f>SUMIFS('Siam Discovery'!$C:$C,'Siam Discovery'!$A:$A,$A8)</f>
        <v>2</v>
      </c>
      <c r="J8" s="75"/>
      <c r="K8" s="70">
        <f>SUMIFS('Paradise Park'!$C:$C,'Paradise Park'!$A:$A,$A8)</f>
        <v>1</v>
      </c>
      <c r="L8" s="75"/>
      <c r="M8" s="70">
        <f>SUMIFS('Central LP'!$D:$D,'Central LP'!$B:$B,$A8)</f>
        <v>2</v>
      </c>
      <c r="N8" s="75"/>
      <c r="O8" s="71">
        <f t="shared" si="0"/>
        <v>5</v>
      </c>
      <c r="P8" s="71">
        <f t="shared" si="1"/>
        <v>0</v>
      </c>
    </row>
    <row r="9" spans="1:16">
      <c r="A9" s="69" t="s">
        <v>89</v>
      </c>
      <c r="B9" s="69" t="s">
        <v>1570</v>
      </c>
      <c r="C9" s="69" t="s">
        <v>1587</v>
      </c>
      <c r="D9" s="74" t="s">
        <v>1592</v>
      </c>
      <c r="E9" s="70">
        <f>SUMIFS('K Village'!$D:$D,'K Village'!$B:$B,$A9)</f>
        <v>0</v>
      </c>
      <c r="F9" s="75"/>
      <c r="G9" s="70">
        <f>SUMIFS('Central CL (Department)'!$BO:$BO,'Central CL (Department)'!$A:$A,$A9)</f>
        <v>0</v>
      </c>
      <c r="H9" s="75"/>
      <c r="I9" s="70">
        <f>SUMIFS('Siam Discovery'!$C:$C,'Siam Discovery'!$A:$A,$A9)</f>
        <v>0</v>
      </c>
      <c r="J9" s="75"/>
      <c r="K9" s="70">
        <f>SUMIFS('Paradise Park'!$C:$C,'Paradise Park'!$A:$A,$A9)</f>
        <v>0</v>
      </c>
      <c r="L9" s="75"/>
      <c r="M9" s="70">
        <f>SUMIFS('Central LP'!$D:$D,'Central LP'!$B:$B,$A9)</f>
        <v>1</v>
      </c>
      <c r="N9" s="75"/>
      <c r="O9" s="71">
        <f t="shared" si="0"/>
        <v>1</v>
      </c>
      <c r="P9" s="71">
        <f t="shared" si="1"/>
        <v>0</v>
      </c>
    </row>
    <row r="10" spans="1:16">
      <c r="A10" s="69" t="s">
        <v>93</v>
      </c>
      <c r="B10" s="69" t="s">
        <v>1570</v>
      </c>
      <c r="C10" s="69" t="s">
        <v>1587</v>
      </c>
      <c r="D10" s="74" t="s">
        <v>1593</v>
      </c>
      <c r="E10" s="70">
        <f>SUMIFS('K Village'!$D:$D,'K Village'!$B:$B,$A10)</f>
        <v>0</v>
      </c>
      <c r="F10" s="75"/>
      <c r="G10" s="70">
        <f>SUMIFS('Central CL (Department)'!$BO:$BO,'Central CL (Department)'!$A:$A,$A10)</f>
        <v>1</v>
      </c>
      <c r="H10" s="75"/>
      <c r="I10" s="70">
        <f>SUMIFS('Siam Discovery'!$C:$C,'Siam Discovery'!$A:$A,$A10)</f>
        <v>0</v>
      </c>
      <c r="J10" s="75"/>
      <c r="K10" s="70">
        <f>SUMIFS('Paradise Park'!$C:$C,'Paradise Park'!$A:$A,$A10)</f>
        <v>2</v>
      </c>
      <c r="L10" s="75"/>
      <c r="M10" s="70">
        <f>SUMIFS('Central LP'!$D:$D,'Central LP'!$B:$B,$A10)</f>
        <v>2</v>
      </c>
      <c r="N10" s="75"/>
      <c r="O10" s="71">
        <f t="shared" si="0"/>
        <v>5</v>
      </c>
      <c r="P10" s="71">
        <f t="shared" si="1"/>
        <v>0</v>
      </c>
    </row>
    <row r="11" spans="1:16">
      <c r="A11" s="69" t="s">
        <v>95</v>
      </c>
      <c r="B11" s="69" t="s">
        <v>1570</v>
      </c>
      <c r="C11" s="69" t="s">
        <v>1587</v>
      </c>
      <c r="D11" s="74" t="s">
        <v>1594</v>
      </c>
      <c r="E11" s="70">
        <f>SUMIFS('K Village'!$D:$D,'K Village'!$B:$B,$A11)</f>
        <v>0</v>
      </c>
      <c r="F11" s="75"/>
      <c r="G11" s="70">
        <f>SUMIFS('Central CL (Department)'!$BO:$BO,'Central CL (Department)'!$A:$A,$A11)</f>
        <v>1</v>
      </c>
      <c r="H11" s="75"/>
      <c r="I11" s="70">
        <v>0</v>
      </c>
      <c r="J11" s="75"/>
      <c r="K11" s="70">
        <f>SUMIFS('Paradise Park'!$C:$C,'Paradise Park'!$A:$A,$A11)</f>
        <v>3</v>
      </c>
      <c r="L11" s="75"/>
      <c r="M11" s="70">
        <f>SUMIFS('Central LP'!$D:$D,'Central LP'!$B:$B,$A11)</f>
        <v>1</v>
      </c>
      <c r="N11" s="75"/>
      <c r="O11" s="71">
        <f t="shared" si="0"/>
        <v>5</v>
      </c>
      <c r="P11" s="71">
        <f t="shared" si="1"/>
        <v>0</v>
      </c>
    </row>
    <row r="12" spans="1:16">
      <c r="A12" s="69" t="s">
        <v>389</v>
      </c>
      <c r="B12" s="69" t="s">
        <v>1570</v>
      </c>
      <c r="C12" s="69" t="s">
        <v>1587</v>
      </c>
      <c r="D12" s="74" t="s">
        <v>1595</v>
      </c>
      <c r="E12" s="70">
        <f>SUMIFS('K Village'!$D:$D,'K Village'!$B:$B,$A12)</f>
        <v>0</v>
      </c>
      <c r="F12" s="75"/>
      <c r="G12" s="70">
        <f>SUMIFS('Central CL (Department)'!$BO:$BO,'Central CL (Department)'!$A:$A,$A12)</f>
        <v>2</v>
      </c>
      <c r="H12" s="75"/>
      <c r="I12" s="70">
        <f>SUMIFS('Siam Discovery'!$C:$C,'Siam Discovery'!$A:$A,$A12)</f>
        <v>0</v>
      </c>
      <c r="J12" s="75"/>
      <c r="K12" s="70">
        <f>SUMIFS('Paradise Park'!$C:$C,'Paradise Park'!$A:$A,$A12)</f>
        <v>0</v>
      </c>
      <c r="L12" s="75"/>
      <c r="M12" s="70">
        <f>SUMIFS('Central LP'!$D:$D,'Central LP'!$B:$B,$A12)</f>
        <v>1</v>
      </c>
      <c r="N12" s="75"/>
      <c r="O12" s="71">
        <f t="shared" si="0"/>
        <v>3</v>
      </c>
      <c r="P12" s="71">
        <f t="shared" si="1"/>
        <v>0</v>
      </c>
    </row>
    <row r="13" spans="1:16">
      <c r="A13" s="69" t="s">
        <v>1201</v>
      </c>
      <c r="B13" s="69" t="s">
        <v>1570</v>
      </c>
      <c r="C13" s="69" t="s">
        <v>1587</v>
      </c>
      <c r="D13" s="74" t="s">
        <v>1596</v>
      </c>
      <c r="E13" s="70">
        <f>SUMIFS('K Village'!$D:$D,'K Village'!$B:$B,$A13)</f>
        <v>0</v>
      </c>
      <c r="F13" s="75"/>
      <c r="G13" s="70">
        <f>SUMIFS('Central CL (Department)'!$BO:$BO,'Central CL (Department)'!$A:$A,$A13)</f>
        <v>0</v>
      </c>
      <c r="H13" s="75"/>
      <c r="I13" s="70">
        <f>SUMIFS('Siam Discovery'!$C:$C,'Siam Discovery'!$A:$A,$A13)</f>
        <v>0</v>
      </c>
      <c r="J13" s="75"/>
      <c r="K13" s="70">
        <f>SUMIFS('Paradise Park'!$C:$C,'Paradise Park'!$A:$A,$A13)</f>
        <v>1</v>
      </c>
      <c r="L13" s="75"/>
      <c r="M13" s="70">
        <f>SUMIFS('Central LP'!$D:$D,'Central LP'!$B:$B,$A13)</f>
        <v>0</v>
      </c>
      <c r="N13" s="75"/>
      <c r="O13" s="71">
        <f t="shared" si="0"/>
        <v>1</v>
      </c>
      <c r="P13" s="71">
        <f t="shared" si="1"/>
        <v>0</v>
      </c>
    </row>
    <row r="14" spans="1:16">
      <c r="A14" s="69" t="s">
        <v>393</v>
      </c>
      <c r="B14" s="69" t="s">
        <v>1570</v>
      </c>
      <c r="C14" s="69" t="s">
        <v>1597</v>
      </c>
      <c r="D14" s="74" t="s">
        <v>1598</v>
      </c>
      <c r="E14" s="70">
        <f>SUMIFS('K Village'!$D:$D,'K Village'!$B:$B,$A14)</f>
        <v>1</v>
      </c>
      <c r="F14" s="75"/>
      <c r="G14" s="70">
        <f>SUMIFS('Central CL (Department)'!$BO:$BO,'Central CL (Department)'!$A:$A,$A14)</f>
        <v>1</v>
      </c>
      <c r="H14" s="75"/>
      <c r="I14" s="70">
        <f>SUMIFS('Siam Discovery'!$C:$C,'Siam Discovery'!$A:$A,$A14)</f>
        <v>0</v>
      </c>
      <c r="J14" s="75"/>
      <c r="K14" s="70">
        <f>SUMIFS('Paradise Park'!$C:$C,'Paradise Park'!$A:$A,$A14)</f>
        <v>2</v>
      </c>
      <c r="L14" s="75"/>
      <c r="M14" s="70">
        <f>SUMIFS('Central LP'!$D:$D,'Central LP'!$B:$B,$A14)</f>
        <v>1</v>
      </c>
      <c r="N14" s="75"/>
      <c r="O14" s="71">
        <f t="shared" si="0"/>
        <v>5</v>
      </c>
      <c r="P14" s="71">
        <f t="shared" si="1"/>
        <v>0</v>
      </c>
    </row>
    <row r="15" spans="1:16">
      <c r="A15" s="69" t="s">
        <v>208</v>
      </c>
      <c r="B15" s="69" t="s">
        <v>1570</v>
      </c>
      <c r="C15" s="69" t="s">
        <v>1597</v>
      </c>
      <c r="D15" s="74" t="s">
        <v>1599</v>
      </c>
      <c r="E15" s="70">
        <f>SUMIFS('K Village'!$D:$D,'K Village'!$B:$B,$A15)</f>
        <v>2</v>
      </c>
      <c r="F15" s="75"/>
      <c r="G15" s="70">
        <f>SUMIFS('Central CL (Department)'!$BO:$BO,'Central CL (Department)'!$A:$A,$A15)</f>
        <v>2</v>
      </c>
      <c r="H15" s="75"/>
      <c r="I15" s="70">
        <f>SUMIFS('Siam Discovery'!$C:$C,'Siam Discovery'!$A:$A,$A15)</f>
        <v>0</v>
      </c>
      <c r="J15" s="75"/>
      <c r="K15" s="70">
        <f>SUMIFS('Paradise Park'!$C:$C,'Paradise Park'!$A:$A,$A15)</f>
        <v>2</v>
      </c>
      <c r="L15" s="75"/>
      <c r="M15" s="70">
        <f>SUMIFS('Central LP'!$D:$D,'Central LP'!$B:$B,$A15)</f>
        <v>1</v>
      </c>
      <c r="N15" s="75"/>
      <c r="O15" s="71">
        <f t="shared" si="0"/>
        <v>7</v>
      </c>
      <c r="P15" s="71">
        <f t="shared" si="1"/>
        <v>0</v>
      </c>
    </row>
    <row r="16" spans="1:16">
      <c r="A16" s="69" t="s">
        <v>210</v>
      </c>
      <c r="B16" s="69" t="s">
        <v>1570</v>
      </c>
      <c r="C16" s="69" t="s">
        <v>1597</v>
      </c>
      <c r="D16" s="74" t="s">
        <v>1600</v>
      </c>
      <c r="E16" s="70">
        <f>SUMIFS('K Village'!$D:$D,'K Village'!$B:$B,$A16)</f>
        <v>2</v>
      </c>
      <c r="F16" s="75"/>
      <c r="G16" s="70">
        <f>SUMIFS('Central CL (Department)'!$BO:$BO,'Central CL (Department)'!$A:$A,$A16)</f>
        <v>1</v>
      </c>
      <c r="H16" s="75"/>
      <c r="I16" s="70">
        <f>SUMIFS('Siam Discovery'!$C:$C,'Siam Discovery'!$A:$A,$A16)</f>
        <v>2</v>
      </c>
      <c r="J16" s="75"/>
      <c r="K16" s="70">
        <f>SUMIFS('Paradise Park'!$C:$C,'Paradise Park'!$A:$A,$A16)</f>
        <v>3</v>
      </c>
      <c r="L16" s="75"/>
      <c r="M16" s="70">
        <f>SUMIFS('Central LP'!$D:$D,'Central LP'!$B:$B,$A16)</f>
        <v>1</v>
      </c>
      <c r="N16" s="75"/>
      <c r="O16" s="71">
        <f t="shared" si="0"/>
        <v>9</v>
      </c>
      <c r="P16" s="71">
        <f t="shared" si="1"/>
        <v>0</v>
      </c>
    </row>
    <row r="17" spans="1:16">
      <c r="A17" s="69" t="s">
        <v>212</v>
      </c>
      <c r="B17" s="69" t="s">
        <v>1570</v>
      </c>
      <c r="C17" s="69" t="s">
        <v>1597</v>
      </c>
      <c r="D17" s="74" t="s">
        <v>1601</v>
      </c>
      <c r="E17" s="70">
        <f>SUMIFS('K Village'!$D:$D,'K Village'!$B:$B,$A17)</f>
        <v>2</v>
      </c>
      <c r="F17" s="75"/>
      <c r="G17" s="70">
        <f>SUMIFS('Central CL (Department)'!$BO:$BO,'Central CL (Department)'!$A:$A,$A17)</f>
        <v>1</v>
      </c>
      <c r="H17" s="75"/>
      <c r="I17" s="70">
        <f>SUMIFS('Siam Discovery'!$C:$C,'Siam Discovery'!$A:$A,$A17)</f>
        <v>2</v>
      </c>
      <c r="J17" s="75"/>
      <c r="K17" s="70">
        <f>SUMIFS('Paradise Park'!$C:$C,'Paradise Park'!$A:$A,$A17)</f>
        <v>0</v>
      </c>
      <c r="L17" s="75"/>
      <c r="M17" s="70">
        <f>SUMIFS('Central LP'!$D:$D,'Central LP'!$B:$B,$A17)</f>
        <v>1</v>
      </c>
      <c r="N17" s="75"/>
      <c r="O17" s="71">
        <f t="shared" si="0"/>
        <v>6</v>
      </c>
      <c r="P17" s="71">
        <f t="shared" si="1"/>
        <v>0</v>
      </c>
    </row>
    <row r="18" spans="1:16">
      <c r="A18" s="69" t="s">
        <v>214</v>
      </c>
      <c r="B18" s="69" t="s">
        <v>1570</v>
      </c>
      <c r="C18" s="69" t="s">
        <v>1597</v>
      </c>
      <c r="D18" s="74" t="s">
        <v>1602</v>
      </c>
      <c r="E18" s="70">
        <f>SUMIFS('K Village'!$D:$D,'K Village'!$B:$B,$A18)</f>
        <v>2</v>
      </c>
      <c r="F18" s="75"/>
      <c r="G18" s="70">
        <f>SUMIFS('Central CL (Department)'!$BO:$BO,'Central CL (Department)'!$A:$A,$A18)</f>
        <v>1</v>
      </c>
      <c r="H18" s="75"/>
      <c r="I18" s="70">
        <f>SUMIFS('Siam Discovery'!$C:$C,'Siam Discovery'!$A:$A,$A18)</f>
        <v>1</v>
      </c>
      <c r="J18" s="75"/>
      <c r="K18" s="70">
        <f>SUMIFS('Paradise Park'!$C:$C,'Paradise Park'!$A:$A,$A18)</f>
        <v>0</v>
      </c>
      <c r="L18" s="75"/>
      <c r="M18" s="70">
        <f>SUMIFS('Central LP'!$D:$D,'Central LP'!$B:$B,$A18)</f>
        <v>1</v>
      </c>
      <c r="N18" s="75"/>
      <c r="O18" s="71">
        <f t="shared" si="0"/>
        <v>5</v>
      </c>
      <c r="P18" s="71">
        <f t="shared" si="1"/>
        <v>0</v>
      </c>
    </row>
    <row r="19" spans="1:16">
      <c r="A19" s="69" t="s">
        <v>395</v>
      </c>
      <c r="B19" s="69" t="s">
        <v>1570</v>
      </c>
      <c r="C19" s="69" t="s">
        <v>1597</v>
      </c>
      <c r="D19" s="74" t="s">
        <v>1603</v>
      </c>
      <c r="E19" s="70">
        <f>SUMIFS('K Village'!$D:$D,'K Village'!$B:$B,$A19)</f>
        <v>3</v>
      </c>
      <c r="F19" s="75"/>
      <c r="G19" s="70">
        <f>SUMIFS('Central CL (Department)'!$BO:$BO,'Central CL (Department)'!$A:$A,$A19)</f>
        <v>1</v>
      </c>
      <c r="H19" s="75"/>
      <c r="I19" s="70">
        <f>SUMIFS('Siam Discovery'!$C:$C,'Siam Discovery'!$A:$A,$A19)</f>
        <v>0</v>
      </c>
      <c r="J19" s="75"/>
      <c r="K19" s="70">
        <f>SUMIFS('Paradise Park'!$C:$C,'Paradise Park'!$A:$A,$A19)</f>
        <v>2</v>
      </c>
      <c r="L19" s="75"/>
      <c r="M19" s="70">
        <f>SUMIFS('Central LP'!$D:$D,'Central LP'!$B:$B,$A19)</f>
        <v>1</v>
      </c>
      <c r="N19" s="75"/>
      <c r="O19" s="71">
        <f t="shared" si="0"/>
        <v>7</v>
      </c>
      <c r="P19" s="71">
        <f t="shared" si="1"/>
        <v>0</v>
      </c>
    </row>
    <row r="20" spans="1:16">
      <c r="A20" s="69" t="s">
        <v>1564</v>
      </c>
      <c r="B20" s="69" t="s">
        <v>1570</v>
      </c>
      <c r="C20" s="69" t="s">
        <v>1604</v>
      </c>
      <c r="D20" s="74" t="s">
        <v>1605</v>
      </c>
      <c r="E20" s="70">
        <f>SUMIFS('K Village'!$D:$D,'K Village'!$B:$B,$A20)</f>
        <v>1</v>
      </c>
      <c r="F20" s="75"/>
      <c r="G20" s="70">
        <f>SUMIFS('Central CL (Department)'!$BO:$BO,'Central CL (Department)'!$A:$A,$A20)</f>
        <v>0</v>
      </c>
      <c r="H20" s="75"/>
      <c r="I20" s="70">
        <f>SUMIFS('Siam Discovery'!$C:$C,'Siam Discovery'!$A:$A,$A20)</f>
        <v>0</v>
      </c>
      <c r="J20" s="75"/>
      <c r="K20" s="70">
        <f>SUMIFS('Paradise Park'!$C:$C,'Paradise Park'!$A:$A,$A20)</f>
        <v>0</v>
      </c>
      <c r="L20" s="75"/>
      <c r="M20" s="70">
        <f>SUMIFS('Central LP'!$D:$D,'Central LP'!$B:$B,$A20)</f>
        <v>0</v>
      </c>
      <c r="N20" s="75"/>
      <c r="O20" s="71">
        <f t="shared" si="0"/>
        <v>1</v>
      </c>
      <c r="P20" s="71">
        <f t="shared" si="1"/>
        <v>0</v>
      </c>
    </row>
    <row r="21" spans="1:16">
      <c r="A21" s="69" t="s">
        <v>1501</v>
      </c>
      <c r="B21" s="69" t="s">
        <v>1570</v>
      </c>
      <c r="C21" s="69" t="s">
        <v>1604</v>
      </c>
      <c r="D21" s="74" t="s">
        <v>1606</v>
      </c>
      <c r="E21" s="70">
        <f>SUMIFS('K Village'!$D:$D,'K Village'!$B:$B,$A21)</f>
        <v>1</v>
      </c>
      <c r="F21" s="75"/>
      <c r="G21" s="70">
        <f>SUMIFS('Central CL (Department)'!$BO:$BO,'Central CL (Department)'!$A:$A,$A21)</f>
        <v>0</v>
      </c>
      <c r="H21" s="75"/>
      <c r="I21" s="70">
        <f>SUMIFS('Siam Discovery'!$C:$C,'Siam Discovery'!$A:$A,$A21)</f>
        <v>0</v>
      </c>
      <c r="J21" s="75"/>
      <c r="K21" s="70">
        <f>SUMIFS('Paradise Park'!$C:$C,'Paradise Park'!$A:$A,$A21)</f>
        <v>0</v>
      </c>
      <c r="L21" s="75"/>
      <c r="M21" s="70">
        <f>SUMIFS('Central LP'!$D:$D,'Central LP'!$B:$B,$A21)</f>
        <v>0</v>
      </c>
      <c r="N21" s="75"/>
      <c r="O21" s="71">
        <f t="shared" si="0"/>
        <v>1</v>
      </c>
      <c r="P21" s="71">
        <f t="shared" si="1"/>
        <v>0</v>
      </c>
    </row>
    <row r="22" spans="1:16">
      <c r="A22" s="69" t="s">
        <v>1199</v>
      </c>
      <c r="B22" s="69" t="s">
        <v>1570</v>
      </c>
      <c r="C22" s="69" t="s">
        <v>1604</v>
      </c>
      <c r="D22" s="74" t="s">
        <v>1588</v>
      </c>
      <c r="E22" s="70">
        <f>SUMIFS('K Village'!$D:$D,'K Village'!$B:$B,$A22)</f>
        <v>1</v>
      </c>
      <c r="F22" s="75"/>
      <c r="G22" s="70">
        <f>SUMIFS('Central CL (Department)'!$BO:$BO,'Central CL (Department)'!$A:$A,$A22)</f>
        <v>0</v>
      </c>
      <c r="H22" s="75"/>
      <c r="I22" s="70">
        <f>SUMIFS('Siam Discovery'!$C:$C,'Siam Discovery'!$A:$A,$A22)</f>
        <v>0</v>
      </c>
      <c r="J22" s="75"/>
      <c r="K22" s="70">
        <f>SUMIFS('Paradise Park'!$C:$C,'Paradise Park'!$A:$A,$A22)</f>
        <v>2</v>
      </c>
      <c r="L22" s="75"/>
      <c r="M22" s="70">
        <f>SUMIFS('Central LP'!$D:$D,'Central LP'!$B:$B,$A22)</f>
        <v>1</v>
      </c>
      <c r="N22" s="75"/>
      <c r="O22" s="71">
        <f t="shared" si="0"/>
        <v>4</v>
      </c>
      <c r="P22" s="71">
        <f t="shared" si="1"/>
        <v>0</v>
      </c>
    </row>
    <row r="23" spans="1:16">
      <c r="A23" s="69" t="s">
        <v>190</v>
      </c>
      <c r="B23" s="69" t="s">
        <v>1570</v>
      </c>
      <c r="C23" s="69" t="s">
        <v>1604</v>
      </c>
      <c r="D23" s="74" t="s">
        <v>1589</v>
      </c>
      <c r="E23" s="70">
        <f>SUMIFS('K Village'!$D:$D,'K Village'!$B:$B,$A23)</f>
        <v>2</v>
      </c>
      <c r="F23" s="75"/>
      <c r="G23" s="70">
        <f>SUMIFS('Central CL (Department)'!$BO:$BO,'Central CL (Department)'!$A:$A,$A23)</f>
        <v>1</v>
      </c>
      <c r="H23" s="75"/>
      <c r="I23" s="70">
        <f>SUMIFS('Siam Discovery'!$C:$C,'Siam Discovery'!$A:$A,$A23)</f>
        <v>1</v>
      </c>
      <c r="J23" s="75"/>
      <c r="K23" s="70">
        <f>SUMIFS('Paradise Park'!$C:$C,'Paradise Park'!$A:$A,$A23)</f>
        <v>4</v>
      </c>
      <c r="L23" s="75"/>
      <c r="M23" s="70">
        <f>SUMIFS('Central LP'!$D:$D,'Central LP'!$B:$B,$A23)</f>
        <v>1</v>
      </c>
      <c r="N23" s="75"/>
      <c r="O23" s="71">
        <f t="shared" si="0"/>
        <v>9</v>
      </c>
      <c r="P23" s="71">
        <f t="shared" si="1"/>
        <v>0</v>
      </c>
    </row>
    <row r="24" spans="1:16">
      <c r="A24" s="69" t="s">
        <v>192</v>
      </c>
      <c r="B24" s="69" t="s">
        <v>1570</v>
      </c>
      <c r="C24" s="69" t="s">
        <v>1604</v>
      </c>
      <c r="D24" s="74" t="s">
        <v>1590</v>
      </c>
      <c r="E24" s="70">
        <f>SUMIFS('K Village'!$D:$D,'K Village'!$B:$B,$A24)</f>
        <v>1</v>
      </c>
      <c r="F24" s="75"/>
      <c r="G24" s="70">
        <f>SUMIFS('Central CL (Department)'!$BO:$BO,'Central CL (Department)'!$A:$A,$A24)</f>
        <v>1</v>
      </c>
      <c r="H24" s="75"/>
      <c r="I24" s="70">
        <f>SUMIFS('Siam Discovery'!$C:$C,'Siam Discovery'!$A:$A,$A24)</f>
        <v>2</v>
      </c>
      <c r="J24" s="75"/>
      <c r="K24" s="70">
        <f>SUMIFS('Paradise Park'!$C:$C,'Paradise Park'!$A:$A,$A24)</f>
        <v>2</v>
      </c>
      <c r="L24" s="75"/>
      <c r="M24" s="70">
        <f>SUMIFS('Central LP'!$D:$D,'Central LP'!$B:$B,$A24)</f>
        <v>1</v>
      </c>
      <c r="N24" s="75"/>
      <c r="O24" s="71">
        <f t="shared" si="0"/>
        <v>7</v>
      </c>
      <c r="P24" s="71">
        <f t="shared" si="1"/>
        <v>0</v>
      </c>
    </row>
    <row r="25" spans="1:16">
      <c r="A25" s="69" t="s">
        <v>194</v>
      </c>
      <c r="B25" s="69" t="s">
        <v>1570</v>
      </c>
      <c r="C25" s="69" t="s">
        <v>1604</v>
      </c>
      <c r="D25" s="74" t="s">
        <v>1591</v>
      </c>
      <c r="E25" s="70">
        <f>SUMIFS('K Village'!$D:$D,'K Village'!$B:$B,$A25)</f>
        <v>2</v>
      </c>
      <c r="F25" s="75"/>
      <c r="G25" s="70">
        <f>SUMIFS('Central CL (Department)'!$BO:$BO,'Central CL (Department)'!$A:$A,$A25)</f>
        <v>2</v>
      </c>
      <c r="H25" s="75"/>
      <c r="I25" s="70">
        <f>SUMIFS('Siam Discovery'!$C:$C,'Siam Discovery'!$A:$A,$A25)</f>
        <v>1</v>
      </c>
      <c r="J25" s="75"/>
      <c r="K25" s="70">
        <f>SUMIFS('Paradise Park'!$C:$C,'Paradise Park'!$A:$A,$A25)</f>
        <v>3</v>
      </c>
      <c r="L25" s="75"/>
      <c r="M25" s="70">
        <f>SUMIFS('Central LP'!$D:$D,'Central LP'!$B:$B,$A25)</f>
        <v>2</v>
      </c>
      <c r="N25" s="75"/>
      <c r="O25" s="71">
        <f t="shared" si="0"/>
        <v>10</v>
      </c>
      <c r="P25" s="71">
        <f t="shared" si="1"/>
        <v>0</v>
      </c>
    </row>
    <row r="26" spans="1:16">
      <c r="A26" s="69" t="s">
        <v>196</v>
      </c>
      <c r="B26" s="69" t="s">
        <v>1570</v>
      </c>
      <c r="C26" s="69" t="s">
        <v>1604</v>
      </c>
      <c r="D26" s="74" t="s">
        <v>1592</v>
      </c>
      <c r="E26" s="70">
        <f>SUMIFS('K Village'!$D:$D,'K Village'!$B:$B,$A26)</f>
        <v>1</v>
      </c>
      <c r="F26" s="75"/>
      <c r="G26" s="70">
        <f>SUMIFS('Central CL (Department)'!$BO:$BO,'Central CL (Department)'!$A:$A,$A26)</f>
        <v>2</v>
      </c>
      <c r="H26" s="75"/>
      <c r="I26" s="70">
        <f>SUMIFS('Siam Discovery'!$C:$C,'Siam Discovery'!$A:$A,$A26)</f>
        <v>1</v>
      </c>
      <c r="J26" s="75"/>
      <c r="K26" s="70">
        <f>SUMIFS('Paradise Park'!$C:$C,'Paradise Park'!$A:$A,$A26)</f>
        <v>2</v>
      </c>
      <c r="L26" s="75"/>
      <c r="M26" s="70">
        <f>SUMIFS('Central LP'!$D:$D,'Central LP'!$B:$B,$A26)</f>
        <v>2</v>
      </c>
      <c r="N26" s="75"/>
      <c r="O26" s="71">
        <f t="shared" si="0"/>
        <v>8</v>
      </c>
      <c r="P26" s="71">
        <f t="shared" si="1"/>
        <v>0</v>
      </c>
    </row>
    <row r="27" spans="1:16">
      <c r="A27" s="69" t="s">
        <v>198</v>
      </c>
      <c r="B27" s="69" t="s">
        <v>1570</v>
      </c>
      <c r="C27" s="69" t="s">
        <v>1604</v>
      </c>
      <c r="D27" s="74" t="s">
        <v>1593</v>
      </c>
      <c r="E27" s="70">
        <f>SUMIFS('K Village'!$D:$D,'K Village'!$B:$B,$A27)</f>
        <v>1</v>
      </c>
      <c r="F27" s="75"/>
      <c r="G27" s="70">
        <f>SUMIFS('Central CL (Department)'!$BO:$BO,'Central CL (Department)'!$A:$A,$A27)</f>
        <v>1</v>
      </c>
      <c r="H27" s="75"/>
      <c r="I27" s="70">
        <f>SUMIFS('Siam Discovery'!$C:$C,'Siam Discovery'!$A:$A,$A27)</f>
        <v>1</v>
      </c>
      <c r="J27" s="75"/>
      <c r="K27" s="70">
        <f>SUMIFS('Paradise Park'!$C:$C,'Paradise Park'!$A:$A,$A27)</f>
        <v>1</v>
      </c>
      <c r="L27" s="75"/>
      <c r="M27" s="70">
        <v>1</v>
      </c>
      <c r="N27" s="75"/>
      <c r="O27" s="71">
        <f t="shared" si="0"/>
        <v>5</v>
      </c>
      <c r="P27" s="71">
        <f t="shared" si="1"/>
        <v>0</v>
      </c>
    </row>
    <row r="28" spans="1:16">
      <c r="A28" s="69" t="s">
        <v>1197</v>
      </c>
      <c r="B28" s="69" t="s">
        <v>1570</v>
      </c>
      <c r="C28" s="69" t="s">
        <v>1604</v>
      </c>
      <c r="D28" s="74" t="s">
        <v>1594</v>
      </c>
      <c r="E28" s="70">
        <f>SUMIFS('K Village'!$D:$D,'K Village'!$B:$B,$A28)</f>
        <v>1</v>
      </c>
      <c r="F28" s="75"/>
      <c r="G28" s="70">
        <f>SUMIFS('Central CL (Department)'!$BO:$BO,'Central CL (Department)'!$A:$A,$A28)</f>
        <v>0</v>
      </c>
      <c r="H28" s="75"/>
      <c r="I28" s="70">
        <f>SUMIFS('Siam Discovery'!$C:$C,'Siam Discovery'!$A:$A,$A28)</f>
        <v>0</v>
      </c>
      <c r="J28" s="75"/>
      <c r="K28" s="70">
        <f>SUMIFS('Paradise Park'!$C:$C,'Paradise Park'!$A:$A,$A28)</f>
        <v>2</v>
      </c>
      <c r="L28" s="75"/>
      <c r="M28" s="70">
        <f>SUMIFS('Central LP'!$D:$D,'Central LP'!$B:$B,$A28)</f>
        <v>1</v>
      </c>
      <c r="N28" s="75"/>
      <c r="O28" s="71">
        <f t="shared" si="0"/>
        <v>4</v>
      </c>
      <c r="P28" s="71">
        <f t="shared" si="1"/>
        <v>0</v>
      </c>
    </row>
    <row r="29" spans="1:16">
      <c r="A29" s="69" t="s">
        <v>1195</v>
      </c>
      <c r="B29" s="69" t="s">
        <v>1570</v>
      </c>
      <c r="C29" s="69" t="s">
        <v>1604</v>
      </c>
      <c r="D29" s="74" t="s">
        <v>1595</v>
      </c>
      <c r="E29" s="70">
        <f>SUMIFS('K Village'!$D:$D,'K Village'!$B:$B,$A29)</f>
        <v>1</v>
      </c>
      <c r="F29" s="75"/>
      <c r="G29" s="70">
        <f>SUMIFS('Central CL (Department)'!$BO:$BO,'Central CL (Department)'!$A:$A,$A29)</f>
        <v>0</v>
      </c>
      <c r="H29" s="75"/>
      <c r="I29" s="70">
        <f>SUMIFS('Siam Discovery'!$C:$C,'Siam Discovery'!$A:$A,$A29)</f>
        <v>0</v>
      </c>
      <c r="J29" s="75"/>
      <c r="K29" s="70">
        <f>SUMIFS('Paradise Park'!$C:$C,'Paradise Park'!$A:$A,$A29)</f>
        <v>2</v>
      </c>
      <c r="L29" s="75"/>
      <c r="M29" s="70">
        <f>SUMIFS('Central LP'!$D:$D,'Central LP'!$B:$B,$A29)</f>
        <v>1</v>
      </c>
      <c r="N29" s="75"/>
      <c r="O29" s="71">
        <f t="shared" si="0"/>
        <v>4</v>
      </c>
      <c r="P29" s="71">
        <f t="shared" si="1"/>
        <v>0</v>
      </c>
    </row>
    <row r="30" spans="1:16">
      <c r="A30" s="69" t="s">
        <v>5</v>
      </c>
      <c r="B30" s="69" t="s">
        <v>1570</v>
      </c>
      <c r="C30" s="69" t="s">
        <v>1607</v>
      </c>
      <c r="D30" s="74" t="s">
        <v>1590</v>
      </c>
      <c r="E30" s="70">
        <f>SUMIFS('K Village'!$D:$D,'K Village'!$B:$B,$A30)</f>
        <v>0</v>
      </c>
      <c r="F30" s="75"/>
      <c r="G30" s="70">
        <f>SUMIFS('Central CL (Department)'!$BO:$BO,'Central CL (Department)'!$A:$A,$A30)</f>
        <v>0</v>
      </c>
      <c r="H30" s="75"/>
      <c r="I30" s="70">
        <f>SUMIFS('Siam Discovery'!$C:$C,'Siam Discovery'!$A:$A,$A30)</f>
        <v>0</v>
      </c>
      <c r="J30" s="75"/>
      <c r="K30" s="70">
        <f>SUMIFS('Paradise Park'!$C:$C,'Paradise Park'!$A:$A,$A30)</f>
        <v>0</v>
      </c>
      <c r="L30" s="75"/>
      <c r="M30" s="70">
        <f>SUMIFS('Central LP'!$D:$D,'Central LP'!$B:$B,$A30)</f>
        <v>0</v>
      </c>
      <c r="N30" s="75"/>
      <c r="O30" s="71">
        <f t="shared" si="0"/>
        <v>0</v>
      </c>
      <c r="P30" s="71">
        <f t="shared" si="1"/>
        <v>0</v>
      </c>
    </row>
    <row r="31" spans="1:16">
      <c r="A31" s="69" t="s">
        <v>8</v>
      </c>
      <c r="B31" s="69" t="s">
        <v>1570</v>
      </c>
      <c r="C31" s="69" t="s">
        <v>1607</v>
      </c>
      <c r="D31" s="74" t="s">
        <v>1591</v>
      </c>
      <c r="E31" s="70">
        <f>SUMIFS('K Village'!$D:$D,'K Village'!$B:$B,$A31)</f>
        <v>0</v>
      </c>
      <c r="F31" s="75"/>
      <c r="G31" s="70">
        <f>SUMIFS('Central CL (Department)'!$BO:$BO,'Central CL (Department)'!$A:$A,$A31)</f>
        <v>0</v>
      </c>
      <c r="H31" s="75"/>
      <c r="I31" s="70">
        <f>SUMIFS('Siam Discovery'!$C:$C,'Siam Discovery'!$A:$A,$A31)</f>
        <v>0</v>
      </c>
      <c r="J31" s="75"/>
      <c r="K31" s="70">
        <f>SUMIFS('Paradise Park'!$C:$C,'Paradise Park'!$A:$A,$A31)</f>
        <v>0</v>
      </c>
      <c r="L31" s="75"/>
      <c r="M31" s="70">
        <f>SUMIFS('Central LP'!$D:$D,'Central LP'!$B:$B,$A31)</f>
        <v>0</v>
      </c>
      <c r="N31" s="75"/>
      <c r="O31" s="71">
        <f t="shared" si="0"/>
        <v>0</v>
      </c>
      <c r="P31" s="71">
        <f t="shared" si="1"/>
        <v>0</v>
      </c>
    </row>
    <row r="32" spans="1:16">
      <c r="A32" s="69" t="s">
        <v>10</v>
      </c>
      <c r="B32" s="69" t="s">
        <v>1570</v>
      </c>
      <c r="C32" s="69" t="s">
        <v>1607</v>
      </c>
      <c r="D32" s="74" t="s">
        <v>1592</v>
      </c>
      <c r="E32" s="70">
        <f>SUMIFS('K Village'!$D:$D,'K Village'!$B:$B,$A32)</f>
        <v>0</v>
      </c>
      <c r="F32" s="75"/>
      <c r="G32" s="70">
        <f>SUMIFS('Central CL (Department)'!$BO:$BO,'Central CL (Department)'!$A:$A,$A32)</f>
        <v>0</v>
      </c>
      <c r="H32" s="75"/>
      <c r="I32" s="70">
        <f>SUMIFS('Siam Discovery'!$C:$C,'Siam Discovery'!$A:$A,$A32)</f>
        <v>0</v>
      </c>
      <c r="J32" s="75"/>
      <c r="K32" s="70">
        <f>SUMIFS('Paradise Park'!$C:$C,'Paradise Park'!$A:$A,$A32)</f>
        <v>0</v>
      </c>
      <c r="L32" s="75"/>
      <c r="M32" s="70">
        <f>SUMIFS('Central LP'!$D:$D,'Central LP'!$B:$B,$A32)</f>
        <v>0</v>
      </c>
      <c r="N32" s="75"/>
      <c r="O32" s="71">
        <f t="shared" si="0"/>
        <v>0</v>
      </c>
      <c r="P32" s="71">
        <f t="shared" si="1"/>
        <v>0</v>
      </c>
    </row>
    <row r="33" spans="1:16">
      <c r="A33" s="69" t="s">
        <v>12</v>
      </c>
      <c r="B33" s="69" t="s">
        <v>1570</v>
      </c>
      <c r="C33" s="69" t="s">
        <v>1607</v>
      </c>
      <c r="D33" s="74" t="s">
        <v>1593</v>
      </c>
      <c r="E33" s="70">
        <f>SUMIFS('K Village'!$D:$D,'K Village'!$B:$B,$A33)</f>
        <v>0</v>
      </c>
      <c r="F33" s="75"/>
      <c r="G33" s="70">
        <f>SUMIFS('Central CL (Department)'!$BO:$BO,'Central CL (Department)'!$A:$A,$A33)</f>
        <v>0</v>
      </c>
      <c r="H33" s="75"/>
      <c r="I33" s="70">
        <f>SUMIFS('Siam Discovery'!$C:$C,'Siam Discovery'!$A:$A,$A33)</f>
        <v>0</v>
      </c>
      <c r="J33" s="75"/>
      <c r="K33" s="70">
        <f>SUMIFS('Paradise Park'!$C:$C,'Paradise Park'!$A:$A,$A33)</f>
        <v>0</v>
      </c>
      <c r="L33" s="75"/>
      <c r="M33" s="70">
        <f>SUMIFS('Central LP'!$D:$D,'Central LP'!$B:$B,$A33)</f>
        <v>0</v>
      </c>
      <c r="N33" s="75"/>
      <c r="O33" s="71">
        <f t="shared" si="0"/>
        <v>0</v>
      </c>
      <c r="P33" s="71">
        <f t="shared" si="1"/>
        <v>0</v>
      </c>
    </row>
    <row r="34" spans="1:16">
      <c r="A34" s="69" t="s">
        <v>69</v>
      </c>
      <c r="B34" s="69" t="s">
        <v>1570</v>
      </c>
      <c r="C34" s="69" t="s">
        <v>1607</v>
      </c>
      <c r="D34" s="74" t="s">
        <v>1594</v>
      </c>
      <c r="E34" s="70">
        <f>SUMIFS('K Village'!$D:$D,'K Village'!$B:$B,$A34)</f>
        <v>0</v>
      </c>
      <c r="F34" s="75"/>
      <c r="G34" s="70">
        <f>SUMIFS('Central CL (Department)'!$BO:$BO,'Central CL (Department)'!$A:$A,$A34)</f>
        <v>0</v>
      </c>
      <c r="H34" s="75"/>
      <c r="I34" s="70">
        <f>SUMIFS('Siam Discovery'!$C:$C,'Siam Discovery'!$A:$A,$A34)</f>
        <v>0</v>
      </c>
      <c r="J34" s="75"/>
      <c r="K34" s="70">
        <f>SUMIFS('Paradise Park'!$C:$C,'Paradise Park'!$A:$A,$A34)</f>
        <v>0</v>
      </c>
      <c r="L34" s="75"/>
      <c r="M34" s="70">
        <f>SUMIFS('Central LP'!$D:$D,'Central LP'!$B:$B,$A34)</f>
        <v>0</v>
      </c>
      <c r="N34" s="75"/>
      <c r="O34" s="71">
        <f t="shared" si="0"/>
        <v>0</v>
      </c>
      <c r="P34" s="71">
        <f t="shared" si="1"/>
        <v>0</v>
      </c>
    </row>
    <row r="35" spans="1:16">
      <c r="A35" s="69" t="s">
        <v>176</v>
      </c>
      <c r="B35" s="69" t="s">
        <v>1570</v>
      </c>
      <c r="C35" s="69" t="s">
        <v>1607</v>
      </c>
      <c r="D35" s="74" t="s">
        <v>1595</v>
      </c>
      <c r="E35" s="70">
        <f>SUMIFS('K Village'!$D:$D,'K Village'!$B:$B,$A35)</f>
        <v>0</v>
      </c>
      <c r="F35" s="75"/>
      <c r="G35" s="70">
        <f>SUMIFS('Central CL (Department)'!$BO:$BO,'Central CL (Department)'!$A:$A,$A35)</f>
        <v>0</v>
      </c>
      <c r="H35" s="75"/>
      <c r="I35" s="70">
        <f>SUMIFS('Siam Discovery'!$C:$C,'Siam Discovery'!$A:$A,$A35)</f>
        <v>0</v>
      </c>
      <c r="J35" s="75"/>
      <c r="K35" s="70">
        <f>SUMIFS('Paradise Park'!$C:$C,'Paradise Park'!$A:$A,$A35)</f>
        <v>0</v>
      </c>
      <c r="L35" s="75"/>
      <c r="M35" s="70">
        <f>SUMIFS('Central LP'!$D:$D,'Central LP'!$B:$B,$A35)</f>
        <v>0</v>
      </c>
      <c r="N35" s="75"/>
      <c r="O35" s="71">
        <f t="shared" si="0"/>
        <v>0</v>
      </c>
      <c r="P35" s="71">
        <f t="shared" si="1"/>
        <v>0</v>
      </c>
    </row>
    <row r="36" spans="1:16">
      <c r="A36" s="69" t="s">
        <v>1503</v>
      </c>
      <c r="B36" s="69" t="s">
        <v>1570</v>
      </c>
      <c r="C36" s="69" t="s">
        <v>1608</v>
      </c>
      <c r="D36" s="74" t="s">
        <v>1606</v>
      </c>
      <c r="E36" s="70">
        <f>SUMIFS('K Village'!$D:$D,'K Village'!$B:$B,$A36)</f>
        <v>1</v>
      </c>
      <c r="F36" s="75"/>
      <c r="G36" s="70">
        <f>SUMIFS('Central CL (Department)'!$BO:$BO,'Central CL (Department)'!$A:$A,$A36)</f>
        <v>0</v>
      </c>
      <c r="H36" s="75"/>
      <c r="I36" s="70">
        <f>SUMIFS('Siam Discovery'!$C:$C,'Siam Discovery'!$A:$A,$A36)</f>
        <v>0</v>
      </c>
      <c r="J36" s="75"/>
      <c r="K36" s="70">
        <f>SUMIFS('Paradise Park'!$C:$C,'Paradise Park'!$A:$A,$A36)</f>
        <v>0</v>
      </c>
      <c r="L36" s="75"/>
      <c r="M36" s="70">
        <f>SUMIFS('Central LP'!$D:$D,'Central LP'!$B:$B,$A36)</f>
        <v>0</v>
      </c>
      <c r="N36" s="75"/>
      <c r="O36" s="71">
        <f t="shared" si="0"/>
        <v>1</v>
      </c>
      <c r="P36" s="71">
        <f t="shared" si="1"/>
        <v>0</v>
      </c>
    </row>
    <row r="37" spans="1:16">
      <c r="A37" s="69" t="s">
        <v>1048</v>
      </c>
      <c r="B37" s="69" t="s">
        <v>1570</v>
      </c>
      <c r="C37" s="69" t="s">
        <v>1608</v>
      </c>
      <c r="D37" s="74" t="s">
        <v>1588</v>
      </c>
      <c r="E37" s="70">
        <f>SUMIFS('K Village'!$D:$D,'K Village'!$B:$B,$A37)</f>
        <v>1</v>
      </c>
      <c r="F37" s="75"/>
      <c r="G37" s="70">
        <f>SUMIFS('Central CL (Department)'!$BO:$BO,'Central CL (Department)'!$A:$A,$A37)</f>
        <v>0</v>
      </c>
      <c r="H37" s="75"/>
      <c r="I37" s="70">
        <f>SUMIFS('Siam Discovery'!$C:$C,'Siam Discovery'!$A:$A,$A37)</f>
        <v>2</v>
      </c>
      <c r="J37" s="75"/>
      <c r="K37" s="70">
        <f>SUMIFS('Paradise Park'!$C:$C,'Paradise Park'!$A:$A,$A37)</f>
        <v>0</v>
      </c>
      <c r="L37" s="75"/>
      <c r="M37" s="70">
        <f>SUMIFS('Central LP'!$D:$D,'Central LP'!$B:$B,$A37)</f>
        <v>1</v>
      </c>
      <c r="N37" s="75"/>
      <c r="O37" s="71">
        <f t="shared" si="0"/>
        <v>4</v>
      </c>
      <c r="P37" s="71">
        <f t="shared" si="1"/>
        <v>0</v>
      </c>
    </row>
    <row r="38" spans="1:16">
      <c r="A38" s="69" t="s">
        <v>1046</v>
      </c>
      <c r="B38" s="69" t="s">
        <v>1570</v>
      </c>
      <c r="C38" s="69" t="s">
        <v>1608</v>
      </c>
      <c r="D38" s="74" t="s">
        <v>1589</v>
      </c>
      <c r="E38" s="70">
        <f>SUMIFS('K Village'!$D:$D,'K Village'!$B:$B,$A38)</f>
        <v>1</v>
      </c>
      <c r="F38" s="75"/>
      <c r="G38" s="70">
        <f>SUMIFS('Central CL (Department)'!$BO:$BO,'Central CL (Department)'!$A:$A,$A38)</f>
        <v>0</v>
      </c>
      <c r="H38" s="75"/>
      <c r="I38" s="70">
        <f>SUMIFS('Siam Discovery'!$C:$C,'Siam Discovery'!$A:$A,$A38)</f>
        <v>2</v>
      </c>
      <c r="J38" s="75"/>
      <c r="K38" s="70">
        <f>SUMIFS('Paradise Park'!$C:$C,'Paradise Park'!$A:$A,$A38)</f>
        <v>4</v>
      </c>
      <c r="L38" s="75"/>
      <c r="M38" s="70">
        <f>SUMIFS('Central LP'!$D:$D,'Central LP'!$B:$B,$A38)</f>
        <v>1</v>
      </c>
      <c r="N38" s="75"/>
      <c r="O38" s="71">
        <f t="shared" si="0"/>
        <v>8</v>
      </c>
      <c r="P38" s="71">
        <f t="shared" si="1"/>
        <v>0</v>
      </c>
    </row>
    <row r="39" spans="1:16">
      <c r="A39" s="69" t="s">
        <v>1044</v>
      </c>
      <c r="B39" s="69" t="s">
        <v>1570</v>
      </c>
      <c r="C39" s="69" t="s">
        <v>1608</v>
      </c>
      <c r="D39" s="74" t="s">
        <v>1590</v>
      </c>
      <c r="E39" s="70">
        <f>SUMIFS('K Village'!$D:$D,'K Village'!$B:$B,$A39)</f>
        <v>1</v>
      </c>
      <c r="F39" s="75"/>
      <c r="G39" s="70">
        <f>SUMIFS('Central CL (Department)'!$BO:$BO,'Central CL (Department)'!$A:$A,$A39)</f>
        <v>0</v>
      </c>
      <c r="H39" s="75"/>
      <c r="I39" s="70">
        <f>SUMIFS('Siam Discovery'!$C:$C,'Siam Discovery'!$A:$A,$A39)</f>
        <v>4</v>
      </c>
      <c r="J39" s="75"/>
      <c r="K39" s="70">
        <f>SUMIFS('Paradise Park'!$C:$C,'Paradise Park'!$A:$A,$A39)</f>
        <v>4</v>
      </c>
      <c r="L39" s="75"/>
      <c r="M39" s="70">
        <f>SUMIFS('Central LP'!$D:$D,'Central LP'!$B:$B,$A39)</f>
        <v>2</v>
      </c>
      <c r="N39" s="75"/>
      <c r="O39" s="71">
        <f t="shared" si="0"/>
        <v>11</v>
      </c>
      <c r="P39" s="71">
        <f t="shared" si="1"/>
        <v>0</v>
      </c>
    </row>
    <row r="40" spans="1:16">
      <c r="A40" s="69" t="s">
        <v>1042</v>
      </c>
      <c r="B40" s="69" t="s">
        <v>1570</v>
      </c>
      <c r="C40" s="69" t="s">
        <v>1608</v>
      </c>
      <c r="D40" s="74" t="s">
        <v>1591</v>
      </c>
      <c r="E40" s="70">
        <f>SUMIFS('K Village'!$D:$D,'K Village'!$B:$B,$A40)</f>
        <v>1</v>
      </c>
      <c r="F40" s="75"/>
      <c r="G40" s="70">
        <f>SUMIFS('Central CL (Department)'!$BO:$BO,'Central CL (Department)'!$A:$A,$A40)</f>
        <v>0</v>
      </c>
      <c r="H40" s="75"/>
      <c r="I40" s="70">
        <f>SUMIFS('Siam Discovery'!$C:$C,'Siam Discovery'!$A:$A,$A40)</f>
        <v>4</v>
      </c>
      <c r="J40" s="75"/>
      <c r="K40" s="70">
        <f>SUMIFS('Paradise Park'!$C:$C,'Paradise Park'!$A:$A,$A40)</f>
        <v>3</v>
      </c>
      <c r="L40" s="75"/>
      <c r="M40" s="70">
        <f>SUMIFS('Central LP'!$D:$D,'Central LP'!$B:$B,$A40)</f>
        <v>1</v>
      </c>
      <c r="N40" s="75"/>
      <c r="O40" s="71">
        <f t="shared" si="0"/>
        <v>9</v>
      </c>
      <c r="P40" s="71">
        <f t="shared" si="1"/>
        <v>0</v>
      </c>
    </row>
    <row r="41" spans="1:16">
      <c r="A41" s="69" t="s">
        <v>1040</v>
      </c>
      <c r="B41" s="69" t="s">
        <v>1570</v>
      </c>
      <c r="C41" s="69" t="s">
        <v>1608</v>
      </c>
      <c r="D41" s="74" t="s">
        <v>1592</v>
      </c>
      <c r="E41" s="70">
        <f>SUMIFS('K Village'!$D:$D,'K Village'!$B:$B,$A41)</f>
        <v>1</v>
      </c>
      <c r="F41" s="75"/>
      <c r="G41" s="70">
        <f>SUMIFS('Central CL (Department)'!$BO:$BO,'Central CL (Department)'!$A:$A,$A41)</f>
        <v>0</v>
      </c>
      <c r="H41" s="75"/>
      <c r="I41" s="70">
        <f>SUMIFS('Siam Discovery'!$C:$C,'Siam Discovery'!$A:$A,$A41)</f>
        <v>2</v>
      </c>
      <c r="J41" s="75"/>
      <c r="K41" s="70">
        <f>SUMIFS('Paradise Park'!$C:$C,'Paradise Park'!$A:$A,$A41)</f>
        <v>3</v>
      </c>
      <c r="L41" s="75"/>
      <c r="M41" s="70">
        <f>SUMIFS('Central LP'!$D:$D,'Central LP'!$B:$B,$A41)</f>
        <v>1</v>
      </c>
      <c r="N41" s="75"/>
      <c r="O41" s="71">
        <f t="shared" si="0"/>
        <v>7</v>
      </c>
      <c r="P41" s="71">
        <f t="shared" si="1"/>
        <v>0</v>
      </c>
    </row>
    <row r="42" spans="1:16">
      <c r="A42" s="69" t="s">
        <v>1038</v>
      </c>
      <c r="B42" s="69" t="s">
        <v>1570</v>
      </c>
      <c r="C42" s="69" t="s">
        <v>1608</v>
      </c>
      <c r="D42" s="74" t="s">
        <v>1593</v>
      </c>
      <c r="E42" s="70">
        <f>SUMIFS('K Village'!$D:$D,'K Village'!$B:$B,$A42)</f>
        <v>1</v>
      </c>
      <c r="F42" s="75"/>
      <c r="G42" s="70">
        <f>SUMIFS('Central CL (Department)'!$BO:$BO,'Central CL (Department)'!$A:$A,$A42)</f>
        <v>0</v>
      </c>
      <c r="H42" s="75"/>
      <c r="I42" s="70">
        <f>SUMIFS('Siam Discovery'!$C:$C,'Siam Discovery'!$A:$A,$A42)</f>
        <v>2</v>
      </c>
      <c r="J42" s="75"/>
      <c r="K42" s="70">
        <f>SUMIFS('Paradise Park'!$C:$C,'Paradise Park'!$A:$A,$A42)</f>
        <v>2</v>
      </c>
      <c r="L42" s="75"/>
      <c r="M42" s="70">
        <f>SUMIFS('Central LP'!$D:$D,'Central LP'!$B:$B,$A42)</f>
        <v>1</v>
      </c>
      <c r="N42" s="75"/>
      <c r="O42" s="71">
        <f t="shared" si="0"/>
        <v>6</v>
      </c>
      <c r="P42" s="71">
        <f t="shared" si="1"/>
        <v>0</v>
      </c>
    </row>
    <row r="43" spans="1:16">
      <c r="A43" s="69" t="s">
        <v>1193</v>
      </c>
      <c r="B43" s="69" t="s">
        <v>1570</v>
      </c>
      <c r="C43" s="69" t="s">
        <v>1608</v>
      </c>
      <c r="D43" s="74" t="s">
        <v>1594</v>
      </c>
      <c r="E43" s="70">
        <f>SUMIFS('K Village'!$D:$D,'K Village'!$B:$B,$A43)</f>
        <v>1</v>
      </c>
      <c r="F43" s="75"/>
      <c r="G43" s="70">
        <f>SUMIFS('Central CL (Department)'!$BO:$BO,'Central CL (Department)'!$A:$A,$A43)</f>
        <v>0</v>
      </c>
      <c r="H43" s="75"/>
      <c r="I43" s="70">
        <f>SUMIFS('Siam Discovery'!$C:$C,'Siam Discovery'!$A:$A,$A43)</f>
        <v>0</v>
      </c>
      <c r="J43" s="75"/>
      <c r="K43" s="70">
        <f>SUMIFS('Paradise Park'!$C:$C,'Paradise Park'!$A:$A,$A43)</f>
        <v>2</v>
      </c>
      <c r="L43" s="75"/>
      <c r="M43" s="70">
        <f>SUMIFS('Central LP'!$D:$D,'Central LP'!$B:$B,$A43)</f>
        <v>0</v>
      </c>
      <c r="N43" s="75"/>
      <c r="O43" s="71">
        <f t="shared" si="0"/>
        <v>3</v>
      </c>
      <c r="P43" s="71">
        <f t="shared" si="1"/>
        <v>0</v>
      </c>
    </row>
    <row r="44" spans="1:16">
      <c r="A44" s="69" t="s">
        <v>397</v>
      </c>
      <c r="B44" s="69" t="s">
        <v>1570</v>
      </c>
      <c r="C44" s="69" t="s">
        <v>1609</v>
      </c>
      <c r="D44" s="74" t="s">
        <v>1599</v>
      </c>
      <c r="E44" s="70">
        <f>SUMIFS('K Village'!$D:$D,'K Village'!$B:$B,$A44)</f>
        <v>0</v>
      </c>
      <c r="F44" s="75"/>
      <c r="G44" s="70">
        <f>SUMIFS('Central CL (Department)'!$BO:$BO,'Central CL (Department)'!$A:$A,$A44)</f>
        <v>0</v>
      </c>
      <c r="H44" s="75"/>
      <c r="I44" s="70">
        <f>SUMIFS('Siam Discovery'!$C:$C,'Siam Discovery'!$A:$A,$A44)</f>
        <v>0</v>
      </c>
      <c r="J44" s="75"/>
      <c r="K44" s="70">
        <f>SUMIFS('Paradise Park'!$C:$C,'Paradise Park'!$A:$A,$A44)</f>
        <v>0</v>
      </c>
      <c r="L44" s="75"/>
      <c r="M44" s="70">
        <f>SUMIFS('Central LP'!$D:$D,'Central LP'!$B:$B,$A44)</f>
        <v>0</v>
      </c>
      <c r="N44" s="75"/>
      <c r="O44" s="71">
        <f t="shared" si="0"/>
        <v>0</v>
      </c>
      <c r="P44" s="71">
        <f t="shared" si="1"/>
        <v>0</v>
      </c>
    </row>
    <row r="45" spans="1:16">
      <c r="A45" s="69" t="s">
        <v>399</v>
      </c>
      <c r="B45" s="69" t="s">
        <v>1570</v>
      </c>
      <c r="C45" s="69" t="s">
        <v>1609</v>
      </c>
      <c r="D45" s="74" t="s">
        <v>1600</v>
      </c>
      <c r="E45" s="70">
        <f>SUMIFS('K Village'!$D:$D,'K Village'!$B:$B,$A45)</f>
        <v>0</v>
      </c>
      <c r="F45" s="75"/>
      <c r="G45" s="70">
        <f>SUMIFS('Central CL (Department)'!$BO:$BO,'Central CL (Department)'!$A:$A,$A45)</f>
        <v>0</v>
      </c>
      <c r="H45" s="75"/>
      <c r="I45" s="70">
        <f>SUMIFS('Siam Discovery'!$C:$C,'Siam Discovery'!$A:$A,$A45)</f>
        <v>0</v>
      </c>
      <c r="J45" s="75"/>
      <c r="K45" s="70">
        <f>SUMIFS('Paradise Park'!$C:$C,'Paradise Park'!$A:$A,$A45)</f>
        <v>0</v>
      </c>
      <c r="L45" s="75"/>
      <c r="M45" s="70">
        <f>SUMIFS('Central LP'!$D:$D,'Central LP'!$B:$B,$A45)</f>
        <v>0</v>
      </c>
      <c r="N45" s="75"/>
      <c r="O45" s="71">
        <f t="shared" si="0"/>
        <v>0</v>
      </c>
      <c r="P45" s="71">
        <f t="shared" si="1"/>
        <v>0</v>
      </c>
    </row>
    <row r="46" spans="1:16">
      <c r="A46" s="69" t="s">
        <v>401</v>
      </c>
      <c r="B46" s="69" t="s">
        <v>1570</v>
      </c>
      <c r="C46" s="69" t="s">
        <v>1609</v>
      </c>
      <c r="D46" s="74" t="s">
        <v>1601</v>
      </c>
      <c r="E46" s="70">
        <f>SUMIFS('K Village'!$D:$D,'K Village'!$B:$B,$A46)</f>
        <v>0</v>
      </c>
      <c r="F46" s="75"/>
      <c r="G46" s="70">
        <f>SUMIFS('Central CL (Department)'!$BO:$BO,'Central CL (Department)'!$A:$A,$A46)</f>
        <v>0</v>
      </c>
      <c r="H46" s="75"/>
      <c r="I46" s="70">
        <f>SUMIFS('Siam Discovery'!$C:$C,'Siam Discovery'!$A:$A,$A46)</f>
        <v>0</v>
      </c>
      <c r="J46" s="75"/>
      <c r="K46" s="70">
        <f>SUMIFS('Paradise Park'!$C:$C,'Paradise Park'!$A:$A,$A46)</f>
        <v>0</v>
      </c>
      <c r="L46" s="75"/>
      <c r="M46" s="70">
        <f>SUMIFS('Central LP'!$D:$D,'Central LP'!$B:$B,$A46)</f>
        <v>0</v>
      </c>
      <c r="N46" s="75"/>
      <c r="O46" s="71">
        <f t="shared" si="0"/>
        <v>0</v>
      </c>
      <c r="P46" s="71">
        <f t="shared" si="1"/>
        <v>0</v>
      </c>
    </row>
    <row r="47" spans="1:16">
      <c r="A47" s="69" t="s">
        <v>403</v>
      </c>
      <c r="B47" s="69" t="s">
        <v>1570</v>
      </c>
      <c r="C47" s="69" t="s">
        <v>1609</v>
      </c>
      <c r="D47" s="74" t="s">
        <v>1602</v>
      </c>
      <c r="E47" s="70">
        <f>SUMIFS('K Village'!$D:$D,'K Village'!$B:$B,$A47)</f>
        <v>0</v>
      </c>
      <c r="F47" s="75"/>
      <c r="G47" s="70">
        <f>SUMIFS('Central CL (Department)'!$BO:$BO,'Central CL (Department)'!$A:$A,$A47)</f>
        <v>0</v>
      </c>
      <c r="H47" s="75"/>
      <c r="I47" s="70">
        <f>SUMIFS('Siam Discovery'!$C:$C,'Siam Discovery'!$A:$A,$A47)</f>
        <v>0</v>
      </c>
      <c r="J47" s="75"/>
      <c r="K47" s="70">
        <f>SUMIFS('Paradise Park'!$C:$C,'Paradise Park'!$A:$A,$A47)</f>
        <v>0</v>
      </c>
      <c r="L47" s="75"/>
      <c r="M47" s="70">
        <f>SUMIFS('Central LP'!$D:$D,'Central LP'!$B:$B,$A47)</f>
        <v>0</v>
      </c>
      <c r="N47" s="75"/>
      <c r="O47" s="71">
        <f t="shared" si="0"/>
        <v>0</v>
      </c>
      <c r="P47" s="71">
        <f t="shared" si="1"/>
        <v>0</v>
      </c>
    </row>
    <row r="48" spans="1:16">
      <c r="A48" s="69" t="s">
        <v>1191</v>
      </c>
      <c r="B48" s="69" t="s">
        <v>1570</v>
      </c>
      <c r="C48" s="69" t="s">
        <v>1610</v>
      </c>
      <c r="D48" s="74" t="s">
        <v>1598</v>
      </c>
      <c r="E48" s="70">
        <f>SUMIFS('K Village'!$D:$D,'K Village'!$B:$B,$A48)</f>
        <v>1</v>
      </c>
      <c r="F48" s="75"/>
      <c r="G48" s="70">
        <f>SUMIFS('Central CL (Department)'!$BO:$BO,'Central CL (Department)'!$A:$A,$A48)</f>
        <v>0</v>
      </c>
      <c r="H48" s="75"/>
      <c r="I48" s="70">
        <f>SUMIFS('Siam Discovery'!$C:$C,'Siam Discovery'!$A:$A,$A48)</f>
        <v>0</v>
      </c>
      <c r="J48" s="75"/>
      <c r="K48" s="70">
        <f>SUMIFS('Paradise Park'!$C:$C,'Paradise Park'!$A:$A,$A48)</f>
        <v>1</v>
      </c>
      <c r="L48" s="75"/>
      <c r="M48" s="70">
        <f>SUMIFS('Central LP'!$D:$D,'Central LP'!$B:$B,$A48)</f>
        <v>1</v>
      </c>
      <c r="N48" s="75"/>
      <c r="O48" s="71">
        <f t="shared" si="0"/>
        <v>3</v>
      </c>
      <c r="P48" s="71">
        <f t="shared" si="1"/>
        <v>0</v>
      </c>
    </row>
    <row r="49" spans="1:16">
      <c r="A49" s="69" t="s">
        <v>405</v>
      </c>
      <c r="B49" s="69" t="s">
        <v>1570</v>
      </c>
      <c r="C49" s="69" t="s">
        <v>1610</v>
      </c>
      <c r="D49" s="74" t="s">
        <v>1599</v>
      </c>
      <c r="E49" s="70">
        <f>SUMIFS('K Village'!$D:$D,'K Village'!$B:$B,$A49)</f>
        <v>0</v>
      </c>
      <c r="F49" s="75"/>
      <c r="G49" s="70">
        <f>SUMIFS('Central CL (Department)'!$BO:$BO,'Central CL (Department)'!$A:$A,$A49)</f>
        <v>2</v>
      </c>
      <c r="H49" s="75"/>
      <c r="I49" s="70">
        <f>SUMIFS('Siam Discovery'!$C:$C,'Siam Discovery'!$A:$A,$A49)</f>
        <v>1</v>
      </c>
      <c r="J49" s="75"/>
      <c r="K49" s="70">
        <f>SUMIFS('Paradise Park'!$C:$C,'Paradise Park'!$A:$A,$A49)</f>
        <v>1</v>
      </c>
      <c r="L49" s="75"/>
      <c r="M49" s="70">
        <f>SUMIFS('Central LP'!$D:$D,'Central LP'!$B:$B,$A49)</f>
        <v>1</v>
      </c>
      <c r="N49" s="75"/>
      <c r="O49" s="71">
        <f t="shared" si="0"/>
        <v>5</v>
      </c>
      <c r="P49" s="71">
        <f t="shared" si="1"/>
        <v>0</v>
      </c>
    </row>
    <row r="50" spans="1:16">
      <c r="A50" s="69" t="s">
        <v>407</v>
      </c>
      <c r="B50" s="69" t="s">
        <v>1570</v>
      </c>
      <c r="C50" s="69" t="s">
        <v>1610</v>
      </c>
      <c r="D50" s="74" t="s">
        <v>1600</v>
      </c>
      <c r="E50" s="70">
        <f>SUMIFS('K Village'!$D:$D,'K Village'!$B:$B,$A50)</f>
        <v>2</v>
      </c>
      <c r="F50" s="75"/>
      <c r="G50" s="70">
        <f>SUMIFS('Central CL (Department)'!$BO:$BO,'Central CL (Department)'!$A:$A,$A50)</f>
        <v>1</v>
      </c>
      <c r="H50" s="75"/>
      <c r="I50" s="70">
        <v>0</v>
      </c>
      <c r="J50" s="75"/>
      <c r="K50" s="70">
        <f>SUMIFS('Paradise Park'!$C:$C,'Paradise Park'!$A:$A,$A50)</f>
        <v>5</v>
      </c>
      <c r="L50" s="75"/>
      <c r="M50" s="70">
        <f>SUMIFS('Central LP'!$D:$D,'Central LP'!$B:$B,$A50)</f>
        <v>1</v>
      </c>
      <c r="N50" s="75"/>
      <c r="O50" s="71">
        <f t="shared" si="0"/>
        <v>9</v>
      </c>
      <c r="P50" s="71">
        <f t="shared" si="1"/>
        <v>0</v>
      </c>
    </row>
    <row r="51" spans="1:16">
      <c r="A51" s="69" t="s">
        <v>409</v>
      </c>
      <c r="B51" s="69" t="s">
        <v>1570</v>
      </c>
      <c r="C51" s="69" t="s">
        <v>1610</v>
      </c>
      <c r="D51" s="74" t="s">
        <v>1601</v>
      </c>
      <c r="E51" s="70">
        <f>SUMIFS('K Village'!$D:$D,'K Village'!$B:$B,$A51)</f>
        <v>2</v>
      </c>
      <c r="F51" s="75"/>
      <c r="G51" s="70">
        <f>SUMIFS('Central CL (Department)'!$BO:$BO,'Central CL (Department)'!$A:$A,$A51)</f>
        <v>1</v>
      </c>
      <c r="H51" s="75"/>
      <c r="I51" s="70">
        <f>SUMIFS('Siam Discovery'!$C:$C,'Siam Discovery'!$A:$A,$A51)</f>
        <v>2</v>
      </c>
      <c r="J51" s="75"/>
      <c r="K51" s="70">
        <f>SUMIFS('Paradise Park'!$C:$C,'Paradise Park'!$A:$A,$A51)</f>
        <v>4</v>
      </c>
      <c r="L51" s="75"/>
      <c r="M51" s="70">
        <f>SUMIFS('Central LP'!$D:$D,'Central LP'!$B:$B,$A51)</f>
        <v>2</v>
      </c>
      <c r="N51" s="75"/>
      <c r="O51" s="71">
        <f t="shared" si="0"/>
        <v>11</v>
      </c>
      <c r="P51" s="71">
        <f t="shared" si="1"/>
        <v>0</v>
      </c>
    </row>
    <row r="52" spans="1:16">
      <c r="A52" s="69" t="s">
        <v>411</v>
      </c>
      <c r="B52" s="69" t="s">
        <v>1570</v>
      </c>
      <c r="C52" s="69" t="s">
        <v>1610</v>
      </c>
      <c r="D52" s="74" t="s">
        <v>1602</v>
      </c>
      <c r="E52" s="70">
        <f>SUMIFS('K Village'!$D:$D,'K Village'!$B:$B,$A52)</f>
        <v>2</v>
      </c>
      <c r="F52" s="75"/>
      <c r="G52" s="70">
        <f>SUMIFS('Central CL (Department)'!$BO:$BO,'Central CL (Department)'!$A:$A,$A52)</f>
        <v>2</v>
      </c>
      <c r="H52" s="75"/>
      <c r="I52" s="70">
        <f>SUMIFS('Siam Discovery'!$C:$C,'Siam Discovery'!$A:$A,$A52)</f>
        <v>1</v>
      </c>
      <c r="J52" s="75"/>
      <c r="K52" s="70">
        <f>SUMIFS('Paradise Park'!$C:$C,'Paradise Park'!$A:$A,$A52)</f>
        <v>3</v>
      </c>
      <c r="L52" s="75"/>
      <c r="M52" s="70">
        <f>SUMIFS('Central LP'!$D:$D,'Central LP'!$B:$B,$A52)</f>
        <v>1</v>
      </c>
      <c r="N52" s="75"/>
      <c r="O52" s="71">
        <f t="shared" si="0"/>
        <v>9</v>
      </c>
      <c r="P52" s="71">
        <f t="shared" si="1"/>
        <v>0</v>
      </c>
    </row>
    <row r="53" spans="1:16">
      <c r="A53" s="69" t="s">
        <v>1189</v>
      </c>
      <c r="B53" s="69" t="s">
        <v>1570</v>
      </c>
      <c r="C53" s="69" t="s">
        <v>1610</v>
      </c>
      <c r="D53" s="74" t="s">
        <v>1603</v>
      </c>
      <c r="E53" s="70">
        <f>SUMIFS('K Village'!$D:$D,'K Village'!$B:$B,$A53)</f>
        <v>1</v>
      </c>
      <c r="F53" s="75"/>
      <c r="G53" s="70">
        <f>SUMIFS('Central CL (Department)'!$BO:$BO,'Central CL (Department)'!$A:$A,$A53)</f>
        <v>0</v>
      </c>
      <c r="H53" s="75"/>
      <c r="I53" s="70">
        <f>SUMIFS('Siam Discovery'!$C:$C,'Siam Discovery'!$A:$A,$A53)</f>
        <v>0</v>
      </c>
      <c r="J53" s="75"/>
      <c r="K53" s="70">
        <f>SUMIFS('Paradise Park'!$C:$C,'Paradise Park'!$A:$A,$A53)</f>
        <v>2</v>
      </c>
      <c r="L53" s="75"/>
      <c r="M53" s="70">
        <f>SUMIFS('Central LP'!$D:$D,'Central LP'!$B:$B,$A53)</f>
        <v>0</v>
      </c>
      <c r="N53" s="75"/>
      <c r="O53" s="71">
        <f t="shared" si="0"/>
        <v>3</v>
      </c>
      <c r="P53" s="71">
        <f t="shared" si="1"/>
        <v>0</v>
      </c>
    </row>
    <row r="54" spans="1:16">
      <c r="A54" s="69" t="s">
        <v>1187</v>
      </c>
      <c r="B54" s="69" t="s">
        <v>1570</v>
      </c>
      <c r="C54" s="69" t="s">
        <v>1611</v>
      </c>
      <c r="D54" s="74" t="s">
        <v>1588</v>
      </c>
      <c r="E54" s="70">
        <f>SUMIFS('K Village'!$D:$D,'K Village'!$B:$B,$A54)</f>
        <v>0</v>
      </c>
      <c r="F54" s="75"/>
      <c r="G54" s="70">
        <f>SUMIFS('Central CL (Department)'!$BO:$BO,'Central CL (Department)'!$A:$A,$A54)</f>
        <v>0</v>
      </c>
      <c r="H54" s="75"/>
      <c r="I54" s="70">
        <f>SUMIFS('Siam Discovery'!$C:$C,'Siam Discovery'!$A:$A,$A54)</f>
        <v>0</v>
      </c>
      <c r="J54" s="75"/>
      <c r="K54" s="70">
        <f>SUMIFS('Paradise Park'!$C:$C,'Paradise Park'!$A:$A,$A54)</f>
        <v>3</v>
      </c>
      <c r="L54" s="75"/>
      <c r="M54" s="70">
        <f>SUMIFS('Central LP'!$D:$D,'Central LP'!$B:$B,$A54)</f>
        <v>0</v>
      </c>
      <c r="N54" s="75"/>
      <c r="O54" s="71">
        <f t="shared" si="0"/>
        <v>3</v>
      </c>
      <c r="P54" s="71">
        <f t="shared" si="1"/>
        <v>0</v>
      </c>
    </row>
    <row r="55" spans="1:16">
      <c r="A55" s="69" t="s">
        <v>590</v>
      </c>
      <c r="B55" s="69" t="s">
        <v>1570</v>
      </c>
      <c r="C55" s="69" t="s">
        <v>1611</v>
      </c>
      <c r="D55" s="74" t="s">
        <v>1589</v>
      </c>
      <c r="E55" s="70">
        <f>SUMIFS('K Village'!$D:$D,'K Village'!$B:$B,$A55)</f>
        <v>2</v>
      </c>
      <c r="F55" s="75"/>
      <c r="G55" s="70">
        <f>SUMIFS('Central CL (Department)'!$BO:$BO,'Central CL (Department)'!$A:$A,$A55)</f>
        <v>0</v>
      </c>
      <c r="H55" s="75"/>
      <c r="I55" s="70">
        <f>SUMIFS('Siam Discovery'!$C:$C,'Siam Discovery'!$A:$A,$A55)</f>
        <v>0</v>
      </c>
      <c r="J55" s="75"/>
      <c r="K55" s="70">
        <f>SUMIFS('Paradise Park'!$C:$C,'Paradise Park'!$A:$A,$A55)</f>
        <v>3</v>
      </c>
      <c r="L55" s="75"/>
      <c r="M55" s="70">
        <f>SUMIFS('Central LP'!$D:$D,'Central LP'!$B:$B,$A55)</f>
        <v>0</v>
      </c>
      <c r="N55" s="75"/>
      <c r="O55" s="71">
        <f t="shared" si="0"/>
        <v>5</v>
      </c>
      <c r="P55" s="71">
        <f t="shared" si="1"/>
        <v>0</v>
      </c>
    </row>
    <row r="56" spans="1:16">
      <c r="A56" s="69" t="s">
        <v>594</v>
      </c>
      <c r="B56" s="69" t="s">
        <v>1570</v>
      </c>
      <c r="C56" s="69" t="s">
        <v>1611</v>
      </c>
      <c r="D56" s="74" t="s">
        <v>1590</v>
      </c>
      <c r="E56" s="70">
        <f>SUMIFS('K Village'!$D:$D,'K Village'!$B:$B,$A56)</f>
        <v>1</v>
      </c>
      <c r="F56" s="75"/>
      <c r="G56" s="70">
        <f>SUMIFS('Central CL (Department)'!$BO:$BO,'Central CL (Department)'!$A:$A,$A56)</f>
        <v>0</v>
      </c>
      <c r="H56" s="75"/>
      <c r="I56" s="70">
        <f>SUMIFS('Siam Discovery'!$C:$C,'Siam Discovery'!$A:$A,$A56)</f>
        <v>0</v>
      </c>
      <c r="J56" s="75"/>
      <c r="K56" s="70">
        <f>SUMIFS('Paradise Park'!$C:$C,'Paradise Park'!$A:$A,$A56)</f>
        <v>5</v>
      </c>
      <c r="L56" s="75"/>
      <c r="M56" s="70">
        <f>SUMIFS('Central LP'!$D:$D,'Central LP'!$B:$B,$A56)</f>
        <v>0</v>
      </c>
      <c r="N56" s="75"/>
      <c r="O56" s="71">
        <f t="shared" si="0"/>
        <v>6</v>
      </c>
      <c r="P56" s="71">
        <f t="shared" si="1"/>
        <v>0</v>
      </c>
    </row>
    <row r="57" spans="1:16">
      <c r="A57" s="69" t="s">
        <v>598</v>
      </c>
      <c r="B57" s="69" t="s">
        <v>1570</v>
      </c>
      <c r="C57" s="69" t="s">
        <v>1611</v>
      </c>
      <c r="D57" s="74" t="s">
        <v>1591</v>
      </c>
      <c r="E57" s="70">
        <f>SUMIFS('K Village'!$D:$D,'K Village'!$B:$B,$A57)</f>
        <v>2</v>
      </c>
      <c r="F57" s="75"/>
      <c r="G57" s="70">
        <f>SUMIFS('Central CL (Department)'!$BO:$BO,'Central CL (Department)'!$A:$A,$A57)</f>
        <v>0</v>
      </c>
      <c r="H57" s="75"/>
      <c r="I57" s="70">
        <f>SUMIFS('Siam Discovery'!$C:$C,'Siam Discovery'!$A:$A,$A57)</f>
        <v>0</v>
      </c>
      <c r="J57" s="75"/>
      <c r="K57" s="70">
        <f>SUMIFS('Paradise Park'!$C:$C,'Paradise Park'!$A:$A,$A57)</f>
        <v>1</v>
      </c>
      <c r="L57" s="75"/>
      <c r="M57" s="70">
        <f>SUMIFS('Central LP'!$D:$D,'Central LP'!$B:$B,$A57)</f>
        <v>0</v>
      </c>
      <c r="N57" s="75"/>
      <c r="O57" s="71">
        <f t="shared" si="0"/>
        <v>3</v>
      </c>
      <c r="P57" s="71">
        <f t="shared" si="1"/>
        <v>0</v>
      </c>
    </row>
    <row r="58" spans="1:16">
      <c r="A58" s="69" t="s">
        <v>600</v>
      </c>
      <c r="B58" s="69" t="s">
        <v>1570</v>
      </c>
      <c r="C58" s="69" t="s">
        <v>1611</v>
      </c>
      <c r="D58" s="74" t="s">
        <v>1592</v>
      </c>
      <c r="E58" s="70">
        <f>SUMIFS('K Village'!$D:$D,'K Village'!$B:$B,$A58)</f>
        <v>1</v>
      </c>
      <c r="F58" s="75"/>
      <c r="G58" s="70">
        <f>SUMIFS('Central CL (Department)'!$BO:$BO,'Central CL (Department)'!$A:$A,$A58)</f>
        <v>0</v>
      </c>
      <c r="H58" s="75"/>
      <c r="I58" s="70">
        <f>SUMIFS('Siam Discovery'!$C:$C,'Siam Discovery'!$A:$A,$A58)</f>
        <v>0</v>
      </c>
      <c r="J58" s="75"/>
      <c r="K58" s="70">
        <f>SUMIFS('Paradise Park'!$C:$C,'Paradise Park'!$A:$A,$A58)</f>
        <v>2</v>
      </c>
      <c r="L58" s="75"/>
      <c r="M58" s="70">
        <f>SUMIFS('Central LP'!$D:$D,'Central LP'!$B:$B,$A58)</f>
        <v>0</v>
      </c>
      <c r="N58" s="75"/>
      <c r="O58" s="71">
        <f t="shared" si="0"/>
        <v>3</v>
      </c>
      <c r="P58" s="71">
        <f t="shared" si="1"/>
        <v>0</v>
      </c>
    </row>
    <row r="59" spans="1:16">
      <c r="A59" s="69" t="s">
        <v>604</v>
      </c>
      <c r="B59" s="69" t="s">
        <v>1570</v>
      </c>
      <c r="C59" s="69" t="s">
        <v>1611</v>
      </c>
      <c r="D59" s="74" t="s">
        <v>1593</v>
      </c>
      <c r="E59" s="70">
        <f>SUMIFS('K Village'!$D:$D,'K Village'!$B:$B,$A59)</f>
        <v>2</v>
      </c>
      <c r="F59" s="75"/>
      <c r="G59" s="70">
        <f>SUMIFS('Central CL (Department)'!$BO:$BO,'Central CL (Department)'!$A:$A,$A59)</f>
        <v>0</v>
      </c>
      <c r="H59" s="75"/>
      <c r="I59" s="70">
        <f>SUMIFS('Siam Discovery'!$C:$C,'Siam Discovery'!$A:$A,$A59)</f>
        <v>0</v>
      </c>
      <c r="J59" s="75"/>
      <c r="K59" s="70">
        <f>SUMIFS('Paradise Park'!$C:$C,'Paradise Park'!$A:$A,$A59)</f>
        <v>1</v>
      </c>
      <c r="L59" s="75"/>
      <c r="M59" s="70">
        <f>SUMIFS('Central LP'!$D:$D,'Central LP'!$B:$B,$A59)</f>
        <v>0</v>
      </c>
      <c r="N59" s="75"/>
      <c r="O59" s="71">
        <f t="shared" si="0"/>
        <v>3</v>
      </c>
      <c r="P59" s="71">
        <f t="shared" si="1"/>
        <v>0</v>
      </c>
    </row>
    <row r="60" spans="1:16">
      <c r="A60" s="69" t="s">
        <v>1185</v>
      </c>
      <c r="B60" s="69" t="s">
        <v>1570</v>
      </c>
      <c r="C60" s="69" t="s">
        <v>1611</v>
      </c>
      <c r="D60" s="74" t="s">
        <v>1594</v>
      </c>
      <c r="E60" s="70">
        <f>SUMIFS('K Village'!$D:$D,'K Village'!$B:$B,$A60)</f>
        <v>2</v>
      </c>
      <c r="F60" s="75"/>
      <c r="G60" s="70">
        <f>SUMIFS('Central CL (Department)'!$BO:$BO,'Central CL (Department)'!$A:$A,$A60)</f>
        <v>0</v>
      </c>
      <c r="H60" s="75"/>
      <c r="I60" s="70">
        <f>SUMIFS('Siam Discovery'!$C:$C,'Siam Discovery'!$A:$A,$A60)</f>
        <v>0</v>
      </c>
      <c r="J60" s="75"/>
      <c r="K60" s="70">
        <f>SUMIFS('Paradise Park'!$C:$C,'Paradise Park'!$A:$A,$A60)</f>
        <v>1</v>
      </c>
      <c r="L60" s="75"/>
      <c r="M60" s="70">
        <f>SUMIFS('Central LP'!$D:$D,'Central LP'!$B:$B,$A60)</f>
        <v>0</v>
      </c>
      <c r="N60" s="75"/>
      <c r="O60" s="71">
        <f t="shared" si="0"/>
        <v>3</v>
      </c>
      <c r="P60" s="71">
        <f t="shared" si="1"/>
        <v>0</v>
      </c>
    </row>
    <row r="61" spans="1:16">
      <c r="A61" s="69" t="s">
        <v>200</v>
      </c>
      <c r="B61" s="69" t="s">
        <v>1570</v>
      </c>
      <c r="C61" s="69" t="s">
        <v>1612</v>
      </c>
      <c r="D61" s="74" t="s">
        <v>1599</v>
      </c>
      <c r="E61" s="70">
        <f>SUMIFS('K Village'!$D:$D,'K Village'!$B:$B,$A61)</f>
        <v>0</v>
      </c>
      <c r="F61" s="75"/>
      <c r="G61" s="70">
        <f>SUMIFS('Central CL (Department)'!$BO:$BO,'Central CL (Department)'!$A:$A,$A61)</f>
        <v>0</v>
      </c>
      <c r="H61" s="75"/>
      <c r="I61" s="70">
        <f>SUMIFS('Siam Discovery'!$C:$C,'Siam Discovery'!$A:$A,$A61)</f>
        <v>0</v>
      </c>
      <c r="J61" s="75"/>
      <c r="K61" s="70">
        <f>SUMIFS('Paradise Park'!$C:$C,'Paradise Park'!$A:$A,$A61)</f>
        <v>0</v>
      </c>
      <c r="L61" s="75"/>
      <c r="M61" s="70">
        <f>SUMIFS('Central LP'!$D:$D,'Central LP'!$B:$B,$A61)</f>
        <v>0</v>
      </c>
      <c r="N61" s="75"/>
      <c r="O61" s="71">
        <f t="shared" si="0"/>
        <v>0</v>
      </c>
      <c r="P61" s="71">
        <f t="shared" si="1"/>
        <v>0</v>
      </c>
    </row>
    <row r="62" spans="1:16">
      <c r="A62" s="69" t="s">
        <v>202</v>
      </c>
      <c r="B62" s="69" t="s">
        <v>1570</v>
      </c>
      <c r="C62" s="69" t="s">
        <v>1612</v>
      </c>
      <c r="D62" s="74" t="s">
        <v>1600</v>
      </c>
      <c r="E62" s="70">
        <f>SUMIFS('K Village'!$D:$D,'K Village'!$B:$B,$A62)</f>
        <v>0</v>
      </c>
      <c r="F62" s="75"/>
      <c r="G62" s="70">
        <f>SUMIFS('Central CL (Department)'!$BO:$BO,'Central CL (Department)'!$A:$A,$A62)</f>
        <v>0</v>
      </c>
      <c r="H62" s="75"/>
      <c r="I62" s="70">
        <f>SUMIFS('Siam Discovery'!$C:$C,'Siam Discovery'!$A:$A,$A62)</f>
        <v>0</v>
      </c>
      <c r="J62" s="75"/>
      <c r="K62" s="70">
        <f>SUMIFS('Paradise Park'!$C:$C,'Paradise Park'!$A:$A,$A62)</f>
        <v>0</v>
      </c>
      <c r="L62" s="75"/>
      <c r="M62" s="70">
        <f>SUMIFS('Central LP'!$D:$D,'Central LP'!$B:$B,$A62)</f>
        <v>0</v>
      </c>
      <c r="N62" s="75"/>
      <c r="O62" s="71">
        <f t="shared" si="0"/>
        <v>0</v>
      </c>
      <c r="P62" s="71">
        <f t="shared" si="1"/>
        <v>0</v>
      </c>
    </row>
    <row r="63" spans="1:16">
      <c r="A63" s="69" t="s">
        <v>204</v>
      </c>
      <c r="B63" s="69" t="s">
        <v>1570</v>
      </c>
      <c r="C63" s="69" t="s">
        <v>1612</v>
      </c>
      <c r="D63" s="74" t="s">
        <v>1601</v>
      </c>
      <c r="E63" s="70">
        <f>SUMIFS('K Village'!$D:$D,'K Village'!$B:$B,$A63)</f>
        <v>0</v>
      </c>
      <c r="F63" s="75"/>
      <c r="G63" s="70">
        <f>SUMIFS('Central CL (Department)'!$BO:$BO,'Central CL (Department)'!$A:$A,$A63)</f>
        <v>0</v>
      </c>
      <c r="H63" s="75"/>
      <c r="I63" s="70">
        <f>SUMIFS('Siam Discovery'!$C:$C,'Siam Discovery'!$A:$A,$A63)</f>
        <v>0</v>
      </c>
      <c r="J63" s="75"/>
      <c r="K63" s="70">
        <f>SUMIFS('Paradise Park'!$C:$C,'Paradise Park'!$A:$A,$A63)</f>
        <v>0</v>
      </c>
      <c r="L63" s="75"/>
      <c r="M63" s="70">
        <f>SUMIFS('Central LP'!$D:$D,'Central LP'!$B:$B,$A63)</f>
        <v>0</v>
      </c>
      <c r="N63" s="75"/>
      <c r="O63" s="71">
        <f t="shared" si="0"/>
        <v>0</v>
      </c>
      <c r="P63" s="71">
        <f t="shared" si="1"/>
        <v>0</v>
      </c>
    </row>
    <row r="64" spans="1:16">
      <c r="A64" s="69" t="s">
        <v>206</v>
      </c>
      <c r="B64" s="69" t="s">
        <v>1570</v>
      </c>
      <c r="C64" s="69" t="s">
        <v>1612</v>
      </c>
      <c r="D64" s="74" t="s">
        <v>1602</v>
      </c>
      <c r="E64" s="70">
        <f>SUMIFS('K Village'!$D:$D,'K Village'!$B:$B,$A64)</f>
        <v>0</v>
      </c>
      <c r="F64" s="75"/>
      <c r="G64" s="70">
        <f>SUMIFS('Central CL (Department)'!$BO:$BO,'Central CL (Department)'!$A:$A,$A64)</f>
        <v>0</v>
      </c>
      <c r="H64" s="75"/>
      <c r="I64" s="70">
        <f>SUMIFS('Siam Discovery'!$C:$C,'Siam Discovery'!$A:$A,$A64)</f>
        <v>0</v>
      </c>
      <c r="J64" s="75"/>
      <c r="K64" s="70">
        <f>SUMIFS('Paradise Park'!$C:$C,'Paradise Park'!$A:$A,$A64)</f>
        <v>0</v>
      </c>
      <c r="L64" s="75"/>
      <c r="M64" s="70">
        <f>SUMIFS('Central LP'!$D:$D,'Central LP'!$B:$B,$A64)</f>
        <v>0</v>
      </c>
      <c r="N64" s="75"/>
      <c r="O64" s="71">
        <f t="shared" si="0"/>
        <v>0</v>
      </c>
      <c r="P64" s="71">
        <f t="shared" si="1"/>
        <v>0</v>
      </c>
    </row>
    <row r="65" spans="1:16">
      <c r="A65" s="69" t="s">
        <v>391</v>
      </c>
      <c r="B65" s="69" t="s">
        <v>1570</v>
      </c>
      <c r="C65" s="69" t="s">
        <v>1613</v>
      </c>
      <c r="D65" s="74" t="s">
        <v>1588</v>
      </c>
      <c r="E65" s="70">
        <f>SUMIFS('K Village'!$D:$D,'K Village'!$B:$B,$A65)</f>
        <v>0</v>
      </c>
      <c r="F65" s="75"/>
      <c r="G65" s="70">
        <f>SUMIFS('Central CL (Department)'!$BO:$BO,'Central CL (Department)'!$A:$A,$A65)</f>
        <v>0</v>
      </c>
      <c r="H65" s="75"/>
      <c r="I65" s="70">
        <f>SUMIFS('Siam Discovery'!$C:$C,'Siam Discovery'!$A:$A,$A65)</f>
        <v>0</v>
      </c>
      <c r="J65" s="75"/>
      <c r="K65" s="70">
        <f>SUMIFS('Paradise Park'!$C:$C,'Paradise Park'!$A:$A,$A65)</f>
        <v>0</v>
      </c>
      <c r="L65" s="75"/>
      <c r="M65" s="70">
        <f>SUMIFS('Central LP'!$D:$D,'Central LP'!$B:$B,$A65)</f>
        <v>1</v>
      </c>
      <c r="N65" s="75"/>
      <c r="O65" s="71">
        <f t="shared" si="0"/>
        <v>1</v>
      </c>
      <c r="P65" s="71">
        <f t="shared" si="1"/>
        <v>0</v>
      </c>
    </row>
    <row r="66" spans="1:16">
      <c r="A66" s="69" t="s">
        <v>178</v>
      </c>
      <c r="B66" s="69" t="s">
        <v>1570</v>
      </c>
      <c r="C66" s="69" t="s">
        <v>1613</v>
      </c>
      <c r="D66" s="74" t="s">
        <v>1589</v>
      </c>
      <c r="E66" s="70">
        <f>SUMIFS('K Village'!$D:$D,'K Village'!$B:$B,$A66)</f>
        <v>2</v>
      </c>
      <c r="F66" s="75"/>
      <c r="G66" s="70">
        <f>SUMIFS('Central CL (Department)'!$BO:$BO,'Central CL (Department)'!$A:$A,$A66)</f>
        <v>0</v>
      </c>
      <c r="H66" s="75"/>
      <c r="I66" s="70">
        <f>SUMIFS('Siam Discovery'!$C:$C,'Siam Discovery'!$A:$A,$A66)</f>
        <v>1</v>
      </c>
      <c r="J66" s="75"/>
      <c r="K66" s="70">
        <v>2</v>
      </c>
      <c r="L66" s="75"/>
      <c r="M66" s="70">
        <f>SUMIFS('Central LP'!$D:$D,'Central LP'!$B:$B,$A66)</f>
        <v>3</v>
      </c>
      <c r="N66" s="75"/>
      <c r="O66" s="71">
        <f t="shared" si="0"/>
        <v>8</v>
      </c>
      <c r="P66" s="71">
        <f t="shared" si="1"/>
        <v>0</v>
      </c>
    </row>
    <row r="67" spans="1:16">
      <c r="A67" s="69" t="s">
        <v>180</v>
      </c>
      <c r="B67" s="69" t="s">
        <v>1570</v>
      </c>
      <c r="C67" s="69" t="s">
        <v>1613</v>
      </c>
      <c r="D67" s="74" t="s">
        <v>1590</v>
      </c>
      <c r="E67" s="70">
        <f>SUMIFS('K Village'!$D:$D,'K Village'!$B:$B,$A67)</f>
        <v>0</v>
      </c>
      <c r="F67" s="75"/>
      <c r="G67" s="70">
        <f>SUMIFS('Central CL (Department)'!$BO:$BO,'Central CL (Department)'!$A:$A,$A67)</f>
        <v>3</v>
      </c>
      <c r="H67" s="75"/>
      <c r="I67" s="70">
        <f>SUMIFS('Siam Discovery'!$C:$C,'Siam Discovery'!$A:$A,$A67)</f>
        <v>1</v>
      </c>
      <c r="J67" s="75"/>
      <c r="K67" s="70">
        <f>SUMIFS('Paradise Park'!$C:$C,'Paradise Park'!$A:$A,$A67)</f>
        <v>4</v>
      </c>
      <c r="L67" s="75"/>
      <c r="M67" s="70">
        <f>SUMIFS('Central LP'!$D:$D,'Central LP'!$B:$B,$A67)</f>
        <v>1</v>
      </c>
      <c r="N67" s="75"/>
      <c r="O67" s="71">
        <f t="shared" si="0"/>
        <v>9</v>
      </c>
      <c r="P67" s="71">
        <f t="shared" si="1"/>
        <v>0</v>
      </c>
    </row>
    <row r="68" spans="1:16">
      <c r="A68" s="69" t="s">
        <v>182</v>
      </c>
      <c r="B68" s="69" t="s">
        <v>1570</v>
      </c>
      <c r="C68" s="69" t="s">
        <v>1613</v>
      </c>
      <c r="D68" s="74" t="s">
        <v>1591</v>
      </c>
      <c r="E68" s="70">
        <f>SUMIFS('K Village'!$D:$D,'K Village'!$B:$B,$A68)</f>
        <v>2</v>
      </c>
      <c r="F68" s="75"/>
      <c r="G68" s="70">
        <f>SUMIFS('Central CL (Department)'!$BO:$BO,'Central CL (Department)'!$A:$A,$A68)</f>
        <v>0</v>
      </c>
      <c r="H68" s="75"/>
      <c r="I68" s="70">
        <f>SUMIFS('Siam Discovery'!$C:$C,'Siam Discovery'!$A:$A,$A68)</f>
        <v>0</v>
      </c>
      <c r="J68" s="75"/>
      <c r="K68" s="70">
        <f>SUMIFS('Paradise Park'!$C:$C,'Paradise Park'!$A:$A,$A68)</f>
        <v>2</v>
      </c>
      <c r="L68" s="75"/>
      <c r="M68" s="70">
        <f>SUMIFS('Central LP'!$D:$D,'Central LP'!$B:$B,$A68)</f>
        <v>1</v>
      </c>
      <c r="N68" s="75"/>
      <c r="O68" s="71">
        <f t="shared" si="0"/>
        <v>5</v>
      </c>
      <c r="P68" s="71">
        <f t="shared" si="1"/>
        <v>0</v>
      </c>
    </row>
    <row r="69" spans="1:16">
      <c r="A69" s="69" t="s">
        <v>184</v>
      </c>
      <c r="B69" s="69" t="s">
        <v>1570</v>
      </c>
      <c r="C69" s="69" t="s">
        <v>1613</v>
      </c>
      <c r="D69" s="74" t="s">
        <v>1592</v>
      </c>
      <c r="E69" s="70">
        <f>SUMIFS('K Village'!$D:$D,'K Village'!$B:$B,$A69)</f>
        <v>0</v>
      </c>
      <c r="F69" s="75"/>
      <c r="G69" s="70">
        <f>SUMIFS('Central CL (Department)'!$BO:$BO,'Central CL (Department)'!$A:$A,$A69)</f>
        <v>0</v>
      </c>
      <c r="H69" s="75"/>
      <c r="I69" s="70">
        <f>SUMIFS('Siam Discovery'!$C:$C,'Siam Discovery'!$A:$A,$A69)</f>
        <v>0</v>
      </c>
      <c r="J69" s="75"/>
      <c r="K69" s="70">
        <f>SUMIFS('Paradise Park'!$C:$C,'Paradise Park'!$A:$A,$A69)</f>
        <v>0</v>
      </c>
      <c r="L69" s="75"/>
      <c r="M69" s="70">
        <f>SUMIFS('Central LP'!$D:$D,'Central LP'!$B:$B,$A69)</f>
        <v>1</v>
      </c>
      <c r="N69" s="75"/>
      <c r="O69" s="71">
        <f t="shared" si="0"/>
        <v>1</v>
      </c>
      <c r="P69" s="71">
        <f t="shared" si="1"/>
        <v>0</v>
      </c>
    </row>
    <row r="70" spans="1:16">
      <c r="A70" s="69" t="s">
        <v>186</v>
      </c>
      <c r="B70" s="69" t="s">
        <v>1570</v>
      </c>
      <c r="C70" s="69" t="s">
        <v>1613</v>
      </c>
      <c r="D70" s="74" t="s">
        <v>1593</v>
      </c>
      <c r="E70" s="70">
        <f>SUMIFS('K Village'!$D:$D,'K Village'!$B:$B,$A70)</f>
        <v>2</v>
      </c>
      <c r="F70" s="75"/>
      <c r="G70" s="70">
        <f>SUMIFS('Central CL (Department)'!$BO:$BO,'Central CL (Department)'!$A:$A,$A70)</f>
        <v>0</v>
      </c>
      <c r="H70" s="75"/>
      <c r="I70" s="70">
        <f>SUMIFS('Siam Discovery'!$C:$C,'Siam Discovery'!$A:$A,$A70)</f>
        <v>0</v>
      </c>
      <c r="J70" s="75"/>
      <c r="K70" s="70">
        <f>SUMIFS('Paradise Park'!$C:$C,'Paradise Park'!$A:$A,$A70)</f>
        <v>0</v>
      </c>
      <c r="L70" s="75"/>
      <c r="M70" s="70">
        <f>SUMIFS('Central LP'!$D:$D,'Central LP'!$B:$B,$A70)</f>
        <v>1</v>
      </c>
      <c r="N70" s="75"/>
      <c r="O70" s="71">
        <f t="shared" ref="O70:O133" si="2">E70+G70+I70+K70+M70</f>
        <v>3</v>
      </c>
      <c r="P70" s="71">
        <f t="shared" ref="P70:P133" si="3">F70+H70+J70+L70+N70</f>
        <v>0</v>
      </c>
    </row>
    <row r="71" spans="1:16">
      <c r="A71" s="69" t="s">
        <v>188</v>
      </c>
      <c r="B71" s="69" t="s">
        <v>1570</v>
      </c>
      <c r="C71" s="69" t="s">
        <v>1613</v>
      </c>
      <c r="D71" s="74" t="s">
        <v>1594</v>
      </c>
      <c r="E71" s="70">
        <f>SUMIFS('K Village'!$D:$D,'K Village'!$B:$B,$A71)</f>
        <v>1</v>
      </c>
      <c r="F71" s="75"/>
      <c r="G71" s="70">
        <f>SUMIFS('Central CL (Department)'!$BO:$BO,'Central CL (Department)'!$A:$A,$A71)</f>
        <v>0</v>
      </c>
      <c r="H71" s="75"/>
      <c r="I71" s="70">
        <f>SUMIFS('Siam Discovery'!$C:$C,'Siam Discovery'!$A:$A,$A71)</f>
        <v>0</v>
      </c>
      <c r="J71" s="75"/>
      <c r="K71" s="70">
        <f>SUMIFS('Paradise Park'!$C:$C,'Paradise Park'!$A:$A,$A71)</f>
        <v>3</v>
      </c>
      <c r="L71" s="75"/>
      <c r="M71" s="70">
        <f>SUMIFS('Central LP'!$D:$D,'Central LP'!$B:$B,$A71)</f>
        <v>1</v>
      </c>
      <c r="N71" s="75"/>
      <c r="O71" s="71">
        <f t="shared" si="2"/>
        <v>5</v>
      </c>
      <c r="P71" s="71">
        <f t="shared" si="3"/>
        <v>0</v>
      </c>
    </row>
    <row r="72" spans="1:16">
      <c r="A72" s="69" t="s">
        <v>1183</v>
      </c>
      <c r="B72" s="69" t="s">
        <v>1570</v>
      </c>
      <c r="C72" s="69" t="s">
        <v>1613</v>
      </c>
      <c r="D72" s="74" t="s">
        <v>1595</v>
      </c>
      <c r="E72" s="70">
        <f>SUMIFS('K Village'!$D:$D,'K Village'!$B:$B,$A72)</f>
        <v>1</v>
      </c>
      <c r="F72" s="75"/>
      <c r="G72" s="70">
        <f>SUMIFS('Central CL (Department)'!$BO:$BO,'Central CL (Department)'!$A:$A,$A72)</f>
        <v>0</v>
      </c>
      <c r="H72" s="75"/>
      <c r="I72" s="70">
        <f>SUMIFS('Siam Discovery'!$C:$C,'Siam Discovery'!$A:$A,$A72)</f>
        <v>0</v>
      </c>
      <c r="J72" s="75"/>
      <c r="K72" s="70">
        <f>SUMIFS('Paradise Park'!$C:$C,'Paradise Park'!$A:$A,$A72)</f>
        <v>1</v>
      </c>
      <c r="L72" s="75"/>
      <c r="M72" s="70">
        <f>SUMIFS('Central LP'!$D:$D,'Central LP'!$B:$B,$A72)</f>
        <v>2</v>
      </c>
      <c r="N72" s="75"/>
      <c r="O72" s="71">
        <f t="shared" si="2"/>
        <v>4</v>
      </c>
      <c r="P72" s="71">
        <f t="shared" si="3"/>
        <v>0</v>
      </c>
    </row>
    <row r="73" spans="1:16">
      <c r="A73" s="69" t="s">
        <v>1505</v>
      </c>
      <c r="B73" s="69" t="s">
        <v>1570</v>
      </c>
      <c r="C73" s="69" t="s">
        <v>1613</v>
      </c>
      <c r="D73" s="74" t="s">
        <v>1596</v>
      </c>
      <c r="E73" s="70">
        <f>SUMIFS('K Village'!$D:$D,'K Village'!$B:$B,$A73)</f>
        <v>2</v>
      </c>
      <c r="F73" s="75"/>
      <c r="G73" s="70">
        <f>SUMIFS('Central CL (Department)'!$BO:$BO,'Central CL (Department)'!$A:$A,$A73)</f>
        <v>0</v>
      </c>
      <c r="H73" s="75"/>
      <c r="I73" s="70">
        <f>SUMIFS('Siam Discovery'!$C:$C,'Siam Discovery'!$A:$A,$A73)</f>
        <v>0</v>
      </c>
      <c r="J73" s="75"/>
      <c r="K73" s="70">
        <f>SUMIFS('Paradise Park'!$C:$C,'Paradise Park'!$A:$A,$A73)</f>
        <v>0</v>
      </c>
      <c r="L73" s="75"/>
      <c r="M73" s="70">
        <f>SUMIFS('Central LP'!$D:$D,'Central LP'!$B:$B,$A73)</f>
        <v>1</v>
      </c>
      <c r="N73" s="75"/>
      <c r="O73" s="71">
        <f t="shared" si="2"/>
        <v>3</v>
      </c>
      <c r="P73" s="71">
        <f t="shared" si="3"/>
        <v>0</v>
      </c>
    </row>
    <row r="74" spans="1:16">
      <c r="A74" s="69" t="s">
        <v>1507</v>
      </c>
      <c r="B74" s="69" t="s">
        <v>1570</v>
      </c>
      <c r="C74" s="69" t="s">
        <v>1614</v>
      </c>
      <c r="D74" s="74" t="s">
        <v>1588</v>
      </c>
      <c r="E74" s="70">
        <f>SUMIFS('K Village'!$D:$D,'K Village'!$B:$B,$A74)</f>
        <v>2</v>
      </c>
      <c r="F74" s="75"/>
      <c r="G74" s="70">
        <f>SUMIFS('Central CL (Department)'!$BO:$BO,'Central CL (Department)'!$A:$A,$A74)</f>
        <v>0</v>
      </c>
      <c r="H74" s="75"/>
      <c r="I74" s="70">
        <f>SUMIFS('Siam Discovery'!$C:$C,'Siam Discovery'!$A:$A,$A74)</f>
        <v>0</v>
      </c>
      <c r="J74" s="75"/>
      <c r="K74" s="70">
        <f>SUMIFS('Paradise Park'!$C:$C,'Paradise Park'!$A:$A,$A74)</f>
        <v>0</v>
      </c>
      <c r="L74" s="75"/>
      <c r="M74" s="70">
        <f>SUMIFS('Central LP'!$D:$D,'Central LP'!$B:$B,$A74)</f>
        <v>1</v>
      </c>
      <c r="N74" s="75"/>
      <c r="O74" s="71">
        <f t="shared" si="2"/>
        <v>3</v>
      </c>
      <c r="P74" s="71">
        <f t="shared" si="3"/>
        <v>0</v>
      </c>
    </row>
    <row r="75" spans="1:16">
      <c r="A75" s="69" t="s">
        <v>1181</v>
      </c>
      <c r="B75" s="69" t="s">
        <v>1570</v>
      </c>
      <c r="C75" s="69" t="s">
        <v>1614</v>
      </c>
      <c r="D75" s="74" t="s">
        <v>1589</v>
      </c>
      <c r="E75" s="70">
        <f>SUMIFS('K Village'!$D:$D,'K Village'!$B:$B,$A75)</f>
        <v>3</v>
      </c>
      <c r="F75" s="75"/>
      <c r="G75" s="70">
        <f>SUMIFS('Central CL (Department)'!$BO:$BO,'Central CL (Department)'!$A:$A,$A75)</f>
        <v>0</v>
      </c>
      <c r="H75" s="75"/>
      <c r="I75" s="70">
        <f>SUMIFS('Siam Discovery'!$C:$C,'Siam Discovery'!$A:$A,$A75)</f>
        <v>0</v>
      </c>
      <c r="J75" s="75"/>
      <c r="K75" s="70">
        <f>SUMIFS('Paradise Park'!$C:$C,'Paradise Park'!$A:$A,$A75)</f>
        <v>1</v>
      </c>
      <c r="L75" s="75"/>
      <c r="M75" s="70">
        <f>SUMIFS('Central LP'!$D:$D,'Central LP'!$B:$B,$A75)</f>
        <v>1</v>
      </c>
      <c r="N75" s="75"/>
      <c r="O75" s="71">
        <f t="shared" si="2"/>
        <v>5</v>
      </c>
      <c r="P75" s="71">
        <f t="shared" si="3"/>
        <v>0</v>
      </c>
    </row>
    <row r="76" spans="1:16">
      <c r="A76" s="69" t="s">
        <v>1179</v>
      </c>
      <c r="B76" s="69" t="s">
        <v>1570</v>
      </c>
      <c r="C76" s="69" t="s">
        <v>1614</v>
      </c>
      <c r="D76" s="74" t="s">
        <v>1590</v>
      </c>
      <c r="E76" s="70">
        <f>SUMIFS('K Village'!$D:$D,'K Village'!$B:$B,$A76)</f>
        <v>1</v>
      </c>
      <c r="F76" s="75"/>
      <c r="G76" s="70">
        <f>SUMIFS('Central CL (Department)'!$BO:$BO,'Central CL (Department)'!$A:$A,$A76)</f>
        <v>0</v>
      </c>
      <c r="H76" s="75"/>
      <c r="I76" s="70">
        <f>SUMIFS('Siam Discovery'!$C:$C,'Siam Discovery'!$A:$A,$A76)</f>
        <v>0</v>
      </c>
      <c r="J76" s="75"/>
      <c r="K76" s="70">
        <f>SUMIFS('Paradise Park'!$C:$C,'Paradise Park'!$A:$A,$A76)</f>
        <v>2</v>
      </c>
      <c r="L76" s="75"/>
      <c r="M76" s="70">
        <f>SUMIFS('Central LP'!$D:$D,'Central LP'!$B:$B,$A76)</f>
        <v>1</v>
      </c>
      <c r="N76" s="75"/>
      <c r="O76" s="71">
        <f t="shared" si="2"/>
        <v>4</v>
      </c>
      <c r="P76" s="71">
        <f t="shared" si="3"/>
        <v>0</v>
      </c>
    </row>
    <row r="77" spans="1:16">
      <c r="A77" s="69" t="s">
        <v>1177</v>
      </c>
      <c r="B77" s="69" t="s">
        <v>1570</v>
      </c>
      <c r="C77" s="69" t="s">
        <v>1614</v>
      </c>
      <c r="D77" s="74" t="s">
        <v>1591</v>
      </c>
      <c r="E77" s="70">
        <f>SUMIFS('K Village'!$D:$D,'K Village'!$B:$B,$A77)</f>
        <v>1</v>
      </c>
      <c r="F77" s="75"/>
      <c r="G77" s="70">
        <f>SUMIFS('Central CL (Department)'!$BO:$BO,'Central CL (Department)'!$A:$A,$A77)</f>
        <v>0</v>
      </c>
      <c r="H77" s="75"/>
      <c r="I77" s="70">
        <f>SUMIFS('Siam Discovery'!$C:$C,'Siam Discovery'!$A:$A,$A77)</f>
        <v>0</v>
      </c>
      <c r="J77" s="75"/>
      <c r="K77" s="70">
        <f>SUMIFS('Paradise Park'!$C:$C,'Paradise Park'!$A:$A,$A77)</f>
        <v>2</v>
      </c>
      <c r="L77" s="75"/>
      <c r="M77" s="70">
        <f>SUMIFS('Central LP'!$D:$D,'Central LP'!$B:$B,$A77)</f>
        <v>2</v>
      </c>
      <c r="N77" s="75"/>
      <c r="O77" s="71">
        <f t="shared" si="2"/>
        <v>5</v>
      </c>
      <c r="P77" s="71">
        <f t="shared" si="3"/>
        <v>0</v>
      </c>
    </row>
    <row r="78" spans="1:16">
      <c r="A78" s="69" t="s">
        <v>1175</v>
      </c>
      <c r="B78" s="69" t="s">
        <v>1570</v>
      </c>
      <c r="C78" s="69" t="s">
        <v>1614</v>
      </c>
      <c r="D78" s="74" t="s">
        <v>1592</v>
      </c>
      <c r="E78" s="70">
        <f>SUMIFS('K Village'!$D:$D,'K Village'!$B:$B,$A78)</f>
        <v>2</v>
      </c>
      <c r="F78" s="75"/>
      <c r="G78" s="70">
        <f>SUMIFS('Central CL (Department)'!$BO:$BO,'Central CL (Department)'!$A:$A,$A78)</f>
        <v>0</v>
      </c>
      <c r="H78" s="75"/>
      <c r="I78" s="70">
        <f>SUMIFS('Siam Discovery'!$C:$C,'Siam Discovery'!$A:$A,$A78)</f>
        <v>0</v>
      </c>
      <c r="J78" s="75"/>
      <c r="K78" s="70">
        <f>SUMIFS('Paradise Park'!$C:$C,'Paradise Park'!$A:$A,$A78)</f>
        <v>2</v>
      </c>
      <c r="L78" s="75"/>
      <c r="M78" s="70">
        <f>SUMIFS('Central LP'!$D:$D,'Central LP'!$B:$B,$A78)</f>
        <v>0</v>
      </c>
      <c r="N78" s="75"/>
      <c r="O78" s="71">
        <f t="shared" si="2"/>
        <v>4</v>
      </c>
      <c r="P78" s="71">
        <f t="shared" si="3"/>
        <v>0</v>
      </c>
    </row>
    <row r="79" spans="1:16">
      <c r="A79" s="69" t="s">
        <v>1173</v>
      </c>
      <c r="B79" s="69" t="s">
        <v>1570</v>
      </c>
      <c r="C79" s="69" t="s">
        <v>1614</v>
      </c>
      <c r="D79" s="74" t="s">
        <v>1593</v>
      </c>
      <c r="E79" s="70">
        <f>SUMIFS('K Village'!$D:$D,'K Village'!$B:$B,$A79)</f>
        <v>1</v>
      </c>
      <c r="F79" s="75"/>
      <c r="G79" s="70">
        <f>SUMIFS('Central CL (Department)'!$BO:$BO,'Central CL (Department)'!$A:$A,$A79)</f>
        <v>0</v>
      </c>
      <c r="H79" s="75"/>
      <c r="I79" s="70">
        <f>SUMIFS('Siam Discovery'!$C:$C,'Siam Discovery'!$A:$A,$A79)</f>
        <v>0</v>
      </c>
      <c r="J79" s="75"/>
      <c r="K79" s="70">
        <f>SUMIFS('Paradise Park'!$C:$C,'Paradise Park'!$A:$A,$A79)</f>
        <v>1</v>
      </c>
      <c r="L79" s="75"/>
      <c r="M79" s="70">
        <f>SUMIFS('Central LP'!$D:$D,'Central LP'!$B:$B,$A79)</f>
        <v>1</v>
      </c>
      <c r="N79" s="75"/>
      <c r="O79" s="71">
        <f t="shared" si="2"/>
        <v>3</v>
      </c>
      <c r="P79" s="71">
        <f t="shared" si="3"/>
        <v>0</v>
      </c>
    </row>
    <row r="80" spans="1:16">
      <c r="A80" s="69" t="s">
        <v>1171</v>
      </c>
      <c r="B80" s="69" t="s">
        <v>1570</v>
      </c>
      <c r="C80" s="69" t="s">
        <v>1614</v>
      </c>
      <c r="D80" s="74" t="s">
        <v>1594</v>
      </c>
      <c r="E80" s="70">
        <f>SUMIFS('K Village'!$D:$D,'K Village'!$B:$B,$A80)</f>
        <v>1</v>
      </c>
      <c r="F80" s="75"/>
      <c r="G80" s="70">
        <f>SUMIFS('Central CL (Department)'!$BO:$BO,'Central CL (Department)'!$A:$A,$A80)</f>
        <v>0</v>
      </c>
      <c r="H80" s="75"/>
      <c r="I80" s="70">
        <f>SUMIFS('Siam Discovery'!$C:$C,'Siam Discovery'!$A:$A,$A80)</f>
        <v>0</v>
      </c>
      <c r="J80" s="75"/>
      <c r="K80" s="70">
        <f>SUMIFS('Paradise Park'!$C:$C,'Paradise Park'!$A:$A,$A80)</f>
        <v>2</v>
      </c>
      <c r="L80" s="75"/>
      <c r="M80" s="70">
        <f>SUMIFS('Central LP'!$D:$D,'Central LP'!$B:$B,$A80)</f>
        <v>1</v>
      </c>
      <c r="N80" s="75"/>
      <c r="O80" s="71">
        <f t="shared" si="2"/>
        <v>4</v>
      </c>
      <c r="P80" s="71">
        <f t="shared" si="3"/>
        <v>0</v>
      </c>
    </row>
    <row r="81" spans="1:16">
      <c r="A81" s="69" t="s">
        <v>1169</v>
      </c>
      <c r="B81" s="69" t="s">
        <v>1570</v>
      </c>
      <c r="C81" s="69" t="s">
        <v>1614</v>
      </c>
      <c r="D81" s="74" t="s">
        <v>1598</v>
      </c>
      <c r="E81" s="70">
        <f>SUMIFS('K Village'!$D:$D,'K Village'!$B:$B,$A81)</f>
        <v>0</v>
      </c>
      <c r="F81" s="75"/>
      <c r="G81" s="70">
        <f>SUMIFS('Central CL (Department)'!$BO:$BO,'Central CL (Department)'!$A:$A,$A81)</f>
        <v>0</v>
      </c>
      <c r="H81" s="75"/>
      <c r="I81" s="70">
        <f>SUMIFS('Siam Discovery'!$C:$C,'Siam Discovery'!$A:$A,$A81)</f>
        <v>0</v>
      </c>
      <c r="J81" s="75"/>
      <c r="K81" s="70">
        <f>SUMIFS('Paradise Park'!$C:$C,'Paradise Park'!$A:$A,$A81)</f>
        <v>1</v>
      </c>
      <c r="L81" s="75"/>
      <c r="M81" s="70">
        <f>SUMIFS('Central LP'!$D:$D,'Central LP'!$B:$B,$A81)</f>
        <v>1</v>
      </c>
      <c r="N81" s="75"/>
      <c r="O81" s="71">
        <f t="shared" si="2"/>
        <v>2</v>
      </c>
      <c r="P81" s="71">
        <f t="shared" si="3"/>
        <v>0</v>
      </c>
    </row>
    <row r="82" spans="1:16">
      <c r="A82" s="69" t="s">
        <v>618</v>
      </c>
      <c r="B82" s="69" t="s">
        <v>1570</v>
      </c>
      <c r="C82" s="69" t="s">
        <v>1614</v>
      </c>
      <c r="D82" s="74" t="s">
        <v>1599</v>
      </c>
      <c r="E82" s="70">
        <f>SUMIFS('K Village'!$D:$D,'K Village'!$B:$B,$A82)</f>
        <v>2</v>
      </c>
      <c r="F82" s="75"/>
      <c r="G82" s="70">
        <f>SUMIFS('Central CL (Department)'!$BO:$BO,'Central CL (Department)'!$A:$A,$A82)</f>
        <v>0</v>
      </c>
      <c r="H82" s="75"/>
      <c r="I82" s="70">
        <f>SUMIFS('Siam Discovery'!$C:$C,'Siam Discovery'!$A:$A,$A82)</f>
        <v>0</v>
      </c>
      <c r="J82" s="75"/>
      <c r="K82" s="70">
        <f>SUMIFS('Paradise Park'!$C:$C,'Paradise Park'!$A:$A,$A82)</f>
        <v>2</v>
      </c>
      <c r="L82" s="75"/>
      <c r="M82" s="70">
        <f>SUMIFS('Central LP'!$D:$D,'Central LP'!$B:$B,$A82)</f>
        <v>2</v>
      </c>
      <c r="N82" s="75"/>
      <c r="O82" s="71">
        <f t="shared" si="2"/>
        <v>6</v>
      </c>
      <c r="P82" s="71">
        <f t="shared" si="3"/>
        <v>0</v>
      </c>
    </row>
    <row r="83" spans="1:16">
      <c r="A83" s="69" t="s">
        <v>620</v>
      </c>
      <c r="B83" s="69" t="s">
        <v>1570</v>
      </c>
      <c r="C83" s="69" t="s">
        <v>1614</v>
      </c>
      <c r="D83" s="74" t="s">
        <v>1600</v>
      </c>
      <c r="E83" s="70">
        <f>SUMIFS('K Village'!$D:$D,'K Village'!$B:$B,$A83)</f>
        <v>2</v>
      </c>
      <c r="F83" s="75"/>
      <c r="G83" s="70">
        <f>SUMIFS('Central CL (Department)'!$BO:$BO,'Central CL (Department)'!$A:$A,$A83)</f>
        <v>0</v>
      </c>
      <c r="H83" s="75"/>
      <c r="I83" s="70">
        <f>SUMIFS('Siam Discovery'!$C:$C,'Siam Discovery'!$A:$A,$A83)</f>
        <v>0</v>
      </c>
      <c r="J83" s="75"/>
      <c r="K83" s="70">
        <f>SUMIFS('Paradise Park'!$C:$C,'Paradise Park'!$A:$A,$A83)</f>
        <v>4</v>
      </c>
      <c r="L83" s="75"/>
      <c r="M83" s="70">
        <f>SUMIFS('Central LP'!$D:$D,'Central LP'!$B:$B,$A83)</f>
        <v>2</v>
      </c>
      <c r="N83" s="75"/>
      <c r="O83" s="71">
        <f t="shared" si="2"/>
        <v>8</v>
      </c>
      <c r="P83" s="71">
        <f t="shared" si="3"/>
        <v>0</v>
      </c>
    </row>
    <row r="84" spans="1:16">
      <c r="A84" s="69" t="s">
        <v>624</v>
      </c>
      <c r="B84" s="69" t="s">
        <v>1570</v>
      </c>
      <c r="C84" s="69" t="s">
        <v>1614</v>
      </c>
      <c r="D84" s="74" t="s">
        <v>1601</v>
      </c>
      <c r="E84" s="70">
        <f>SUMIFS('K Village'!$D:$D,'K Village'!$B:$B,$A84)</f>
        <v>2</v>
      </c>
      <c r="F84" s="75"/>
      <c r="G84" s="70">
        <f>SUMIFS('Central CL (Department)'!$BO:$BO,'Central CL (Department)'!$A:$A,$A84)</f>
        <v>0</v>
      </c>
      <c r="H84" s="75"/>
      <c r="I84" s="70">
        <f>SUMIFS('Siam Discovery'!$C:$C,'Siam Discovery'!$A:$A,$A84)</f>
        <v>0</v>
      </c>
      <c r="J84" s="75"/>
      <c r="K84" s="70">
        <f>SUMIFS('Paradise Park'!$C:$C,'Paradise Park'!$A:$A,$A84)</f>
        <v>3</v>
      </c>
      <c r="L84" s="75"/>
      <c r="M84" s="70">
        <f>SUMIFS('Central LP'!$D:$D,'Central LP'!$B:$B,$A84)</f>
        <v>2</v>
      </c>
      <c r="N84" s="75"/>
      <c r="O84" s="71">
        <f t="shared" si="2"/>
        <v>7</v>
      </c>
      <c r="P84" s="71">
        <f t="shared" si="3"/>
        <v>0</v>
      </c>
    </row>
    <row r="85" spans="1:16">
      <c r="A85" s="69" t="s">
        <v>626</v>
      </c>
      <c r="B85" s="69" t="s">
        <v>1570</v>
      </c>
      <c r="C85" s="69" t="s">
        <v>1614</v>
      </c>
      <c r="D85" s="74" t="s">
        <v>1602</v>
      </c>
      <c r="E85" s="70">
        <f>SUMIFS('K Village'!$D:$D,'K Village'!$B:$B,$A85)</f>
        <v>2</v>
      </c>
      <c r="F85" s="75"/>
      <c r="G85" s="70">
        <f>SUMIFS('Central CL (Department)'!$BO:$BO,'Central CL (Department)'!$A:$A,$A85)</f>
        <v>0</v>
      </c>
      <c r="H85" s="75"/>
      <c r="I85" s="70">
        <f>SUMIFS('Siam Discovery'!$C:$C,'Siam Discovery'!$A:$A,$A85)</f>
        <v>0</v>
      </c>
      <c r="J85" s="75"/>
      <c r="K85" s="70">
        <f>SUMIFS('Paradise Park'!$C:$C,'Paradise Park'!$A:$A,$A85)</f>
        <v>2</v>
      </c>
      <c r="L85" s="75"/>
      <c r="M85" s="70">
        <f>SUMIFS('Central LP'!$D:$D,'Central LP'!$B:$B,$A85)</f>
        <v>1</v>
      </c>
      <c r="N85" s="75"/>
      <c r="O85" s="71">
        <f t="shared" si="2"/>
        <v>5</v>
      </c>
      <c r="P85" s="71">
        <f t="shared" si="3"/>
        <v>0</v>
      </c>
    </row>
    <row r="86" spans="1:16">
      <c r="A86" s="69" t="s">
        <v>1167</v>
      </c>
      <c r="B86" s="69" t="s">
        <v>1570</v>
      </c>
      <c r="C86" s="69" t="s">
        <v>1614</v>
      </c>
      <c r="D86" s="74" t="s">
        <v>1603</v>
      </c>
      <c r="E86" s="70">
        <f>SUMIFS('K Village'!$D:$D,'K Village'!$B:$B,$A86)</f>
        <v>2</v>
      </c>
      <c r="F86" s="75"/>
      <c r="G86" s="70">
        <f>SUMIFS('Central CL (Department)'!$BO:$BO,'Central CL (Department)'!$A:$A,$A86)</f>
        <v>0</v>
      </c>
      <c r="H86" s="75"/>
      <c r="I86" s="70">
        <f>SUMIFS('Siam Discovery'!$C:$C,'Siam Discovery'!$A:$A,$A86)</f>
        <v>0</v>
      </c>
      <c r="J86" s="75"/>
      <c r="K86" s="70">
        <f>SUMIFS('Paradise Park'!$C:$C,'Paradise Park'!$A:$A,$A86)</f>
        <v>2</v>
      </c>
      <c r="L86" s="75"/>
      <c r="M86" s="70">
        <f>SUMIFS('Central LP'!$D:$D,'Central LP'!$B:$B,$A86)</f>
        <v>1</v>
      </c>
      <c r="N86" s="75"/>
      <c r="O86" s="71">
        <f t="shared" si="2"/>
        <v>5</v>
      </c>
      <c r="P86" s="71">
        <f t="shared" si="3"/>
        <v>0</v>
      </c>
    </row>
    <row r="87" spans="1:16">
      <c r="A87" s="69" t="s">
        <v>216</v>
      </c>
      <c r="B87" s="69" t="s">
        <v>1571</v>
      </c>
      <c r="C87" s="69" t="s">
        <v>1615</v>
      </c>
      <c r="D87" s="74" t="s">
        <v>1606</v>
      </c>
      <c r="E87" s="70">
        <f>SUMIFS('K Village'!$D:$D,'K Village'!$B:$B,$A87)</f>
        <v>1</v>
      </c>
      <c r="F87" s="75"/>
      <c r="G87" s="70">
        <f>SUMIFS('Central CL (Department)'!$BO:$BO,'Central CL (Department)'!$A:$A,$A87)</f>
        <v>0</v>
      </c>
      <c r="H87" s="75"/>
      <c r="I87" s="70">
        <f>SUMIFS('Siam Discovery'!$C:$C,'Siam Discovery'!$A:$A,$A87)</f>
        <v>0</v>
      </c>
      <c r="J87" s="75"/>
      <c r="K87" s="70">
        <f>SUMIFS('Paradise Park'!$C:$C,'Paradise Park'!$A:$A,$A87)</f>
        <v>2</v>
      </c>
      <c r="L87" s="75"/>
      <c r="M87" s="70">
        <f>SUMIFS('Central LP'!$D:$D,'Central LP'!$B:$B,$A87)</f>
        <v>0</v>
      </c>
      <c r="N87" s="75"/>
      <c r="O87" s="71">
        <f t="shared" si="2"/>
        <v>3</v>
      </c>
      <c r="P87" s="71">
        <f t="shared" si="3"/>
        <v>0</v>
      </c>
    </row>
    <row r="88" spans="1:16">
      <c r="A88" s="69" t="s">
        <v>218</v>
      </c>
      <c r="B88" s="69" t="s">
        <v>1571</v>
      </c>
      <c r="C88" s="69" t="s">
        <v>1615</v>
      </c>
      <c r="D88" s="74" t="s">
        <v>1588</v>
      </c>
      <c r="E88" s="70">
        <f>SUMIFS('K Village'!$D:$D,'K Village'!$B:$B,$A88)</f>
        <v>1</v>
      </c>
      <c r="F88" s="75"/>
      <c r="G88" s="70">
        <f>SUMIFS('Central CL (Department)'!$BO:$BO,'Central CL (Department)'!$A:$A,$A88)</f>
        <v>1</v>
      </c>
      <c r="H88" s="75"/>
      <c r="I88" s="70">
        <f>SUMIFS('Siam Discovery'!$C:$C,'Siam Discovery'!$A:$A,$A88)</f>
        <v>2</v>
      </c>
      <c r="J88" s="75"/>
      <c r="K88" s="70">
        <f>SUMIFS('Paradise Park'!$C:$C,'Paradise Park'!$A:$A,$A88)</f>
        <v>2</v>
      </c>
      <c r="L88" s="75"/>
      <c r="M88" s="70">
        <f>SUMIFS('Central LP'!$D:$D,'Central LP'!$B:$B,$A88)</f>
        <v>1</v>
      </c>
      <c r="N88" s="75"/>
      <c r="O88" s="71">
        <f t="shared" si="2"/>
        <v>7</v>
      </c>
      <c r="P88" s="71">
        <f t="shared" si="3"/>
        <v>0</v>
      </c>
    </row>
    <row r="89" spans="1:16">
      <c r="A89" s="69" t="s">
        <v>220</v>
      </c>
      <c r="B89" s="69" t="s">
        <v>1571</v>
      </c>
      <c r="C89" s="69" t="s">
        <v>1615</v>
      </c>
      <c r="D89" s="74" t="s">
        <v>1589</v>
      </c>
      <c r="E89" s="70">
        <f>SUMIFS('K Village'!$D:$D,'K Village'!$B:$B,$A89)</f>
        <v>2</v>
      </c>
      <c r="F89" s="75"/>
      <c r="G89" s="70">
        <f>SUMIFS('Central CL (Department)'!$BO:$BO,'Central CL (Department)'!$A:$A,$A89)</f>
        <v>1</v>
      </c>
      <c r="H89" s="75"/>
      <c r="I89" s="70">
        <f>SUMIFS('Siam Discovery'!$C:$C,'Siam Discovery'!$A:$A,$A89)</f>
        <v>1</v>
      </c>
      <c r="J89" s="75"/>
      <c r="K89" s="70">
        <f>SUMIFS('Paradise Park'!$C:$C,'Paradise Park'!$A:$A,$A89)</f>
        <v>2</v>
      </c>
      <c r="L89" s="75"/>
      <c r="M89" s="70">
        <f>SUMIFS('Central LP'!$D:$D,'Central LP'!$B:$B,$A89)</f>
        <v>1</v>
      </c>
      <c r="N89" s="75"/>
      <c r="O89" s="71">
        <f t="shared" si="2"/>
        <v>7</v>
      </c>
      <c r="P89" s="71">
        <f t="shared" si="3"/>
        <v>0</v>
      </c>
    </row>
    <row r="90" spans="1:16">
      <c r="A90" s="69" t="s">
        <v>259</v>
      </c>
      <c r="B90" s="69" t="s">
        <v>1571</v>
      </c>
      <c r="C90" s="69" t="s">
        <v>1615</v>
      </c>
      <c r="D90" s="74" t="s">
        <v>1590</v>
      </c>
      <c r="E90" s="70">
        <f>SUMIFS('K Village'!$D:$D,'K Village'!$B:$B,$A90)</f>
        <v>2</v>
      </c>
      <c r="F90" s="75"/>
      <c r="G90" s="70">
        <f>SUMIFS('Central CL (Department)'!$BO:$BO,'Central CL (Department)'!$A:$A,$A90)</f>
        <v>1</v>
      </c>
      <c r="H90" s="75"/>
      <c r="I90" s="70">
        <f>SUMIFS('Siam Discovery'!$C:$C,'Siam Discovery'!$A:$A,$A90)</f>
        <v>0</v>
      </c>
      <c r="J90" s="75"/>
      <c r="K90" s="70">
        <f>SUMIFS('Paradise Park'!$C:$C,'Paradise Park'!$A:$A,$A90)</f>
        <v>4</v>
      </c>
      <c r="L90" s="75"/>
      <c r="M90" s="70">
        <f>SUMIFS('Central LP'!$D:$D,'Central LP'!$B:$B,$A90)</f>
        <v>1</v>
      </c>
      <c r="N90" s="75"/>
      <c r="O90" s="71">
        <f t="shared" si="2"/>
        <v>8</v>
      </c>
      <c r="P90" s="71">
        <f t="shared" si="3"/>
        <v>0</v>
      </c>
    </row>
    <row r="91" spans="1:16">
      <c r="A91" s="69" t="s">
        <v>222</v>
      </c>
      <c r="B91" s="69" t="s">
        <v>1571</v>
      </c>
      <c r="C91" s="69" t="s">
        <v>1615</v>
      </c>
      <c r="D91" s="74" t="s">
        <v>1591</v>
      </c>
      <c r="E91" s="70">
        <f>SUMIFS('K Village'!$D:$D,'K Village'!$B:$B,$A91)</f>
        <v>2</v>
      </c>
      <c r="F91" s="75"/>
      <c r="G91" s="70">
        <f>SUMIFS('Central CL (Department)'!$BO:$BO,'Central CL (Department)'!$A:$A,$A91)</f>
        <v>1</v>
      </c>
      <c r="H91" s="75"/>
      <c r="I91" s="70">
        <f>SUMIFS('Siam Discovery'!$C:$C,'Siam Discovery'!$A:$A,$A91)</f>
        <v>1</v>
      </c>
      <c r="J91" s="75"/>
      <c r="K91" s="70">
        <f>SUMIFS('Paradise Park'!$C:$C,'Paradise Park'!$A:$A,$A91)</f>
        <v>4</v>
      </c>
      <c r="L91" s="75"/>
      <c r="M91" s="70">
        <f>SUMIFS('Central LP'!$D:$D,'Central LP'!$B:$B,$A91)</f>
        <v>1</v>
      </c>
      <c r="N91" s="75"/>
      <c r="O91" s="71">
        <f t="shared" si="2"/>
        <v>9</v>
      </c>
      <c r="P91" s="71">
        <f t="shared" si="3"/>
        <v>0</v>
      </c>
    </row>
    <row r="92" spans="1:16">
      <c r="A92" s="69" t="s">
        <v>261</v>
      </c>
      <c r="B92" s="69" t="s">
        <v>1571</v>
      </c>
      <c r="C92" s="69" t="s">
        <v>1615</v>
      </c>
      <c r="D92" s="74" t="s">
        <v>1592</v>
      </c>
      <c r="E92" s="70">
        <f>SUMIFS('K Village'!$D:$D,'K Village'!$B:$B,$A92)</f>
        <v>1</v>
      </c>
      <c r="F92" s="75"/>
      <c r="G92" s="70">
        <f>SUMIFS('Central CL (Department)'!$BO:$BO,'Central CL (Department)'!$A:$A,$A92)</f>
        <v>1</v>
      </c>
      <c r="H92" s="75"/>
      <c r="I92" s="70">
        <f>SUMIFS('Siam Discovery'!$C:$C,'Siam Discovery'!$A:$A,$A92)</f>
        <v>2</v>
      </c>
      <c r="J92" s="75"/>
      <c r="K92" s="70">
        <f>SUMIFS('Paradise Park'!$C:$C,'Paradise Park'!$A:$A,$A92)</f>
        <v>4</v>
      </c>
      <c r="L92" s="75"/>
      <c r="M92" s="70">
        <f>SUMIFS('Central LP'!$D:$D,'Central LP'!$B:$B,$A92)</f>
        <v>2</v>
      </c>
      <c r="N92" s="75"/>
      <c r="O92" s="71">
        <f t="shared" si="2"/>
        <v>10</v>
      </c>
      <c r="P92" s="71">
        <f t="shared" si="3"/>
        <v>0</v>
      </c>
    </row>
    <row r="93" spans="1:16">
      <c r="A93" s="69" t="s">
        <v>263</v>
      </c>
      <c r="B93" s="69" t="s">
        <v>1571</v>
      </c>
      <c r="C93" s="69" t="s">
        <v>1615</v>
      </c>
      <c r="D93" s="74" t="s">
        <v>1593</v>
      </c>
      <c r="E93" s="70">
        <f>SUMIFS('K Village'!$D:$D,'K Village'!$B:$B,$A93)</f>
        <v>2</v>
      </c>
      <c r="F93" s="75"/>
      <c r="G93" s="70">
        <f>SUMIFS('Central CL (Department)'!$BO:$BO,'Central CL (Department)'!$A:$A,$A93)</f>
        <v>0</v>
      </c>
      <c r="H93" s="75"/>
      <c r="I93" s="70">
        <f>SUMIFS('Siam Discovery'!$C:$C,'Siam Discovery'!$A:$A,$A93)</f>
        <v>1</v>
      </c>
      <c r="J93" s="75"/>
      <c r="K93" s="70">
        <f>SUMIFS('Paradise Park'!$C:$C,'Paradise Park'!$A:$A,$A93)</f>
        <v>2</v>
      </c>
      <c r="L93" s="75"/>
      <c r="M93" s="70">
        <f>SUMIFS('Central LP'!$D:$D,'Central LP'!$B:$B,$A93)</f>
        <v>0</v>
      </c>
      <c r="N93" s="75"/>
      <c r="O93" s="71">
        <f t="shared" si="2"/>
        <v>5</v>
      </c>
      <c r="P93" s="71">
        <f t="shared" si="3"/>
        <v>0</v>
      </c>
    </row>
    <row r="94" spans="1:16">
      <c r="A94" s="69" t="s">
        <v>265</v>
      </c>
      <c r="B94" s="69" t="s">
        <v>1571</v>
      </c>
      <c r="C94" s="69" t="s">
        <v>1615</v>
      </c>
      <c r="D94" s="74" t="s">
        <v>1594</v>
      </c>
      <c r="E94" s="70">
        <f>SUMIFS('K Village'!$D:$D,'K Village'!$B:$B,$A94)</f>
        <v>1</v>
      </c>
      <c r="F94" s="75"/>
      <c r="G94" s="70">
        <f>SUMIFS('Central CL (Department)'!$BO:$BO,'Central CL (Department)'!$A:$A,$A94)</f>
        <v>0</v>
      </c>
      <c r="H94" s="75"/>
      <c r="I94" s="70">
        <f>SUMIFS('Siam Discovery'!$C:$C,'Siam Discovery'!$A:$A,$A94)</f>
        <v>0</v>
      </c>
      <c r="J94" s="75"/>
      <c r="K94" s="70">
        <f>SUMIFS('Paradise Park'!$C:$C,'Paradise Park'!$A:$A,$A94)</f>
        <v>2</v>
      </c>
      <c r="L94" s="75"/>
      <c r="M94" s="70">
        <f>SUMIFS('Central LP'!$D:$D,'Central LP'!$B:$B,$A94)</f>
        <v>0</v>
      </c>
      <c r="N94" s="75"/>
      <c r="O94" s="71">
        <f t="shared" si="2"/>
        <v>3</v>
      </c>
      <c r="P94" s="71">
        <f t="shared" si="3"/>
        <v>0</v>
      </c>
    </row>
    <row r="95" spans="1:16">
      <c r="A95" s="69" t="s">
        <v>224</v>
      </c>
      <c r="B95" s="69" t="s">
        <v>1571</v>
      </c>
      <c r="C95" s="69" t="s">
        <v>1615</v>
      </c>
      <c r="D95" s="74" t="s">
        <v>1595</v>
      </c>
      <c r="E95" s="70">
        <f>SUMIFS('K Village'!$D:$D,'K Village'!$B:$B,$A95)</f>
        <v>1</v>
      </c>
      <c r="F95" s="75"/>
      <c r="G95" s="70">
        <f>SUMIFS('Central CL (Department)'!$BO:$BO,'Central CL (Department)'!$A:$A,$A95)</f>
        <v>0</v>
      </c>
      <c r="H95" s="75"/>
      <c r="I95" s="70">
        <f>SUMIFS('Siam Discovery'!$C:$C,'Siam Discovery'!$A:$A,$A95)</f>
        <v>0</v>
      </c>
      <c r="J95" s="75"/>
      <c r="K95" s="70">
        <f>SUMIFS('Paradise Park'!$C:$C,'Paradise Park'!$A:$A,$A95)</f>
        <v>2</v>
      </c>
      <c r="L95" s="75"/>
      <c r="M95" s="70">
        <f>SUMIFS('Central LP'!$D:$D,'Central LP'!$B:$B,$A95)</f>
        <v>0</v>
      </c>
      <c r="N95" s="75"/>
      <c r="O95" s="71">
        <f t="shared" si="2"/>
        <v>3</v>
      </c>
      <c r="P95" s="71">
        <f t="shared" si="3"/>
        <v>0</v>
      </c>
    </row>
    <row r="96" spans="1:16">
      <c r="A96" s="69" t="s">
        <v>1165</v>
      </c>
      <c r="B96" s="69" t="s">
        <v>1571</v>
      </c>
      <c r="C96" s="69" t="s">
        <v>1615</v>
      </c>
      <c r="D96" s="74" t="s">
        <v>1598</v>
      </c>
      <c r="E96" s="70">
        <f>SUMIFS('K Village'!$D:$D,'K Village'!$B:$B,$A96)</f>
        <v>2</v>
      </c>
      <c r="F96" s="75"/>
      <c r="G96" s="70">
        <f>SUMIFS('Central CL (Department)'!$BO:$BO,'Central CL (Department)'!$A:$A,$A96)</f>
        <v>1</v>
      </c>
      <c r="H96" s="75"/>
      <c r="I96" s="70">
        <f>SUMIFS('Siam Discovery'!$C:$C,'Siam Discovery'!$A:$A,$A96)</f>
        <v>0</v>
      </c>
      <c r="J96" s="75"/>
      <c r="K96" s="70">
        <f>SUMIFS('Paradise Park'!$C:$C,'Paradise Park'!$A:$A,$A96)</f>
        <v>1</v>
      </c>
      <c r="L96" s="75"/>
      <c r="M96" s="70">
        <f>SUMIFS('Central LP'!$D:$D,'Central LP'!$B:$B,$A96)</f>
        <v>1</v>
      </c>
      <c r="N96" s="75"/>
      <c r="O96" s="71">
        <f t="shared" si="2"/>
        <v>5</v>
      </c>
      <c r="P96" s="71">
        <f t="shared" si="3"/>
        <v>0</v>
      </c>
    </row>
    <row r="97" spans="1:16">
      <c r="A97" s="69" t="s">
        <v>413</v>
      </c>
      <c r="B97" s="69" t="s">
        <v>1571</v>
      </c>
      <c r="C97" s="69" t="s">
        <v>1615</v>
      </c>
      <c r="D97" s="74" t="s">
        <v>1599</v>
      </c>
      <c r="E97" s="70">
        <f>SUMIFS('K Village'!$D:$D,'K Village'!$B:$B,$A97)</f>
        <v>2</v>
      </c>
      <c r="F97" s="75"/>
      <c r="G97" s="70">
        <f>SUMIFS('Central CL (Department)'!$BO:$BO,'Central CL (Department)'!$A:$A,$A97)</f>
        <v>1</v>
      </c>
      <c r="H97" s="75"/>
      <c r="I97" s="70">
        <f>SUMIFS('Siam Discovery'!$C:$C,'Siam Discovery'!$A:$A,$A97)</f>
        <v>3</v>
      </c>
      <c r="J97" s="75"/>
      <c r="K97" s="70">
        <f>SUMIFS('Paradise Park'!$C:$C,'Paradise Park'!$A:$A,$A97)</f>
        <v>1</v>
      </c>
      <c r="L97" s="75"/>
      <c r="M97" s="70">
        <f>SUMIFS('Central LP'!$D:$D,'Central LP'!$B:$B,$A97)</f>
        <v>1</v>
      </c>
      <c r="N97" s="75"/>
      <c r="O97" s="71">
        <f t="shared" si="2"/>
        <v>8</v>
      </c>
      <c r="P97" s="71">
        <f t="shared" si="3"/>
        <v>0</v>
      </c>
    </row>
    <row r="98" spans="1:16">
      <c r="A98" s="69" t="s">
        <v>415</v>
      </c>
      <c r="B98" s="69" t="s">
        <v>1571</v>
      </c>
      <c r="C98" s="69" t="s">
        <v>1615</v>
      </c>
      <c r="D98" s="74" t="s">
        <v>1600</v>
      </c>
      <c r="E98" s="70">
        <f>SUMIFS('K Village'!$D:$D,'K Village'!$B:$B,$A98)</f>
        <v>2</v>
      </c>
      <c r="F98" s="75"/>
      <c r="G98" s="70">
        <f>SUMIFS('Central CL (Department)'!$BO:$BO,'Central CL (Department)'!$A:$A,$A98)</f>
        <v>1</v>
      </c>
      <c r="H98" s="75"/>
      <c r="I98" s="70">
        <f>SUMIFS('Siam Discovery'!$C:$C,'Siam Discovery'!$A:$A,$A98)</f>
        <v>1</v>
      </c>
      <c r="J98" s="75"/>
      <c r="K98" s="70">
        <f>SUMIFS('Paradise Park'!$C:$C,'Paradise Park'!$A:$A,$A98)</f>
        <v>1</v>
      </c>
      <c r="L98" s="75"/>
      <c r="M98" s="70">
        <f>SUMIFS('Central LP'!$D:$D,'Central LP'!$B:$B,$A98)</f>
        <v>2</v>
      </c>
      <c r="N98" s="75"/>
      <c r="O98" s="71">
        <f t="shared" si="2"/>
        <v>7</v>
      </c>
      <c r="P98" s="71">
        <f t="shared" si="3"/>
        <v>0</v>
      </c>
    </row>
    <row r="99" spans="1:16">
      <c r="A99" s="69" t="s">
        <v>417</v>
      </c>
      <c r="B99" s="69" t="s">
        <v>1571</v>
      </c>
      <c r="C99" s="69" t="s">
        <v>1615</v>
      </c>
      <c r="D99" s="74" t="s">
        <v>1601</v>
      </c>
      <c r="E99" s="70">
        <f>SUMIFS('K Village'!$D:$D,'K Village'!$B:$B,$A99)</f>
        <v>2</v>
      </c>
      <c r="F99" s="75"/>
      <c r="G99" s="70">
        <f>SUMIFS('Central CL (Department)'!$BO:$BO,'Central CL (Department)'!$A:$A,$A99)</f>
        <v>1</v>
      </c>
      <c r="H99" s="75"/>
      <c r="I99" s="70">
        <f>SUMIFS('Siam Discovery'!$C:$C,'Siam Discovery'!$A:$A,$A99)</f>
        <v>3</v>
      </c>
      <c r="J99" s="75"/>
      <c r="K99" s="70">
        <f>SUMIFS('Paradise Park'!$C:$C,'Paradise Park'!$A:$A,$A99)</f>
        <v>2</v>
      </c>
      <c r="L99" s="75"/>
      <c r="M99" s="70">
        <f>SUMIFS('Central LP'!$D:$D,'Central LP'!$B:$B,$A99)</f>
        <v>1</v>
      </c>
      <c r="N99" s="75"/>
      <c r="O99" s="71">
        <f t="shared" si="2"/>
        <v>9</v>
      </c>
      <c r="P99" s="71">
        <f t="shared" si="3"/>
        <v>0</v>
      </c>
    </row>
    <row r="100" spans="1:16">
      <c r="A100" s="69" t="s">
        <v>419</v>
      </c>
      <c r="B100" s="69" t="s">
        <v>1571</v>
      </c>
      <c r="C100" s="69" t="s">
        <v>1615</v>
      </c>
      <c r="D100" s="74" t="s">
        <v>1602</v>
      </c>
      <c r="E100" s="70">
        <f>SUMIFS('K Village'!$D:$D,'K Village'!$B:$B,$A100)</f>
        <v>1</v>
      </c>
      <c r="F100" s="75"/>
      <c r="G100" s="70">
        <f>SUMIFS('Central CL (Department)'!$BO:$BO,'Central CL (Department)'!$A:$A,$A100)</f>
        <v>1</v>
      </c>
      <c r="H100" s="75"/>
      <c r="I100" s="70">
        <f>SUMIFS('Siam Discovery'!$C:$C,'Siam Discovery'!$A:$A,$A100)</f>
        <v>0</v>
      </c>
      <c r="J100" s="75"/>
      <c r="K100" s="70">
        <f>SUMIFS('Paradise Park'!$C:$C,'Paradise Park'!$A:$A,$A100)</f>
        <v>2</v>
      </c>
      <c r="L100" s="75"/>
      <c r="M100" s="70">
        <f>SUMIFS('Central LP'!$D:$D,'Central LP'!$B:$B,$A100)</f>
        <v>1</v>
      </c>
      <c r="N100" s="75"/>
      <c r="O100" s="71">
        <f t="shared" si="2"/>
        <v>5</v>
      </c>
      <c r="P100" s="71">
        <f t="shared" si="3"/>
        <v>0</v>
      </c>
    </row>
    <row r="101" spans="1:16">
      <c r="A101" s="69" t="s">
        <v>1036</v>
      </c>
      <c r="B101" s="69" t="s">
        <v>1571</v>
      </c>
      <c r="C101" s="69" t="s">
        <v>1615</v>
      </c>
      <c r="D101" s="74" t="s">
        <v>1603</v>
      </c>
      <c r="E101" s="70">
        <f>SUMIFS('K Village'!$D:$D,'K Village'!$B:$B,$A101)</f>
        <v>2</v>
      </c>
      <c r="F101" s="75"/>
      <c r="G101" s="70">
        <f>SUMIFS('Central CL (Department)'!$BO:$BO,'Central CL (Department)'!$A:$A,$A101)</f>
        <v>0</v>
      </c>
      <c r="H101" s="75"/>
      <c r="I101" s="70">
        <f>SUMIFS('Siam Discovery'!$C:$C,'Siam Discovery'!$A:$A,$A101)</f>
        <v>3</v>
      </c>
      <c r="J101" s="75"/>
      <c r="K101" s="70">
        <f>SUMIFS('Paradise Park'!$C:$C,'Paradise Park'!$A:$A,$A101)</f>
        <v>2</v>
      </c>
      <c r="L101" s="75"/>
      <c r="M101" s="70">
        <f>SUMIFS('Central LP'!$D:$D,'Central LP'!$B:$B,$A101)</f>
        <v>1</v>
      </c>
      <c r="N101" s="75"/>
      <c r="O101" s="71">
        <f t="shared" si="2"/>
        <v>8</v>
      </c>
      <c r="P101" s="71">
        <f t="shared" si="3"/>
        <v>0</v>
      </c>
    </row>
    <row r="102" spans="1:16">
      <c r="A102" s="69" t="s">
        <v>1163</v>
      </c>
      <c r="B102" s="69" t="s">
        <v>1571</v>
      </c>
      <c r="C102" s="69" t="s">
        <v>1615</v>
      </c>
      <c r="D102" s="74" t="s">
        <v>1616</v>
      </c>
      <c r="E102" s="70">
        <f>SUMIFS('K Village'!$D:$D,'K Village'!$B:$B,$A102)</f>
        <v>1</v>
      </c>
      <c r="F102" s="75"/>
      <c r="G102" s="70">
        <f>SUMIFS('Central CL (Department)'!$BO:$BO,'Central CL (Department)'!$A:$A,$A102)</f>
        <v>0</v>
      </c>
      <c r="H102" s="75"/>
      <c r="I102" s="70">
        <f>SUMIFS('Siam Discovery'!$C:$C,'Siam Discovery'!$A:$A,$A102)</f>
        <v>0</v>
      </c>
      <c r="J102" s="75"/>
      <c r="K102" s="70">
        <f>SUMIFS('Paradise Park'!$C:$C,'Paradise Park'!$A:$A,$A102)</f>
        <v>1</v>
      </c>
      <c r="L102" s="75"/>
      <c r="M102" s="70">
        <f>SUMIFS('Central LP'!$D:$D,'Central LP'!$B:$B,$A102)</f>
        <v>0</v>
      </c>
      <c r="N102" s="75"/>
      <c r="O102" s="71">
        <f t="shared" si="2"/>
        <v>2</v>
      </c>
      <c r="P102" s="71">
        <f t="shared" si="3"/>
        <v>0</v>
      </c>
    </row>
    <row r="103" spans="1:16">
      <c r="A103" s="69" t="s">
        <v>226</v>
      </c>
      <c r="B103" s="69" t="s">
        <v>1571</v>
      </c>
      <c r="C103" s="69" t="s">
        <v>1617</v>
      </c>
      <c r="D103" s="74" t="s">
        <v>1599</v>
      </c>
      <c r="E103" s="70">
        <f>SUMIFS('K Village'!$D:$D,'K Village'!$B:$B,$A103)</f>
        <v>0</v>
      </c>
      <c r="F103" s="75"/>
      <c r="G103" s="70">
        <f>SUMIFS('Central CL (Department)'!$BO:$BO,'Central CL (Department)'!$A:$A,$A103)</f>
        <v>0</v>
      </c>
      <c r="H103" s="75"/>
      <c r="I103" s="70">
        <f>SUMIFS('Siam Discovery'!$C:$C,'Siam Discovery'!$A:$A,$A103)</f>
        <v>0</v>
      </c>
      <c r="J103" s="75"/>
      <c r="K103" s="70">
        <f>SUMIFS('Paradise Park'!$C:$C,'Paradise Park'!$A:$A,$A103)</f>
        <v>0</v>
      </c>
      <c r="L103" s="75"/>
      <c r="M103" s="70">
        <f>SUMIFS('Central LP'!$D:$D,'Central LP'!$B:$B,$A103)</f>
        <v>0</v>
      </c>
      <c r="N103" s="75"/>
      <c r="O103" s="71">
        <f t="shared" si="2"/>
        <v>0</v>
      </c>
      <c r="P103" s="71">
        <f t="shared" si="3"/>
        <v>0</v>
      </c>
    </row>
    <row r="104" spans="1:16">
      <c r="A104" s="69" t="s">
        <v>228</v>
      </c>
      <c r="B104" s="69" t="s">
        <v>1571</v>
      </c>
      <c r="C104" s="69" t="s">
        <v>1617</v>
      </c>
      <c r="D104" s="74" t="s">
        <v>1600</v>
      </c>
      <c r="E104" s="70">
        <f>SUMIFS('K Village'!$D:$D,'K Village'!$B:$B,$A104)</f>
        <v>0</v>
      </c>
      <c r="F104" s="75"/>
      <c r="G104" s="70">
        <f>SUMIFS('Central CL (Department)'!$BO:$BO,'Central CL (Department)'!$A:$A,$A104)</f>
        <v>0</v>
      </c>
      <c r="H104" s="75"/>
      <c r="I104" s="70">
        <f>SUMIFS('Siam Discovery'!$C:$C,'Siam Discovery'!$A:$A,$A104)</f>
        <v>0</v>
      </c>
      <c r="J104" s="75"/>
      <c r="K104" s="70">
        <f>SUMIFS('Paradise Park'!$C:$C,'Paradise Park'!$A:$A,$A104)</f>
        <v>0</v>
      </c>
      <c r="L104" s="75"/>
      <c r="M104" s="70">
        <f>SUMIFS('Central LP'!$D:$D,'Central LP'!$B:$B,$A104)</f>
        <v>0</v>
      </c>
      <c r="N104" s="75"/>
      <c r="O104" s="71">
        <f t="shared" si="2"/>
        <v>0</v>
      </c>
      <c r="P104" s="71">
        <f t="shared" si="3"/>
        <v>0</v>
      </c>
    </row>
    <row r="105" spans="1:16">
      <c r="A105" s="69" t="s">
        <v>230</v>
      </c>
      <c r="B105" s="69" t="s">
        <v>1571</v>
      </c>
      <c r="C105" s="69" t="s">
        <v>1617</v>
      </c>
      <c r="D105" s="74" t="s">
        <v>1601</v>
      </c>
      <c r="E105" s="70">
        <f>SUMIFS('K Village'!$D:$D,'K Village'!$B:$B,$A105)</f>
        <v>0</v>
      </c>
      <c r="F105" s="75"/>
      <c r="G105" s="70">
        <f>SUMIFS('Central CL (Department)'!$BO:$BO,'Central CL (Department)'!$A:$A,$A105)</f>
        <v>0</v>
      </c>
      <c r="H105" s="75"/>
      <c r="I105" s="70">
        <f>SUMIFS('Siam Discovery'!$C:$C,'Siam Discovery'!$A:$A,$A105)</f>
        <v>0</v>
      </c>
      <c r="J105" s="75"/>
      <c r="K105" s="70">
        <f>SUMIFS('Paradise Park'!$C:$C,'Paradise Park'!$A:$A,$A105)</f>
        <v>0</v>
      </c>
      <c r="L105" s="75"/>
      <c r="M105" s="70">
        <f>SUMIFS('Central LP'!$D:$D,'Central LP'!$B:$B,$A105)</f>
        <v>0</v>
      </c>
      <c r="N105" s="75"/>
      <c r="O105" s="71">
        <f t="shared" si="2"/>
        <v>0</v>
      </c>
      <c r="P105" s="71">
        <f t="shared" si="3"/>
        <v>0</v>
      </c>
    </row>
    <row r="106" spans="1:16">
      <c r="A106" s="69" t="s">
        <v>267</v>
      </c>
      <c r="B106" s="69" t="s">
        <v>1571</v>
      </c>
      <c r="C106" s="69" t="s">
        <v>1618</v>
      </c>
      <c r="D106" s="74" t="s">
        <v>1589</v>
      </c>
      <c r="E106" s="70">
        <f>SUMIFS('K Village'!$D:$D,'K Village'!$B:$B,$A106)</f>
        <v>0</v>
      </c>
      <c r="F106" s="75"/>
      <c r="G106" s="70">
        <f>SUMIFS('Central CL (Department)'!$BO:$BO,'Central CL (Department)'!$A:$A,$A106)</f>
        <v>0</v>
      </c>
      <c r="H106" s="75"/>
      <c r="I106" s="70">
        <f>SUMIFS('Siam Discovery'!$C:$C,'Siam Discovery'!$A:$A,$A106)</f>
        <v>0</v>
      </c>
      <c r="J106" s="75"/>
      <c r="K106" s="70">
        <f>SUMIFS('Paradise Park'!$C:$C,'Paradise Park'!$A:$A,$A106)</f>
        <v>0</v>
      </c>
      <c r="L106" s="75"/>
      <c r="M106" s="70">
        <f>SUMIFS('Central LP'!$D:$D,'Central LP'!$B:$B,$A106)</f>
        <v>0</v>
      </c>
      <c r="N106" s="75"/>
      <c r="O106" s="71">
        <f t="shared" si="2"/>
        <v>0</v>
      </c>
      <c r="P106" s="71">
        <f t="shared" si="3"/>
        <v>0</v>
      </c>
    </row>
    <row r="107" spans="1:16">
      <c r="A107" s="69" t="s">
        <v>269</v>
      </c>
      <c r="B107" s="69" t="s">
        <v>1571</v>
      </c>
      <c r="C107" s="69" t="s">
        <v>1618</v>
      </c>
      <c r="D107" s="74" t="s">
        <v>1590</v>
      </c>
      <c r="E107" s="70">
        <f>SUMIFS('K Village'!$D:$D,'K Village'!$B:$B,$A107)</f>
        <v>0</v>
      </c>
      <c r="F107" s="75"/>
      <c r="G107" s="70">
        <f>SUMIFS('Central CL (Department)'!$BO:$BO,'Central CL (Department)'!$A:$A,$A107)</f>
        <v>0</v>
      </c>
      <c r="H107" s="75"/>
      <c r="I107" s="70">
        <f>SUMIFS('Siam Discovery'!$C:$C,'Siam Discovery'!$A:$A,$A107)</f>
        <v>0</v>
      </c>
      <c r="J107" s="75"/>
      <c r="K107" s="70">
        <f>SUMIFS('Paradise Park'!$C:$C,'Paradise Park'!$A:$A,$A107)</f>
        <v>0</v>
      </c>
      <c r="L107" s="75"/>
      <c r="M107" s="70">
        <f>SUMIFS('Central LP'!$D:$D,'Central LP'!$B:$B,$A107)</f>
        <v>2</v>
      </c>
      <c r="N107" s="75"/>
      <c r="O107" s="71">
        <f t="shared" si="2"/>
        <v>2</v>
      </c>
      <c r="P107" s="71">
        <f t="shared" si="3"/>
        <v>0</v>
      </c>
    </row>
    <row r="108" spans="1:16">
      <c r="A108" s="69" t="s">
        <v>272</v>
      </c>
      <c r="B108" s="69" t="s">
        <v>1571</v>
      </c>
      <c r="C108" s="69" t="s">
        <v>1618</v>
      </c>
      <c r="D108" s="74" t="s">
        <v>1591</v>
      </c>
      <c r="E108" s="70">
        <f>SUMIFS('K Village'!$D:$D,'K Village'!$B:$B,$A108)</f>
        <v>0</v>
      </c>
      <c r="F108" s="75"/>
      <c r="G108" s="70">
        <f>SUMIFS('Central CL (Department)'!$BO:$BO,'Central CL (Department)'!$A:$A,$A108)</f>
        <v>0</v>
      </c>
      <c r="H108" s="75"/>
      <c r="I108" s="70">
        <f>SUMIFS('Siam Discovery'!$C:$C,'Siam Discovery'!$A:$A,$A108)</f>
        <v>0</v>
      </c>
      <c r="J108" s="75"/>
      <c r="K108" s="70">
        <f>SUMIFS('Paradise Park'!$C:$C,'Paradise Park'!$A:$A,$A108)</f>
        <v>0</v>
      </c>
      <c r="L108" s="75"/>
      <c r="M108" s="70">
        <f>SUMIFS('Central LP'!$D:$D,'Central LP'!$B:$B,$A108)</f>
        <v>1</v>
      </c>
      <c r="N108" s="75"/>
      <c r="O108" s="71">
        <f t="shared" si="2"/>
        <v>1</v>
      </c>
      <c r="P108" s="71">
        <f t="shared" si="3"/>
        <v>0</v>
      </c>
    </row>
    <row r="109" spans="1:16">
      <c r="A109" s="69" t="s">
        <v>274</v>
      </c>
      <c r="B109" s="69" t="s">
        <v>1571</v>
      </c>
      <c r="C109" s="69" t="s">
        <v>1618</v>
      </c>
      <c r="D109" s="74" t="s">
        <v>1592</v>
      </c>
      <c r="E109" s="70">
        <f>SUMIFS('K Village'!$D:$D,'K Village'!$B:$B,$A109)</f>
        <v>0</v>
      </c>
      <c r="F109" s="75"/>
      <c r="G109" s="70">
        <f>SUMIFS('Central CL (Department)'!$BO:$BO,'Central CL (Department)'!$A:$A,$A109)</f>
        <v>0</v>
      </c>
      <c r="H109" s="75"/>
      <c r="I109" s="70">
        <f>SUMIFS('Siam Discovery'!$C:$C,'Siam Discovery'!$A:$A,$A109)</f>
        <v>0</v>
      </c>
      <c r="J109" s="75"/>
      <c r="K109" s="70">
        <f>SUMIFS('Paradise Park'!$C:$C,'Paradise Park'!$A:$A,$A109)</f>
        <v>0</v>
      </c>
      <c r="L109" s="75"/>
      <c r="M109" s="70">
        <f>SUMIFS('Central LP'!$D:$D,'Central LP'!$B:$B,$A109)</f>
        <v>0</v>
      </c>
      <c r="N109" s="75"/>
      <c r="O109" s="71">
        <f t="shared" si="2"/>
        <v>0</v>
      </c>
      <c r="P109" s="71">
        <f t="shared" si="3"/>
        <v>0</v>
      </c>
    </row>
    <row r="110" spans="1:16">
      <c r="A110" s="69" t="s">
        <v>276</v>
      </c>
      <c r="B110" s="69" t="s">
        <v>1571</v>
      </c>
      <c r="C110" s="69" t="s">
        <v>1618</v>
      </c>
      <c r="D110" s="74" t="s">
        <v>1593</v>
      </c>
      <c r="E110" s="70">
        <f>SUMIFS('K Village'!$D:$D,'K Village'!$B:$B,$A110)</f>
        <v>0</v>
      </c>
      <c r="F110" s="75"/>
      <c r="G110" s="70">
        <f>SUMIFS('Central CL (Department)'!$BO:$BO,'Central CL (Department)'!$A:$A,$A110)</f>
        <v>0</v>
      </c>
      <c r="H110" s="75"/>
      <c r="I110" s="70">
        <f>SUMIFS('Siam Discovery'!$C:$C,'Siam Discovery'!$A:$A,$A110)</f>
        <v>0</v>
      </c>
      <c r="J110" s="75"/>
      <c r="K110" s="70">
        <f>SUMIFS('Paradise Park'!$C:$C,'Paradise Park'!$A:$A,$A110)</f>
        <v>0</v>
      </c>
      <c r="L110" s="75"/>
      <c r="M110" s="70">
        <f>SUMIFS('Central LP'!$D:$D,'Central LP'!$B:$B,$A110)</f>
        <v>1</v>
      </c>
      <c r="N110" s="75"/>
      <c r="O110" s="71">
        <f t="shared" si="2"/>
        <v>1</v>
      </c>
      <c r="P110" s="71">
        <f t="shared" si="3"/>
        <v>0</v>
      </c>
    </row>
    <row r="111" spans="1:16">
      <c r="A111" s="69" t="s">
        <v>1549</v>
      </c>
      <c r="B111" s="69" t="s">
        <v>1571</v>
      </c>
      <c r="C111" s="69" t="s">
        <v>1618</v>
      </c>
      <c r="D111" s="74" t="s">
        <v>1594</v>
      </c>
      <c r="E111" s="70">
        <f>SUMIFS('K Village'!$D:$D,'K Village'!$B:$B,$A111)</f>
        <v>0</v>
      </c>
      <c r="F111" s="75"/>
      <c r="G111" s="70">
        <f>SUMIFS('Central CL (Department)'!$BO:$BO,'Central CL (Department)'!$A:$A,$A111)</f>
        <v>0</v>
      </c>
      <c r="H111" s="75"/>
      <c r="I111" s="70">
        <f>SUMIFS('Siam Discovery'!$C:$C,'Siam Discovery'!$A:$A,$A111)</f>
        <v>0</v>
      </c>
      <c r="J111" s="75"/>
      <c r="K111" s="70">
        <f>SUMIFS('Paradise Park'!$C:$C,'Paradise Park'!$A:$A,$A111)</f>
        <v>0</v>
      </c>
      <c r="L111" s="75"/>
      <c r="M111" s="70">
        <f>SUMIFS('Central LP'!$D:$D,'Central LP'!$B:$B,$A111)</f>
        <v>1</v>
      </c>
      <c r="N111" s="75"/>
      <c r="O111" s="71">
        <f t="shared" si="2"/>
        <v>1</v>
      </c>
      <c r="P111" s="71">
        <f t="shared" si="3"/>
        <v>0</v>
      </c>
    </row>
    <row r="112" spans="1:16">
      <c r="A112" s="69" t="s">
        <v>1161</v>
      </c>
      <c r="B112" s="69" t="s">
        <v>1572</v>
      </c>
      <c r="C112" s="69" t="s">
        <v>1619</v>
      </c>
      <c r="D112" s="74" t="s">
        <v>1620</v>
      </c>
      <c r="E112" s="70">
        <f>SUMIFS('K Village'!$D:$D,'K Village'!$B:$B,$A112)</f>
        <v>1</v>
      </c>
      <c r="F112" s="75"/>
      <c r="G112" s="70">
        <f>SUMIFS('Central CL (Department)'!$BO:$BO,'Central CL (Department)'!$A:$A,$A112)</f>
        <v>0</v>
      </c>
      <c r="H112" s="75"/>
      <c r="I112" s="70">
        <f>SUMIFS('Siam Discovery'!$C:$C,'Siam Discovery'!$A:$A,$A112)</f>
        <v>0</v>
      </c>
      <c r="J112" s="75"/>
      <c r="K112" s="70">
        <f>SUMIFS('Paradise Park'!$C:$C,'Paradise Park'!$A:$A,$A112)</f>
        <v>1</v>
      </c>
      <c r="L112" s="75"/>
      <c r="M112" s="70">
        <f>SUMIFS('Central LP'!$D:$D,'Central LP'!$B:$B,$A112)</f>
        <v>1</v>
      </c>
      <c r="N112" s="75"/>
      <c r="O112" s="71">
        <f t="shared" si="2"/>
        <v>3</v>
      </c>
      <c r="P112" s="71">
        <f t="shared" si="3"/>
        <v>0</v>
      </c>
    </row>
    <row r="113" spans="1:16">
      <c r="A113" s="69" t="s">
        <v>421</v>
      </c>
      <c r="B113" s="69" t="s">
        <v>1572</v>
      </c>
      <c r="C113" s="69" t="s">
        <v>1619</v>
      </c>
      <c r="D113" s="74" t="s">
        <v>1598</v>
      </c>
      <c r="E113" s="70">
        <f>SUMIFS('K Village'!$D:$D,'K Village'!$B:$B,$A113)</f>
        <v>1</v>
      </c>
      <c r="F113" s="75"/>
      <c r="G113" s="70">
        <f>SUMIFS('Central CL (Department)'!$BO:$BO,'Central CL (Department)'!$A:$A,$A113)</f>
        <v>0</v>
      </c>
      <c r="H113" s="75"/>
      <c r="I113" s="70">
        <f>SUMIFS('Siam Discovery'!$C:$C,'Siam Discovery'!$A:$A,$A113)</f>
        <v>0</v>
      </c>
      <c r="J113" s="75"/>
      <c r="K113" s="70">
        <f>SUMIFS('Paradise Park'!$C:$C,'Paradise Park'!$A:$A,$A113)</f>
        <v>1</v>
      </c>
      <c r="L113" s="75"/>
      <c r="M113" s="70">
        <f>SUMIFS('Central LP'!$D:$D,'Central LP'!$B:$B,$A113)</f>
        <v>1</v>
      </c>
      <c r="N113" s="75"/>
      <c r="O113" s="71">
        <f t="shared" si="2"/>
        <v>3</v>
      </c>
      <c r="P113" s="71">
        <f t="shared" si="3"/>
        <v>0</v>
      </c>
    </row>
    <row r="114" spans="1:16">
      <c r="A114" s="69" t="s">
        <v>423</v>
      </c>
      <c r="B114" s="69" t="s">
        <v>1572</v>
      </c>
      <c r="C114" s="69" t="s">
        <v>1619</v>
      </c>
      <c r="D114" s="74" t="s">
        <v>1599</v>
      </c>
      <c r="E114" s="70">
        <f>SUMIFS('K Village'!$D:$D,'K Village'!$B:$B,$A114)</f>
        <v>2</v>
      </c>
      <c r="F114" s="75"/>
      <c r="G114" s="70">
        <f>SUMIFS('Central CL (Department)'!$BO:$BO,'Central CL (Department)'!$A:$A,$A114)</f>
        <v>1</v>
      </c>
      <c r="H114" s="75"/>
      <c r="I114" s="70">
        <f>SUMIFS('Siam Discovery'!$C:$C,'Siam Discovery'!$A:$A,$A114)</f>
        <v>0</v>
      </c>
      <c r="J114" s="75"/>
      <c r="K114" s="70">
        <f>SUMIFS('Paradise Park'!$C:$C,'Paradise Park'!$A:$A,$A114)</f>
        <v>3</v>
      </c>
      <c r="L114" s="75"/>
      <c r="M114" s="70">
        <f>SUMIFS('Central LP'!$D:$D,'Central LP'!$B:$B,$A114)</f>
        <v>1</v>
      </c>
      <c r="N114" s="75"/>
      <c r="O114" s="71">
        <f t="shared" si="2"/>
        <v>7</v>
      </c>
      <c r="P114" s="71">
        <f t="shared" si="3"/>
        <v>0</v>
      </c>
    </row>
    <row r="115" spans="1:16">
      <c r="A115" s="69" t="s">
        <v>425</v>
      </c>
      <c r="B115" s="69" t="s">
        <v>1572</v>
      </c>
      <c r="C115" s="69" t="s">
        <v>1619</v>
      </c>
      <c r="D115" s="74" t="s">
        <v>1600</v>
      </c>
      <c r="E115" s="70">
        <f>SUMIFS('K Village'!$D:$D,'K Village'!$B:$B,$A115)</f>
        <v>1</v>
      </c>
      <c r="F115" s="75"/>
      <c r="G115" s="70">
        <f>SUMIFS('Central CL (Department)'!$BO:$BO,'Central CL (Department)'!$A:$A,$A115)</f>
        <v>1</v>
      </c>
      <c r="H115" s="75"/>
      <c r="I115" s="70">
        <f>SUMIFS('Siam Discovery'!$C:$C,'Siam Discovery'!$A:$A,$A115)</f>
        <v>0</v>
      </c>
      <c r="J115" s="75"/>
      <c r="K115" s="70">
        <f>SUMIFS('Paradise Park'!$C:$C,'Paradise Park'!$A:$A,$A115)</f>
        <v>6</v>
      </c>
      <c r="L115" s="75"/>
      <c r="M115" s="70">
        <f>SUMIFS('Central LP'!$D:$D,'Central LP'!$B:$B,$A115)</f>
        <v>1</v>
      </c>
      <c r="N115" s="75"/>
      <c r="O115" s="71">
        <f t="shared" si="2"/>
        <v>9</v>
      </c>
      <c r="P115" s="71">
        <f t="shared" si="3"/>
        <v>0</v>
      </c>
    </row>
    <row r="116" spans="1:16">
      <c r="A116" s="69" t="s">
        <v>427</v>
      </c>
      <c r="B116" s="69" t="s">
        <v>1572</v>
      </c>
      <c r="C116" s="69" t="s">
        <v>1619</v>
      </c>
      <c r="D116" s="74" t="s">
        <v>1601</v>
      </c>
      <c r="E116" s="70">
        <f>SUMIFS('K Village'!$D:$D,'K Village'!$B:$B,$A116)</f>
        <v>2</v>
      </c>
      <c r="F116" s="75"/>
      <c r="G116" s="70">
        <f>SUMIFS('Central CL (Department)'!$BO:$BO,'Central CL (Department)'!$A:$A,$A116)</f>
        <v>2</v>
      </c>
      <c r="H116" s="75"/>
      <c r="I116" s="70">
        <f>SUMIFS('Siam Discovery'!$C:$C,'Siam Discovery'!$A:$A,$A116)</f>
        <v>0</v>
      </c>
      <c r="J116" s="75"/>
      <c r="K116" s="70">
        <f>SUMIFS('Paradise Park'!$C:$C,'Paradise Park'!$A:$A,$A116)</f>
        <v>6</v>
      </c>
      <c r="L116" s="75"/>
      <c r="M116" s="70">
        <f>SUMIFS('Central LP'!$D:$D,'Central LP'!$B:$B,$A116)</f>
        <v>1</v>
      </c>
      <c r="N116" s="75"/>
      <c r="O116" s="71">
        <f t="shared" si="2"/>
        <v>11</v>
      </c>
      <c r="P116" s="71">
        <f t="shared" si="3"/>
        <v>0</v>
      </c>
    </row>
    <row r="117" spans="1:16">
      <c r="A117" s="69" t="s">
        <v>429</v>
      </c>
      <c r="B117" s="69" t="s">
        <v>1572</v>
      </c>
      <c r="C117" s="69" t="s">
        <v>1619</v>
      </c>
      <c r="D117" s="74" t="s">
        <v>1602</v>
      </c>
      <c r="E117" s="70">
        <f>SUMIFS('K Village'!$D:$D,'K Village'!$B:$B,$A117)</f>
        <v>4</v>
      </c>
      <c r="F117" s="75"/>
      <c r="G117" s="70">
        <f>SUMIFS('Central CL (Department)'!$BO:$BO,'Central CL (Department)'!$A:$A,$A117)</f>
        <v>3</v>
      </c>
      <c r="H117" s="75"/>
      <c r="I117" s="70">
        <f>SUMIFS('Siam Discovery'!$C:$C,'Siam Discovery'!$A:$A,$A117)</f>
        <v>0</v>
      </c>
      <c r="J117" s="75"/>
      <c r="K117" s="70">
        <f>SUMIFS('Paradise Park'!$C:$C,'Paradise Park'!$A:$A,$A117)</f>
        <v>4</v>
      </c>
      <c r="L117" s="75"/>
      <c r="M117" s="70">
        <f>SUMIFS('Central LP'!$D:$D,'Central LP'!$B:$B,$A117)</f>
        <v>3</v>
      </c>
      <c r="N117" s="75"/>
      <c r="O117" s="71">
        <f t="shared" si="2"/>
        <v>14</v>
      </c>
      <c r="P117" s="71">
        <f t="shared" si="3"/>
        <v>0</v>
      </c>
    </row>
    <row r="118" spans="1:16">
      <c r="A118" s="69" t="s">
        <v>431</v>
      </c>
      <c r="B118" s="69" t="s">
        <v>1572</v>
      </c>
      <c r="C118" s="69" t="s">
        <v>1619</v>
      </c>
      <c r="D118" s="74" t="s">
        <v>1603</v>
      </c>
      <c r="E118" s="70">
        <f>SUMIFS('K Village'!$D:$D,'K Village'!$B:$B,$A118)</f>
        <v>1</v>
      </c>
      <c r="F118" s="75"/>
      <c r="G118" s="70">
        <f>SUMIFS('Central CL (Department)'!$BO:$BO,'Central CL (Department)'!$A:$A,$A118)</f>
        <v>0</v>
      </c>
      <c r="H118" s="75"/>
      <c r="I118" s="70">
        <f>SUMIFS('Siam Discovery'!$C:$C,'Siam Discovery'!$A:$A,$A118)</f>
        <v>0</v>
      </c>
      <c r="J118" s="75"/>
      <c r="K118" s="70">
        <f>SUMIFS('Paradise Park'!$C:$C,'Paradise Park'!$A:$A,$A118)</f>
        <v>2</v>
      </c>
      <c r="L118" s="75"/>
      <c r="M118" s="70">
        <f>SUMIFS('Central LP'!$D:$D,'Central LP'!$B:$B,$A118)</f>
        <v>2</v>
      </c>
      <c r="N118" s="75"/>
      <c r="O118" s="71">
        <f t="shared" si="2"/>
        <v>5</v>
      </c>
      <c r="P118" s="71">
        <f t="shared" si="3"/>
        <v>0</v>
      </c>
    </row>
    <row r="119" spans="1:16">
      <c r="A119" s="69" t="s">
        <v>1159</v>
      </c>
      <c r="B119" s="69" t="s">
        <v>1572</v>
      </c>
      <c r="C119" s="69" t="s">
        <v>1619</v>
      </c>
      <c r="D119" s="74" t="s">
        <v>1616</v>
      </c>
      <c r="E119" s="70">
        <f>SUMIFS('K Village'!$D:$D,'K Village'!$B:$B,$A119)</f>
        <v>1</v>
      </c>
      <c r="F119" s="75"/>
      <c r="G119" s="70">
        <f>SUMIFS('Central CL (Department)'!$BO:$BO,'Central CL (Department)'!$A:$A,$A119)</f>
        <v>0</v>
      </c>
      <c r="H119" s="75"/>
      <c r="I119" s="70">
        <f>SUMIFS('Siam Discovery'!$C:$C,'Siam Discovery'!$A:$A,$A119)</f>
        <v>0</v>
      </c>
      <c r="J119" s="75"/>
      <c r="K119" s="70">
        <f>SUMIFS('Paradise Park'!$C:$C,'Paradise Park'!$A:$A,$A119)</f>
        <v>2</v>
      </c>
      <c r="L119" s="75"/>
      <c r="M119" s="70">
        <f>SUMIFS('Central LP'!$D:$D,'Central LP'!$B:$B,$A119)</f>
        <v>1</v>
      </c>
      <c r="N119" s="75"/>
      <c r="O119" s="71">
        <f t="shared" si="2"/>
        <v>4</v>
      </c>
      <c r="P119" s="71">
        <f t="shared" si="3"/>
        <v>0</v>
      </c>
    </row>
    <row r="120" spans="1:16">
      <c r="A120" s="69" t="s">
        <v>1157</v>
      </c>
      <c r="B120" s="69" t="s">
        <v>1572</v>
      </c>
      <c r="C120" s="69" t="s">
        <v>1619</v>
      </c>
      <c r="D120" s="74" t="s">
        <v>1621</v>
      </c>
      <c r="E120" s="70">
        <f>SUMIFS('K Village'!$D:$D,'K Village'!$B:$B,$A120)</f>
        <v>1</v>
      </c>
      <c r="F120" s="75"/>
      <c r="G120" s="70">
        <f>SUMIFS('Central CL (Department)'!$BO:$BO,'Central CL (Department)'!$A:$A,$A120)</f>
        <v>0</v>
      </c>
      <c r="H120" s="75"/>
      <c r="I120" s="70">
        <f>SUMIFS('Siam Discovery'!$C:$C,'Siam Discovery'!$A:$A,$A120)</f>
        <v>0</v>
      </c>
      <c r="J120" s="75"/>
      <c r="K120" s="70">
        <f>SUMIFS('Paradise Park'!$C:$C,'Paradise Park'!$A:$A,$A120)</f>
        <v>2</v>
      </c>
      <c r="L120" s="75"/>
      <c r="M120" s="70">
        <f>SUMIFS('Central LP'!$D:$D,'Central LP'!$B:$B,$A120)</f>
        <v>0</v>
      </c>
      <c r="N120" s="75"/>
      <c r="O120" s="71">
        <f t="shared" si="2"/>
        <v>3</v>
      </c>
      <c r="P120" s="71">
        <f t="shared" si="3"/>
        <v>0</v>
      </c>
    </row>
    <row r="121" spans="1:16">
      <c r="A121" s="69" t="s">
        <v>284</v>
      </c>
      <c r="B121" s="69" t="s">
        <v>1572</v>
      </c>
      <c r="C121" s="69" t="s">
        <v>1622</v>
      </c>
      <c r="D121" s="74" t="s">
        <v>1620</v>
      </c>
      <c r="E121" s="70">
        <f>SUMIFS('K Village'!$D:$D,'K Village'!$B:$B,$A121)</f>
        <v>0</v>
      </c>
      <c r="F121" s="75"/>
      <c r="G121" s="70">
        <f>SUMIFS('Central CL (Department)'!$BO:$BO,'Central CL (Department)'!$A:$A,$A121)</f>
        <v>0</v>
      </c>
      <c r="H121" s="75"/>
      <c r="I121" s="70">
        <f>SUMIFS('Siam Discovery'!$C:$C,'Siam Discovery'!$A:$A,$A121)</f>
        <v>0</v>
      </c>
      <c r="J121" s="75"/>
      <c r="K121" s="70">
        <f>SUMIFS('Paradise Park'!$C:$C,'Paradise Park'!$A:$A,$A121)</f>
        <v>1</v>
      </c>
      <c r="L121" s="75"/>
      <c r="M121" s="70">
        <f>SUMIFS('Central LP'!$D:$D,'Central LP'!$B:$B,$A121)</f>
        <v>0</v>
      </c>
      <c r="N121" s="75"/>
      <c r="O121" s="71">
        <f t="shared" si="2"/>
        <v>1</v>
      </c>
      <c r="P121" s="71">
        <f t="shared" si="3"/>
        <v>0</v>
      </c>
    </row>
    <row r="122" spans="1:16">
      <c r="A122" s="69" t="s">
        <v>16</v>
      </c>
      <c r="B122" s="69" t="s">
        <v>1572</v>
      </c>
      <c r="C122" s="69" t="s">
        <v>1622</v>
      </c>
      <c r="D122" s="74" t="s">
        <v>1598</v>
      </c>
      <c r="E122" s="70">
        <f>SUMIFS('K Village'!$D:$D,'K Village'!$B:$B,$A122)</f>
        <v>0</v>
      </c>
      <c r="F122" s="75"/>
      <c r="G122" s="70">
        <f>SUMIFS('Central CL (Department)'!$BO:$BO,'Central CL (Department)'!$A:$A,$A122)</f>
        <v>0</v>
      </c>
      <c r="H122" s="75"/>
      <c r="I122" s="70">
        <f>SUMIFS('Siam Discovery'!$C:$C,'Siam Discovery'!$A:$A,$A122)</f>
        <v>0</v>
      </c>
      <c r="J122" s="75"/>
      <c r="K122" s="70">
        <f>SUMIFS('Paradise Park'!$C:$C,'Paradise Park'!$A:$A,$A122)</f>
        <v>1</v>
      </c>
      <c r="L122" s="75"/>
      <c r="M122" s="70">
        <f>SUMIFS('Central LP'!$D:$D,'Central LP'!$B:$B,$A122)</f>
        <v>0</v>
      </c>
      <c r="N122" s="75"/>
      <c r="O122" s="71">
        <f t="shared" si="2"/>
        <v>1</v>
      </c>
      <c r="P122" s="71">
        <f t="shared" si="3"/>
        <v>0</v>
      </c>
    </row>
    <row r="123" spans="1:16">
      <c r="A123" s="69" t="s">
        <v>19</v>
      </c>
      <c r="B123" s="69" t="s">
        <v>1572</v>
      </c>
      <c r="C123" s="69" t="s">
        <v>1622</v>
      </c>
      <c r="D123" s="74" t="s">
        <v>1599</v>
      </c>
      <c r="E123" s="70">
        <f>SUMIFS('K Village'!$D:$D,'K Village'!$B:$B,$A123)</f>
        <v>0</v>
      </c>
      <c r="F123" s="75"/>
      <c r="G123" s="70">
        <f>SUMIFS('Central CL (Department)'!$BO:$BO,'Central CL (Department)'!$A:$A,$A123)</f>
        <v>1</v>
      </c>
      <c r="H123" s="75"/>
      <c r="I123" s="70">
        <f>SUMIFS('Siam Discovery'!$C:$C,'Siam Discovery'!$A:$A,$A123)</f>
        <v>0</v>
      </c>
      <c r="J123" s="75"/>
      <c r="K123" s="70">
        <f>SUMIFS('Paradise Park'!$C:$C,'Paradise Park'!$A:$A,$A123)</f>
        <v>0</v>
      </c>
      <c r="L123" s="75"/>
      <c r="M123" s="70">
        <f>SUMIFS('Central LP'!$D:$D,'Central LP'!$B:$B,$A123)</f>
        <v>0</v>
      </c>
      <c r="N123" s="75"/>
      <c r="O123" s="71">
        <f t="shared" si="2"/>
        <v>1</v>
      </c>
      <c r="P123" s="71">
        <f t="shared" si="3"/>
        <v>0</v>
      </c>
    </row>
    <row r="124" spans="1:16">
      <c r="A124" s="69" t="s">
        <v>21</v>
      </c>
      <c r="B124" s="69" t="s">
        <v>1572</v>
      </c>
      <c r="C124" s="69" t="s">
        <v>1622</v>
      </c>
      <c r="D124" s="74" t="s">
        <v>1600</v>
      </c>
      <c r="E124" s="70">
        <f>SUMIFS('K Village'!$D:$D,'K Village'!$B:$B,$A124)</f>
        <v>0</v>
      </c>
      <c r="F124" s="75"/>
      <c r="G124" s="70">
        <f>SUMIFS('Central CL (Department)'!$BO:$BO,'Central CL (Department)'!$A:$A,$A124)</f>
        <v>6</v>
      </c>
      <c r="H124" s="75"/>
      <c r="I124" s="70">
        <f>SUMIFS('Siam Discovery'!$C:$C,'Siam Discovery'!$A:$A,$A124)</f>
        <v>0</v>
      </c>
      <c r="J124" s="75"/>
      <c r="K124" s="70">
        <f>SUMIFS('Paradise Park'!$C:$C,'Paradise Park'!$A:$A,$A124)</f>
        <v>4</v>
      </c>
      <c r="L124" s="75"/>
      <c r="M124" s="70">
        <f>SUMIFS('Central LP'!$D:$D,'Central LP'!$B:$B,$A124)</f>
        <v>0</v>
      </c>
      <c r="N124" s="75"/>
      <c r="O124" s="71">
        <f t="shared" si="2"/>
        <v>10</v>
      </c>
      <c r="P124" s="71">
        <f t="shared" si="3"/>
        <v>0</v>
      </c>
    </row>
    <row r="125" spans="1:16">
      <c r="A125" s="69" t="s">
        <v>23</v>
      </c>
      <c r="B125" s="69" t="s">
        <v>1572</v>
      </c>
      <c r="C125" s="69" t="s">
        <v>1622</v>
      </c>
      <c r="D125" s="74" t="s">
        <v>1601</v>
      </c>
      <c r="E125" s="70">
        <f>SUMIFS('K Village'!$D:$D,'K Village'!$B:$B,$A125)</f>
        <v>0</v>
      </c>
      <c r="F125" s="75"/>
      <c r="G125" s="70">
        <f>SUMIFS('Central CL (Department)'!$BO:$BO,'Central CL (Department)'!$A:$A,$A125)</f>
        <v>0</v>
      </c>
      <c r="H125" s="75"/>
      <c r="I125" s="70">
        <f>SUMIFS('Siam Discovery'!$C:$C,'Siam Discovery'!$A:$A,$A125)</f>
        <v>0</v>
      </c>
      <c r="J125" s="75"/>
      <c r="K125" s="70">
        <f>SUMIFS('Paradise Park'!$C:$C,'Paradise Park'!$A:$A,$A125)</f>
        <v>1</v>
      </c>
      <c r="L125" s="75"/>
      <c r="M125" s="70">
        <f>SUMIFS('Central LP'!$D:$D,'Central LP'!$B:$B,$A125)</f>
        <v>0</v>
      </c>
      <c r="N125" s="75"/>
      <c r="O125" s="71">
        <f t="shared" si="2"/>
        <v>1</v>
      </c>
      <c r="P125" s="71">
        <f t="shared" si="3"/>
        <v>0</v>
      </c>
    </row>
    <row r="126" spans="1:16">
      <c r="A126" s="69" t="s">
        <v>25</v>
      </c>
      <c r="B126" s="69" t="s">
        <v>1572</v>
      </c>
      <c r="C126" s="69" t="s">
        <v>1622</v>
      </c>
      <c r="D126" s="74" t="s">
        <v>1602</v>
      </c>
      <c r="E126" s="70">
        <f>SUMIFS('K Village'!$D:$D,'K Village'!$B:$B,$A126)</f>
        <v>0</v>
      </c>
      <c r="F126" s="75"/>
      <c r="G126" s="70">
        <f>SUMIFS('Central CL (Department)'!$BO:$BO,'Central CL (Department)'!$A:$A,$A126)</f>
        <v>1</v>
      </c>
      <c r="H126" s="75"/>
      <c r="I126" s="70">
        <f>SUMIFS('Siam Discovery'!$C:$C,'Siam Discovery'!$A:$A,$A126)</f>
        <v>0</v>
      </c>
      <c r="J126" s="75"/>
      <c r="K126" s="70">
        <f>SUMIFS('Paradise Park'!$C:$C,'Paradise Park'!$A:$A,$A126)</f>
        <v>0</v>
      </c>
      <c r="L126" s="75"/>
      <c r="M126" s="70">
        <f>SUMIFS('Central LP'!$D:$D,'Central LP'!$B:$B,$A126)</f>
        <v>0</v>
      </c>
      <c r="N126" s="75"/>
      <c r="O126" s="71">
        <f t="shared" si="2"/>
        <v>1</v>
      </c>
      <c r="P126" s="71">
        <f t="shared" si="3"/>
        <v>0</v>
      </c>
    </row>
    <row r="127" spans="1:16">
      <c r="A127" s="69" t="s">
        <v>27</v>
      </c>
      <c r="B127" s="69" t="s">
        <v>1572</v>
      </c>
      <c r="C127" s="69" t="s">
        <v>1622</v>
      </c>
      <c r="D127" s="74" t="s">
        <v>1603</v>
      </c>
      <c r="E127" s="70">
        <f>SUMIFS('K Village'!$D:$D,'K Village'!$B:$B,$A127)</f>
        <v>0</v>
      </c>
      <c r="F127" s="75"/>
      <c r="G127" s="70">
        <f>SUMIFS('Central CL (Department)'!$BO:$BO,'Central CL (Department)'!$A:$A,$A127)</f>
        <v>0</v>
      </c>
      <c r="H127" s="75"/>
      <c r="I127" s="70">
        <f>SUMIFS('Siam Discovery'!$C:$C,'Siam Discovery'!$A:$A,$A127)</f>
        <v>0</v>
      </c>
      <c r="J127" s="75"/>
      <c r="K127" s="70">
        <f>SUMIFS('Paradise Park'!$C:$C,'Paradise Park'!$A:$A,$A127)</f>
        <v>2</v>
      </c>
      <c r="L127" s="75"/>
      <c r="M127" s="70">
        <f>SUMIFS('Central LP'!$D:$D,'Central LP'!$B:$B,$A127)</f>
        <v>1</v>
      </c>
      <c r="N127" s="75"/>
      <c r="O127" s="71">
        <f t="shared" si="2"/>
        <v>3</v>
      </c>
      <c r="P127" s="71">
        <f t="shared" si="3"/>
        <v>0</v>
      </c>
    </row>
    <row r="128" spans="1:16">
      <c r="A128" s="69" t="s">
        <v>29</v>
      </c>
      <c r="B128" s="69" t="s">
        <v>1572</v>
      </c>
      <c r="C128" s="69" t="s">
        <v>1622</v>
      </c>
      <c r="D128" s="74" t="s">
        <v>1616</v>
      </c>
      <c r="E128" s="70">
        <f>SUMIFS('K Village'!$D:$D,'K Village'!$B:$B,$A128)</f>
        <v>0</v>
      </c>
      <c r="F128" s="75"/>
      <c r="G128" s="70">
        <f>SUMIFS('Central CL (Department)'!$BO:$BO,'Central CL (Department)'!$A:$A,$A128)</f>
        <v>0</v>
      </c>
      <c r="H128" s="75"/>
      <c r="I128" s="70">
        <f>SUMIFS('Siam Discovery'!$C:$C,'Siam Discovery'!$A:$A,$A128)</f>
        <v>0</v>
      </c>
      <c r="J128" s="75"/>
      <c r="K128" s="70">
        <f>SUMIFS('Paradise Park'!$C:$C,'Paradise Park'!$A:$A,$A128)</f>
        <v>1</v>
      </c>
      <c r="L128" s="75"/>
      <c r="M128" s="70">
        <f>SUMIFS('Central LP'!$D:$D,'Central LP'!$B:$B,$A128)</f>
        <v>0</v>
      </c>
      <c r="N128" s="75"/>
      <c r="O128" s="71">
        <f t="shared" si="2"/>
        <v>1</v>
      </c>
      <c r="P128" s="71">
        <f t="shared" si="3"/>
        <v>0</v>
      </c>
    </row>
    <row r="129" spans="1:16">
      <c r="A129" s="69" t="s">
        <v>1155</v>
      </c>
      <c r="B129" s="69" t="s">
        <v>1573</v>
      </c>
      <c r="C129" s="69" t="s">
        <v>1622</v>
      </c>
      <c r="D129" s="74" t="s">
        <v>1620</v>
      </c>
      <c r="E129" s="70">
        <f>SUMIFS('K Village'!$D:$D,'K Village'!$B:$B,$A129)</f>
        <v>1</v>
      </c>
      <c r="F129" s="75"/>
      <c r="G129" s="70">
        <f>SUMIFS('Central CL (Department)'!$BO:$BO,'Central CL (Department)'!$A:$A,$A129)</f>
        <v>0</v>
      </c>
      <c r="H129" s="75"/>
      <c r="I129" s="70">
        <f>SUMIFS('Siam Discovery'!$C:$C,'Siam Discovery'!$A:$A,$A129)</f>
        <v>0</v>
      </c>
      <c r="J129" s="75"/>
      <c r="K129" s="70">
        <f>SUMIFS('Paradise Park'!$C:$C,'Paradise Park'!$A:$A,$A129)</f>
        <v>2</v>
      </c>
      <c r="L129" s="75"/>
      <c r="M129" s="70">
        <f>SUMIFS('Central LP'!$D:$D,'Central LP'!$B:$B,$A129)</f>
        <v>2</v>
      </c>
      <c r="N129" s="75"/>
      <c r="O129" s="71">
        <f t="shared" si="2"/>
        <v>5</v>
      </c>
      <c r="P129" s="71">
        <f t="shared" si="3"/>
        <v>0</v>
      </c>
    </row>
    <row r="130" spans="1:16">
      <c r="A130" s="69" t="s">
        <v>433</v>
      </c>
      <c r="B130" s="69" t="s">
        <v>1573</v>
      </c>
      <c r="C130" s="69" t="s">
        <v>1622</v>
      </c>
      <c r="D130" s="74" t="s">
        <v>1598</v>
      </c>
      <c r="E130" s="70">
        <f>SUMIFS('K Village'!$D:$D,'K Village'!$B:$B,$A130)</f>
        <v>2</v>
      </c>
      <c r="F130" s="75"/>
      <c r="G130" s="70">
        <f>SUMIFS('Central CL (Department)'!$BO:$BO,'Central CL (Department)'!$A:$A,$A130)</f>
        <v>0</v>
      </c>
      <c r="H130" s="75"/>
      <c r="I130" s="70">
        <f>SUMIFS('Siam Discovery'!$C:$C,'Siam Discovery'!$A:$A,$A130)</f>
        <v>1</v>
      </c>
      <c r="J130" s="75"/>
      <c r="K130" s="70">
        <f>SUMIFS('Paradise Park'!$C:$C,'Paradise Park'!$A:$A,$A130)</f>
        <v>3</v>
      </c>
      <c r="L130" s="75"/>
      <c r="M130" s="70">
        <f>SUMIFS('Central LP'!$D:$D,'Central LP'!$B:$B,$A130)</f>
        <v>1</v>
      </c>
      <c r="N130" s="75"/>
      <c r="O130" s="71">
        <f t="shared" si="2"/>
        <v>7</v>
      </c>
      <c r="P130" s="71">
        <f t="shared" si="3"/>
        <v>0</v>
      </c>
    </row>
    <row r="131" spans="1:16">
      <c r="A131" s="69" t="s">
        <v>434</v>
      </c>
      <c r="B131" s="69" t="s">
        <v>1573</v>
      </c>
      <c r="C131" s="69" t="s">
        <v>1622</v>
      </c>
      <c r="D131" s="74" t="s">
        <v>1599</v>
      </c>
      <c r="E131" s="70">
        <v>1</v>
      </c>
      <c r="F131" s="75"/>
      <c r="G131" s="70">
        <f>SUMIFS('Central CL (Department)'!$BO:$BO,'Central CL (Department)'!$A:$A,$A131)</f>
        <v>0</v>
      </c>
      <c r="H131" s="75"/>
      <c r="I131" s="70">
        <f>SUMIFS('Siam Discovery'!$C:$C,'Siam Discovery'!$A:$A,$A131)</f>
        <v>6</v>
      </c>
      <c r="J131" s="75"/>
      <c r="K131" s="70">
        <f>SUMIFS('Paradise Park'!$C:$C,'Paradise Park'!$A:$A,$A131)</f>
        <v>3</v>
      </c>
      <c r="L131" s="75"/>
      <c r="M131" s="70">
        <f>SUMIFS('Central LP'!$D:$D,'Central LP'!$B:$B,$A131)</f>
        <v>3</v>
      </c>
      <c r="N131" s="75"/>
      <c r="O131" s="71">
        <f t="shared" si="2"/>
        <v>13</v>
      </c>
      <c r="P131" s="71">
        <f t="shared" si="3"/>
        <v>0</v>
      </c>
    </row>
    <row r="132" spans="1:16">
      <c r="A132" s="69" t="s">
        <v>251</v>
      </c>
      <c r="B132" s="69" t="s">
        <v>1573</v>
      </c>
      <c r="C132" s="69" t="s">
        <v>1622</v>
      </c>
      <c r="D132" s="74" t="s">
        <v>1600</v>
      </c>
      <c r="E132" s="70">
        <f>SUMIFS('K Village'!$D:$D,'K Village'!$B:$B,$A132)</f>
        <v>2</v>
      </c>
      <c r="F132" s="75"/>
      <c r="G132" s="70">
        <f>SUMIFS('Central CL (Department)'!$BO:$BO,'Central CL (Department)'!$A:$A,$A132)</f>
        <v>0</v>
      </c>
      <c r="H132" s="75"/>
      <c r="I132" s="70">
        <f>SUMIFS('Siam Discovery'!$C:$C,'Siam Discovery'!$A:$A,$A132)</f>
        <v>7</v>
      </c>
      <c r="J132" s="75"/>
      <c r="K132" s="70">
        <f>SUMIFS('Paradise Park'!$C:$C,'Paradise Park'!$A:$A,$A132)</f>
        <v>0</v>
      </c>
      <c r="L132" s="75"/>
      <c r="M132" s="70">
        <f>SUMIFS('Central LP'!$D:$D,'Central LP'!$B:$B,$A132)</f>
        <v>3</v>
      </c>
      <c r="N132" s="75"/>
      <c r="O132" s="71">
        <f t="shared" si="2"/>
        <v>12</v>
      </c>
      <c r="P132" s="71">
        <f t="shared" si="3"/>
        <v>0</v>
      </c>
    </row>
    <row r="133" spans="1:16">
      <c r="A133" s="69" t="s">
        <v>252</v>
      </c>
      <c r="B133" s="69" t="s">
        <v>1573</v>
      </c>
      <c r="C133" s="69" t="s">
        <v>1622</v>
      </c>
      <c r="D133" s="74" t="s">
        <v>1601</v>
      </c>
      <c r="E133" s="70">
        <f>SUMIFS('K Village'!$D:$D,'K Village'!$B:$B,$A133)</f>
        <v>3</v>
      </c>
      <c r="F133" s="75"/>
      <c r="G133" s="70">
        <f>SUMIFS('Central CL (Department)'!$BO:$BO,'Central CL (Department)'!$A:$A,$A133)</f>
        <v>0</v>
      </c>
      <c r="H133" s="75"/>
      <c r="I133" s="70">
        <f>SUMIFS('Siam Discovery'!$C:$C,'Siam Discovery'!$A:$A,$A133)</f>
        <v>7</v>
      </c>
      <c r="J133" s="75"/>
      <c r="K133" s="70">
        <f>SUMIFS('Paradise Park'!$C:$C,'Paradise Park'!$A:$A,$A133)</f>
        <v>2</v>
      </c>
      <c r="L133" s="75"/>
      <c r="M133" s="70">
        <f>SUMIFS('Central LP'!$D:$D,'Central LP'!$B:$B,$A133)</f>
        <v>3</v>
      </c>
      <c r="N133" s="75"/>
      <c r="O133" s="71">
        <f t="shared" si="2"/>
        <v>15</v>
      </c>
      <c r="P133" s="71">
        <f t="shared" si="3"/>
        <v>0</v>
      </c>
    </row>
    <row r="134" spans="1:16">
      <c r="A134" s="69" t="s">
        <v>253</v>
      </c>
      <c r="B134" s="69" t="s">
        <v>1572</v>
      </c>
      <c r="C134" s="69" t="s">
        <v>1622</v>
      </c>
      <c r="D134" s="74" t="s">
        <v>1602</v>
      </c>
      <c r="E134" s="70">
        <f>SUMIFS('K Village'!$D:$D,'K Village'!$B:$B,$A134)</f>
        <v>0</v>
      </c>
      <c r="F134" s="75"/>
      <c r="G134" s="70">
        <f>SUMIFS('Central CL (Department)'!$BO:$BO,'Central CL (Department)'!$A:$A,$A134)</f>
        <v>0</v>
      </c>
      <c r="H134" s="75"/>
      <c r="I134" s="70">
        <f>SUMIFS('Siam Discovery'!$C:$C,'Siam Discovery'!$A:$A,$A134)</f>
        <v>3</v>
      </c>
      <c r="J134" s="75"/>
      <c r="K134" s="70">
        <f>SUMIFS('Paradise Park'!$C:$C,'Paradise Park'!$A:$A,$A134)</f>
        <v>4</v>
      </c>
      <c r="L134" s="75"/>
      <c r="M134" s="70">
        <f>SUMIFS('Central LP'!$D:$D,'Central LP'!$B:$B,$A134)</f>
        <v>2</v>
      </c>
      <c r="N134" s="75"/>
      <c r="O134" s="71">
        <f t="shared" ref="O134:O197" si="4">E134+G134+I134+K134+M134</f>
        <v>9</v>
      </c>
      <c r="P134" s="71">
        <f t="shared" ref="P134:P197" si="5">F134+H134+J134+L134+N134</f>
        <v>0</v>
      </c>
    </row>
    <row r="135" spans="1:16">
      <c r="A135" s="69" t="s">
        <v>254</v>
      </c>
      <c r="B135" s="69" t="s">
        <v>1573</v>
      </c>
      <c r="C135" s="69" t="s">
        <v>1622</v>
      </c>
      <c r="D135" s="74" t="s">
        <v>1603</v>
      </c>
      <c r="E135" s="70">
        <f>SUMIFS('K Village'!$D:$D,'K Village'!$B:$B,$A135)</f>
        <v>2</v>
      </c>
      <c r="F135" s="75"/>
      <c r="G135" s="70">
        <f>SUMIFS('Central CL (Department)'!$BO:$BO,'Central CL (Department)'!$A:$A,$A135)</f>
        <v>0</v>
      </c>
      <c r="H135" s="75"/>
      <c r="I135" s="70">
        <f>SUMIFS('Siam Discovery'!$C:$C,'Siam Discovery'!$A:$A,$A135)</f>
        <v>4</v>
      </c>
      <c r="J135" s="75"/>
      <c r="K135" s="70">
        <f>SUMIFS('Paradise Park'!$C:$C,'Paradise Park'!$A:$A,$A135)</f>
        <v>2</v>
      </c>
      <c r="L135" s="75"/>
      <c r="M135" s="70">
        <f>SUMIFS('Central LP'!$D:$D,'Central LP'!$B:$B,$A135)</f>
        <v>1</v>
      </c>
      <c r="N135" s="75"/>
      <c r="O135" s="71">
        <f t="shared" si="4"/>
        <v>9</v>
      </c>
      <c r="P135" s="71">
        <f t="shared" si="5"/>
        <v>0</v>
      </c>
    </row>
    <row r="136" spans="1:16">
      <c r="A136" s="69" t="s">
        <v>1154</v>
      </c>
      <c r="B136" s="69" t="s">
        <v>1572</v>
      </c>
      <c r="C136" s="69" t="s">
        <v>1622</v>
      </c>
      <c r="D136" s="74" t="s">
        <v>1616</v>
      </c>
      <c r="E136" s="70">
        <f>SUMIFS('K Village'!$D:$D,'K Village'!$B:$B,$A136)</f>
        <v>0</v>
      </c>
      <c r="F136" s="75"/>
      <c r="G136" s="70">
        <f>SUMIFS('Central CL (Department)'!$BO:$BO,'Central CL (Department)'!$A:$A,$A136)</f>
        <v>0</v>
      </c>
      <c r="H136" s="75"/>
      <c r="I136" s="70">
        <f>SUMIFS('Siam Discovery'!$C:$C,'Siam Discovery'!$A:$A,$A136)</f>
        <v>0</v>
      </c>
      <c r="J136" s="75"/>
      <c r="K136" s="70">
        <f>SUMIFS('Paradise Park'!$C:$C,'Paradise Park'!$A:$A,$A136)</f>
        <v>1</v>
      </c>
      <c r="L136" s="75"/>
      <c r="M136" s="70">
        <f>SUMIFS('Central LP'!$D:$D,'Central LP'!$B:$B,$A136)</f>
        <v>2</v>
      </c>
      <c r="N136" s="75"/>
      <c r="O136" s="71">
        <f t="shared" si="4"/>
        <v>3</v>
      </c>
      <c r="P136" s="71">
        <f t="shared" si="5"/>
        <v>0</v>
      </c>
    </row>
    <row r="137" spans="1:16">
      <c r="A137" s="69" t="s">
        <v>1514</v>
      </c>
      <c r="B137" s="69" t="s">
        <v>1573</v>
      </c>
      <c r="C137" s="69" t="s">
        <v>1622</v>
      </c>
      <c r="D137" s="74" t="s">
        <v>1621</v>
      </c>
      <c r="E137" s="70">
        <f>SUMIFS('K Village'!$D:$D,'K Village'!$B:$B,$A137)</f>
        <v>1</v>
      </c>
      <c r="F137" s="75"/>
      <c r="G137" s="70">
        <f>SUMIFS('Central CL (Department)'!$BO:$BO,'Central CL (Department)'!$A:$A,$A137)</f>
        <v>0</v>
      </c>
      <c r="H137" s="75"/>
      <c r="I137" s="70">
        <f>SUMIFS('Siam Discovery'!$C:$C,'Siam Discovery'!$A:$A,$A137)</f>
        <v>0</v>
      </c>
      <c r="J137" s="75"/>
      <c r="K137" s="70">
        <f>SUMIFS('Paradise Park'!$C:$C,'Paradise Park'!$A:$A,$A137)</f>
        <v>0</v>
      </c>
      <c r="L137" s="75"/>
      <c r="M137" s="70">
        <f>SUMIFS('Central LP'!$D:$D,'Central LP'!$B:$B,$A137)</f>
        <v>0</v>
      </c>
      <c r="N137" s="75"/>
      <c r="O137" s="71">
        <f t="shared" si="4"/>
        <v>1</v>
      </c>
      <c r="P137" s="71">
        <f t="shared" si="5"/>
        <v>0</v>
      </c>
    </row>
    <row r="138" spans="1:16">
      <c r="A138" s="69" t="s">
        <v>459</v>
      </c>
      <c r="B138" s="69" t="s">
        <v>1572</v>
      </c>
      <c r="C138" s="69" t="s">
        <v>1623</v>
      </c>
      <c r="D138" s="74" t="s">
        <v>1599</v>
      </c>
      <c r="E138" s="70">
        <f>SUMIFS('K Village'!$D:$D,'K Village'!$B:$B,$A138)</f>
        <v>0</v>
      </c>
      <c r="F138" s="75"/>
      <c r="G138" s="70">
        <f>SUMIFS('Central CL (Department)'!$BO:$BO,'Central CL (Department)'!$A:$A,$A138)</f>
        <v>0</v>
      </c>
      <c r="H138" s="75"/>
      <c r="I138" s="70">
        <f>SUMIFS('Siam Discovery'!$C:$C,'Siam Discovery'!$A:$A,$A138)</f>
        <v>0</v>
      </c>
      <c r="J138" s="75"/>
      <c r="K138" s="70">
        <f>SUMIFS('Paradise Park'!$C:$C,'Paradise Park'!$A:$A,$A138)</f>
        <v>0</v>
      </c>
      <c r="L138" s="75"/>
      <c r="M138" s="70">
        <f>SUMIFS('Central LP'!$D:$D,'Central LP'!$B:$B,$A138)</f>
        <v>0</v>
      </c>
      <c r="N138" s="75"/>
      <c r="O138" s="71">
        <f t="shared" si="4"/>
        <v>0</v>
      </c>
      <c r="P138" s="71">
        <f t="shared" si="5"/>
        <v>0</v>
      </c>
    </row>
    <row r="139" spans="1:16">
      <c r="A139" s="69" t="s">
        <v>461</v>
      </c>
      <c r="B139" s="69" t="s">
        <v>1572</v>
      </c>
      <c r="C139" s="69" t="s">
        <v>1623</v>
      </c>
      <c r="D139" s="74" t="s">
        <v>1600</v>
      </c>
      <c r="E139" s="70">
        <f>SUMIFS('K Village'!$D:$D,'K Village'!$B:$B,$A139)</f>
        <v>0</v>
      </c>
      <c r="F139" s="75"/>
      <c r="G139" s="70">
        <f>SUMIFS('Central CL (Department)'!$BO:$BO,'Central CL (Department)'!$A:$A,$A139)</f>
        <v>0</v>
      </c>
      <c r="H139" s="75"/>
      <c r="I139" s="70">
        <f>SUMIFS('Siam Discovery'!$C:$C,'Siam Discovery'!$A:$A,$A139)</f>
        <v>0</v>
      </c>
      <c r="J139" s="75"/>
      <c r="K139" s="70">
        <f>SUMIFS('Paradise Park'!$C:$C,'Paradise Park'!$A:$A,$A139)</f>
        <v>0</v>
      </c>
      <c r="L139" s="75"/>
      <c r="M139" s="70">
        <f>SUMIFS('Central LP'!$D:$D,'Central LP'!$B:$B,$A139)</f>
        <v>0</v>
      </c>
      <c r="N139" s="75"/>
      <c r="O139" s="71">
        <f t="shared" si="4"/>
        <v>0</v>
      </c>
      <c r="P139" s="71">
        <f t="shared" si="5"/>
        <v>0</v>
      </c>
    </row>
    <row r="140" spans="1:16">
      <c r="A140" s="69" t="s">
        <v>463</v>
      </c>
      <c r="B140" s="69" t="s">
        <v>1572</v>
      </c>
      <c r="C140" s="69" t="s">
        <v>1623</v>
      </c>
      <c r="D140" s="74" t="s">
        <v>1601</v>
      </c>
      <c r="E140" s="70">
        <f>SUMIFS('K Village'!$D:$D,'K Village'!$B:$B,$A140)</f>
        <v>0</v>
      </c>
      <c r="F140" s="75"/>
      <c r="G140" s="70">
        <f>SUMIFS('Central CL (Department)'!$BO:$BO,'Central CL (Department)'!$A:$A,$A140)</f>
        <v>0</v>
      </c>
      <c r="H140" s="75"/>
      <c r="I140" s="70">
        <f>SUMIFS('Siam Discovery'!$C:$C,'Siam Discovery'!$A:$A,$A140)</f>
        <v>0</v>
      </c>
      <c r="J140" s="75"/>
      <c r="K140" s="70">
        <f>SUMIFS('Paradise Park'!$C:$C,'Paradise Park'!$A:$A,$A140)</f>
        <v>3</v>
      </c>
      <c r="L140" s="75"/>
      <c r="M140" s="70">
        <f>SUMIFS('Central LP'!$D:$D,'Central LP'!$B:$B,$A140)</f>
        <v>0</v>
      </c>
      <c r="N140" s="75"/>
      <c r="O140" s="71">
        <f t="shared" si="4"/>
        <v>3</v>
      </c>
      <c r="P140" s="71">
        <f t="shared" si="5"/>
        <v>0</v>
      </c>
    </row>
    <row r="141" spans="1:16">
      <c r="A141" s="69" t="s">
        <v>465</v>
      </c>
      <c r="B141" s="69" t="s">
        <v>1572</v>
      </c>
      <c r="C141" s="69" t="s">
        <v>1623</v>
      </c>
      <c r="D141" s="74" t="s">
        <v>1602</v>
      </c>
      <c r="E141" s="70">
        <f>SUMIFS('K Village'!$D:$D,'K Village'!$B:$B,$A141)</f>
        <v>3</v>
      </c>
      <c r="F141" s="75"/>
      <c r="G141" s="70">
        <f>SUMIFS('Central CL (Department)'!$BO:$BO,'Central CL (Department)'!$A:$A,$A141)</f>
        <v>0</v>
      </c>
      <c r="H141" s="75"/>
      <c r="I141" s="70">
        <f>SUMIFS('Siam Discovery'!$C:$C,'Siam Discovery'!$A:$A,$A141)</f>
        <v>0</v>
      </c>
      <c r="J141" s="75"/>
      <c r="K141" s="70">
        <f>SUMIFS('Paradise Park'!$C:$C,'Paradise Park'!$A:$A,$A141)</f>
        <v>1</v>
      </c>
      <c r="L141" s="75"/>
      <c r="M141" s="70">
        <f>SUMIFS('Central LP'!$D:$D,'Central LP'!$B:$B,$A141)</f>
        <v>0</v>
      </c>
      <c r="N141" s="75"/>
      <c r="O141" s="71">
        <f t="shared" si="4"/>
        <v>4</v>
      </c>
      <c r="P141" s="71">
        <f t="shared" si="5"/>
        <v>0</v>
      </c>
    </row>
    <row r="142" spans="1:16">
      <c r="A142" s="69" t="s">
        <v>1153</v>
      </c>
      <c r="B142" s="69" t="s">
        <v>1572</v>
      </c>
      <c r="C142" s="69" t="s">
        <v>1623</v>
      </c>
      <c r="D142" s="74" t="s">
        <v>1603</v>
      </c>
      <c r="E142" s="70">
        <f>SUMIFS('K Village'!$D:$D,'K Village'!$B:$B,$A142)</f>
        <v>3</v>
      </c>
      <c r="F142" s="75"/>
      <c r="G142" s="70">
        <f>SUMIFS('Central CL (Department)'!$BO:$BO,'Central CL (Department)'!$A:$A,$A142)</f>
        <v>0</v>
      </c>
      <c r="H142" s="75"/>
      <c r="I142" s="70">
        <f>SUMIFS('Siam Discovery'!$C:$C,'Siam Discovery'!$A:$A,$A142)</f>
        <v>0</v>
      </c>
      <c r="J142" s="75"/>
      <c r="K142" s="70">
        <f>SUMIFS('Paradise Park'!$C:$C,'Paradise Park'!$A:$A,$A142)</f>
        <v>2</v>
      </c>
      <c r="L142" s="75"/>
      <c r="M142" s="70">
        <f>SUMIFS('Central LP'!$D:$D,'Central LP'!$B:$B,$A142)</f>
        <v>0</v>
      </c>
      <c r="N142" s="75"/>
      <c r="O142" s="71">
        <f t="shared" si="4"/>
        <v>5</v>
      </c>
      <c r="P142" s="71">
        <f t="shared" si="5"/>
        <v>0</v>
      </c>
    </row>
    <row r="143" spans="1:16">
      <c r="A143" s="69" t="s">
        <v>1151</v>
      </c>
      <c r="B143" s="69" t="s">
        <v>1572</v>
      </c>
      <c r="C143" s="69" t="s">
        <v>1624</v>
      </c>
      <c r="D143" s="74" t="s">
        <v>1599</v>
      </c>
      <c r="E143" s="70">
        <f>SUMIFS('K Village'!$D:$D,'K Village'!$B:$B,$A143)</f>
        <v>1</v>
      </c>
      <c r="F143" s="75"/>
      <c r="G143" s="70">
        <f>SUMIFS('Central CL (Department)'!$BO:$BO,'Central CL (Department)'!$A:$A,$A143)</f>
        <v>0</v>
      </c>
      <c r="H143" s="75"/>
      <c r="I143" s="70">
        <f>SUMIFS('Siam Discovery'!$C:$C,'Siam Discovery'!$A:$A,$A143)</f>
        <v>0</v>
      </c>
      <c r="J143" s="75"/>
      <c r="K143" s="70">
        <f>SUMIFS('Paradise Park'!$C:$C,'Paradise Park'!$A:$A,$A143)</f>
        <v>1</v>
      </c>
      <c r="L143" s="75"/>
      <c r="M143" s="70">
        <f>SUMIFS('Central LP'!$D:$D,'Central LP'!$B:$B,$A143)</f>
        <v>1</v>
      </c>
      <c r="N143" s="75"/>
      <c r="O143" s="71">
        <f t="shared" si="4"/>
        <v>3</v>
      </c>
      <c r="P143" s="71">
        <f t="shared" si="5"/>
        <v>0</v>
      </c>
    </row>
    <row r="144" spans="1:16">
      <c r="A144" s="69" t="s">
        <v>1149</v>
      </c>
      <c r="B144" s="69" t="s">
        <v>1572</v>
      </c>
      <c r="C144" s="69" t="s">
        <v>1624</v>
      </c>
      <c r="D144" s="74" t="s">
        <v>1600</v>
      </c>
      <c r="E144" s="70">
        <f>SUMIFS('K Village'!$D:$D,'K Village'!$B:$B,$A144)</f>
        <v>0</v>
      </c>
      <c r="F144" s="75"/>
      <c r="G144" s="70">
        <f>SUMIFS('Central CL (Department)'!$BO:$BO,'Central CL (Department)'!$A:$A,$A144)</f>
        <v>0</v>
      </c>
      <c r="H144" s="75"/>
      <c r="I144" s="70">
        <f>SUMIFS('Siam Discovery'!$C:$C,'Siam Discovery'!$A:$A,$A144)</f>
        <v>0</v>
      </c>
      <c r="J144" s="75"/>
      <c r="K144" s="70">
        <v>0</v>
      </c>
      <c r="L144" s="75"/>
      <c r="M144" s="70">
        <f>SUMIFS('Central LP'!$D:$D,'Central LP'!$B:$B,$A144)</f>
        <v>0</v>
      </c>
      <c r="N144" s="75"/>
      <c r="O144" s="71">
        <f t="shared" si="4"/>
        <v>0</v>
      </c>
      <c r="P144" s="71">
        <f t="shared" si="5"/>
        <v>0</v>
      </c>
    </row>
    <row r="145" spans="1:16">
      <c r="A145" s="69" t="s">
        <v>1516</v>
      </c>
      <c r="B145" s="69" t="s">
        <v>1572</v>
      </c>
      <c r="C145" s="69" t="s">
        <v>1624</v>
      </c>
      <c r="D145" s="74" t="s">
        <v>1602</v>
      </c>
      <c r="E145" s="70">
        <f>SUMIFS('K Village'!$D:$D,'K Village'!$B:$B,$A145)</f>
        <v>2</v>
      </c>
      <c r="F145" s="75"/>
      <c r="G145" s="70">
        <f>SUMIFS('Central CL (Department)'!$BO:$BO,'Central CL (Department)'!$A:$A,$A145)</f>
        <v>0</v>
      </c>
      <c r="H145" s="75"/>
      <c r="I145" s="70">
        <f>SUMIFS('Siam Discovery'!$C:$C,'Siam Discovery'!$A:$A,$A145)</f>
        <v>0</v>
      </c>
      <c r="J145" s="75"/>
      <c r="K145" s="70">
        <f>SUMIFS('Paradise Park'!$C:$C,'Paradise Park'!$A:$A,$A145)</f>
        <v>0</v>
      </c>
      <c r="L145" s="75"/>
      <c r="M145" s="70">
        <f>SUMIFS('Central LP'!$D:$D,'Central LP'!$B:$B,$A145)</f>
        <v>2</v>
      </c>
      <c r="N145" s="75"/>
      <c r="O145" s="71">
        <f t="shared" si="4"/>
        <v>4</v>
      </c>
      <c r="P145" s="71">
        <f t="shared" si="5"/>
        <v>0</v>
      </c>
    </row>
    <row r="146" spans="1:16">
      <c r="A146" s="69" t="s">
        <v>1147</v>
      </c>
      <c r="B146" s="69" t="s">
        <v>1572</v>
      </c>
      <c r="C146" s="69" t="s">
        <v>1624</v>
      </c>
      <c r="D146" s="74" t="s">
        <v>1603</v>
      </c>
      <c r="E146" s="70">
        <v>5</v>
      </c>
      <c r="F146" s="75"/>
      <c r="G146" s="70">
        <f>SUMIFS('Central CL (Department)'!$BO:$BO,'Central CL (Department)'!$A:$A,$A146)</f>
        <v>0</v>
      </c>
      <c r="H146" s="75"/>
      <c r="I146" s="70">
        <f>SUMIFS('Siam Discovery'!$C:$C,'Siam Discovery'!$A:$A,$A146)</f>
        <v>0</v>
      </c>
      <c r="J146" s="75"/>
      <c r="K146" s="70">
        <f>SUMIFS('Paradise Park'!$C:$C,'Paradise Park'!$A:$A,$A146)</f>
        <v>1</v>
      </c>
      <c r="L146" s="75"/>
      <c r="M146" s="70">
        <f>SUMIFS('Central LP'!$D:$D,'Central LP'!$B:$B,$A146)</f>
        <v>0</v>
      </c>
      <c r="N146" s="75"/>
      <c r="O146" s="71">
        <f t="shared" si="4"/>
        <v>6</v>
      </c>
      <c r="P146" s="71">
        <f t="shared" si="5"/>
        <v>0</v>
      </c>
    </row>
    <row r="147" spans="1:16">
      <c r="A147" s="69" t="s">
        <v>435</v>
      </c>
      <c r="B147" s="69" t="s">
        <v>1572</v>
      </c>
      <c r="C147" s="69" t="s">
        <v>1625</v>
      </c>
      <c r="D147" s="74" t="s">
        <v>1598</v>
      </c>
      <c r="E147" s="70">
        <f>SUMIFS('K Village'!$D:$D,'K Village'!$B:$B,$A147)</f>
        <v>0</v>
      </c>
      <c r="F147" s="75"/>
      <c r="G147" s="70">
        <f>SUMIFS('Central CL (Department)'!$BO:$BO,'Central CL (Department)'!$A:$A,$A147)</f>
        <v>1</v>
      </c>
      <c r="H147" s="75"/>
      <c r="I147" s="70">
        <f>SUMIFS('Siam Discovery'!$C:$C,'Siam Discovery'!$A:$A,$A147)</f>
        <v>0</v>
      </c>
      <c r="J147" s="75"/>
      <c r="K147" s="70">
        <f>SUMIFS('Paradise Park'!$C:$C,'Paradise Park'!$A:$A,$A147)</f>
        <v>5</v>
      </c>
      <c r="L147" s="75"/>
      <c r="M147" s="70">
        <f>SUMIFS('Central LP'!$D:$D,'Central LP'!$B:$B,$A147)</f>
        <v>2</v>
      </c>
      <c r="N147" s="75"/>
      <c r="O147" s="71">
        <f t="shared" si="4"/>
        <v>8</v>
      </c>
      <c r="P147" s="71">
        <f t="shared" si="5"/>
        <v>0</v>
      </c>
    </row>
    <row r="148" spans="1:16">
      <c r="A148" s="69" t="s">
        <v>437</v>
      </c>
      <c r="B148" s="69" t="s">
        <v>1572</v>
      </c>
      <c r="C148" s="69" t="s">
        <v>1625</v>
      </c>
      <c r="D148" s="74" t="s">
        <v>1599</v>
      </c>
      <c r="E148" s="70">
        <f>SUMIFS('K Village'!$D:$D,'K Village'!$B:$B,$A148)</f>
        <v>2</v>
      </c>
      <c r="F148" s="75"/>
      <c r="G148" s="70">
        <f>SUMIFS('Central CL (Department)'!$BO:$BO,'Central CL (Department)'!$A:$A,$A148)</f>
        <v>3</v>
      </c>
      <c r="H148" s="75"/>
      <c r="I148" s="70">
        <f>SUMIFS('Siam Discovery'!$C:$C,'Siam Discovery'!$A:$A,$A148)</f>
        <v>0</v>
      </c>
      <c r="J148" s="75"/>
      <c r="K148" s="70">
        <f>SUMIFS('Paradise Park'!$C:$C,'Paradise Park'!$A:$A,$A148)</f>
        <v>2</v>
      </c>
      <c r="L148" s="75"/>
      <c r="M148" s="70">
        <f>SUMIFS('Central LP'!$D:$D,'Central LP'!$B:$B,$A148)</f>
        <v>2</v>
      </c>
      <c r="N148" s="75"/>
      <c r="O148" s="71">
        <f t="shared" si="4"/>
        <v>9</v>
      </c>
      <c r="P148" s="71">
        <f t="shared" si="5"/>
        <v>0</v>
      </c>
    </row>
    <row r="149" spans="1:16">
      <c r="A149" s="69" t="s">
        <v>439</v>
      </c>
      <c r="B149" s="69" t="s">
        <v>1572</v>
      </c>
      <c r="C149" s="69" t="s">
        <v>1625</v>
      </c>
      <c r="D149" s="74" t="s">
        <v>1600</v>
      </c>
      <c r="E149" s="70">
        <v>1</v>
      </c>
      <c r="F149" s="75"/>
      <c r="G149" s="70">
        <f>SUMIFS('Central CL (Department)'!$BO:$BO,'Central CL (Department)'!$A:$A,$A149)</f>
        <v>2</v>
      </c>
      <c r="H149" s="75"/>
      <c r="I149" s="70">
        <f>SUMIFS('Siam Discovery'!$C:$C,'Siam Discovery'!$A:$A,$A149)</f>
        <v>1</v>
      </c>
      <c r="J149" s="75"/>
      <c r="K149" s="70">
        <f>SUMIFS('Paradise Park'!$C:$C,'Paradise Park'!$A:$A,$A149)</f>
        <v>2</v>
      </c>
      <c r="L149" s="75"/>
      <c r="M149" s="70">
        <f>SUMIFS('Central LP'!$D:$D,'Central LP'!$B:$B,$A149)</f>
        <v>2</v>
      </c>
      <c r="N149" s="75"/>
      <c r="O149" s="71">
        <f t="shared" si="4"/>
        <v>8</v>
      </c>
      <c r="P149" s="71">
        <f t="shared" si="5"/>
        <v>0</v>
      </c>
    </row>
    <row r="150" spans="1:16">
      <c r="A150" s="69" t="s">
        <v>441</v>
      </c>
      <c r="B150" s="69" t="s">
        <v>1572</v>
      </c>
      <c r="C150" s="69" t="s">
        <v>1625</v>
      </c>
      <c r="D150" s="74" t="s">
        <v>1601</v>
      </c>
      <c r="E150" s="70">
        <f>SUMIFS('K Village'!$D:$D,'K Village'!$B:$B,$A150)</f>
        <v>1</v>
      </c>
      <c r="F150" s="75"/>
      <c r="G150" s="70">
        <f>SUMIFS('Central CL (Department)'!$BO:$BO,'Central CL (Department)'!$A:$A,$A150)</f>
        <v>1</v>
      </c>
      <c r="H150" s="75"/>
      <c r="I150" s="70">
        <f>SUMIFS('Siam Discovery'!$C:$C,'Siam Discovery'!$A:$A,$A150)</f>
        <v>1</v>
      </c>
      <c r="J150" s="75"/>
      <c r="K150" s="70">
        <f>SUMIFS('Paradise Park'!$C:$C,'Paradise Park'!$A:$A,$A150)</f>
        <v>3</v>
      </c>
      <c r="L150" s="75"/>
      <c r="M150" s="70">
        <f>SUMIFS('Central LP'!$D:$D,'Central LP'!$B:$B,$A150)</f>
        <v>2</v>
      </c>
      <c r="N150" s="75"/>
      <c r="O150" s="71">
        <f t="shared" si="4"/>
        <v>8</v>
      </c>
      <c r="P150" s="71">
        <f t="shared" si="5"/>
        <v>0</v>
      </c>
    </row>
    <row r="151" spans="1:16">
      <c r="A151" s="69" t="s">
        <v>443</v>
      </c>
      <c r="B151" s="69" t="s">
        <v>1572</v>
      </c>
      <c r="C151" s="69" t="s">
        <v>1625</v>
      </c>
      <c r="D151" s="74" t="s">
        <v>1602</v>
      </c>
      <c r="E151" s="70">
        <f>SUMIFS('K Village'!$D:$D,'K Village'!$B:$B,$A151)</f>
        <v>2</v>
      </c>
      <c r="F151" s="75"/>
      <c r="G151" s="70">
        <f>SUMIFS('Central CL (Department)'!$BO:$BO,'Central CL (Department)'!$A:$A,$A151)</f>
        <v>2</v>
      </c>
      <c r="H151" s="75"/>
      <c r="I151" s="70">
        <f>SUMIFS('Siam Discovery'!$C:$C,'Siam Discovery'!$A:$A,$A151)</f>
        <v>2</v>
      </c>
      <c r="J151" s="75"/>
      <c r="K151" s="70">
        <f>SUMIFS('Paradise Park'!$C:$C,'Paradise Park'!$A:$A,$A151)</f>
        <v>2</v>
      </c>
      <c r="L151" s="75"/>
      <c r="M151" s="70">
        <f>SUMIFS('Central LP'!$D:$D,'Central LP'!$B:$B,$A151)</f>
        <v>1</v>
      </c>
      <c r="N151" s="75"/>
      <c r="O151" s="71">
        <f t="shared" si="4"/>
        <v>9</v>
      </c>
      <c r="P151" s="71">
        <f t="shared" si="5"/>
        <v>0</v>
      </c>
    </row>
    <row r="152" spans="1:16">
      <c r="A152" s="69" t="s">
        <v>445</v>
      </c>
      <c r="B152" s="69" t="s">
        <v>1572</v>
      </c>
      <c r="C152" s="69" t="s">
        <v>1625</v>
      </c>
      <c r="D152" s="74" t="s">
        <v>1603</v>
      </c>
      <c r="E152" s="70">
        <f>SUMIFS('K Village'!$D:$D,'K Village'!$B:$B,$A152)</f>
        <v>0</v>
      </c>
      <c r="F152" s="75"/>
      <c r="G152" s="70">
        <f>SUMIFS('Central CL (Department)'!$BO:$BO,'Central CL (Department)'!$A:$A,$A152)</f>
        <v>0</v>
      </c>
      <c r="H152" s="75"/>
      <c r="I152" s="70">
        <f>SUMIFS('Siam Discovery'!$C:$C,'Siam Discovery'!$A:$A,$A152)</f>
        <v>0</v>
      </c>
      <c r="J152" s="75"/>
      <c r="K152" s="70">
        <f>SUMIFS('Paradise Park'!$C:$C,'Paradise Park'!$A:$A,$A152)</f>
        <v>0</v>
      </c>
      <c r="L152" s="75"/>
      <c r="M152" s="70">
        <f>SUMIFS('Central LP'!$D:$D,'Central LP'!$B:$B,$A152)</f>
        <v>1</v>
      </c>
      <c r="N152" s="75"/>
      <c r="O152" s="71">
        <f t="shared" si="4"/>
        <v>1</v>
      </c>
      <c r="P152" s="71">
        <f t="shared" si="5"/>
        <v>0</v>
      </c>
    </row>
    <row r="153" spans="1:16">
      <c r="A153" s="69" t="s">
        <v>1145</v>
      </c>
      <c r="B153" s="69" t="s">
        <v>1572</v>
      </c>
      <c r="C153" s="69" t="s">
        <v>1625</v>
      </c>
      <c r="D153" s="74" t="s">
        <v>1616</v>
      </c>
      <c r="E153" s="70">
        <f>SUMIFS('K Village'!$D:$D,'K Village'!$B:$B,$A153)</f>
        <v>0</v>
      </c>
      <c r="F153" s="75"/>
      <c r="G153" s="70">
        <f>SUMIFS('Central CL (Department)'!$BO:$BO,'Central CL (Department)'!$A:$A,$A153)</f>
        <v>0</v>
      </c>
      <c r="H153" s="75"/>
      <c r="I153" s="70">
        <f>SUMIFS('Siam Discovery'!$C:$C,'Siam Discovery'!$A:$A,$A153)</f>
        <v>0</v>
      </c>
      <c r="J153" s="75"/>
      <c r="K153" s="70">
        <f>SUMIFS('Paradise Park'!$C:$C,'Paradise Park'!$A:$A,$A153)</f>
        <v>1</v>
      </c>
      <c r="L153" s="75"/>
      <c r="M153" s="70">
        <f>SUMIFS('Central LP'!$D:$D,'Central LP'!$B:$B,$A153)</f>
        <v>0</v>
      </c>
      <c r="N153" s="75"/>
      <c r="O153" s="71">
        <f t="shared" si="4"/>
        <v>1</v>
      </c>
      <c r="P153" s="71">
        <f t="shared" si="5"/>
        <v>0</v>
      </c>
    </row>
    <row r="154" spans="1:16">
      <c r="A154" s="69" t="s">
        <v>286</v>
      </c>
      <c r="B154" s="69" t="s">
        <v>1572</v>
      </c>
      <c r="C154" s="69" t="s">
        <v>1626</v>
      </c>
      <c r="D154" s="74" t="s">
        <v>1598</v>
      </c>
      <c r="E154" s="70">
        <f>SUMIFS('K Village'!$D:$D,'K Village'!$B:$B,$A154)</f>
        <v>0</v>
      </c>
      <c r="F154" s="75"/>
      <c r="G154" s="70">
        <f>SUMIFS('Central CL (Department)'!$BO:$BO,'Central CL (Department)'!$A:$A,$A154)</f>
        <v>0</v>
      </c>
      <c r="H154" s="75"/>
      <c r="I154" s="70">
        <f>SUMIFS('Siam Discovery'!$C:$C,'Siam Discovery'!$A:$A,$A154)</f>
        <v>0</v>
      </c>
      <c r="J154" s="75"/>
      <c r="K154" s="70">
        <f>SUMIFS('Paradise Park'!$C:$C,'Paradise Park'!$A:$A,$A154)</f>
        <v>0</v>
      </c>
      <c r="L154" s="75"/>
      <c r="M154" s="70">
        <f>SUMIFS('Central LP'!$D:$D,'Central LP'!$B:$B,$A154)</f>
        <v>0</v>
      </c>
      <c r="N154" s="75"/>
      <c r="O154" s="71">
        <f t="shared" si="4"/>
        <v>0</v>
      </c>
      <c r="P154" s="71">
        <f t="shared" si="5"/>
        <v>0</v>
      </c>
    </row>
    <row r="155" spans="1:16">
      <c r="A155" s="69" t="s">
        <v>45</v>
      </c>
      <c r="B155" s="69" t="s">
        <v>1572</v>
      </c>
      <c r="C155" s="69" t="s">
        <v>1626</v>
      </c>
      <c r="D155" s="74" t="s">
        <v>1599</v>
      </c>
      <c r="E155" s="70">
        <f>SUMIFS('K Village'!$D:$D,'K Village'!$B:$B,$A155)</f>
        <v>0</v>
      </c>
      <c r="F155" s="75"/>
      <c r="G155" s="70">
        <f>SUMIFS('Central CL (Department)'!$BO:$BO,'Central CL (Department)'!$A:$A,$A155)</f>
        <v>0</v>
      </c>
      <c r="H155" s="75"/>
      <c r="I155" s="70">
        <f>SUMIFS('Siam Discovery'!$C:$C,'Siam Discovery'!$A:$A,$A155)</f>
        <v>0</v>
      </c>
      <c r="J155" s="75"/>
      <c r="K155" s="70">
        <f>SUMIFS('Paradise Park'!$C:$C,'Paradise Park'!$A:$A,$A155)</f>
        <v>0</v>
      </c>
      <c r="L155" s="75"/>
      <c r="M155" s="70">
        <f>SUMIFS('Central LP'!$D:$D,'Central LP'!$B:$B,$A155)</f>
        <v>0</v>
      </c>
      <c r="N155" s="75"/>
      <c r="O155" s="71">
        <f t="shared" si="4"/>
        <v>0</v>
      </c>
      <c r="P155" s="71">
        <f t="shared" si="5"/>
        <v>0</v>
      </c>
    </row>
    <row r="156" spans="1:16">
      <c r="A156" s="69" t="s">
        <v>47</v>
      </c>
      <c r="B156" s="69" t="s">
        <v>1572</v>
      </c>
      <c r="C156" s="69" t="s">
        <v>1626</v>
      </c>
      <c r="D156" s="74" t="s">
        <v>1600</v>
      </c>
      <c r="E156" s="70">
        <f>SUMIFS('K Village'!$D:$D,'K Village'!$B:$B,$A156)</f>
        <v>0</v>
      </c>
      <c r="F156" s="75"/>
      <c r="G156" s="70">
        <f>SUMIFS('Central CL (Department)'!$BO:$BO,'Central CL (Department)'!$A:$A,$A156)</f>
        <v>0</v>
      </c>
      <c r="H156" s="75"/>
      <c r="I156" s="70">
        <f>SUMIFS('Siam Discovery'!$C:$C,'Siam Discovery'!$A:$A,$A156)</f>
        <v>0</v>
      </c>
      <c r="J156" s="75"/>
      <c r="K156" s="70">
        <f>SUMIFS('Paradise Park'!$C:$C,'Paradise Park'!$A:$A,$A156)</f>
        <v>0</v>
      </c>
      <c r="L156" s="75"/>
      <c r="M156" s="70">
        <f>SUMIFS('Central LP'!$D:$D,'Central LP'!$B:$B,$A156)</f>
        <v>0</v>
      </c>
      <c r="N156" s="75"/>
      <c r="O156" s="71">
        <f t="shared" si="4"/>
        <v>0</v>
      </c>
      <c r="P156" s="71">
        <f t="shared" si="5"/>
        <v>0</v>
      </c>
    </row>
    <row r="157" spans="1:16">
      <c r="A157" s="69" t="s">
        <v>49</v>
      </c>
      <c r="B157" s="69" t="s">
        <v>1572</v>
      </c>
      <c r="C157" s="69" t="s">
        <v>1626</v>
      </c>
      <c r="D157" s="74" t="s">
        <v>1601</v>
      </c>
      <c r="E157" s="70">
        <f>SUMIFS('K Village'!$D:$D,'K Village'!$B:$B,$A157)</f>
        <v>0</v>
      </c>
      <c r="F157" s="75"/>
      <c r="G157" s="70">
        <f>SUMIFS('Central CL (Department)'!$BO:$BO,'Central CL (Department)'!$A:$A,$A157)</f>
        <v>0</v>
      </c>
      <c r="H157" s="75"/>
      <c r="I157" s="70">
        <f>SUMIFS('Siam Discovery'!$C:$C,'Siam Discovery'!$A:$A,$A157)</f>
        <v>0</v>
      </c>
      <c r="J157" s="75"/>
      <c r="K157" s="70">
        <f>SUMIFS('Paradise Park'!$C:$C,'Paradise Park'!$A:$A,$A157)</f>
        <v>0</v>
      </c>
      <c r="L157" s="75"/>
      <c r="M157" s="70">
        <f>SUMIFS('Central LP'!$D:$D,'Central LP'!$B:$B,$A157)</f>
        <v>0</v>
      </c>
      <c r="N157" s="75"/>
      <c r="O157" s="71">
        <f t="shared" si="4"/>
        <v>0</v>
      </c>
      <c r="P157" s="71">
        <f t="shared" si="5"/>
        <v>0</v>
      </c>
    </row>
    <row r="158" spans="1:16">
      <c r="A158" s="69" t="s">
        <v>51</v>
      </c>
      <c r="B158" s="69" t="s">
        <v>1572</v>
      </c>
      <c r="C158" s="69" t="s">
        <v>1626</v>
      </c>
      <c r="D158" s="74" t="s">
        <v>1602</v>
      </c>
      <c r="E158" s="70">
        <f>SUMIFS('K Village'!$D:$D,'K Village'!$B:$B,$A158)</f>
        <v>0</v>
      </c>
      <c r="F158" s="75"/>
      <c r="G158" s="70">
        <f>SUMIFS('Central CL (Department)'!$BO:$BO,'Central CL (Department)'!$A:$A,$A158)</f>
        <v>0</v>
      </c>
      <c r="H158" s="75"/>
      <c r="I158" s="70">
        <f>SUMIFS('Siam Discovery'!$C:$C,'Siam Discovery'!$A:$A,$A158)</f>
        <v>0</v>
      </c>
      <c r="J158" s="75"/>
      <c r="K158" s="70">
        <f>SUMIFS('Paradise Park'!$C:$C,'Paradise Park'!$A:$A,$A158)</f>
        <v>0</v>
      </c>
      <c r="L158" s="75"/>
      <c r="M158" s="70">
        <f>SUMIFS('Central LP'!$D:$D,'Central LP'!$B:$B,$A158)</f>
        <v>0</v>
      </c>
      <c r="N158" s="75"/>
      <c r="O158" s="71">
        <f t="shared" si="4"/>
        <v>0</v>
      </c>
      <c r="P158" s="71">
        <f t="shared" si="5"/>
        <v>0</v>
      </c>
    </row>
    <row r="159" spans="1:16">
      <c r="A159" s="69" t="s">
        <v>447</v>
      </c>
      <c r="B159" s="69" t="s">
        <v>1572</v>
      </c>
      <c r="C159" s="69" t="s">
        <v>1627</v>
      </c>
      <c r="D159" s="74" t="s">
        <v>1598</v>
      </c>
      <c r="E159" s="70">
        <f>SUMIFS('K Village'!$D:$D,'K Village'!$B:$B,$A159)</f>
        <v>1</v>
      </c>
      <c r="F159" s="75"/>
      <c r="G159" s="70">
        <f>SUMIFS('Central CL (Department)'!$BO:$BO,'Central CL (Department)'!$A:$A,$A159)</f>
        <v>1</v>
      </c>
      <c r="H159" s="75"/>
      <c r="I159" s="70">
        <f>SUMIFS('Siam Discovery'!$C:$C,'Siam Discovery'!$A:$A,$A159)</f>
        <v>0</v>
      </c>
      <c r="J159" s="75"/>
      <c r="K159" s="70">
        <f>SUMIFS('Paradise Park'!$C:$C,'Paradise Park'!$A:$A,$A159)</f>
        <v>4</v>
      </c>
      <c r="L159" s="75"/>
      <c r="M159" s="70">
        <f>SUMIFS('Central LP'!$D:$D,'Central LP'!$B:$B,$A159)</f>
        <v>2</v>
      </c>
      <c r="N159" s="75"/>
      <c r="O159" s="71">
        <f t="shared" si="4"/>
        <v>8</v>
      </c>
      <c r="P159" s="71">
        <f t="shared" si="5"/>
        <v>0</v>
      </c>
    </row>
    <row r="160" spans="1:16">
      <c r="A160" s="69" t="s">
        <v>449</v>
      </c>
      <c r="B160" s="69" t="s">
        <v>1572</v>
      </c>
      <c r="C160" s="69" t="s">
        <v>1627</v>
      </c>
      <c r="D160" s="74" t="s">
        <v>1599</v>
      </c>
      <c r="E160" s="70">
        <f>SUMIFS('K Village'!$D:$D,'K Village'!$B:$B,$A160)</f>
        <v>2</v>
      </c>
      <c r="F160" s="75"/>
      <c r="G160" s="70">
        <f>SUMIFS('Central CL (Department)'!$BO:$BO,'Central CL (Department)'!$A:$A,$A160)</f>
        <v>2</v>
      </c>
      <c r="H160" s="75"/>
      <c r="I160" s="70">
        <f>SUMIFS('Siam Discovery'!$C:$C,'Siam Discovery'!$A:$A,$A160)</f>
        <v>2</v>
      </c>
      <c r="J160" s="75"/>
      <c r="K160" s="70">
        <f>SUMIFS('Paradise Park'!$C:$C,'Paradise Park'!$A:$A,$A160)</f>
        <v>3</v>
      </c>
      <c r="L160" s="75"/>
      <c r="M160" s="70">
        <f>SUMIFS('Central LP'!$D:$D,'Central LP'!$B:$B,$A160)</f>
        <v>1</v>
      </c>
      <c r="N160" s="75"/>
      <c r="O160" s="71">
        <f t="shared" si="4"/>
        <v>10</v>
      </c>
      <c r="P160" s="71">
        <f t="shared" si="5"/>
        <v>0</v>
      </c>
    </row>
    <row r="161" spans="1:16">
      <c r="A161" s="69" t="s">
        <v>451</v>
      </c>
      <c r="B161" s="69" t="s">
        <v>1572</v>
      </c>
      <c r="C161" s="69" t="s">
        <v>1627</v>
      </c>
      <c r="D161" s="74" t="s">
        <v>1600</v>
      </c>
      <c r="E161" s="70">
        <f>SUMIFS('K Village'!$D:$D,'K Village'!$B:$B,$A161)</f>
        <v>2</v>
      </c>
      <c r="F161" s="75"/>
      <c r="G161" s="70">
        <f>SUMIFS('Central CL (Department)'!$BO:$BO,'Central CL (Department)'!$A:$A,$A161)</f>
        <v>3</v>
      </c>
      <c r="H161" s="75"/>
      <c r="I161" s="70">
        <f>SUMIFS('Siam Discovery'!$C:$C,'Siam Discovery'!$A:$A,$A161)</f>
        <v>2</v>
      </c>
      <c r="J161" s="75"/>
      <c r="K161" s="70">
        <f>SUMIFS('Paradise Park'!$C:$C,'Paradise Park'!$A:$A,$A161)</f>
        <v>2</v>
      </c>
      <c r="L161" s="75"/>
      <c r="M161" s="70">
        <f>SUMIFS('Central LP'!$D:$D,'Central LP'!$B:$B,$A161)</f>
        <v>2</v>
      </c>
      <c r="N161" s="75"/>
      <c r="O161" s="71">
        <f t="shared" si="4"/>
        <v>11</v>
      </c>
      <c r="P161" s="71">
        <f t="shared" si="5"/>
        <v>0</v>
      </c>
    </row>
    <row r="162" spans="1:16">
      <c r="A162" s="69" t="s">
        <v>453</v>
      </c>
      <c r="B162" s="69" t="s">
        <v>1572</v>
      </c>
      <c r="C162" s="69" t="s">
        <v>1627</v>
      </c>
      <c r="D162" s="74" t="s">
        <v>1601</v>
      </c>
      <c r="E162" s="70">
        <f>SUMIFS('K Village'!$D:$D,'K Village'!$B:$B,$A162)</f>
        <v>2</v>
      </c>
      <c r="F162" s="75"/>
      <c r="G162" s="70">
        <f>SUMIFS('Central CL (Department)'!$BO:$BO,'Central CL (Department)'!$A:$A,$A162)</f>
        <v>3</v>
      </c>
      <c r="H162" s="75"/>
      <c r="I162" s="70">
        <f>SUMIFS('Siam Discovery'!$C:$C,'Siam Discovery'!$A:$A,$A162)</f>
        <v>4</v>
      </c>
      <c r="J162" s="75"/>
      <c r="K162" s="70">
        <f>SUMIFS('Paradise Park'!$C:$C,'Paradise Park'!$A:$A,$A162)</f>
        <v>4</v>
      </c>
      <c r="L162" s="75"/>
      <c r="M162" s="70">
        <f>SUMIFS('Central LP'!$D:$D,'Central LP'!$B:$B,$A162)</f>
        <v>3</v>
      </c>
      <c r="N162" s="75"/>
      <c r="O162" s="71">
        <f t="shared" si="4"/>
        <v>16</v>
      </c>
      <c r="P162" s="71">
        <f t="shared" si="5"/>
        <v>0</v>
      </c>
    </row>
    <row r="163" spans="1:16">
      <c r="A163" s="69" t="s">
        <v>455</v>
      </c>
      <c r="B163" s="69" t="s">
        <v>1572</v>
      </c>
      <c r="C163" s="69" t="s">
        <v>1627</v>
      </c>
      <c r="D163" s="74" t="s">
        <v>1602</v>
      </c>
      <c r="E163" s="70">
        <f>SUMIFS('K Village'!$D:$D,'K Village'!$B:$B,$A163)</f>
        <v>0</v>
      </c>
      <c r="F163" s="75"/>
      <c r="G163" s="70">
        <f>SUMIFS('Central CL (Department)'!$BO:$BO,'Central CL (Department)'!$A:$A,$A163)</f>
        <v>2</v>
      </c>
      <c r="H163" s="75"/>
      <c r="I163" s="70">
        <f>SUMIFS('Siam Discovery'!$C:$C,'Siam Discovery'!$A:$A,$A163)</f>
        <v>2</v>
      </c>
      <c r="J163" s="75"/>
      <c r="K163" s="70">
        <f>SUMIFS('Paradise Park'!$C:$C,'Paradise Park'!$A:$A,$A163)</f>
        <v>1</v>
      </c>
      <c r="L163" s="75"/>
      <c r="M163" s="70">
        <f>SUMIFS('Central LP'!$D:$D,'Central LP'!$B:$B,$A163)</f>
        <v>1</v>
      </c>
      <c r="N163" s="75"/>
      <c r="O163" s="71">
        <f t="shared" si="4"/>
        <v>6</v>
      </c>
      <c r="P163" s="71">
        <f t="shared" si="5"/>
        <v>0</v>
      </c>
    </row>
    <row r="164" spans="1:16">
      <c r="A164" s="69" t="s">
        <v>457</v>
      </c>
      <c r="B164" s="69" t="s">
        <v>1572</v>
      </c>
      <c r="C164" s="69" t="s">
        <v>1627</v>
      </c>
      <c r="D164" s="74" t="s">
        <v>1603</v>
      </c>
      <c r="E164" s="70">
        <f>SUMIFS('K Village'!$D:$D,'K Village'!$B:$B,$A164)</f>
        <v>2</v>
      </c>
      <c r="F164" s="75"/>
      <c r="G164" s="70">
        <f>SUMIFS('Central CL (Department)'!$BO:$BO,'Central CL (Department)'!$A:$A,$A164)</f>
        <v>1</v>
      </c>
      <c r="H164" s="75"/>
      <c r="I164" s="70">
        <f>SUMIFS('Siam Discovery'!$C:$C,'Siam Discovery'!$A:$A,$A164)</f>
        <v>1</v>
      </c>
      <c r="J164" s="75"/>
      <c r="K164" s="70">
        <f>SUMIFS('Paradise Park'!$C:$C,'Paradise Park'!$A:$A,$A164)</f>
        <v>3</v>
      </c>
      <c r="L164" s="75"/>
      <c r="M164" s="70">
        <f>SUMIFS('Central LP'!$D:$D,'Central LP'!$B:$B,$A164)</f>
        <v>1</v>
      </c>
      <c r="N164" s="75"/>
      <c r="O164" s="71">
        <f t="shared" si="4"/>
        <v>8</v>
      </c>
      <c r="P164" s="71">
        <f t="shared" si="5"/>
        <v>0</v>
      </c>
    </row>
    <row r="165" spans="1:16">
      <c r="A165" s="69" t="s">
        <v>1143</v>
      </c>
      <c r="B165" s="69" t="s">
        <v>1572</v>
      </c>
      <c r="C165" s="69" t="s">
        <v>1628</v>
      </c>
      <c r="D165" s="74" t="s">
        <v>1620</v>
      </c>
      <c r="E165" s="70">
        <f>SUMIFS('K Village'!$D:$D,'K Village'!$B:$B,$A165)</f>
        <v>1</v>
      </c>
      <c r="F165" s="75"/>
      <c r="G165" s="70">
        <f>SUMIFS('Central CL (Department)'!$BO:$BO,'Central CL (Department)'!$A:$A,$A165)</f>
        <v>0</v>
      </c>
      <c r="H165" s="75"/>
      <c r="I165" s="70">
        <f>SUMIFS('Siam Discovery'!$C:$C,'Siam Discovery'!$A:$A,$A165)</f>
        <v>0</v>
      </c>
      <c r="J165" s="75"/>
      <c r="K165" s="70">
        <f>SUMIFS('Paradise Park'!$C:$C,'Paradise Park'!$A:$A,$A165)</f>
        <v>2</v>
      </c>
      <c r="L165" s="75"/>
      <c r="M165" s="70">
        <f>SUMIFS('Central LP'!$D:$D,'Central LP'!$B:$B,$A165)</f>
        <v>0</v>
      </c>
      <c r="N165" s="75"/>
      <c r="O165" s="71">
        <f t="shared" si="4"/>
        <v>3</v>
      </c>
      <c r="P165" s="71">
        <f t="shared" si="5"/>
        <v>0</v>
      </c>
    </row>
    <row r="166" spans="1:16">
      <c r="A166" s="69" t="s">
        <v>1141</v>
      </c>
      <c r="B166" s="69" t="s">
        <v>1572</v>
      </c>
      <c r="C166" s="69" t="s">
        <v>1628</v>
      </c>
      <c r="D166" s="74" t="s">
        <v>1598</v>
      </c>
      <c r="E166" s="70">
        <f>SUMIFS('K Village'!$D:$D,'K Village'!$B:$B,$A166)</f>
        <v>1</v>
      </c>
      <c r="F166" s="75"/>
      <c r="G166" s="70">
        <f>SUMIFS('Central CL (Department)'!$BO:$BO,'Central CL (Department)'!$A:$A,$A166)</f>
        <v>0</v>
      </c>
      <c r="H166" s="75"/>
      <c r="I166" s="70">
        <f>SUMIFS('Siam Discovery'!$C:$C,'Siam Discovery'!$A:$A,$A166)</f>
        <v>0</v>
      </c>
      <c r="J166" s="75"/>
      <c r="K166" s="70">
        <f>SUMIFS('Paradise Park'!$C:$C,'Paradise Park'!$A:$A,$A166)</f>
        <v>2</v>
      </c>
      <c r="L166" s="75"/>
      <c r="M166" s="70">
        <f>SUMIFS('Central LP'!$D:$D,'Central LP'!$B:$B,$A166)</f>
        <v>0</v>
      </c>
      <c r="N166" s="75"/>
      <c r="O166" s="71">
        <f t="shared" si="4"/>
        <v>3</v>
      </c>
      <c r="P166" s="71">
        <f t="shared" si="5"/>
        <v>0</v>
      </c>
    </row>
    <row r="167" spans="1:16">
      <c r="A167" s="69" t="s">
        <v>1139</v>
      </c>
      <c r="B167" s="69" t="s">
        <v>1572</v>
      </c>
      <c r="C167" s="69" t="s">
        <v>1628</v>
      </c>
      <c r="D167" s="74" t="s">
        <v>1599</v>
      </c>
      <c r="E167" s="70">
        <f>SUMIFS('K Village'!$D:$D,'K Village'!$B:$B,$A167)</f>
        <v>0</v>
      </c>
      <c r="F167" s="75"/>
      <c r="G167" s="70">
        <f>SUMIFS('Central CL (Department)'!$BO:$BO,'Central CL (Department)'!$A:$A,$A167)</f>
        <v>0</v>
      </c>
      <c r="H167" s="75"/>
      <c r="I167" s="70">
        <f>SUMIFS('Siam Discovery'!$C:$C,'Siam Discovery'!$A:$A,$A167)</f>
        <v>0</v>
      </c>
      <c r="J167" s="75"/>
      <c r="K167" s="70">
        <f>SUMIFS('Paradise Park'!$C:$C,'Paradise Park'!$A:$A,$A167)</f>
        <v>1</v>
      </c>
      <c r="L167" s="75"/>
      <c r="M167" s="70">
        <f>SUMIFS('Central LP'!$D:$D,'Central LP'!$B:$B,$A167)</f>
        <v>0</v>
      </c>
      <c r="N167" s="75"/>
      <c r="O167" s="71">
        <f t="shared" si="4"/>
        <v>1</v>
      </c>
      <c r="P167" s="71">
        <f t="shared" si="5"/>
        <v>0</v>
      </c>
    </row>
    <row r="168" spans="1:16">
      <c r="A168" s="69" t="s">
        <v>1137</v>
      </c>
      <c r="B168" s="69" t="s">
        <v>1572</v>
      </c>
      <c r="C168" s="69" t="s">
        <v>1628</v>
      </c>
      <c r="D168" s="74" t="s">
        <v>1600</v>
      </c>
      <c r="E168" s="70">
        <v>4</v>
      </c>
      <c r="F168" s="75"/>
      <c r="G168" s="70">
        <f>SUMIFS('Central CL (Department)'!$BO:$BO,'Central CL (Department)'!$A:$A,$A168)</f>
        <v>0</v>
      </c>
      <c r="H168" s="75"/>
      <c r="I168" s="70">
        <f>SUMIFS('Siam Discovery'!$C:$C,'Siam Discovery'!$A:$A,$A168)</f>
        <v>0</v>
      </c>
      <c r="J168" s="75"/>
      <c r="K168" s="70">
        <f>SUMIFS('Paradise Park'!$C:$C,'Paradise Park'!$A:$A,$A168)</f>
        <v>0</v>
      </c>
      <c r="L168" s="75"/>
      <c r="M168" s="70">
        <f>SUMIFS('Central LP'!$D:$D,'Central LP'!$B:$B,$A168)</f>
        <v>0</v>
      </c>
      <c r="N168" s="75"/>
      <c r="O168" s="71">
        <f t="shared" si="4"/>
        <v>4</v>
      </c>
      <c r="P168" s="71">
        <f t="shared" si="5"/>
        <v>0</v>
      </c>
    </row>
    <row r="169" spans="1:16">
      <c r="A169" s="69" t="s">
        <v>1135</v>
      </c>
      <c r="B169" s="69" t="s">
        <v>1572</v>
      </c>
      <c r="C169" s="69" t="s">
        <v>1628</v>
      </c>
      <c r="D169" s="74" t="s">
        <v>1601</v>
      </c>
      <c r="E169" s="70">
        <v>1</v>
      </c>
      <c r="F169" s="75"/>
      <c r="G169" s="70">
        <f>SUMIFS('Central CL (Department)'!$BO:$BO,'Central CL (Department)'!$A:$A,$A169)</f>
        <v>0</v>
      </c>
      <c r="H169" s="75"/>
      <c r="I169" s="70">
        <f>SUMIFS('Siam Discovery'!$C:$C,'Siam Discovery'!$A:$A,$A169)</f>
        <v>0</v>
      </c>
      <c r="J169" s="75"/>
      <c r="K169" s="70">
        <f>SUMIFS('Paradise Park'!$C:$C,'Paradise Park'!$A:$A,$A169)</f>
        <v>3</v>
      </c>
      <c r="L169" s="75"/>
      <c r="M169" s="70">
        <f>SUMIFS('Central LP'!$D:$D,'Central LP'!$B:$B,$A169)</f>
        <v>0</v>
      </c>
      <c r="N169" s="75"/>
      <c r="O169" s="71">
        <f t="shared" si="4"/>
        <v>4</v>
      </c>
      <c r="P169" s="71">
        <f t="shared" si="5"/>
        <v>0</v>
      </c>
    </row>
    <row r="170" spans="1:16">
      <c r="A170" s="69" t="s">
        <v>1134</v>
      </c>
      <c r="B170" s="69" t="s">
        <v>1572</v>
      </c>
      <c r="C170" s="69" t="s">
        <v>1628</v>
      </c>
      <c r="D170" s="74" t="s">
        <v>1602</v>
      </c>
      <c r="E170" s="70">
        <f>SUMIFS('K Village'!$D:$D,'K Village'!$B:$B,$A170)</f>
        <v>2</v>
      </c>
      <c r="F170" s="75"/>
      <c r="G170" s="70">
        <f>SUMIFS('Central CL (Department)'!$BO:$BO,'Central CL (Department)'!$A:$A,$A170)</f>
        <v>0</v>
      </c>
      <c r="H170" s="75"/>
      <c r="I170" s="70">
        <f>SUMIFS('Siam Discovery'!$C:$C,'Siam Discovery'!$A:$A,$A170)</f>
        <v>0</v>
      </c>
      <c r="J170" s="75"/>
      <c r="K170" s="70">
        <f>SUMIFS('Paradise Park'!$C:$C,'Paradise Park'!$A:$A,$A170)</f>
        <v>2</v>
      </c>
      <c r="L170" s="75"/>
      <c r="M170" s="70">
        <f>SUMIFS('Central LP'!$D:$D,'Central LP'!$B:$B,$A170)</f>
        <v>0</v>
      </c>
      <c r="N170" s="75"/>
      <c r="O170" s="71">
        <f t="shared" si="4"/>
        <v>4</v>
      </c>
      <c r="P170" s="71">
        <f t="shared" si="5"/>
        <v>0</v>
      </c>
    </row>
    <row r="171" spans="1:16">
      <c r="A171" s="69" t="s">
        <v>1132</v>
      </c>
      <c r="B171" s="69" t="s">
        <v>1572</v>
      </c>
      <c r="C171" s="69" t="s">
        <v>1628</v>
      </c>
      <c r="D171" s="74" t="s">
        <v>1603</v>
      </c>
      <c r="E171" s="70">
        <f>SUMIFS('K Village'!$D:$D,'K Village'!$B:$B,$A171)</f>
        <v>1</v>
      </c>
      <c r="F171" s="75"/>
      <c r="G171" s="70">
        <f>SUMIFS('Central CL (Department)'!$BO:$BO,'Central CL (Department)'!$A:$A,$A171)</f>
        <v>0</v>
      </c>
      <c r="H171" s="75"/>
      <c r="I171" s="70">
        <f>SUMIFS('Siam Discovery'!$C:$C,'Siam Discovery'!$A:$A,$A171)</f>
        <v>0</v>
      </c>
      <c r="J171" s="75"/>
      <c r="K171" s="70">
        <f>SUMIFS('Paradise Park'!$C:$C,'Paradise Park'!$A:$A,$A171)</f>
        <v>2</v>
      </c>
      <c r="L171" s="75"/>
      <c r="M171" s="70">
        <f>SUMIFS('Central LP'!$D:$D,'Central LP'!$B:$B,$A171)</f>
        <v>0</v>
      </c>
      <c r="N171" s="75"/>
      <c r="O171" s="71">
        <f t="shared" si="4"/>
        <v>3</v>
      </c>
      <c r="P171" s="71">
        <f t="shared" si="5"/>
        <v>0</v>
      </c>
    </row>
    <row r="172" spans="1:16">
      <c r="A172" s="69" t="s">
        <v>1130</v>
      </c>
      <c r="B172" s="69" t="s">
        <v>1572</v>
      </c>
      <c r="C172" s="69" t="s">
        <v>1628</v>
      </c>
      <c r="D172" s="74" t="s">
        <v>1616</v>
      </c>
      <c r="E172" s="70">
        <f>SUMIFS('K Village'!$D:$D,'K Village'!$B:$B,$A172)</f>
        <v>1</v>
      </c>
      <c r="F172" s="75"/>
      <c r="G172" s="70">
        <f>SUMIFS('Central CL (Department)'!$BO:$BO,'Central CL (Department)'!$A:$A,$A172)</f>
        <v>0</v>
      </c>
      <c r="H172" s="75"/>
      <c r="I172" s="70">
        <f>SUMIFS('Siam Discovery'!$C:$C,'Siam Discovery'!$A:$A,$A172)</f>
        <v>0</v>
      </c>
      <c r="J172" s="75"/>
      <c r="K172" s="70">
        <f>SUMIFS('Paradise Park'!$C:$C,'Paradise Park'!$A:$A,$A172)</f>
        <v>2</v>
      </c>
      <c r="L172" s="75"/>
      <c r="M172" s="70">
        <f>SUMIFS('Central LP'!$D:$D,'Central LP'!$B:$B,$A172)</f>
        <v>0</v>
      </c>
      <c r="N172" s="75"/>
      <c r="O172" s="71">
        <f t="shared" si="4"/>
        <v>3</v>
      </c>
      <c r="P172" s="71">
        <f t="shared" si="5"/>
        <v>0</v>
      </c>
    </row>
    <row r="173" spans="1:16">
      <c r="A173" s="69" t="s">
        <v>467</v>
      </c>
      <c r="B173" s="69" t="s">
        <v>1572</v>
      </c>
      <c r="C173" s="69" t="s">
        <v>1629</v>
      </c>
      <c r="D173" s="74" t="s">
        <v>1598</v>
      </c>
      <c r="E173" s="70">
        <f>SUMIFS('K Village'!$D:$D,'K Village'!$B:$B,$A173)</f>
        <v>1</v>
      </c>
      <c r="F173" s="75"/>
      <c r="G173" s="70">
        <f>SUMIFS('Central CL (Department)'!$BO:$BO,'Central CL (Department)'!$A:$A,$A173)</f>
        <v>2</v>
      </c>
      <c r="H173" s="75"/>
      <c r="I173" s="70">
        <f>SUMIFS('Siam Discovery'!$C:$C,'Siam Discovery'!$A:$A,$A173)</f>
        <v>0</v>
      </c>
      <c r="J173" s="75"/>
      <c r="K173" s="70">
        <f>SUMIFS('Paradise Park'!$C:$C,'Paradise Park'!$A:$A,$A173)</f>
        <v>0</v>
      </c>
      <c r="L173" s="75"/>
      <c r="M173" s="70">
        <f>SUMIFS('Central LP'!$D:$D,'Central LP'!$B:$B,$A173)</f>
        <v>2</v>
      </c>
      <c r="N173" s="75"/>
      <c r="O173" s="71">
        <f t="shared" si="4"/>
        <v>5</v>
      </c>
      <c r="P173" s="71">
        <f t="shared" si="5"/>
        <v>0</v>
      </c>
    </row>
    <row r="174" spans="1:16">
      <c r="A174" s="69" t="s">
        <v>469</v>
      </c>
      <c r="B174" s="69" t="s">
        <v>1572</v>
      </c>
      <c r="C174" s="69" t="s">
        <v>1629</v>
      </c>
      <c r="D174" s="74" t="s">
        <v>1599</v>
      </c>
      <c r="E174" s="70">
        <f>SUMIFS('K Village'!$D:$D,'K Village'!$B:$B,$A174)</f>
        <v>2</v>
      </c>
      <c r="F174" s="75"/>
      <c r="G174" s="70">
        <f>SUMIFS('Central CL (Department)'!$BO:$BO,'Central CL (Department)'!$A:$A,$A174)</f>
        <v>2</v>
      </c>
      <c r="H174" s="75"/>
      <c r="I174" s="70">
        <f>SUMIFS('Siam Discovery'!$C:$C,'Siam Discovery'!$A:$A,$A174)</f>
        <v>3</v>
      </c>
      <c r="J174" s="75"/>
      <c r="K174" s="70">
        <f>SUMIFS('Paradise Park'!$C:$C,'Paradise Park'!$A:$A,$A174)</f>
        <v>2</v>
      </c>
      <c r="L174" s="75"/>
      <c r="M174" s="70">
        <f>SUMIFS('Central LP'!$D:$D,'Central LP'!$B:$B,$A174)</f>
        <v>2</v>
      </c>
      <c r="N174" s="75"/>
      <c r="O174" s="71">
        <f t="shared" si="4"/>
        <v>11</v>
      </c>
      <c r="P174" s="71">
        <f t="shared" si="5"/>
        <v>0</v>
      </c>
    </row>
    <row r="175" spans="1:16">
      <c r="A175" s="69" t="s">
        <v>471</v>
      </c>
      <c r="B175" s="69" t="s">
        <v>1572</v>
      </c>
      <c r="C175" s="69" t="s">
        <v>1629</v>
      </c>
      <c r="D175" s="74" t="s">
        <v>1600</v>
      </c>
      <c r="E175" s="70">
        <f>SUMIFS('K Village'!$D:$D,'K Village'!$B:$B,$A175)</f>
        <v>2</v>
      </c>
      <c r="F175" s="75"/>
      <c r="G175" s="70">
        <f>SUMIFS('Central CL (Department)'!$BO:$BO,'Central CL (Department)'!$A:$A,$A175)</f>
        <v>4</v>
      </c>
      <c r="H175" s="75"/>
      <c r="I175" s="70">
        <f>SUMIFS('Siam Discovery'!$C:$C,'Siam Discovery'!$A:$A,$A175)</f>
        <v>3</v>
      </c>
      <c r="J175" s="75"/>
      <c r="K175" s="70">
        <f>SUMIFS('Paradise Park'!$C:$C,'Paradise Park'!$A:$A,$A175)</f>
        <v>4</v>
      </c>
      <c r="L175" s="75"/>
      <c r="M175" s="70">
        <f>SUMIFS('Central LP'!$D:$D,'Central LP'!$B:$B,$A175)</f>
        <v>1</v>
      </c>
      <c r="N175" s="75"/>
      <c r="O175" s="71">
        <f t="shared" si="4"/>
        <v>14</v>
      </c>
      <c r="P175" s="71">
        <f t="shared" si="5"/>
        <v>0</v>
      </c>
    </row>
    <row r="176" spans="1:16">
      <c r="A176" s="69" t="s">
        <v>473</v>
      </c>
      <c r="B176" s="69" t="s">
        <v>1572</v>
      </c>
      <c r="C176" s="69" t="s">
        <v>1629</v>
      </c>
      <c r="D176" s="74" t="s">
        <v>1601</v>
      </c>
      <c r="E176" s="70">
        <f>SUMIFS('K Village'!$D:$D,'K Village'!$B:$B,$A176)</f>
        <v>3</v>
      </c>
      <c r="F176" s="75"/>
      <c r="G176" s="70">
        <f>SUMIFS('Central CL (Department)'!$BO:$BO,'Central CL (Department)'!$A:$A,$A176)</f>
        <v>5</v>
      </c>
      <c r="H176" s="75"/>
      <c r="I176" s="70">
        <f>SUMIFS('Siam Discovery'!$C:$C,'Siam Discovery'!$A:$A,$A176)</f>
        <v>2</v>
      </c>
      <c r="J176" s="75"/>
      <c r="K176" s="70">
        <f>SUMIFS('Paradise Park'!$C:$C,'Paradise Park'!$A:$A,$A176)</f>
        <v>4</v>
      </c>
      <c r="L176" s="75"/>
      <c r="M176" s="70">
        <f>SUMIFS('Central LP'!$D:$D,'Central LP'!$B:$B,$A176)</f>
        <v>4</v>
      </c>
      <c r="N176" s="75"/>
      <c r="O176" s="71">
        <f t="shared" si="4"/>
        <v>18</v>
      </c>
      <c r="P176" s="71">
        <f t="shared" si="5"/>
        <v>0</v>
      </c>
    </row>
    <row r="177" spans="1:16">
      <c r="A177" s="69" t="s">
        <v>475</v>
      </c>
      <c r="B177" s="69" t="s">
        <v>1572</v>
      </c>
      <c r="C177" s="69" t="s">
        <v>1629</v>
      </c>
      <c r="D177" s="74" t="s">
        <v>1602</v>
      </c>
      <c r="E177" s="70">
        <f>SUMIFS('K Village'!$D:$D,'K Village'!$B:$B,$A177)</f>
        <v>1</v>
      </c>
      <c r="F177" s="75"/>
      <c r="G177" s="70">
        <f>SUMIFS('Central CL (Department)'!$BO:$BO,'Central CL (Department)'!$A:$A,$A177)</f>
        <v>2</v>
      </c>
      <c r="H177" s="75"/>
      <c r="I177" s="70">
        <f>SUMIFS('Siam Discovery'!$C:$C,'Siam Discovery'!$A:$A,$A177)</f>
        <v>2</v>
      </c>
      <c r="J177" s="75"/>
      <c r="K177" s="70">
        <f>SUMIFS('Paradise Park'!$C:$C,'Paradise Park'!$A:$A,$A177)</f>
        <v>2</v>
      </c>
      <c r="L177" s="75"/>
      <c r="M177" s="70">
        <f>SUMIFS('Central LP'!$D:$D,'Central LP'!$B:$B,$A177)</f>
        <v>1</v>
      </c>
      <c r="N177" s="75"/>
      <c r="O177" s="71">
        <f t="shared" si="4"/>
        <v>8</v>
      </c>
      <c r="P177" s="71">
        <f t="shared" si="5"/>
        <v>0</v>
      </c>
    </row>
    <row r="178" spans="1:16">
      <c r="A178" s="69" t="s">
        <v>477</v>
      </c>
      <c r="B178" s="69" t="s">
        <v>1572</v>
      </c>
      <c r="C178" s="69" t="s">
        <v>1629</v>
      </c>
      <c r="D178" s="74" t="s">
        <v>1603</v>
      </c>
      <c r="E178" s="70">
        <f>SUMIFS('K Village'!$D:$D,'K Village'!$B:$B,$A178)</f>
        <v>0</v>
      </c>
      <c r="F178" s="75"/>
      <c r="G178" s="70">
        <f>SUMIFS('Central CL (Department)'!$BO:$BO,'Central CL (Department)'!$A:$A,$A178)</f>
        <v>1</v>
      </c>
      <c r="H178" s="75"/>
      <c r="I178" s="70">
        <f>SUMIFS('Siam Discovery'!$C:$C,'Siam Discovery'!$A:$A,$A178)</f>
        <v>1</v>
      </c>
      <c r="J178" s="75"/>
      <c r="K178" s="70">
        <f>SUMIFS('Paradise Park'!$C:$C,'Paradise Park'!$A:$A,$A178)</f>
        <v>2</v>
      </c>
      <c r="L178" s="75"/>
      <c r="M178" s="70">
        <f>SUMIFS('Central LP'!$D:$D,'Central LP'!$B:$B,$A178)</f>
        <v>1</v>
      </c>
      <c r="N178" s="75"/>
      <c r="O178" s="71">
        <f t="shared" si="4"/>
        <v>5</v>
      </c>
      <c r="P178" s="71">
        <f t="shared" si="5"/>
        <v>0</v>
      </c>
    </row>
    <row r="179" spans="1:16">
      <c r="A179" s="69" t="s">
        <v>1128</v>
      </c>
      <c r="B179" s="69" t="s">
        <v>1572</v>
      </c>
      <c r="C179" s="69" t="s">
        <v>1630</v>
      </c>
      <c r="D179" s="74" t="s">
        <v>1620</v>
      </c>
      <c r="E179" s="70">
        <f>SUMIFS('K Village'!$D:$D,'K Village'!$B:$B,$A179)</f>
        <v>2</v>
      </c>
      <c r="F179" s="75"/>
      <c r="G179" s="70">
        <f>SUMIFS('Central CL (Department)'!$BO:$BO,'Central CL (Department)'!$A:$A,$A179)</f>
        <v>0</v>
      </c>
      <c r="H179" s="75"/>
      <c r="I179" s="70">
        <f>SUMIFS('Siam Discovery'!$C:$C,'Siam Discovery'!$A:$A,$A179)</f>
        <v>0</v>
      </c>
      <c r="J179" s="75"/>
      <c r="K179" s="70">
        <f>SUMIFS('Paradise Park'!$C:$C,'Paradise Park'!$A:$A,$A179)</f>
        <v>1</v>
      </c>
      <c r="L179" s="75"/>
      <c r="M179" s="70">
        <f>SUMIFS('Central LP'!$D:$D,'Central LP'!$B:$B,$A179)</f>
        <v>1</v>
      </c>
      <c r="N179" s="75"/>
      <c r="O179" s="71">
        <f t="shared" si="4"/>
        <v>4</v>
      </c>
      <c r="P179" s="71">
        <f t="shared" si="5"/>
        <v>0</v>
      </c>
    </row>
    <row r="180" spans="1:16">
      <c r="A180" s="69" t="s">
        <v>31</v>
      </c>
      <c r="B180" s="69" t="s">
        <v>1572</v>
      </c>
      <c r="C180" s="69" t="s">
        <v>1630</v>
      </c>
      <c r="D180" s="74" t="s">
        <v>1598</v>
      </c>
      <c r="E180" s="70">
        <f>SUMIFS('K Village'!$D:$D,'K Village'!$B:$B,$A180)</f>
        <v>0</v>
      </c>
      <c r="F180" s="75"/>
      <c r="G180" s="70">
        <f>SUMIFS('Central CL (Department)'!$BO:$BO,'Central CL (Department)'!$A:$A,$A180)</f>
        <v>0</v>
      </c>
      <c r="H180" s="75"/>
      <c r="I180" s="70">
        <f>SUMIFS('Siam Discovery'!$C:$C,'Siam Discovery'!$A:$A,$A180)</f>
        <v>0</v>
      </c>
      <c r="J180" s="75"/>
      <c r="K180" s="70">
        <f>SUMIFS('Paradise Park'!$C:$C,'Paradise Park'!$A:$A,$A180)</f>
        <v>0</v>
      </c>
      <c r="L180" s="75"/>
      <c r="M180" s="70">
        <f>SUMIFS('Central LP'!$D:$D,'Central LP'!$B:$B,$A180)</f>
        <v>2</v>
      </c>
      <c r="N180" s="75"/>
      <c r="O180" s="71">
        <f t="shared" si="4"/>
        <v>2</v>
      </c>
      <c r="P180" s="71">
        <f t="shared" si="5"/>
        <v>0</v>
      </c>
    </row>
    <row r="181" spans="1:16">
      <c r="A181" s="69" t="s">
        <v>33</v>
      </c>
      <c r="B181" s="69" t="s">
        <v>1572</v>
      </c>
      <c r="C181" s="69" t="s">
        <v>1630</v>
      </c>
      <c r="D181" s="74" t="s">
        <v>1599</v>
      </c>
      <c r="E181" s="70">
        <f>SUMIFS('K Village'!$D:$D,'K Village'!$B:$B,$A181)</f>
        <v>1</v>
      </c>
      <c r="F181" s="75"/>
      <c r="G181" s="70">
        <f>SUMIFS('Central CL (Department)'!$BO:$BO,'Central CL (Department)'!$A:$A,$A181)</f>
        <v>0</v>
      </c>
      <c r="H181" s="75"/>
      <c r="I181" s="70">
        <f>SUMIFS('Siam Discovery'!$C:$C,'Siam Discovery'!$A:$A,$A181)</f>
        <v>0</v>
      </c>
      <c r="J181" s="75"/>
      <c r="K181" s="70">
        <f>SUMIFS('Paradise Park'!$C:$C,'Paradise Park'!$A:$A,$A181)</f>
        <v>3</v>
      </c>
      <c r="L181" s="75"/>
      <c r="M181" s="70">
        <f>SUMIFS('Central LP'!$D:$D,'Central LP'!$B:$B,$A181)</f>
        <v>2</v>
      </c>
      <c r="N181" s="75"/>
      <c r="O181" s="71">
        <f t="shared" si="4"/>
        <v>6</v>
      </c>
      <c r="P181" s="71">
        <f t="shared" si="5"/>
        <v>0</v>
      </c>
    </row>
    <row r="182" spans="1:16">
      <c r="A182" s="69" t="s">
        <v>35</v>
      </c>
      <c r="B182" s="69" t="s">
        <v>1572</v>
      </c>
      <c r="C182" s="69" t="s">
        <v>1630</v>
      </c>
      <c r="D182" s="74" t="s">
        <v>1600</v>
      </c>
      <c r="E182" s="70">
        <f>SUMIFS('K Village'!$D:$D,'K Village'!$B:$B,$A182)</f>
        <v>1</v>
      </c>
      <c r="F182" s="75"/>
      <c r="G182" s="70">
        <f>SUMIFS('Central CL (Department)'!$BO:$BO,'Central CL (Department)'!$A:$A,$A182)</f>
        <v>0</v>
      </c>
      <c r="H182" s="75"/>
      <c r="I182" s="70">
        <f>SUMIFS('Siam Discovery'!$C:$C,'Siam Discovery'!$A:$A,$A182)</f>
        <v>0</v>
      </c>
      <c r="J182" s="75"/>
      <c r="K182" s="70">
        <f>SUMIFS('Paradise Park'!$C:$C,'Paradise Park'!$A:$A,$A182)</f>
        <v>2</v>
      </c>
      <c r="L182" s="75"/>
      <c r="M182" s="70">
        <f>SUMIFS('Central LP'!$D:$D,'Central LP'!$B:$B,$A182)</f>
        <v>2</v>
      </c>
      <c r="N182" s="75"/>
      <c r="O182" s="71">
        <f t="shared" si="4"/>
        <v>5</v>
      </c>
      <c r="P182" s="71">
        <f t="shared" si="5"/>
        <v>0</v>
      </c>
    </row>
    <row r="183" spans="1:16">
      <c r="A183" s="69" t="s">
        <v>37</v>
      </c>
      <c r="B183" s="69" t="s">
        <v>1572</v>
      </c>
      <c r="C183" s="69" t="s">
        <v>1630</v>
      </c>
      <c r="D183" s="74" t="s">
        <v>1601</v>
      </c>
      <c r="E183" s="70">
        <f>SUMIFS('K Village'!$D:$D,'K Village'!$B:$B,$A183)</f>
        <v>2</v>
      </c>
      <c r="F183" s="75"/>
      <c r="G183" s="70">
        <f>SUMIFS('Central CL (Department)'!$BO:$BO,'Central CL (Department)'!$A:$A,$A183)</f>
        <v>1</v>
      </c>
      <c r="H183" s="75"/>
      <c r="I183" s="70">
        <f>SUMIFS('Siam Discovery'!$C:$C,'Siam Discovery'!$A:$A,$A183)</f>
        <v>5</v>
      </c>
      <c r="J183" s="75"/>
      <c r="K183" s="70">
        <f>SUMIFS('Paradise Park'!$C:$C,'Paradise Park'!$A:$A,$A183)</f>
        <v>5</v>
      </c>
      <c r="L183" s="75"/>
      <c r="M183" s="70">
        <f>SUMIFS('Central LP'!$D:$D,'Central LP'!$B:$B,$A183)</f>
        <v>4</v>
      </c>
      <c r="N183" s="75"/>
      <c r="O183" s="71">
        <f t="shared" si="4"/>
        <v>17</v>
      </c>
      <c r="P183" s="71">
        <f t="shared" si="5"/>
        <v>0</v>
      </c>
    </row>
    <row r="184" spans="1:16">
      <c r="A184" s="69" t="s">
        <v>39</v>
      </c>
      <c r="B184" s="69" t="s">
        <v>1572</v>
      </c>
      <c r="C184" s="69" t="s">
        <v>1630</v>
      </c>
      <c r="D184" s="74" t="s">
        <v>1602</v>
      </c>
      <c r="E184" s="70">
        <f>SUMIFS('K Village'!$D:$D,'K Village'!$B:$B,$A184)</f>
        <v>1</v>
      </c>
      <c r="F184" s="75"/>
      <c r="G184" s="70">
        <f>SUMIFS('Central CL (Department)'!$BO:$BO,'Central CL (Department)'!$A:$A,$A184)</f>
        <v>0</v>
      </c>
      <c r="H184" s="75"/>
      <c r="I184" s="70">
        <f>SUMIFS('Siam Discovery'!$C:$C,'Siam Discovery'!$A:$A,$A184)</f>
        <v>0</v>
      </c>
      <c r="J184" s="75"/>
      <c r="K184" s="70">
        <f>SUMIFS('Paradise Park'!$C:$C,'Paradise Park'!$A:$A,$A184)</f>
        <v>2</v>
      </c>
      <c r="L184" s="75"/>
      <c r="M184" s="70">
        <f>SUMIFS('Central LP'!$D:$D,'Central LP'!$B:$B,$A184)</f>
        <v>1</v>
      </c>
      <c r="N184" s="75"/>
      <c r="O184" s="71">
        <f t="shared" si="4"/>
        <v>4</v>
      </c>
      <c r="P184" s="71">
        <f t="shared" si="5"/>
        <v>0</v>
      </c>
    </row>
    <row r="185" spans="1:16">
      <c r="A185" s="69" t="s">
        <v>41</v>
      </c>
      <c r="B185" s="69" t="s">
        <v>1572</v>
      </c>
      <c r="C185" s="69" t="s">
        <v>1630</v>
      </c>
      <c r="D185" s="74" t="s">
        <v>1603</v>
      </c>
      <c r="E185" s="70">
        <f>SUMIFS('K Village'!$D:$D,'K Village'!$B:$B,$A185)</f>
        <v>0</v>
      </c>
      <c r="F185" s="75"/>
      <c r="G185" s="70">
        <f>SUMIFS('Central CL (Department)'!$BO:$BO,'Central CL (Department)'!$A:$A,$A185)</f>
        <v>0</v>
      </c>
      <c r="H185" s="75"/>
      <c r="I185" s="70">
        <f>SUMIFS('Siam Discovery'!$C:$C,'Siam Discovery'!$A:$A,$A185)</f>
        <v>0</v>
      </c>
      <c r="J185" s="75"/>
      <c r="K185" s="70">
        <f>SUMIFS('Paradise Park'!$C:$C,'Paradise Park'!$A:$A,$A185)</f>
        <v>1</v>
      </c>
      <c r="L185" s="75"/>
      <c r="M185" s="70">
        <f>SUMIFS('Central LP'!$D:$D,'Central LP'!$B:$B,$A185)</f>
        <v>1</v>
      </c>
      <c r="N185" s="75"/>
      <c r="O185" s="71">
        <f t="shared" si="4"/>
        <v>2</v>
      </c>
      <c r="P185" s="71">
        <f t="shared" si="5"/>
        <v>0</v>
      </c>
    </row>
    <row r="186" spans="1:16">
      <c r="A186" s="69" t="s">
        <v>43</v>
      </c>
      <c r="B186" s="69" t="s">
        <v>1572</v>
      </c>
      <c r="C186" s="69" t="s">
        <v>1630</v>
      </c>
      <c r="D186" s="74" t="s">
        <v>1616</v>
      </c>
      <c r="E186" s="70">
        <f>SUMIFS('K Village'!$D:$D,'K Village'!$B:$B,$A186)</f>
        <v>1</v>
      </c>
      <c r="F186" s="75"/>
      <c r="G186" s="70">
        <f>SUMIFS('Central CL (Department)'!$BO:$BO,'Central CL (Department)'!$A:$A,$A186)</f>
        <v>0</v>
      </c>
      <c r="H186" s="75"/>
      <c r="I186" s="70">
        <f>SUMIFS('Siam Discovery'!$C:$C,'Siam Discovery'!$A:$A,$A186)</f>
        <v>0</v>
      </c>
      <c r="J186" s="75"/>
      <c r="K186" s="70">
        <f>SUMIFS('Paradise Park'!$C:$C,'Paradise Park'!$A:$A,$A186)</f>
        <v>1</v>
      </c>
      <c r="L186" s="75"/>
      <c r="M186" s="70">
        <f>SUMIFS('Central LP'!$D:$D,'Central LP'!$B:$B,$A186)</f>
        <v>1</v>
      </c>
      <c r="N186" s="75"/>
      <c r="O186" s="71">
        <f t="shared" si="4"/>
        <v>3</v>
      </c>
      <c r="P186" s="71">
        <f t="shared" si="5"/>
        <v>0</v>
      </c>
    </row>
    <row r="187" spans="1:16">
      <c r="A187" s="69" t="s">
        <v>1518</v>
      </c>
      <c r="B187" s="69" t="s">
        <v>1574</v>
      </c>
      <c r="C187" s="69" t="s">
        <v>1622</v>
      </c>
      <c r="D187" s="74" t="s">
        <v>1606</v>
      </c>
      <c r="E187" s="70">
        <v>1</v>
      </c>
      <c r="F187" s="75"/>
      <c r="G187" s="70">
        <f>SUMIFS('Central CL (Department)'!$BO:$BO,'Central CL (Department)'!$A:$A,$A187)</f>
        <v>0</v>
      </c>
      <c r="H187" s="75"/>
      <c r="I187" s="70">
        <f>SUMIFS('Siam Discovery'!$C:$C,'Siam Discovery'!$A:$A,$A187)</f>
        <v>0</v>
      </c>
      <c r="J187" s="75"/>
      <c r="K187" s="70">
        <f>SUMIFS('Paradise Park'!$C:$C,'Paradise Park'!$A:$A,$A187)</f>
        <v>0</v>
      </c>
      <c r="L187" s="75"/>
      <c r="M187" s="70">
        <f>SUMIFS('Central LP'!$D:$D,'Central LP'!$B:$B,$A187)</f>
        <v>1</v>
      </c>
      <c r="N187" s="75"/>
      <c r="O187" s="71">
        <f t="shared" si="4"/>
        <v>2</v>
      </c>
      <c r="P187" s="71">
        <f t="shared" si="5"/>
        <v>0</v>
      </c>
    </row>
    <row r="188" spans="1:16">
      <c r="A188" s="69" t="s">
        <v>288</v>
      </c>
      <c r="B188" s="69" t="s">
        <v>1574</v>
      </c>
      <c r="C188" s="69" t="s">
        <v>1622</v>
      </c>
      <c r="D188" s="74" t="s">
        <v>1588</v>
      </c>
      <c r="E188" s="70">
        <f>SUMIFS('K Village'!$D:$D,'K Village'!$B:$B,$A188)</f>
        <v>2</v>
      </c>
      <c r="F188" s="75"/>
      <c r="G188" s="70">
        <f>SUMIFS('Central CL (Department)'!$BO:$BO,'Central CL (Department)'!$A:$A,$A188)</f>
        <v>0</v>
      </c>
      <c r="H188" s="75"/>
      <c r="I188" s="70">
        <f>SUMIFS('Siam Discovery'!$C:$C,'Siam Discovery'!$A:$A,$A188)</f>
        <v>0</v>
      </c>
      <c r="J188" s="75"/>
      <c r="K188" s="70">
        <f>SUMIFS('Paradise Park'!$C:$C,'Paradise Park'!$A:$A,$A188)</f>
        <v>2</v>
      </c>
      <c r="L188" s="75"/>
      <c r="M188" s="70">
        <f>SUMIFS('Central LP'!$D:$D,'Central LP'!$B:$B,$A188)</f>
        <v>1</v>
      </c>
      <c r="N188" s="75"/>
      <c r="O188" s="71">
        <f t="shared" si="4"/>
        <v>5</v>
      </c>
      <c r="P188" s="71">
        <f t="shared" si="5"/>
        <v>0</v>
      </c>
    </row>
    <row r="189" spans="1:16">
      <c r="A189" s="69" t="s">
        <v>232</v>
      </c>
      <c r="B189" s="69" t="s">
        <v>1574</v>
      </c>
      <c r="C189" s="69" t="s">
        <v>1622</v>
      </c>
      <c r="D189" s="74" t="s">
        <v>1589</v>
      </c>
      <c r="E189" s="70">
        <f>SUMIFS('K Village'!$D:$D,'K Village'!$B:$B,$A189)</f>
        <v>3</v>
      </c>
      <c r="F189" s="75"/>
      <c r="G189" s="70">
        <f>SUMIFS('Central CL (Department)'!$BO:$BO,'Central CL (Department)'!$A:$A,$A189)</f>
        <v>1</v>
      </c>
      <c r="H189" s="75"/>
      <c r="I189" s="70">
        <f>SUMIFS('Siam Discovery'!$C:$C,'Siam Discovery'!$A:$A,$A189)</f>
        <v>3</v>
      </c>
      <c r="J189" s="75"/>
      <c r="K189" s="70">
        <f>SUMIFS('Paradise Park'!$C:$C,'Paradise Park'!$A:$A,$A189)</f>
        <v>2</v>
      </c>
      <c r="L189" s="75"/>
      <c r="M189" s="70">
        <f>SUMIFS('Central LP'!$D:$D,'Central LP'!$B:$B,$A189)</f>
        <v>1</v>
      </c>
      <c r="N189" s="75"/>
      <c r="O189" s="71">
        <f t="shared" si="4"/>
        <v>10</v>
      </c>
      <c r="P189" s="71">
        <f t="shared" si="5"/>
        <v>0</v>
      </c>
    </row>
    <row r="190" spans="1:16">
      <c r="A190" s="69" t="s">
        <v>234</v>
      </c>
      <c r="B190" s="69" t="s">
        <v>1574</v>
      </c>
      <c r="C190" s="69" t="s">
        <v>1622</v>
      </c>
      <c r="D190" s="74" t="s">
        <v>1590</v>
      </c>
      <c r="E190" s="70">
        <f>SUMIFS('K Village'!$D:$D,'K Village'!$B:$B,$A190)</f>
        <v>2</v>
      </c>
      <c r="F190" s="75"/>
      <c r="G190" s="70">
        <f>SUMIFS('Central CL (Department)'!$BO:$BO,'Central CL (Department)'!$A:$A,$A190)</f>
        <v>3</v>
      </c>
      <c r="H190" s="75"/>
      <c r="I190" s="70">
        <f>SUMIFS('Siam Discovery'!$C:$C,'Siam Discovery'!$A:$A,$A190)</f>
        <v>3</v>
      </c>
      <c r="J190" s="75"/>
      <c r="K190" s="70">
        <f>SUMIFS('Paradise Park'!$C:$C,'Paradise Park'!$A:$A,$A190)</f>
        <v>2</v>
      </c>
      <c r="L190" s="75"/>
      <c r="M190" s="70">
        <f>SUMIFS('Central LP'!$D:$D,'Central LP'!$B:$B,$A190)</f>
        <v>1</v>
      </c>
      <c r="N190" s="75"/>
      <c r="O190" s="71">
        <f t="shared" si="4"/>
        <v>11</v>
      </c>
      <c r="P190" s="71">
        <f t="shared" si="5"/>
        <v>0</v>
      </c>
    </row>
    <row r="191" spans="1:16">
      <c r="A191" s="69" t="s">
        <v>236</v>
      </c>
      <c r="B191" s="69" t="s">
        <v>1574</v>
      </c>
      <c r="C191" s="69" t="s">
        <v>1622</v>
      </c>
      <c r="D191" s="74" t="s">
        <v>1591</v>
      </c>
      <c r="E191" s="70">
        <f>SUMIFS('K Village'!$D:$D,'K Village'!$B:$B,$A191)</f>
        <v>2</v>
      </c>
      <c r="F191" s="75"/>
      <c r="G191" s="70">
        <f>SUMIFS('Central CL (Department)'!$BO:$BO,'Central CL (Department)'!$A:$A,$A191)</f>
        <v>4</v>
      </c>
      <c r="H191" s="75"/>
      <c r="I191" s="70">
        <f>SUMIFS('Siam Discovery'!$C:$C,'Siam Discovery'!$A:$A,$A191)</f>
        <v>6</v>
      </c>
      <c r="J191" s="75"/>
      <c r="K191" s="70">
        <f>SUMIFS('Paradise Park'!$C:$C,'Paradise Park'!$A:$A,$A191)</f>
        <v>3</v>
      </c>
      <c r="L191" s="75"/>
      <c r="M191" s="70">
        <f>SUMIFS('Central LP'!$D:$D,'Central LP'!$B:$B,$A191)</f>
        <v>2</v>
      </c>
      <c r="N191" s="75"/>
      <c r="O191" s="71">
        <f t="shared" si="4"/>
        <v>17</v>
      </c>
      <c r="P191" s="71">
        <f t="shared" si="5"/>
        <v>0</v>
      </c>
    </row>
    <row r="192" spans="1:16">
      <c r="A192" s="69" t="s">
        <v>238</v>
      </c>
      <c r="B192" s="69" t="s">
        <v>1574</v>
      </c>
      <c r="C192" s="69" t="s">
        <v>1622</v>
      </c>
      <c r="D192" s="74" t="s">
        <v>1592</v>
      </c>
      <c r="E192" s="70">
        <f>SUMIFS('K Village'!$D:$D,'K Village'!$B:$B,$A192)</f>
        <v>2</v>
      </c>
      <c r="F192" s="75"/>
      <c r="G192" s="70">
        <f>SUMIFS('Central CL (Department)'!$BO:$BO,'Central CL (Department)'!$A:$A,$A192)</f>
        <v>3</v>
      </c>
      <c r="H192" s="75"/>
      <c r="I192" s="70">
        <f>SUMIFS('Siam Discovery'!$C:$C,'Siam Discovery'!$A:$A,$A192)</f>
        <v>2</v>
      </c>
      <c r="J192" s="75"/>
      <c r="K192" s="70">
        <f>SUMIFS('Paradise Park'!$C:$C,'Paradise Park'!$A:$A,$A192)</f>
        <v>1</v>
      </c>
      <c r="L192" s="75"/>
      <c r="M192" s="70">
        <f>SUMIFS('Central LP'!$D:$D,'Central LP'!$B:$B,$A192)</f>
        <v>1</v>
      </c>
      <c r="N192" s="75"/>
      <c r="O192" s="71">
        <f t="shared" si="4"/>
        <v>9</v>
      </c>
      <c r="P192" s="71">
        <f t="shared" si="5"/>
        <v>0</v>
      </c>
    </row>
    <row r="193" spans="1:16">
      <c r="A193" s="69" t="s">
        <v>240</v>
      </c>
      <c r="B193" s="69" t="s">
        <v>1574</v>
      </c>
      <c r="C193" s="69" t="s">
        <v>1622</v>
      </c>
      <c r="D193" s="74" t="s">
        <v>1593</v>
      </c>
      <c r="E193" s="70">
        <f>SUMIFS('K Village'!$D:$D,'K Village'!$B:$B,$A193)</f>
        <v>1</v>
      </c>
      <c r="F193" s="75"/>
      <c r="G193" s="70">
        <f>SUMIFS('Central CL (Department)'!$BO:$BO,'Central CL (Department)'!$A:$A,$A193)</f>
        <v>1</v>
      </c>
      <c r="H193" s="75"/>
      <c r="I193" s="70">
        <f>SUMIFS('Siam Discovery'!$C:$C,'Siam Discovery'!$A:$A,$A193)</f>
        <v>2</v>
      </c>
      <c r="J193" s="75"/>
      <c r="K193" s="70">
        <f>SUMIFS('Paradise Park'!$C:$C,'Paradise Park'!$A:$A,$A193)</f>
        <v>3</v>
      </c>
      <c r="L193" s="75"/>
      <c r="M193" s="70">
        <f>SUMIFS('Central LP'!$D:$D,'Central LP'!$B:$B,$A193)</f>
        <v>2</v>
      </c>
      <c r="N193" s="75"/>
      <c r="O193" s="71">
        <f t="shared" si="4"/>
        <v>9</v>
      </c>
      <c r="P193" s="71">
        <f t="shared" si="5"/>
        <v>0</v>
      </c>
    </row>
    <row r="194" spans="1:16">
      <c r="A194" s="69" t="s">
        <v>242</v>
      </c>
      <c r="B194" s="69" t="s">
        <v>1574</v>
      </c>
      <c r="C194" s="69" t="s">
        <v>1622</v>
      </c>
      <c r="D194" s="74" t="s">
        <v>1594</v>
      </c>
      <c r="E194" s="70">
        <f>SUMIFS('K Village'!$D:$D,'K Village'!$B:$B,$A194)</f>
        <v>2</v>
      </c>
      <c r="F194" s="75"/>
      <c r="G194" s="70">
        <f>SUMIFS('Central CL (Department)'!$BO:$BO,'Central CL (Department)'!$A:$A,$A194)</f>
        <v>1</v>
      </c>
      <c r="H194" s="75"/>
      <c r="I194" s="70">
        <f>SUMIFS('Siam Discovery'!$C:$C,'Siam Discovery'!$A:$A,$A194)</f>
        <v>1</v>
      </c>
      <c r="J194" s="75"/>
      <c r="K194" s="70">
        <f>SUMIFS('Paradise Park'!$C:$C,'Paradise Park'!$A:$A,$A194)</f>
        <v>1</v>
      </c>
      <c r="L194" s="75"/>
      <c r="M194" s="70">
        <f>SUMIFS('Central LP'!$D:$D,'Central LP'!$B:$B,$A194)</f>
        <v>2</v>
      </c>
      <c r="N194" s="75"/>
      <c r="O194" s="71">
        <f t="shared" si="4"/>
        <v>7</v>
      </c>
      <c r="P194" s="71">
        <f t="shared" si="5"/>
        <v>0</v>
      </c>
    </row>
    <row r="195" spans="1:16">
      <c r="A195" s="69" t="s">
        <v>290</v>
      </c>
      <c r="B195" s="69" t="s">
        <v>1574</v>
      </c>
      <c r="C195" s="69" t="s">
        <v>1622</v>
      </c>
      <c r="D195" s="74" t="s">
        <v>1595</v>
      </c>
      <c r="E195" s="70">
        <f>SUMIFS('K Village'!$D:$D,'K Village'!$B:$B,$A195)</f>
        <v>2</v>
      </c>
      <c r="F195" s="75"/>
      <c r="G195" s="70">
        <f>SUMIFS('Central CL (Department)'!$BO:$BO,'Central CL (Department)'!$A:$A,$A195)</f>
        <v>0</v>
      </c>
      <c r="H195" s="75"/>
      <c r="I195" s="70">
        <f>SUMIFS('Siam Discovery'!$C:$C,'Siam Discovery'!$A:$A,$A195)</f>
        <v>1</v>
      </c>
      <c r="J195" s="75"/>
      <c r="K195" s="70">
        <f>SUMIFS('Paradise Park'!$C:$C,'Paradise Park'!$A:$A,$A195)</f>
        <v>0</v>
      </c>
      <c r="L195" s="75"/>
      <c r="M195" s="70">
        <f>SUMIFS('Central LP'!$D:$D,'Central LP'!$B:$B,$A195)</f>
        <v>0</v>
      </c>
      <c r="N195" s="75"/>
      <c r="O195" s="71">
        <f t="shared" si="4"/>
        <v>3</v>
      </c>
      <c r="P195" s="71">
        <f t="shared" si="5"/>
        <v>0</v>
      </c>
    </row>
    <row r="196" spans="1:16">
      <c r="A196" s="69" t="s">
        <v>1126</v>
      </c>
      <c r="B196" s="69" t="s">
        <v>1574</v>
      </c>
      <c r="C196" s="69" t="s">
        <v>1622</v>
      </c>
      <c r="D196" s="74" t="s">
        <v>1596</v>
      </c>
      <c r="E196" s="70">
        <f>SUMIFS('K Village'!$D:$D,'K Village'!$B:$B,$A196)</f>
        <v>0</v>
      </c>
      <c r="F196" s="75"/>
      <c r="G196" s="70">
        <f>SUMIFS('Central CL (Department)'!$BO:$BO,'Central CL (Department)'!$A:$A,$A196)</f>
        <v>0</v>
      </c>
      <c r="H196" s="75"/>
      <c r="I196" s="70">
        <f>SUMIFS('Siam Discovery'!$C:$C,'Siam Discovery'!$A:$A,$A196)</f>
        <v>0</v>
      </c>
      <c r="J196" s="75"/>
      <c r="K196" s="70">
        <f>SUMIFS('Paradise Park'!$C:$C,'Paradise Park'!$A:$A,$A196)</f>
        <v>1</v>
      </c>
      <c r="L196" s="75"/>
      <c r="M196" s="70">
        <f>SUMIFS('Central LP'!$D:$D,'Central LP'!$B:$B,$A196)</f>
        <v>0</v>
      </c>
      <c r="N196" s="75"/>
      <c r="O196" s="71">
        <f t="shared" si="4"/>
        <v>1</v>
      </c>
      <c r="P196" s="71">
        <f t="shared" si="5"/>
        <v>0</v>
      </c>
    </row>
    <row r="197" spans="1:16">
      <c r="A197" s="69" t="s">
        <v>1124</v>
      </c>
      <c r="B197" s="69" t="s">
        <v>1574</v>
      </c>
      <c r="C197" s="69" t="s">
        <v>1622</v>
      </c>
      <c r="D197" s="74" t="s">
        <v>1620</v>
      </c>
      <c r="E197" s="70">
        <f>SUMIFS('K Village'!$D:$D,'K Village'!$B:$B,$A197)</f>
        <v>1</v>
      </c>
      <c r="F197" s="75"/>
      <c r="G197" s="70">
        <f>SUMIFS('Central CL (Department)'!$BO:$BO,'Central CL (Department)'!$A:$A,$A197)</f>
        <v>0</v>
      </c>
      <c r="H197" s="75"/>
      <c r="I197" s="70">
        <f>SUMIFS('Siam Discovery'!$C:$C,'Siam Discovery'!$A:$A,$A197)</f>
        <v>0</v>
      </c>
      <c r="J197" s="75"/>
      <c r="K197" s="70">
        <f>SUMIFS('Paradise Park'!$C:$C,'Paradise Park'!$A:$A,$A197)</f>
        <v>1</v>
      </c>
      <c r="L197" s="75"/>
      <c r="M197" s="70">
        <f>SUMIFS('Central LP'!$D:$D,'Central LP'!$B:$B,$A197)</f>
        <v>0</v>
      </c>
      <c r="N197" s="75"/>
      <c r="O197" s="71">
        <f t="shared" si="4"/>
        <v>2</v>
      </c>
      <c r="P197" s="71">
        <f t="shared" si="5"/>
        <v>0</v>
      </c>
    </row>
    <row r="198" spans="1:16">
      <c r="A198" s="69" t="s">
        <v>674</v>
      </c>
      <c r="B198" s="69" t="s">
        <v>1574</v>
      </c>
      <c r="C198" s="69" t="s">
        <v>1622</v>
      </c>
      <c r="D198" s="74" t="s">
        <v>1598</v>
      </c>
      <c r="E198" s="70">
        <f>SUMIFS('K Village'!$D:$D,'K Village'!$B:$B,$A198)</f>
        <v>2</v>
      </c>
      <c r="F198" s="75"/>
      <c r="G198" s="70">
        <f>SUMIFS('Central CL (Department)'!$BO:$BO,'Central CL (Department)'!$A:$A,$A198)</f>
        <v>0</v>
      </c>
      <c r="H198" s="75"/>
      <c r="I198" s="70">
        <f>SUMIFS('Siam Discovery'!$C:$C,'Siam Discovery'!$A:$A,$A198)</f>
        <v>0</v>
      </c>
      <c r="J198" s="75"/>
      <c r="K198" s="70">
        <f>SUMIFS('Paradise Park'!$C:$C,'Paradise Park'!$A:$A,$A198)</f>
        <v>2</v>
      </c>
      <c r="L198" s="75"/>
      <c r="M198" s="70">
        <f>SUMIFS('Central LP'!$D:$D,'Central LP'!$B:$B,$A198)</f>
        <v>2</v>
      </c>
      <c r="N198" s="75"/>
      <c r="O198" s="71">
        <f t="shared" ref="O198:O261" si="6">E198+G198+I198+K198+M198</f>
        <v>6</v>
      </c>
      <c r="P198" s="71">
        <f t="shared" ref="P198:P261" si="7">F198+H198+J198+L198+N198</f>
        <v>0</v>
      </c>
    </row>
    <row r="199" spans="1:16">
      <c r="A199" s="69" t="s">
        <v>294</v>
      </c>
      <c r="B199" s="69" t="s">
        <v>1574</v>
      </c>
      <c r="C199" s="69" t="s">
        <v>1622</v>
      </c>
      <c r="D199" s="74" t="s">
        <v>1599</v>
      </c>
      <c r="E199" s="70">
        <f>SUMIFS('K Village'!$D:$D,'K Village'!$B:$B,$A199)</f>
        <v>2</v>
      </c>
      <c r="F199" s="75"/>
      <c r="G199" s="70">
        <f>SUMIFS('Central CL (Department)'!$BO:$BO,'Central CL (Department)'!$A:$A,$A199)</f>
        <v>1</v>
      </c>
      <c r="H199" s="75"/>
      <c r="I199" s="70">
        <f>SUMIFS('Siam Discovery'!$C:$C,'Siam Discovery'!$A:$A,$A199)</f>
        <v>1</v>
      </c>
      <c r="J199" s="75"/>
      <c r="K199" s="70">
        <f>SUMIFS('Paradise Park'!$C:$C,'Paradise Park'!$A:$A,$A199)</f>
        <v>3</v>
      </c>
      <c r="L199" s="75"/>
      <c r="M199" s="70">
        <f>SUMIFS('Central LP'!$D:$D,'Central LP'!$B:$B,$A199)</f>
        <v>2</v>
      </c>
      <c r="N199" s="75"/>
      <c r="O199" s="71">
        <f t="shared" si="6"/>
        <v>9</v>
      </c>
      <c r="P199" s="71">
        <f t="shared" si="7"/>
        <v>0</v>
      </c>
    </row>
    <row r="200" spans="1:16">
      <c r="A200" s="69" t="s">
        <v>296</v>
      </c>
      <c r="B200" s="69" t="s">
        <v>1574</v>
      </c>
      <c r="C200" s="69" t="s">
        <v>1622</v>
      </c>
      <c r="D200" s="74" t="s">
        <v>1600</v>
      </c>
      <c r="E200" s="70">
        <f>SUMIFS('K Village'!$D:$D,'K Village'!$B:$B,$A200)</f>
        <v>3</v>
      </c>
      <c r="F200" s="75"/>
      <c r="G200" s="70">
        <f>SUMIFS('Central CL (Department)'!$BO:$BO,'Central CL (Department)'!$A:$A,$A200)</f>
        <v>2</v>
      </c>
      <c r="H200" s="75"/>
      <c r="I200" s="70">
        <f>SUMIFS('Siam Discovery'!$C:$C,'Siam Discovery'!$A:$A,$A200)</f>
        <v>1</v>
      </c>
      <c r="J200" s="75"/>
      <c r="K200" s="70">
        <f>SUMIFS('Paradise Park'!$C:$C,'Paradise Park'!$A:$A,$A200)</f>
        <v>3</v>
      </c>
      <c r="L200" s="75"/>
      <c r="M200" s="70">
        <f>SUMIFS('Central LP'!$D:$D,'Central LP'!$B:$B,$A200)</f>
        <v>1</v>
      </c>
      <c r="N200" s="75"/>
      <c r="O200" s="71">
        <f t="shared" si="6"/>
        <v>10</v>
      </c>
      <c r="P200" s="71">
        <f t="shared" si="7"/>
        <v>0</v>
      </c>
    </row>
    <row r="201" spans="1:16">
      <c r="A201" s="69" t="s">
        <v>298</v>
      </c>
      <c r="B201" s="69" t="s">
        <v>1574</v>
      </c>
      <c r="C201" s="69" t="s">
        <v>1622</v>
      </c>
      <c r="D201" s="74" t="s">
        <v>1601</v>
      </c>
      <c r="E201" s="70">
        <f>SUMIFS('K Village'!$D:$D,'K Village'!$B:$B,$A201)</f>
        <v>2</v>
      </c>
      <c r="F201" s="75"/>
      <c r="G201" s="70">
        <f>SUMIFS('Central CL (Department)'!$BO:$BO,'Central CL (Department)'!$A:$A,$A201)</f>
        <v>2</v>
      </c>
      <c r="H201" s="75"/>
      <c r="I201" s="70">
        <f>SUMIFS('Siam Discovery'!$C:$C,'Siam Discovery'!$A:$A,$A201)</f>
        <v>2</v>
      </c>
      <c r="J201" s="75"/>
      <c r="K201" s="70">
        <f>SUMIFS('Paradise Park'!$C:$C,'Paradise Park'!$A:$A,$A201)</f>
        <v>2</v>
      </c>
      <c r="L201" s="75"/>
      <c r="M201" s="70">
        <f>SUMIFS('Central LP'!$D:$D,'Central LP'!$B:$B,$A201)</f>
        <v>2</v>
      </c>
      <c r="N201" s="75"/>
      <c r="O201" s="71">
        <f t="shared" si="6"/>
        <v>10</v>
      </c>
      <c r="P201" s="71">
        <f t="shared" si="7"/>
        <v>0</v>
      </c>
    </row>
    <row r="202" spans="1:16">
      <c r="A202" s="69" t="s">
        <v>300</v>
      </c>
      <c r="B202" s="69" t="s">
        <v>1574</v>
      </c>
      <c r="C202" s="69" t="s">
        <v>1622</v>
      </c>
      <c r="D202" s="74" t="s">
        <v>1602</v>
      </c>
      <c r="E202" s="70">
        <f>SUMIFS('K Village'!$D:$D,'K Village'!$B:$B,$A202)</f>
        <v>1</v>
      </c>
      <c r="F202" s="75"/>
      <c r="G202" s="70">
        <f>SUMIFS('Central CL (Department)'!$BO:$BO,'Central CL (Department)'!$A:$A,$A202)</f>
        <v>2</v>
      </c>
      <c r="H202" s="75"/>
      <c r="I202" s="70">
        <f>SUMIFS('Siam Discovery'!$C:$C,'Siam Discovery'!$A:$A,$A202)</f>
        <v>2</v>
      </c>
      <c r="J202" s="75"/>
      <c r="K202" s="70">
        <f>SUMIFS('Paradise Park'!$C:$C,'Paradise Park'!$A:$A,$A202)</f>
        <v>2</v>
      </c>
      <c r="L202" s="75"/>
      <c r="M202" s="70">
        <f>SUMIFS('Central LP'!$D:$D,'Central LP'!$B:$B,$A202)</f>
        <v>0</v>
      </c>
      <c r="N202" s="75"/>
      <c r="O202" s="71">
        <f t="shared" si="6"/>
        <v>7</v>
      </c>
      <c r="P202" s="71">
        <f t="shared" si="7"/>
        <v>0</v>
      </c>
    </row>
    <row r="203" spans="1:16">
      <c r="A203" s="69" t="s">
        <v>302</v>
      </c>
      <c r="B203" s="69" t="s">
        <v>1574</v>
      </c>
      <c r="C203" s="69" t="s">
        <v>1622</v>
      </c>
      <c r="D203" s="74" t="s">
        <v>1603</v>
      </c>
      <c r="E203" s="70">
        <f>SUMIFS('K Village'!$D:$D,'K Village'!$B:$B,$A203)</f>
        <v>2</v>
      </c>
      <c r="F203" s="75"/>
      <c r="G203" s="70">
        <f>SUMIFS('Central CL (Department)'!$BO:$BO,'Central CL (Department)'!$A:$A,$A203)</f>
        <v>1</v>
      </c>
      <c r="H203" s="75"/>
      <c r="I203" s="70">
        <f>SUMIFS('Siam Discovery'!$C:$C,'Siam Discovery'!$A:$A,$A203)</f>
        <v>1</v>
      </c>
      <c r="J203" s="75"/>
      <c r="K203" s="70">
        <f>SUMIFS('Paradise Park'!$C:$C,'Paradise Park'!$A:$A,$A203)</f>
        <v>1</v>
      </c>
      <c r="L203" s="75"/>
      <c r="M203" s="70">
        <f>SUMIFS('Central LP'!$D:$D,'Central LP'!$B:$B,$A203)</f>
        <v>2</v>
      </c>
      <c r="N203" s="75"/>
      <c r="O203" s="71">
        <f t="shared" si="6"/>
        <v>7</v>
      </c>
      <c r="P203" s="71">
        <f t="shared" si="7"/>
        <v>0</v>
      </c>
    </row>
    <row r="204" spans="1:16">
      <c r="A204" s="69" t="s">
        <v>1122</v>
      </c>
      <c r="B204" s="69" t="s">
        <v>1574</v>
      </c>
      <c r="C204" s="69" t="s">
        <v>1622</v>
      </c>
      <c r="D204" s="74" t="s">
        <v>1616</v>
      </c>
      <c r="E204" s="70">
        <f>SUMIFS('K Village'!$D:$D,'K Village'!$B:$B,$A204)</f>
        <v>2</v>
      </c>
      <c r="F204" s="75"/>
      <c r="G204" s="70">
        <f>SUMIFS('Central CL (Department)'!$BO:$BO,'Central CL (Department)'!$A:$A,$A204)</f>
        <v>0</v>
      </c>
      <c r="H204" s="75"/>
      <c r="I204" s="70">
        <f>SUMIFS('Siam Discovery'!$C:$C,'Siam Discovery'!$A:$A,$A204)</f>
        <v>0</v>
      </c>
      <c r="J204" s="75"/>
      <c r="K204" s="70">
        <f>SUMIFS('Paradise Park'!$C:$C,'Paradise Park'!$A:$A,$A204)</f>
        <v>1</v>
      </c>
      <c r="L204" s="75"/>
      <c r="M204" s="70">
        <f>SUMIFS('Central LP'!$D:$D,'Central LP'!$B:$B,$A204)</f>
        <v>1</v>
      </c>
      <c r="N204" s="75"/>
      <c r="O204" s="71">
        <f t="shared" si="6"/>
        <v>4</v>
      </c>
      <c r="P204" s="71">
        <f t="shared" si="7"/>
        <v>0</v>
      </c>
    </row>
    <row r="205" spans="1:16">
      <c r="A205" s="69" t="s">
        <v>1120</v>
      </c>
      <c r="B205" s="69" t="s">
        <v>1574</v>
      </c>
      <c r="C205" s="69" t="s">
        <v>1631</v>
      </c>
      <c r="D205" s="74" t="s">
        <v>1588</v>
      </c>
      <c r="E205" s="70">
        <f>SUMIFS('K Village'!$D:$D,'K Village'!$B:$B,$A205)</f>
        <v>1</v>
      </c>
      <c r="F205" s="75"/>
      <c r="G205" s="70">
        <f>SUMIFS('Central CL (Department)'!$BO:$BO,'Central CL (Department)'!$A:$A,$A205)</f>
        <v>0</v>
      </c>
      <c r="H205" s="75"/>
      <c r="I205" s="70">
        <f>SUMIFS('Siam Discovery'!$C:$C,'Siam Discovery'!$A:$A,$A205)</f>
        <v>0</v>
      </c>
      <c r="J205" s="75"/>
      <c r="K205" s="70">
        <f>SUMIFS('Paradise Park'!$C:$C,'Paradise Park'!$A:$A,$A205)</f>
        <v>1</v>
      </c>
      <c r="L205" s="75"/>
      <c r="M205" s="70">
        <f>SUMIFS('Central LP'!$D:$D,'Central LP'!$B:$B,$A205)</f>
        <v>0</v>
      </c>
      <c r="N205" s="75"/>
      <c r="O205" s="71">
        <f t="shared" si="6"/>
        <v>2</v>
      </c>
      <c r="P205" s="71">
        <f t="shared" si="7"/>
        <v>0</v>
      </c>
    </row>
    <row r="206" spans="1:16">
      <c r="A206" s="69" t="s">
        <v>480</v>
      </c>
      <c r="B206" s="69" t="s">
        <v>1574</v>
      </c>
      <c r="C206" s="69" t="s">
        <v>1631</v>
      </c>
      <c r="D206" s="74" t="s">
        <v>1589</v>
      </c>
      <c r="E206" s="70">
        <f>SUMIFS('K Village'!$D:$D,'K Village'!$B:$B,$A206)</f>
        <v>2</v>
      </c>
      <c r="F206" s="75"/>
      <c r="G206" s="70">
        <f>SUMIFS('Central CL (Department)'!$BO:$BO,'Central CL (Department)'!$A:$A,$A206)</f>
        <v>1</v>
      </c>
      <c r="H206" s="75"/>
      <c r="I206" s="70">
        <f>SUMIFS('Siam Discovery'!$C:$C,'Siam Discovery'!$A:$A,$A206)</f>
        <v>1</v>
      </c>
      <c r="J206" s="75"/>
      <c r="K206" s="70">
        <f>SUMIFS('Paradise Park'!$C:$C,'Paradise Park'!$A:$A,$A206)</f>
        <v>2</v>
      </c>
      <c r="L206" s="75"/>
      <c r="M206" s="70">
        <f>SUMIFS('Central LP'!$D:$D,'Central LP'!$B:$B,$A206)</f>
        <v>1</v>
      </c>
      <c r="N206" s="75"/>
      <c r="O206" s="71">
        <f t="shared" si="6"/>
        <v>7</v>
      </c>
      <c r="P206" s="71">
        <f t="shared" si="7"/>
        <v>0</v>
      </c>
    </row>
    <row r="207" spans="1:16">
      <c r="A207" s="69" t="s">
        <v>304</v>
      </c>
      <c r="B207" s="69" t="s">
        <v>1574</v>
      </c>
      <c r="C207" s="69" t="s">
        <v>1631</v>
      </c>
      <c r="D207" s="74" t="s">
        <v>1590</v>
      </c>
      <c r="E207" s="70">
        <f>SUMIFS('K Village'!$D:$D,'K Village'!$B:$B,$A207)</f>
        <v>3</v>
      </c>
      <c r="F207" s="75"/>
      <c r="G207" s="70">
        <f>SUMIFS('Central CL (Department)'!$BO:$BO,'Central CL (Department)'!$A:$A,$A207)</f>
        <v>2</v>
      </c>
      <c r="H207" s="75"/>
      <c r="I207" s="70">
        <f>SUMIFS('Siam Discovery'!$C:$C,'Siam Discovery'!$A:$A,$A207)</f>
        <v>1</v>
      </c>
      <c r="J207" s="75"/>
      <c r="K207" s="70">
        <f>SUMIFS('Paradise Park'!$C:$C,'Paradise Park'!$A:$A,$A207)</f>
        <v>2</v>
      </c>
      <c r="L207" s="75"/>
      <c r="M207" s="70">
        <f>SUMIFS('Central LP'!$D:$D,'Central LP'!$B:$B,$A207)</f>
        <v>1</v>
      </c>
      <c r="N207" s="75"/>
      <c r="O207" s="71">
        <f t="shared" si="6"/>
        <v>9</v>
      </c>
      <c r="P207" s="71">
        <f t="shared" si="7"/>
        <v>0</v>
      </c>
    </row>
    <row r="208" spans="1:16">
      <c r="A208" s="69" t="s">
        <v>306</v>
      </c>
      <c r="B208" s="69" t="s">
        <v>1574</v>
      </c>
      <c r="C208" s="69" t="s">
        <v>1631</v>
      </c>
      <c r="D208" s="74" t="s">
        <v>1591</v>
      </c>
      <c r="E208" s="70">
        <f>SUMIFS('K Village'!$D:$D,'K Village'!$B:$B,$A208)</f>
        <v>2</v>
      </c>
      <c r="F208" s="75"/>
      <c r="G208" s="70">
        <f>SUMIFS('Central CL (Department)'!$BO:$BO,'Central CL (Department)'!$A:$A,$A208)</f>
        <v>2</v>
      </c>
      <c r="H208" s="75"/>
      <c r="I208" s="70">
        <f>SUMIFS('Siam Discovery'!$C:$C,'Siam Discovery'!$A:$A,$A208)</f>
        <v>1</v>
      </c>
      <c r="J208" s="75"/>
      <c r="K208" s="70">
        <f>SUMIFS('Paradise Park'!$C:$C,'Paradise Park'!$A:$A,$A208)</f>
        <v>3</v>
      </c>
      <c r="L208" s="75"/>
      <c r="M208" s="70">
        <f>SUMIFS('Central LP'!$D:$D,'Central LP'!$B:$B,$A208)</f>
        <v>1</v>
      </c>
      <c r="N208" s="75"/>
      <c r="O208" s="71">
        <f t="shared" si="6"/>
        <v>9</v>
      </c>
      <c r="P208" s="71">
        <f t="shared" si="7"/>
        <v>0</v>
      </c>
    </row>
    <row r="209" spans="1:16">
      <c r="A209" s="69" t="s">
        <v>308</v>
      </c>
      <c r="B209" s="69" t="s">
        <v>1574</v>
      </c>
      <c r="C209" s="69" t="s">
        <v>1631</v>
      </c>
      <c r="D209" s="74" t="s">
        <v>1592</v>
      </c>
      <c r="E209" s="70">
        <f>SUMIFS('K Village'!$D:$D,'K Village'!$B:$B,$A209)</f>
        <v>2</v>
      </c>
      <c r="F209" s="75"/>
      <c r="G209" s="70">
        <f>SUMIFS('Central CL (Department)'!$BO:$BO,'Central CL (Department)'!$A:$A,$A209)</f>
        <v>2</v>
      </c>
      <c r="H209" s="75"/>
      <c r="I209" s="70">
        <f>SUMIFS('Siam Discovery'!$C:$C,'Siam Discovery'!$A:$A,$A209)</f>
        <v>1</v>
      </c>
      <c r="J209" s="75"/>
      <c r="K209" s="70">
        <f>SUMIFS('Paradise Park'!$C:$C,'Paradise Park'!$A:$A,$A209)</f>
        <v>4</v>
      </c>
      <c r="L209" s="75"/>
      <c r="M209" s="70">
        <f>SUMIFS('Central LP'!$D:$D,'Central LP'!$B:$B,$A209)</f>
        <v>1</v>
      </c>
      <c r="N209" s="75"/>
      <c r="O209" s="71">
        <f t="shared" si="6"/>
        <v>10</v>
      </c>
      <c r="P209" s="71">
        <f t="shared" si="7"/>
        <v>0</v>
      </c>
    </row>
    <row r="210" spans="1:16">
      <c r="A210" s="69" t="s">
        <v>310</v>
      </c>
      <c r="B210" s="69" t="s">
        <v>1574</v>
      </c>
      <c r="C210" s="69" t="s">
        <v>1631</v>
      </c>
      <c r="D210" s="74" t="s">
        <v>1593</v>
      </c>
      <c r="E210" s="70">
        <f>SUMIFS('K Village'!$D:$D,'K Village'!$B:$B,$A210)</f>
        <v>3</v>
      </c>
      <c r="F210" s="75"/>
      <c r="G210" s="70">
        <f>SUMIFS('Central CL (Department)'!$BO:$BO,'Central CL (Department)'!$A:$A,$A210)</f>
        <v>2</v>
      </c>
      <c r="H210" s="75"/>
      <c r="I210" s="70">
        <f>SUMIFS('Siam Discovery'!$C:$C,'Siam Discovery'!$A:$A,$A210)</f>
        <v>1</v>
      </c>
      <c r="J210" s="75"/>
      <c r="K210" s="70">
        <f>SUMIFS('Paradise Park'!$C:$C,'Paradise Park'!$A:$A,$A210)</f>
        <v>3</v>
      </c>
      <c r="L210" s="75"/>
      <c r="M210" s="70">
        <f>SUMIFS('Central LP'!$D:$D,'Central LP'!$B:$B,$A210)</f>
        <v>1</v>
      </c>
      <c r="N210" s="75"/>
      <c r="O210" s="71">
        <f t="shared" si="6"/>
        <v>10</v>
      </c>
      <c r="P210" s="71">
        <f t="shared" si="7"/>
        <v>0</v>
      </c>
    </row>
    <row r="211" spans="1:16">
      <c r="A211" s="69" t="s">
        <v>1118</v>
      </c>
      <c r="B211" s="69" t="s">
        <v>1574</v>
      </c>
      <c r="C211" s="69" t="s">
        <v>1631</v>
      </c>
      <c r="D211" s="74" t="s">
        <v>1594</v>
      </c>
      <c r="E211" s="70">
        <f>SUMIFS('K Village'!$D:$D,'K Village'!$B:$B,$A211)</f>
        <v>1</v>
      </c>
      <c r="F211" s="75"/>
      <c r="G211" s="70">
        <f>SUMIFS('Central CL (Department)'!$BO:$BO,'Central CL (Department)'!$A:$A,$A211)</f>
        <v>0</v>
      </c>
      <c r="H211" s="75"/>
      <c r="I211" s="70">
        <f>SUMIFS('Siam Discovery'!$C:$C,'Siam Discovery'!$A:$A,$A211)</f>
        <v>0</v>
      </c>
      <c r="J211" s="75"/>
      <c r="K211" s="70">
        <f>SUMIFS('Paradise Park'!$C:$C,'Paradise Park'!$A:$A,$A211)</f>
        <v>2</v>
      </c>
      <c r="L211" s="75"/>
      <c r="M211" s="70">
        <f>SUMIFS('Central LP'!$D:$D,'Central LP'!$B:$B,$A211)</f>
        <v>1</v>
      </c>
      <c r="N211" s="75"/>
      <c r="O211" s="71">
        <f t="shared" si="6"/>
        <v>4</v>
      </c>
      <c r="P211" s="71">
        <f t="shared" si="7"/>
        <v>0</v>
      </c>
    </row>
    <row r="212" spans="1:16">
      <c r="A212" s="69" t="s">
        <v>1116</v>
      </c>
      <c r="B212" s="69" t="s">
        <v>1574</v>
      </c>
      <c r="C212" s="69" t="s">
        <v>1631</v>
      </c>
      <c r="D212" s="74" t="s">
        <v>1595</v>
      </c>
      <c r="E212" s="70">
        <f>SUMIFS('K Village'!$D:$D,'K Village'!$B:$B,$A212)</f>
        <v>1</v>
      </c>
      <c r="F212" s="75"/>
      <c r="G212" s="70">
        <f>SUMIFS('Central CL (Department)'!$BO:$BO,'Central CL (Department)'!$A:$A,$A212)</f>
        <v>0</v>
      </c>
      <c r="H212" s="75"/>
      <c r="I212" s="70">
        <f>SUMIFS('Siam Discovery'!$C:$C,'Siam Discovery'!$A:$A,$A212)</f>
        <v>0</v>
      </c>
      <c r="J212" s="75"/>
      <c r="K212" s="70">
        <f>SUMIFS('Paradise Park'!$C:$C,'Paradise Park'!$A:$A,$A212)</f>
        <v>2</v>
      </c>
      <c r="L212" s="75"/>
      <c r="M212" s="70">
        <f>SUMIFS('Central LP'!$D:$D,'Central LP'!$B:$B,$A212)</f>
        <v>0</v>
      </c>
      <c r="N212" s="75"/>
      <c r="O212" s="71">
        <f t="shared" si="6"/>
        <v>3</v>
      </c>
      <c r="P212" s="71">
        <f t="shared" si="7"/>
        <v>0</v>
      </c>
    </row>
    <row r="213" spans="1:16">
      <c r="A213" s="69" t="s">
        <v>1114</v>
      </c>
      <c r="B213" s="69" t="s">
        <v>1574</v>
      </c>
      <c r="C213" s="69" t="s">
        <v>1631</v>
      </c>
      <c r="D213" s="74" t="s">
        <v>1598</v>
      </c>
      <c r="E213" s="70">
        <f>SUMIFS('K Village'!$D:$D,'K Village'!$B:$B,$A213)</f>
        <v>2</v>
      </c>
      <c r="F213" s="75"/>
      <c r="G213" s="70">
        <f>SUMIFS('Central CL (Department)'!$BO:$BO,'Central CL (Department)'!$A:$A,$A213)</f>
        <v>0</v>
      </c>
      <c r="H213" s="75"/>
      <c r="I213" s="70">
        <f>SUMIFS('Siam Discovery'!$C:$C,'Siam Discovery'!$A:$A,$A213)</f>
        <v>0</v>
      </c>
      <c r="J213" s="75"/>
      <c r="K213" s="70">
        <f>SUMIFS('Paradise Park'!$C:$C,'Paradise Park'!$A:$A,$A213)</f>
        <v>1</v>
      </c>
      <c r="L213" s="75"/>
      <c r="M213" s="70">
        <f>SUMIFS('Central LP'!$D:$D,'Central LP'!$B:$B,$A213)</f>
        <v>0</v>
      </c>
      <c r="N213" s="75"/>
      <c r="O213" s="71">
        <f t="shared" si="6"/>
        <v>3</v>
      </c>
      <c r="P213" s="71">
        <f t="shared" si="7"/>
        <v>0</v>
      </c>
    </row>
    <row r="214" spans="1:16">
      <c r="A214" s="69" t="s">
        <v>312</v>
      </c>
      <c r="B214" s="69" t="s">
        <v>1574</v>
      </c>
      <c r="C214" s="69" t="s">
        <v>1631</v>
      </c>
      <c r="D214" s="74" t="s">
        <v>1599</v>
      </c>
      <c r="E214" s="70">
        <f>SUMIFS('K Village'!$D:$D,'K Village'!$B:$B,$A214)</f>
        <v>3</v>
      </c>
      <c r="F214" s="75"/>
      <c r="G214" s="70">
        <f>SUMIFS('Central CL (Department)'!$BO:$BO,'Central CL (Department)'!$A:$A,$A214)</f>
        <v>0</v>
      </c>
      <c r="H214" s="75"/>
      <c r="I214" s="70">
        <f>SUMIFS('Siam Discovery'!$C:$C,'Siam Discovery'!$A:$A,$A214)</f>
        <v>1</v>
      </c>
      <c r="J214" s="75"/>
      <c r="K214" s="70">
        <f>SUMIFS('Paradise Park'!$C:$C,'Paradise Park'!$A:$A,$A214)</f>
        <v>2</v>
      </c>
      <c r="L214" s="75"/>
      <c r="M214" s="70">
        <f>SUMIFS('Central LP'!$D:$D,'Central LP'!$B:$B,$A214)</f>
        <v>1</v>
      </c>
      <c r="N214" s="75"/>
      <c r="O214" s="71">
        <f t="shared" si="6"/>
        <v>7</v>
      </c>
      <c r="P214" s="71">
        <f t="shared" si="7"/>
        <v>0</v>
      </c>
    </row>
    <row r="215" spans="1:16">
      <c r="A215" s="69" t="s">
        <v>314</v>
      </c>
      <c r="B215" s="69" t="s">
        <v>1574</v>
      </c>
      <c r="C215" s="69" t="s">
        <v>1631</v>
      </c>
      <c r="D215" s="74" t="s">
        <v>1600</v>
      </c>
      <c r="E215" s="70">
        <f>SUMIFS('K Village'!$D:$D,'K Village'!$B:$B,$A215)</f>
        <v>2</v>
      </c>
      <c r="F215" s="75"/>
      <c r="G215" s="70">
        <f>SUMIFS('Central CL (Department)'!$BO:$BO,'Central CL (Department)'!$A:$A,$A215)</f>
        <v>0</v>
      </c>
      <c r="H215" s="75"/>
      <c r="I215" s="70">
        <f>SUMIFS('Siam Discovery'!$C:$C,'Siam Discovery'!$A:$A,$A215)</f>
        <v>1</v>
      </c>
      <c r="J215" s="75"/>
      <c r="K215" s="70">
        <f>SUMIFS('Paradise Park'!$C:$C,'Paradise Park'!$A:$A,$A215)</f>
        <v>4</v>
      </c>
      <c r="L215" s="75"/>
      <c r="M215" s="70">
        <f>SUMIFS('Central LP'!$D:$D,'Central LP'!$B:$B,$A215)</f>
        <v>1</v>
      </c>
      <c r="N215" s="75"/>
      <c r="O215" s="71">
        <f t="shared" si="6"/>
        <v>8</v>
      </c>
      <c r="P215" s="71">
        <f t="shared" si="7"/>
        <v>0</v>
      </c>
    </row>
    <row r="216" spans="1:16">
      <c r="A216" s="69" t="s">
        <v>316</v>
      </c>
      <c r="B216" s="69" t="s">
        <v>1574</v>
      </c>
      <c r="C216" s="69" t="s">
        <v>1631</v>
      </c>
      <c r="D216" s="74" t="s">
        <v>1601</v>
      </c>
      <c r="E216" s="70">
        <f>SUMIFS('K Village'!$D:$D,'K Village'!$B:$B,$A216)</f>
        <v>2</v>
      </c>
      <c r="F216" s="75"/>
      <c r="G216" s="70">
        <f>SUMIFS('Central CL (Department)'!$BO:$BO,'Central CL (Department)'!$A:$A,$A216)</f>
        <v>0</v>
      </c>
      <c r="H216" s="75"/>
      <c r="I216" s="70">
        <f>SUMIFS('Siam Discovery'!$C:$C,'Siam Discovery'!$A:$A,$A216)</f>
        <v>1</v>
      </c>
      <c r="J216" s="75"/>
      <c r="K216" s="70">
        <f>SUMIFS('Paradise Park'!$C:$C,'Paradise Park'!$A:$A,$A216)</f>
        <v>3</v>
      </c>
      <c r="L216" s="75"/>
      <c r="M216" s="70">
        <f>SUMIFS('Central LP'!$D:$D,'Central LP'!$B:$B,$A216)</f>
        <v>0</v>
      </c>
      <c r="N216" s="75"/>
      <c r="O216" s="71">
        <f t="shared" si="6"/>
        <v>6</v>
      </c>
      <c r="P216" s="71">
        <f t="shared" si="7"/>
        <v>0</v>
      </c>
    </row>
    <row r="217" spans="1:16">
      <c r="A217" s="69" t="s">
        <v>318</v>
      </c>
      <c r="B217" s="69" t="s">
        <v>1574</v>
      </c>
      <c r="C217" s="69" t="s">
        <v>1631</v>
      </c>
      <c r="D217" s="74" t="s">
        <v>1602</v>
      </c>
      <c r="E217" s="70">
        <f>SUMIFS('K Village'!$D:$D,'K Village'!$B:$B,$A217)</f>
        <v>2</v>
      </c>
      <c r="F217" s="75"/>
      <c r="G217" s="70">
        <f>SUMIFS('Central CL (Department)'!$BO:$BO,'Central CL (Department)'!$A:$A,$A217)</f>
        <v>0</v>
      </c>
      <c r="H217" s="75"/>
      <c r="I217" s="70">
        <f>SUMIFS('Siam Discovery'!$C:$C,'Siam Discovery'!$A:$A,$A217)</f>
        <v>1</v>
      </c>
      <c r="J217" s="75"/>
      <c r="K217" s="70">
        <f>SUMIFS('Paradise Park'!$C:$C,'Paradise Park'!$A:$A,$A217)</f>
        <v>2</v>
      </c>
      <c r="L217" s="75"/>
      <c r="M217" s="70">
        <f>SUMIFS('Central LP'!$D:$D,'Central LP'!$B:$B,$A217)</f>
        <v>1</v>
      </c>
      <c r="N217" s="75"/>
      <c r="O217" s="71">
        <f t="shared" si="6"/>
        <v>6</v>
      </c>
      <c r="P217" s="71">
        <f t="shared" si="7"/>
        <v>0</v>
      </c>
    </row>
    <row r="218" spans="1:16">
      <c r="A218" s="69" t="s">
        <v>1034</v>
      </c>
      <c r="B218" s="69" t="s">
        <v>1574</v>
      </c>
      <c r="C218" s="69" t="s">
        <v>1631</v>
      </c>
      <c r="D218" s="74" t="s">
        <v>1603</v>
      </c>
      <c r="E218" s="70">
        <f>SUMIFS('K Village'!$D:$D,'K Village'!$B:$B,$A218)</f>
        <v>2</v>
      </c>
      <c r="F218" s="75"/>
      <c r="G218" s="70">
        <f>SUMIFS('Central CL (Department)'!$BO:$BO,'Central CL (Department)'!$A:$A,$A218)</f>
        <v>0</v>
      </c>
      <c r="H218" s="75"/>
      <c r="I218" s="70">
        <f>SUMIFS('Siam Discovery'!$C:$C,'Siam Discovery'!$A:$A,$A218)</f>
        <v>2</v>
      </c>
      <c r="J218" s="75"/>
      <c r="K218" s="70">
        <f>SUMIFS('Paradise Park'!$C:$C,'Paradise Park'!$A:$A,$A218)</f>
        <v>0</v>
      </c>
      <c r="L218" s="75"/>
      <c r="M218" s="70">
        <f>SUMIFS('Central LP'!$D:$D,'Central LP'!$B:$B,$A218)</f>
        <v>1</v>
      </c>
      <c r="N218" s="75"/>
      <c r="O218" s="71">
        <f t="shared" si="6"/>
        <v>5</v>
      </c>
      <c r="P218" s="71">
        <f t="shared" si="7"/>
        <v>0</v>
      </c>
    </row>
    <row r="219" spans="1:16">
      <c r="A219" s="69" t="s">
        <v>1520</v>
      </c>
      <c r="B219" s="69" t="s">
        <v>1574</v>
      </c>
      <c r="C219" s="69" t="s">
        <v>1632</v>
      </c>
      <c r="D219" s="74" t="s">
        <v>1588</v>
      </c>
      <c r="E219" s="70">
        <f>SUMIFS('K Village'!$D:$D,'K Village'!$B:$B,$A219)</f>
        <v>2</v>
      </c>
      <c r="F219" s="75"/>
      <c r="G219" s="70">
        <f>SUMIFS('Central CL (Department)'!$BO:$BO,'Central CL (Department)'!$A:$A,$A219)</f>
        <v>0</v>
      </c>
      <c r="H219" s="75"/>
      <c r="I219" s="70">
        <f>SUMIFS('Siam Discovery'!$C:$C,'Siam Discovery'!$A:$A,$A219)</f>
        <v>0</v>
      </c>
      <c r="J219" s="75"/>
      <c r="K219" s="70">
        <f>SUMIFS('Paradise Park'!$C:$C,'Paradise Park'!$A:$A,$A219)</f>
        <v>0</v>
      </c>
      <c r="L219" s="75"/>
      <c r="M219" s="70">
        <f>SUMIFS('Central LP'!$D:$D,'Central LP'!$B:$B,$A219)</f>
        <v>0</v>
      </c>
      <c r="N219" s="75"/>
      <c r="O219" s="71">
        <f t="shared" si="6"/>
        <v>2</v>
      </c>
      <c r="P219" s="71">
        <f t="shared" si="7"/>
        <v>0</v>
      </c>
    </row>
    <row r="220" spans="1:16">
      <c r="A220" s="69" t="s">
        <v>1032</v>
      </c>
      <c r="B220" s="69" t="s">
        <v>1574</v>
      </c>
      <c r="C220" s="69" t="s">
        <v>1632</v>
      </c>
      <c r="D220" s="74" t="s">
        <v>1589</v>
      </c>
      <c r="E220" s="70">
        <f>SUMIFS('K Village'!$D:$D,'K Village'!$B:$B,$A220)</f>
        <v>0</v>
      </c>
      <c r="F220" s="75"/>
      <c r="G220" s="70">
        <f>SUMIFS('Central CL (Department)'!$BO:$BO,'Central CL (Department)'!$A:$A,$A220)</f>
        <v>0</v>
      </c>
      <c r="H220" s="75"/>
      <c r="I220" s="70">
        <f>SUMIFS('Siam Discovery'!$C:$C,'Siam Discovery'!$A:$A,$A220)</f>
        <v>1</v>
      </c>
      <c r="J220" s="75"/>
      <c r="K220" s="70">
        <f>SUMIFS('Paradise Park'!$C:$C,'Paradise Park'!$A:$A,$A220)</f>
        <v>0</v>
      </c>
      <c r="L220" s="75"/>
      <c r="M220" s="70">
        <f>SUMIFS('Central LP'!$D:$D,'Central LP'!$B:$B,$A220)</f>
        <v>1</v>
      </c>
      <c r="N220" s="75"/>
      <c r="O220" s="71">
        <f t="shared" si="6"/>
        <v>2</v>
      </c>
      <c r="P220" s="71">
        <f t="shared" si="7"/>
        <v>0</v>
      </c>
    </row>
    <row r="221" spans="1:16">
      <c r="A221" s="69" t="s">
        <v>320</v>
      </c>
      <c r="B221" s="69" t="s">
        <v>1574</v>
      </c>
      <c r="C221" s="69" t="s">
        <v>1632</v>
      </c>
      <c r="D221" s="74" t="s">
        <v>1590</v>
      </c>
      <c r="E221" s="70">
        <f>SUMIFS('K Village'!$D:$D,'K Village'!$B:$B,$A221)</f>
        <v>2</v>
      </c>
      <c r="F221" s="75"/>
      <c r="G221" s="70">
        <f>SUMIFS('Central CL (Department)'!$BO:$BO,'Central CL (Department)'!$A:$A,$A221)</f>
        <v>0</v>
      </c>
      <c r="H221" s="75"/>
      <c r="I221" s="70">
        <f>SUMIFS('Siam Discovery'!$C:$C,'Siam Discovery'!$A:$A,$A221)</f>
        <v>1</v>
      </c>
      <c r="J221" s="75"/>
      <c r="K221" s="70">
        <f>SUMIFS('Paradise Park'!$C:$C,'Paradise Park'!$A:$A,$A221)</f>
        <v>3</v>
      </c>
      <c r="L221" s="75"/>
      <c r="M221" s="70">
        <f>SUMIFS('Central LP'!$D:$D,'Central LP'!$B:$B,$A221)</f>
        <v>1</v>
      </c>
      <c r="N221" s="75"/>
      <c r="O221" s="71">
        <f t="shared" si="6"/>
        <v>7</v>
      </c>
      <c r="P221" s="71">
        <f t="shared" si="7"/>
        <v>0</v>
      </c>
    </row>
    <row r="222" spans="1:16">
      <c r="A222" s="69" t="s">
        <v>322</v>
      </c>
      <c r="B222" s="69" t="s">
        <v>1574</v>
      </c>
      <c r="C222" s="69" t="s">
        <v>1632</v>
      </c>
      <c r="D222" s="74" t="s">
        <v>1591</v>
      </c>
      <c r="E222" s="70">
        <f>SUMIFS('K Village'!$D:$D,'K Village'!$B:$B,$A222)</f>
        <v>2</v>
      </c>
      <c r="F222" s="75"/>
      <c r="G222" s="70">
        <f>SUMIFS('Central CL (Department)'!$BO:$BO,'Central CL (Department)'!$A:$A,$A222)</f>
        <v>0</v>
      </c>
      <c r="H222" s="75"/>
      <c r="I222" s="70">
        <f>SUMIFS('Siam Discovery'!$C:$C,'Siam Discovery'!$A:$A,$A222)</f>
        <v>1</v>
      </c>
      <c r="J222" s="75"/>
      <c r="K222" s="70">
        <f>SUMIFS('Paradise Park'!$C:$C,'Paradise Park'!$A:$A,$A222)</f>
        <v>3</v>
      </c>
      <c r="L222" s="75"/>
      <c r="M222" s="70">
        <f>SUMIFS('Central LP'!$D:$D,'Central LP'!$B:$B,$A222)</f>
        <v>1</v>
      </c>
      <c r="N222" s="75"/>
      <c r="O222" s="71">
        <f t="shared" si="6"/>
        <v>7</v>
      </c>
      <c r="P222" s="71">
        <f t="shared" si="7"/>
        <v>0</v>
      </c>
    </row>
    <row r="223" spans="1:16">
      <c r="A223" s="69" t="s">
        <v>324</v>
      </c>
      <c r="B223" s="69" t="s">
        <v>1574</v>
      </c>
      <c r="C223" s="69" t="s">
        <v>1632</v>
      </c>
      <c r="D223" s="74" t="s">
        <v>1592</v>
      </c>
      <c r="E223" s="70">
        <f>SUMIFS('K Village'!$D:$D,'K Village'!$B:$B,$A223)</f>
        <v>2</v>
      </c>
      <c r="F223" s="75"/>
      <c r="G223" s="70">
        <f>SUMIFS('Central CL (Department)'!$BO:$BO,'Central CL (Department)'!$A:$A,$A223)</f>
        <v>0</v>
      </c>
      <c r="H223" s="75"/>
      <c r="I223" s="70">
        <f>SUMIFS('Siam Discovery'!$C:$C,'Siam Discovery'!$A:$A,$A223)</f>
        <v>1</v>
      </c>
      <c r="J223" s="75"/>
      <c r="K223" s="70">
        <f>SUMIFS('Paradise Park'!$C:$C,'Paradise Park'!$A:$A,$A223)</f>
        <v>2</v>
      </c>
      <c r="L223" s="75"/>
      <c r="M223" s="70">
        <f>SUMIFS('Central LP'!$D:$D,'Central LP'!$B:$B,$A223)</f>
        <v>1</v>
      </c>
      <c r="N223" s="75"/>
      <c r="O223" s="71">
        <f t="shared" si="6"/>
        <v>6</v>
      </c>
      <c r="P223" s="71">
        <f t="shared" si="7"/>
        <v>0</v>
      </c>
    </row>
    <row r="224" spans="1:16">
      <c r="A224" s="69" t="s">
        <v>326</v>
      </c>
      <c r="B224" s="69" t="s">
        <v>1574</v>
      </c>
      <c r="C224" s="69" t="s">
        <v>1632</v>
      </c>
      <c r="D224" s="74" t="s">
        <v>1593</v>
      </c>
      <c r="E224" s="70">
        <f>SUMIFS('K Village'!$D:$D,'K Village'!$B:$B,$A224)</f>
        <v>2</v>
      </c>
      <c r="F224" s="75"/>
      <c r="G224" s="70">
        <f>SUMIFS('Central CL (Department)'!$BO:$BO,'Central CL (Department)'!$A:$A,$A224)</f>
        <v>0</v>
      </c>
      <c r="H224" s="75"/>
      <c r="I224" s="70">
        <f>SUMIFS('Siam Discovery'!$C:$C,'Siam Discovery'!$A:$A,$A224)</f>
        <v>3</v>
      </c>
      <c r="J224" s="75"/>
      <c r="K224" s="70">
        <f>SUMIFS('Paradise Park'!$C:$C,'Paradise Park'!$A:$A,$A224)</f>
        <v>2</v>
      </c>
      <c r="L224" s="75"/>
      <c r="M224" s="70">
        <f>SUMIFS('Central LP'!$D:$D,'Central LP'!$B:$B,$A224)</f>
        <v>1</v>
      </c>
      <c r="N224" s="75"/>
      <c r="O224" s="71">
        <f t="shared" si="6"/>
        <v>8</v>
      </c>
      <c r="P224" s="71">
        <f t="shared" si="7"/>
        <v>0</v>
      </c>
    </row>
    <row r="225" spans="1:16">
      <c r="A225" s="69" t="s">
        <v>1112</v>
      </c>
      <c r="B225" s="69" t="s">
        <v>1574</v>
      </c>
      <c r="C225" s="69" t="s">
        <v>1632</v>
      </c>
      <c r="D225" s="74" t="s">
        <v>1594</v>
      </c>
      <c r="E225" s="70">
        <f>SUMIFS('K Village'!$D:$D,'K Village'!$B:$B,$A225)</f>
        <v>1</v>
      </c>
      <c r="F225" s="75"/>
      <c r="G225" s="70">
        <f>SUMIFS('Central CL (Department)'!$BO:$BO,'Central CL (Department)'!$A:$A,$A225)</f>
        <v>0</v>
      </c>
      <c r="H225" s="75"/>
      <c r="I225" s="70">
        <f>SUMIFS('Siam Discovery'!$C:$C,'Siam Discovery'!$A:$A,$A225)</f>
        <v>0</v>
      </c>
      <c r="J225" s="75"/>
      <c r="K225" s="70">
        <f>SUMIFS('Paradise Park'!$C:$C,'Paradise Park'!$A:$A,$A225)</f>
        <v>1</v>
      </c>
      <c r="L225" s="75"/>
      <c r="M225" s="70">
        <f>SUMIFS('Central LP'!$D:$D,'Central LP'!$B:$B,$A225)</f>
        <v>1</v>
      </c>
      <c r="N225" s="75"/>
      <c r="O225" s="71">
        <f t="shared" si="6"/>
        <v>3</v>
      </c>
      <c r="P225" s="71">
        <f t="shared" si="7"/>
        <v>0</v>
      </c>
    </row>
    <row r="226" spans="1:16">
      <c r="A226" s="69" t="s">
        <v>1110</v>
      </c>
      <c r="B226" s="69" t="s">
        <v>1574</v>
      </c>
      <c r="C226" s="69" t="s">
        <v>1632</v>
      </c>
      <c r="D226" s="74" t="s">
        <v>1595</v>
      </c>
      <c r="E226" s="70">
        <f>SUMIFS('K Village'!$D:$D,'K Village'!$B:$B,$A226)</f>
        <v>0</v>
      </c>
      <c r="F226" s="75"/>
      <c r="G226" s="70">
        <f>SUMIFS('Central CL (Department)'!$BO:$BO,'Central CL (Department)'!$A:$A,$A226)</f>
        <v>0</v>
      </c>
      <c r="H226" s="75"/>
      <c r="I226" s="70">
        <f>SUMIFS('Siam Discovery'!$C:$C,'Siam Discovery'!$A:$A,$A226)</f>
        <v>0</v>
      </c>
      <c r="J226" s="75"/>
      <c r="K226" s="70">
        <f>SUMIFS('Paradise Park'!$C:$C,'Paradise Park'!$A:$A,$A226)</f>
        <v>1</v>
      </c>
      <c r="L226" s="75"/>
      <c r="M226" s="70">
        <f>SUMIFS('Central LP'!$D:$D,'Central LP'!$B:$B,$A226)</f>
        <v>0</v>
      </c>
      <c r="N226" s="75"/>
      <c r="O226" s="71">
        <f t="shared" si="6"/>
        <v>1</v>
      </c>
      <c r="P226" s="71">
        <f t="shared" si="7"/>
        <v>0</v>
      </c>
    </row>
    <row r="227" spans="1:16">
      <c r="A227" s="69" t="s">
        <v>1108</v>
      </c>
      <c r="B227" s="69" t="s">
        <v>1574</v>
      </c>
      <c r="C227" s="69" t="s">
        <v>1632</v>
      </c>
      <c r="D227" s="74" t="s">
        <v>1599</v>
      </c>
      <c r="E227" s="70">
        <f>SUMIFS('K Village'!$D:$D,'K Village'!$B:$B,$A227)</f>
        <v>2</v>
      </c>
      <c r="F227" s="75"/>
      <c r="G227" s="70">
        <f>SUMIFS('Central CL (Department)'!$BO:$BO,'Central CL (Department)'!$A:$A,$A227)</f>
        <v>0</v>
      </c>
      <c r="H227" s="75"/>
      <c r="I227" s="70">
        <f>SUMIFS('Siam Discovery'!$C:$C,'Siam Discovery'!$A:$A,$A227)</f>
        <v>0</v>
      </c>
      <c r="J227" s="75"/>
      <c r="K227" s="70">
        <f>SUMIFS('Paradise Park'!$C:$C,'Paradise Park'!$A:$A,$A227)</f>
        <v>3</v>
      </c>
      <c r="L227" s="75"/>
      <c r="M227" s="70">
        <f>SUMIFS('Central LP'!$D:$D,'Central LP'!$B:$B,$A227)</f>
        <v>0</v>
      </c>
      <c r="N227" s="75"/>
      <c r="O227" s="71">
        <f t="shared" si="6"/>
        <v>5</v>
      </c>
      <c r="P227" s="71">
        <f t="shared" si="7"/>
        <v>0</v>
      </c>
    </row>
    <row r="228" spans="1:16">
      <c r="A228" s="69" t="s">
        <v>1106</v>
      </c>
      <c r="B228" s="69" t="s">
        <v>1574</v>
      </c>
      <c r="C228" s="69" t="s">
        <v>1632</v>
      </c>
      <c r="D228" s="74" t="s">
        <v>1600</v>
      </c>
      <c r="E228" s="70">
        <f>SUMIFS('K Village'!$D:$D,'K Village'!$B:$B,$A228)</f>
        <v>1</v>
      </c>
      <c r="F228" s="75"/>
      <c r="G228" s="70">
        <f>SUMIFS('Central CL (Department)'!$BO:$BO,'Central CL (Department)'!$A:$A,$A228)</f>
        <v>0</v>
      </c>
      <c r="H228" s="75"/>
      <c r="I228" s="70">
        <f>SUMIFS('Siam Discovery'!$C:$C,'Siam Discovery'!$A:$A,$A228)</f>
        <v>0</v>
      </c>
      <c r="J228" s="75"/>
      <c r="K228" s="70">
        <f>SUMIFS('Paradise Park'!$C:$C,'Paradise Park'!$A:$A,$A228)</f>
        <v>2</v>
      </c>
      <c r="L228" s="75"/>
      <c r="M228" s="70">
        <f>SUMIFS('Central LP'!$D:$D,'Central LP'!$B:$B,$A228)</f>
        <v>0</v>
      </c>
      <c r="N228" s="75"/>
      <c r="O228" s="71">
        <f t="shared" si="6"/>
        <v>3</v>
      </c>
      <c r="P228" s="71">
        <f t="shared" si="7"/>
        <v>0</v>
      </c>
    </row>
    <row r="229" spans="1:16">
      <c r="A229" s="69" t="s">
        <v>1104</v>
      </c>
      <c r="B229" s="69" t="s">
        <v>1574</v>
      </c>
      <c r="C229" s="69" t="s">
        <v>1632</v>
      </c>
      <c r="D229" s="74" t="s">
        <v>1601</v>
      </c>
      <c r="E229" s="70">
        <f>SUMIFS('K Village'!$D:$D,'K Village'!$B:$B,$A229)</f>
        <v>2</v>
      </c>
      <c r="F229" s="75"/>
      <c r="G229" s="70">
        <f>SUMIFS('Central CL (Department)'!$BO:$BO,'Central CL (Department)'!$A:$A,$A229)</f>
        <v>0</v>
      </c>
      <c r="H229" s="75"/>
      <c r="I229" s="70">
        <f>SUMIFS('Siam Discovery'!$C:$C,'Siam Discovery'!$A:$A,$A229)</f>
        <v>0</v>
      </c>
      <c r="J229" s="75"/>
      <c r="K229" s="70">
        <f>SUMIFS('Paradise Park'!$C:$C,'Paradise Park'!$A:$A,$A229)</f>
        <v>2</v>
      </c>
      <c r="L229" s="75"/>
      <c r="M229" s="70">
        <f>SUMIFS('Central LP'!$D:$D,'Central LP'!$B:$B,$A229)</f>
        <v>0</v>
      </c>
      <c r="N229" s="75"/>
      <c r="O229" s="71">
        <f t="shared" si="6"/>
        <v>4</v>
      </c>
      <c r="P229" s="71">
        <f t="shared" si="7"/>
        <v>0</v>
      </c>
    </row>
    <row r="230" spans="1:16">
      <c r="A230" s="69" t="s">
        <v>1102</v>
      </c>
      <c r="B230" s="69" t="s">
        <v>1574</v>
      </c>
      <c r="C230" s="69" t="s">
        <v>1632</v>
      </c>
      <c r="D230" s="74" t="s">
        <v>1602</v>
      </c>
      <c r="E230" s="70">
        <f>SUMIFS('K Village'!$D:$D,'K Village'!$B:$B,$A230)</f>
        <v>3</v>
      </c>
      <c r="F230" s="75"/>
      <c r="G230" s="70">
        <f>SUMIFS('Central CL (Department)'!$BO:$BO,'Central CL (Department)'!$A:$A,$A230)</f>
        <v>0</v>
      </c>
      <c r="H230" s="75"/>
      <c r="I230" s="70">
        <f>SUMIFS('Siam Discovery'!$C:$C,'Siam Discovery'!$A:$A,$A230)</f>
        <v>0</v>
      </c>
      <c r="J230" s="75"/>
      <c r="K230" s="70">
        <f>SUMIFS('Paradise Park'!$C:$C,'Paradise Park'!$A:$A,$A230)</f>
        <v>3</v>
      </c>
      <c r="L230" s="75"/>
      <c r="M230" s="70">
        <f>SUMIFS('Central LP'!$D:$D,'Central LP'!$B:$B,$A230)</f>
        <v>0</v>
      </c>
      <c r="N230" s="75"/>
      <c r="O230" s="71">
        <f t="shared" si="6"/>
        <v>6</v>
      </c>
      <c r="P230" s="71">
        <f t="shared" si="7"/>
        <v>0</v>
      </c>
    </row>
    <row r="231" spans="1:16">
      <c r="A231" s="69" t="s">
        <v>1100</v>
      </c>
      <c r="B231" s="69" t="s">
        <v>1574</v>
      </c>
      <c r="C231" s="69" t="s">
        <v>1632</v>
      </c>
      <c r="D231" s="74" t="s">
        <v>1603</v>
      </c>
      <c r="E231" s="70">
        <f>SUMIFS('K Village'!$D:$D,'K Village'!$B:$B,$A231)</f>
        <v>2</v>
      </c>
      <c r="F231" s="75"/>
      <c r="G231" s="70">
        <f>SUMIFS('Central CL (Department)'!$BO:$BO,'Central CL (Department)'!$A:$A,$A231)</f>
        <v>0</v>
      </c>
      <c r="H231" s="75"/>
      <c r="I231" s="70">
        <f>SUMIFS('Siam Discovery'!$C:$C,'Siam Discovery'!$A:$A,$A231)</f>
        <v>0</v>
      </c>
      <c r="J231" s="75"/>
      <c r="K231" s="70">
        <f>SUMIFS('Paradise Park'!$C:$C,'Paradise Park'!$A:$A,$A231)</f>
        <v>3</v>
      </c>
      <c r="L231" s="75"/>
      <c r="M231" s="70">
        <f>SUMIFS('Central LP'!$D:$D,'Central LP'!$B:$B,$A231)</f>
        <v>0</v>
      </c>
      <c r="N231" s="75"/>
      <c r="O231" s="71">
        <f t="shared" si="6"/>
        <v>5</v>
      </c>
      <c r="P231" s="71">
        <f t="shared" si="7"/>
        <v>0</v>
      </c>
    </row>
    <row r="232" spans="1:16">
      <c r="A232" s="69" t="s">
        <v>482</v>
      </c>
      <c r="B232" s="69" t="s">
        <v>1574</v>
      </c>
      <c r="C232" s="69" t="s">
        <v>1633</v>
      </c>
      <c r="D232" s="74" t="s">
        <v>1590</v>
      </c>
      <c r="E232" s="70">
        <f>SUMIFS('K Village'!$D:$D,'K Village'!$B:$B,$A232)</f>
        <v>0</v>
      </c>
      <c r="F232" s="75"/>
      <c r="G232" s="70">
        <f>SUMIFS('Central CL (Department)'!$BO:$BO,'Central CL (Department)'!$A:$A,$A232)</f>
        <v>0</v>
      </c>
      <c r="H232" s="75"/>
      <c r="I232" s="70">
        <f>SUMIFS('Siam Discovery'!$C:$C,'Siam Discovery'!$A:$A,$A232)</f>
        <v>0</v>
      </c>
      <c r="J232" s="75"/>
      <c r="K232" s="70">
        <f>SUMIFS('Paradise Park'!$C:$C,'Paradise Park'!$A:$A,$A232)</f>
        <v>0</v>
      </c>
      <c r="L232" s="75"/>
      <c r="M232" s="70">
        <f>SUMIFS('Central LP'!$D:$D,'Central LP'!$B:$B,$A232)</f>
        <v>0</v>
      </c>
      <c r="N232" s="75"/>
      <c r="O232" s="71">
        <f t="shared" si="6"/>
        <v>0</v>
      </c>
      <c r="P232" s="71">
        <f t="shared" si="7"/>
        <v>0</v>
      </c>
    </row>
    <row r="233" spans="1:16">
      <c r="A233" s="69" t="s">
        <v>484</v>
      </c>
      <c r="B233" s="69" t="s">
        <v>1574</v>
      </c>
      <c r="C233" s="69" t="s">
        <v>1633</v>
      </c>
      <c r="D233" s="74" t="s">
        <v>1591</v>
      </c>
      <c r="E233" s="70">
        <f>SUMIFS('K Village'!$D:$D,'K Village'!$B:$B,$A233)</f>
        <v>0</v>
      </c>
      <c r="F233" s="75"/>
      <c r="G233" s="70">
        <f>SUMIFS('Central CL (Department)'!$BO:$BO,'Central CL (Department)'!$A:$A,$A233)</f>
        <v>2</v>
      </c>
      <c r="H233" s="75"/>
      <c r="I233" s="70">
        <f>SUMIFS('Siam Discovery'!$C:$C,'Siam Discovery'!$A:$A,$A233)</f>
        <v>0</v>
      </c>
      <c r="J233" s="75"/>
      <c r="K233" s="70">
        <f>SUMIFS('Paradise Park'!$C:$C,'Paradise Park'!$A:$A,$A233)</f>
        <v>0</v>
      </c>
      <c r="L233" s="75"/>
      <c r="M233" s="70">
        <f>SUMIFS('Central LP'!$D:$D,'Central LP'!$B:$B,$A233)</f>
        <v>0</v>
      </c>
      <c r="N233" s="75"/>
      <c r="O233" s="71">
        <f t="shared" si="6"/>
        <v>2</v>
      </c>
      <c r="P233" s="71">
        <f t="shared" si="7"/>
        <v>0</v>
      </c>
    </row>
    <row r="234" spans="1:16">
      <c r="A234" s="69" t="s">
        <v>486</v>
      </c>
      <c r="B234" s="69" t="s">
        <v>1574</v>
      </c>
      <c r="C234" s="69" t="s">
        <v>1633</v>
      </c>
      <c r="D234" s="74" t="s">
        <v>1592</v>
      </c>
      <c r="E234" s="70">
        <f>SUMIFS('K Village'!$D:$D,'K Village'!$B:$B,$A234)</f>
        <v>0</v>
      </c>
      <c r="F234" s="75"/>
      <c r="G234" s="70">
        <f>SUMIFS('Central CL (Department)'!$BO:$BO,'Central CL (Department)'!$A:$A,$A234)</f>
        <v>0</v>
      </c>
      <c r="H234" s="75"/>
      <c r="I234" s="70">
        <f>SUMIFS('Siam Discovery'!$C:$C,'Siam Discovery'!$A:$A,$A234)</f>
        <v>0</v>
      </c>
      <c r="J234" s="75"/>
      <c r="K234" s="70">
        <f>SUMIFS('Paradise Park'!$C:$C,'Paradise Park'!$A:$A,$A234)</f>
        <v>0</v>
      </c>
      <c r="L234" s="75"/>
      <c r="M234" s="70">
        <f>SUMIFS('Central LP'!$D:$D,'Central LP'!$B:$B,$A234)</f>
        <v>0</v>
      </c>
      <c r="N234" s="75"/>
      <c r="O234" s="71">
        <f t="shared" si="6"/>
        <v>0</v>
      </c>
      <c r="P234" s="71">
        <f t="shared" si="7"/>
        <v>0</v>
      </c>
    </row>
    <row r="235" spans="1:16">
      <c r="A235" s="69" t="s">
        <v>488</v>
      </c>
      <c r="B235" s="69" t="s">
        <v>1574</v>
      </c>
      <c r="C235" s="69" t="s">
        <v>1633</v>
      </c>
      <c r="D235" s="74" t="s">
        <v>1593</v>
      </c>
      <c r="E235" s="70">
        <f>SUMIFS('K Village'!$D:$D,'K Village'!$B:$B,$A235)</f>
        <v>0</v>
      </c>
      <c r="F235" s="75"/>
      <c r="G235" s="70">
        <f>SUMIFS('Central CL (Department)'!$BO:$BO,'Central CL (Department)'!$A:$A,$A235)</f>
        <v>0</v>
      </c>
      <c r="H235" s="75"/>
      <c r="I235" s="70">
        <f>SUMIFS('Siam Discovery'!$C:$C,'Siam Discovery'!$A:$A,$A235)</f>
        <v>0</v>
      </c>
      <c r="J235" s="75"/>
      <c r="K235" s="70">
        <f>SUMIFS('Paradise Park'!$C:$C,'Paradise Park'!$A:$A,$A235)</f>
        <v>0</v>
      </c>
      <c r="L235" s="75"/>
      <c r="M235" s="70">
        <f>SUMIFS('Central LP'!$D:$D,'Central LP'!$B:$B,$A235)</f>
        <v>0</v>
      </c>
      <c r="N235" s="75"/>
      <c r="O235" s="71">
        <f t="shared" si="6"/>
        <v>0</v>
      </c>
      <c r="P235" s="71">
        <f t="shared" si="7"/>
        <v>0</v>
      </c>
    </row>
    <row r="236" spans="1:16">
      <c r="A236" s="69" t="s">
        <v>490</v>
      </c>
      <c r="B236" s="69" t="s">
        <v>1574</v>
      </c>
      <c r="C236" s="69" t="s">
        <v>1633</v>
      </c>
      <c r="D236" s="74" t="s">
        <v>1594</v>
      </c>
      <c r="E236" s="70">
        <f>SUMIFS('K Village'!$D:$D,'K Village'!$B:$B,$A236)</f>
        <v>0</v>
      </c>
      <c r="F236" s="75"/>
      <c r="G236" s="70">
        <f>SUMIFS('Central CL (Department)'!$BO:$BO,'Central CL (Department)'!$A:$A,$A236)</f>
        <v>0</v>
      </c>
      <c r="H236" s="75"/>
      <c r="I236" s="70">
        <f>SUMIFS('Siam Discovery'!$C:$C,'Siam Discovery'!$A:$A,$A236)</f>
        <v>0</v>
      </c>
      <c r="J236" s="75"/>
      <c r="K236" s="70">
        <f>SUMIFS('Paradise Park'!$C:$C,'Paradise Park'!$A:$A,$A236)</f>
        <v>0</v>
      </c>
      <c r="L236" s="75"/>
      <c r="M236" s="70">
        <f>SUMIFS('Central LP'!$D:$D,'Central LP'!$B:$B,$A236)</f>
        <v>0</v>
      </c>
      <c r="N236" s="75"/>
      <c r="O236" s="71">
        <f t="shared" si="6"/>
        <v>0</v>
      </c>
      <c r="P236" s="71">
        <f t="shared" si="7"/>
        <v>0</v>
      </c>
    </row>
    <row r="237" spans="1:16">
      <c r="A237" s="69" t="s">
        <v>492</v>
      </c>
      <c r="B237" s="69" t="s">
        <v>1574</v>
      </c>
      <c r="C237" s="69" t="s">
        <v>1633</v>
      </c>
      <c r="D237" s="74" t="s">
        <v>1599</v>
      </c>
      <c r="E237" s="70">
        <f>SUMIFS('K Village'!$D:$D,'K Village'!$B:$B,$A237)</f>
        <v>0</v>
      </c>
      <c r="F237" s="75"/>
      <c r="G237" s="70">
        <f>SUMIFS('Central CL (Department)'!$BO:$BO,'Central CL (Department)'!$A:$A,$A237)</f>
        <v>0</v>
      </c>
      <c r="H237" s="75"/>
      <c r="I237" s="70">
        <f>SUMIFS('Siam Discovery'!$C:$C,'Siam Discovery'!$A:$A,$A237)</f>
        <v>0</v>
      </c>
      <c r="J237" s="75"/>
      <c r="K237" s="70">
        <f>SUMIFS('Paradise Park'!$C:$C,'Paradise Park'!$A:$A,$A237)</f>
        <v>0</v>
      </c>
      <c r="L237" s="75"/>
      <c r="M237" s="70">
        <f>SUMIFS('Central LP'!$D:$D,'Central LP'!$B:$B,$A237)</f>
        <v>0</v>
      </c>
      <c r="N237" s="75"/>
      <c r="O237" s="71">
        <f t="shared" si="6"/>
        <v>0</v>
      </c>
      <c r="P237" s="71">
        <f t="shared" si="7"/>
        <v>0</v>
      </c>
    </row>
    <row r="238" spans="1:16">
      <c r="A238" s="69" t="s">
        <v>494</v>
      </c>
      <c r="B238" s="69" t="s">
        <v>1574</v>
      </c>
      <c r="C238" s="69" t="s">
        <v>1633</v>
      </c>
      <c r="D238" s="74" t="s">
        <v>1600</v>
      </c>
      <c r="E238" s="70">
        <f>SUMIFS('K Village'!$D:$D,'K Village'!$B:$B,$A238)</f>
        <v>0</v>
      </c>
      <c r="F238" s="75"/>
      <c r="G238" s="70">
        <f>SUMIFS('Central CL (Department)'!$BO:$BO,'Central CL (Department)'!$A:$A,$A238)</f>
        <v>0</v>
      </c>
      <c r="H238" s="75"/>
      <c r="I238" s="70">
        <f>SUMIFS('Siam Discovery'!$C:$C,'Siam Discovery'!$A:$A,$A238)</f>
        <v>0</v>
      </c>
      <c r="J238" s="75"/>
      <c r="K238" s="70">
        <f>SUMIFS('Paradise Park'!$C:$C,'Paradise Park'!$A:$A,$A238)</f>
        <v>0</v>
      </c>
      <c r="L238" s="75"/>
      <c r="M238" s="70">
        <f>SUMIFS('Central LP'!$D:$D,'Central LP'!$B:$B,$A238)</f>
        <v>0</v>
      </c>
      <c r="N238" s="75"/>
      <c r="O238" s="71">
        <f t="shared" si="6"/>
        <v>0</v>
      </c>
      <c r="P238" s="71">
        <f t="shared" si="7"/>
        <v>0</v>
      </c>
    </row>
    <row r="239" spans="1:16">
      <c r="A239" s="69" t="s">
        <v>496</v>
      </c>
      <c r="B239" s="69" t="s">
        <v>1574</v>
      </c>
      <c r="C239" s="69" t="s">
        <v>1633</v>
      </c>
      <c r="D239" s="74" t="s">
        <v>1601</v>
      </c>
      <c r="E239" s="70">
        <f>SUMIFS('K Village'!$D:$D,'K Village'!$B:$B,$A239)</f>
        <v>0</v>
      </c>
      <c r="F239" s="75"/>
      <c r="G239" s="70">
        <f>SUMIFS('Central CL (Department)'!$BO:$BO,'Central CL (Department)'!$A:$A,$A239)</f>
        <v>0</v>
      </c>
      <c r="H239" s="75"/>
      <c r="I239" s="70">
        <f>SUMIFS('Siam Discovery'!$C:$C,'Siam Discovery'!$A:$A,$A239)</f>
        <v>0</v>
      </c>
      <c r="J239" s="75"/>
      <c r="K239" s="70">
        <f>SUMIFS('Paradise Park'!$C:$C,'Paradise Park'!$A:$A,$A239)</f>
        <v>0</v>
      </c>
      <c r="L239" s="75"/>
      <c r="M239" s="70">
        <f>SUMIFS('Central LP'!$D:$D,'Central LP'!$B:$B,$A239)</f>
        <v>0</v>
      </c>
      <c r="N239" s="75"/>
      <c r="O239" s="71">
        <f t="shared" si="6"/>
        <v>0</v>
      </c>
      <c r="P239" s="71">
        <f t="shared" si="7"/>
        <v>0</v>
      </c>
    </row>
    <row r="240" spans="1:16">
      <c r="A240" s="69" t="s">
        <v>498</v>
      </c>
      <c r="B240" s="69" t="s">
        <v>1574</v>
      </c>
      <c r="C240" s="69" t="s">
        <v>1633</v>
      </c>
      <c r="D240" s="74" t="s">
        <v>1602</v>
      </c>
      <c r="E240" s="70">
        <f>SUMIFS('K Village'!$D:$D,'K Village'!$B:$B,$A240)</f>
        <v>0</v>
      </c>
      <c r="F240" s="75"/>
      <c r="G240" s="70">
        <f>SUMIFS('Central CL (Department)'!$BO:$BO,'Central CL (Department)'!$A:$A,$A240)</f>
        <v>0</v>
      </c>
      <c r="H240" s="75"/>
      <c r="I240" s="70">
        <f>SUMIFS('Siam Discovery'!$C:$C,'Siam Discovery'!$A:$A,$A240)</f>
        <v>0</v>
      </c>
      <c r="J240" s="75"/>
      <c r="K240" s="70">
        <f>SUMIFS('Paradise Park'!$C:$C,'Paradise Park'!$A:$A,$A240)</f>
        <v>0</v>
      </c>
      <c r="L240" s="75"/>
      <c r="M240" s="70">
        <f>SUMIFS('Central LP'!$D:$D,'Central LP'!$B:$B,$A240)</f>
        <v>0</v>
      </c>
      <c r="N240" s="75"/>
      <c r="O240" s="71">
        <f t="shared" si="6"/>
        <v>0</v>
      </c>
      <c r="P240" s="71">
        <f t="shared" si="7"/>
        <v>0</v>
      </c>
    </row>
    <row r="241" spans="1:16">
      <c r="A241" s="69" t="s">
        <v>500</v>
      </c>
      <c r="B241" s="69" t="s">
        <v>1574</v>
      </c>
      <c r="C241" s="69" t="s">
        <v>1633</v>
      </c>
      <c r="D241" s="74" t="s">
        <v>1603</v>
      </c>
      <c r="E241" s="70">
        <f>SUMIFS('K Village'!$D:$D,'K Village'!$B:$B,$A241)</f>
        <v>0</v>
      </c>
      <c r="F241" s="75"/>
      <c r="G241" s="70">
        <f>SUMIFS('Central CL (Department)'!$BO:$BO,'Central CL (Department)'!$A:$A,$A241)</f>
        <v>0</v>
      </c>
      <c r="H241" s="75"/>
      <c r="I241" s="70">
        <f>SUMIFS('Siam Discovery'!$C:$C,'Siam Discovery'!$A:$A,$A241)</f>
        <v>0</v>
      </c>
      <c r="J241" s="75"/>
      <c r="K241" s="70">
        <f>SUMIFS('Paradise Park'!$C:$C,'Paradise Park'!$A:$A,$A241)</f>
        <v>0</v>
      </c>
      <c r="L241" s="75"/>
      <c r="M241" s="70">
        <f>SUMIFS('Central LP'!$D:$D,'Central LP'!$B:$B,$A241)</f>
        <v>0</v>
      </c>
      <c r="N241" s="75"/>
      <c r="O241" s="71">
        <f t="shared" si="6"/>
        <v>0</v>
      </c>
      <c r="P241" s="71">
        <f t="shared" si="7"/>
        <v>0</v>
      </c>
    </row>
    <row r="242" spans="1:16">
      <c r="A242" s="69" t="s">
        <v>1098</v>
      </c>
      <c r="B242" s="69" t="s">
        <v>1575</v>
      </c>
      <c r="C242" s="69" t="s">
        <v>1622</v>
      </c>
      <c r="D242" s="74" t="s">
        <v>1589</v>
      </c>
      <c r="E242" s="70">
        <f>SUMIFS('K Village'!$D:$D,'K Village'!$B:$B,$A242)</f>
        <v>0</v>
      </c>
      <c r="F242" s="75"/>
      <c r="G242" s="70">
        <f>SUMIFS('Central CL (Department)'!$BO:$BO,'Central CL (Department)'!$A:$A,$A242)</f>
        <v>0</v>
      </c>
      <c r="H242" s="75"/>
      <c r="I242" s="70">
        <f>SUMIFS('Siam Discovery'!$C:$C,'Siam Discovery'!$A:$A,$A242)</f>
        <v>0</v>
      </c>
      <c r="J242" s="75"/>
      <c r="K242" s="70">
        <f>SUMIFS('Paradise Park'!$C:$C,'Paradise Park'!$A:$A,$A242)</f>
        <v>1</v>
      </c>
      <c r="L242" s="75"/>
      <c r="M242" s="70">
        <f>SUMIFS('Central LP'!$D:$D,'Central LP'!$B:$B,$A242)</f>
        <v>0</v>
      </c>
      <c r="N242" s="75"/>
      <c r="O242" s="71">
        <f t="shared" si="6"/>
        <v>1</v>
      </c>
      <c r="P242" s="71">
        <f t="shared" si="7"/>
        <v>0</v>
      </c>
    </row>
    <row r="243" spans="1:16">
      <c r="A243" s="69" t="s">
        <v>502</v>
      </c>
      <c r="B243" s="69" t="s">
        <v>1575</v>
      </c>
      <c r="C243" s="69" t="s">
        <v>1622</v>
      </c>
      <c r="D243" s="74" t="s">
        <v>1590</v>
      </c>
      <c r="E243" s="70">
        <f>SUMIFS('K Village'!$D:$D,'K Village'!$B:$B,$A243)</f>
        <v>0</v>
      </c>
      <c r="F243" s="75"/>
      <c r="G243" s="70">
        <f>SUMIFS('Central CL (Department)'!$BO:$BO,'Central CL (Department)'!$A:$A,$A243)</f>
        <v>0</v>
      </c>
      <c r="H243" s="75"/>
      <c r="I243" s="70">
        <f>SUMIFS('Siam Discovery'!$C:$C,'Siam Discovery'!$A:$A,$A243)</f>
        <v>0</v>
      </c>
      <c r="J243" s="75"/>
      <c r="K243" s="70">
        <f>SUMIFS('Paradise Park'!$C:$C,'Paradise Park'!$A:$A,$A243)</f>
        <v>1</v>
      </c>
      <c r="L243" s="75"/>
      <c r="M243" s="70">
        <f>SUMIFS('Central LP'!$D:$D,'Central LP'!$B:$B,$A243)</f>
        <v>0</v>
      </c>
      <c r="N243" s="75"/>
      <c r="O243" s="71">
        <f t="shared" si="6"/>
        <v>1</v>
      </c>
      <c r="P243" s="71">
        <f t="shared" si="7"/>
        <v>0</v>
      </c>
    </row>
    <row r="244" spans="1:16">
      <c r="A244" s="69" t="s">
        <v>504</v>
      </c>
      <c r="B244" s="69" t="s">
        <v>1575</v>
      </c>
      <c r="C244" s="69" t="s">
        <v>1622</v>
      </c>
      <c r="D244" s="74" t="s">
        <v>1591</v>
      </c>
      <c r="E244" s="70">
        <f>SUMIFS('K Village'!$D:$D,'K Village'!$B:$B,$A244)</f>
        <v>0</v>
      </c>
      <c r="F244" s="75"/>
      <c r="G244" s="70">
        <f>SUMIFS('Central CL (Department)'!$BO:$BO,'Central CL (Department)'!$A:$A,$A244)</f>
        <v>0</v>
      </c>
      <c r="H244" s="75"/>
      <c r="I244" s="70">
        <f>SUMIFS('Siam Discovery'!$C:$C,'Siam Discovery'!$A:$A,$A244)</f>
        <v>0</v>
      </c>
      <c r="J244" s="75"/>
      <c r="K244" s="70">
        <f>SUMIFS('Paradise Park'!$C:$C,'Paradise Park'!$A:$A,$A244)</f>
        <v>0</v>
      </c>
      <c r="L244" s="75"/>
      <c r="M244" s="70">
        <f>SUMIFS('Central LP'!$D:$D,'Central LP'!$B:$B,$A244)</f>
        <v>0</v>
      </c>
      <c r="N244" s="75"/>
      <c r="O244" s="71">
        <f t="shared" si="6"/>
        <v>0</v>
      </c>
      <c r="P244" s="71">
        <f t="shared" si="7"/>
        <v>0</v>
      </c>
    </row>
    <row r="245" spans="1:16">
      <c r="A245" s="69" t="s">
        <v>506</v>
      </c>
      <c r="B245" s="69" t="s">
        <v>1575</v>
      </c>
      <c r="C245" s="69" t="s">
        <v>1622</v>
      </c>
      <c r="D245" s="74" t="s">
        <v>1592</v>
      </c>
      <c r="E245" s="70">
        <f>SUMIFS('K Village'!$D:$D,'K Village'!$B:$B,$A245)</f>
        <v>0</v>
      </c>
      <c r="F245" s="75"/>
      <c r="G245" s="70">
        <f>SUMIFS('Central CL (Department)'!$BO:$BO,'Central CL (Department)'!$A:$A,$A245)</f>
        <v>0</v>
      </c>
      <c r="H245" s="75"/>
      <c r="I245" s="70">
        <f>SUMIFS('Siam Discovery'!$C:$C,'Siam Discovery'!$A:$A,$A245)</f>
        <v>0</v>
      </c>
      <c r="J245" s="75"/>
      <c r="K245" s="70">
        <f>SUMIFS('Paradise Park'!$C:$C,'Paradise Park'!$A:$A,$A245)</f>
        <v>1</v>
      </c>
      <c r="L245" s="75"/>
      <c r="M245" s="70">
        <f>SUMIFS('Central LP'!$D:$D,'Central LP'!$B:$B,$A245)</f>
        <v>0</v>
      </c>
      <c r="N245" s="75"/>
      <c r="O245" s="71">
        <f t="shared" si="6"/>
        <v>1</v>
      </c>
      <c r="P245" s="71">
        <f t="shared" si="7"/>
        <v>0</v>
      </c>
    </row>
    <row r="246" spans="1:16">
      <c r="A246" s="69" t="s">
        <v>508</v>
      </c>
      <c r="B246" s="69" t="s">
        <v>1575</v>
      </c>
      <c r="C246" s="69" t="s">
        <v>1622</v>
      </c>
      <c r="D246" s="74" t="s">
        <v>1593</v>
      </c>
      <c r="E246" s="70">
        <f>SUMIFS('K Village'!$D:$D,'K Village'!$B:$B,$A246)</f>
        <v>0</v>
      </c>
      <c r="F246" s="75"/>
      <c r="G246" s="70">
        <f>SUMIFS('Central CL (Department)'!$BO:$BO,'Central CL (Department)'!$A:$A,$A246)</f>
        <v>0</v>
      </c>
      <c r="H246" s="75"/>
      <c r="I246" s="70">
        <f>SUMIFS('Siam Discovery'!$C:$C,'Siam Discovery'!$A:$A,$A246)</f>
        <v>0</v>
      </c>
      <c r="J246" s="75"/>
      <c r="K246" s="70">
        <f>SUMIFS('Paradise Park'!$C:$C,'Paradise Park'!$A:$A,$A246)</f>
        <v>0</v>
      </c>
      <c r="L246" s="75"/>
      <c r="M246" s="70">
        <f>SUMIFS('Central LP'!$D:$D,'Central LP'!$B:$B,$A246)</f>
        <v>0</v>
      </c>
      <c r="N246" s="75"/>
      <c r="O246" s="71">
        <f t="shared" si="6"/>
        <v>0</v>
      </c>
      <c r="P246" s="71">
        <f t="shared" si="7"/>
        <v>0</v>
      </c>
    </row>
    <row r="247" spans="1:16">
      <c r="A247" s="69" t="s">
        <v>1096</v>
      </c>
      <c r="B247" s="69" t="s">
        <v>1575</v>
      </c>
      <c r="C247" s="69" t="s">
        <v>1622</v>
      </c>
      <c r="D247" s="74" t="s">
        <v>1594</v>
      </c>
      <c r="E247" s="70">
        <f>SUMIFS('K Village'!$D:$D,'K Village'!$B:$B,$A247)</f>
        <v>0</v>
      </c>
      <c r="F247" s="75"/>
      <c r="G247" s="70">
        <f>SUMIFS('Central CL (Department)'!$BO:$BO,'Central CL (Department)'!$A:$A,$A247)</f>
        <v>0</v>
      </c>
      <c r="H247" s="75"/>
      <c r="I247" s="70">
        <f>SUMIFS('Siam Discovery'!$C:$C,'Siam Discovery'!$A:$A,$A247)</f>
        <v>0</v>
      </c>
      <c r="J247" s="75"/>
      <c r="K247" s="70">
        <f>SUMIFS('Paradise Park'!$C:$C,'Paradise Park'!$A:$A,$A247)</f>
        <v>1</v>
      </c>
      <c r="L247" s="75"/>
      <c r="M247" s="70">
        <f>SUMIFS('Central LP'!$D:$D,'Central LP'!$B:$B,$A247)</f>
        <v>0</v>
      </c>
      <c r="N247" s="75"/>
      <c r="O247" s="71">
        <f t="shared" si="6"/>
        <v>1</v>
      </c>
      <c r="P247" s="71">
        <f t="shared" si="7"/>
        <v>0</v>
      </c>
    </row>
    <row r="248" spans="1:16">
      <c r="A248" s="69" t="s">
        <v>1094</v>
      </c>
      <c r="B248" s="69" t="s">
        <v>1575</v>
      </c>
      <c r="C248" s="69" t="s">
        <v>1622</v>
      </c>
      <c r="D248" s="74" t="s">
        <v>1595</v>
      </c>
      <c r="E248" s="70">
        <f>SUMIFS('K Village'!$D:$D,'K Village'!$B:$B,$A248)</f>
        <v>0</v>
      </c>
      <c r="F248" s="75"/>
      <c r="G248" s="70">
        <f>SUMIFS('Central CL (Department)'!$BO:$BO,'Central CL (Department)'!$A:$A,$A248)</f>
        <v>0</v>
      </c>
      <c r="H248" s="75"/>
      <c r="I248" s="70">
        <f>SUMIFS('Siam Discovery'!$C:$C,'Siam Discovery'!$A:$A,$A248)</f>
        <v>0</v>
      </c>
      <c r="J248" s="75"/>
      <c r="K248" s="70">
        <f>SUMIFS('Paradise Park'!$C:$C,'Paradise Park'!$A:$A,$A248)</f>
        <v>1</v>
      </c>
      <c r="L248" s="75"/>
      <c r="M248" s="70">
        <f>SUMIFS('Central LP'!$D:$D,'Central LP'!$B:$B,$A248)</f>
        <v>0</v>
      </c>
      <c r="N248" s="75"/>
      <c r="O248" s="71">
        <f t="shared" si="6"/>
        <v>1</v>
      </c>
      <c r="P248" s="71">
        <f t="shared" si="7"/>
        <v>0</v>
      </c>
    </row>
    <row r="249" spans="1:16">
      <c r="A249" s="69" t="s">
        <v>510</v>
      </c>
      <c r="B249" s="69" t="s">
        <v>1575</v>
      </c>
      <c r="C249" s="69" t="s">
        <v>1634</v>
      </c>
      <c r="D249" s="74" t="s">
        <v>1598</v>
      </c>
      <c r="E249" s="70">
        <f>SUMIFS('K Village'!$D:$D,'K Village'!$B:$B,$A249)</f>
        <v>0</v>
      </c>
      <c r="F249" s="75"/>
      <c r="G249" s="70">
        <f>SUMIFS('Central CL (Department)'!$BO:$BO,'Central CL (Department)'!$A:$A,$A249)</f>
        <v>0</v>
      </c>
      <c r="H249" s="75"/>
      <c r="I249" s="70">
        <f>SUMIFS('Siam Discovery'!$C:$C,'Siam Discovery'!$A:$A,$A249)</f>
        <v>0</v>
      </c>
      <c r="J249" s="75"/>
      <c r="K249" s="70">
        <f>SUMIFS('Paradise Park'!$C:$C,'Paradise Park'!$A:$A,$A249)</f>
        <v>0</v>
      </c>
      <c r="L249" s="75"/>
      <c r="M249" s="70">
        <f>SUMIFS('Central LP'!$D:$D,'Central LP'!$B:$B,$A249)</f>
        <v>0</v>
      </c>
      <c r="N249" s="75"/>
      <c r="O249" s="71">
        <f t="shared" si="6"/>
        <v>0</v>
      </c>
      <c r="P249" s="71">
        <f t="shared" si="7"/>
        <v>0</v>
      </c>
    </row>
    <row r="250" spans="1:16">
      <c r="A250" s="69" t="s">
        <v>512</v>
      </c>
      <c r="B250" s="69" t="s">
        <v>1575</v>
      </c>
      <c r="C250" s="69" t="s">
        <v>1634</v>
      </c>
      <c r="D250" s="74" t="s">
        <v>1599</v>
      </c>
      <c r="E250" s="70">
        <f>SUMIFS('K Village'!$D:$D,'K Village'!$B:$B,$A250)</f>
        <v>0</v>
      </c>
      <c r="F250" s="75"/>
      <c r="G250" s="70">
        <f>SUMIFS('Central CL (Department)'!$BO:$BO,'Central CL (Department)'!$A:$A,$A250)</f>
        <v>0</v>
      </c>
      <c r="H250" s="75"/>
      <c r="I250" s="70">
        <f>SUMIFS('Siam Discovery'!$C:$C,'Siam Discovery'!$A:$A,$A250)</f>
        <v>0</v>
      </c>
      <c r="J250" s="75"/>
      <c r="K250" s="70">
        <f>SUMIFS('Paradise Park'!$C:$C,'Paradise Park'!$A:$A,$A250)</f>
        <v>0</v>
      </c>
      <c r="L250" s="75"/>
      <c r="M250" s="70">
        <f>SUMIFS('Central LP'!$D:$D,'Central LP'!$B:$B,$A250)</f>
        <v>0</v>
      </c>
      <c r="N250" s="75"/>
      <c r="O250" s="71">
        <f t="shared" si="6"/>
        <v>0</v>
      </c>
      <c r="P250" s="71">
        <f t="shared" si="7"/>
        <v>0</v>
      </c>
    </row>
    <row r="251" spans="1:16">
      <c r="A251" s="69" t="s">
        <v>514</v>
      </c>
      <c r="B251" s="69" t="s">
        <v>1575</v>
      </c>
      <c r="C251" s="69" t="s">
        <v>1634</v>
      </c>
      <c r="D251" s="74" t="s">
        <v>1600</v>
      </c>
      <c r="E251" s="70">
        <f>SUMIFS('K Village'!$D:$D,'K Village'!$B:$B,$A251)</f>
        <v>0</v>
      </c>
      <c r="F251" s="75"/>
      <c r="G251" s="70">
        <f>SUMIFS('Central CL (Department)'!$BO:$BO,'Central CL (Department)'!$A:$A,$A251)</f>
        <v>0</v>
      </c>
      <c r="H251" s="75"/>
      <c r="I251" s="70">
        <f>SUMIFS('Siam Discovery'!$C:$C,'Siam Discovery'!$A:$A,$A251)</f>
        <v>0</v>
      </c>
      <c r="J251" s="75"/>
      <c r="K251" s="70">
        <f>SUMIFS('Paradise Park'!$C:$C,'Paradise Park'!$A:$A,$A251)</f>
        <v>0</v>
      </c>
      <c r="L251" s="75"/>
      <c r="M251" s="70">
        <f>SUMIFS('Central LP'!$D:$D,'Central LP'!$B:$B,$A251)</f>
        <v>0</v>
      </c>
      <c r="N251" s="75"/>
      <c r="O251" s="71">
        <f t="shared" si="6"/>
        <v>0</v>
      </c>
      <c r="P251" s="71">
        <f t="shared" si="7"/>
        <v>0</v>
      </c>
    </row>
    <row r="252" spans="1:16">
      <c r="A252" s="69" t="s">
        <v>516</v>
      </c>
      <c r="B252" s="69" t="s">
        <v>1575</v>
      </c>
      <c r="C252" s="69" t="s">
        <v>1634</v>
      </c>
      <c r="D252" s="74" t="s">
        <v>1601</v>
      </c>
      <c r="E252" s="70">
        <f>SUMIFS('K Village'!$D:$D,'K Village'!$B:$B,$A252)</f>
        <v>0</v>
      </c>
      <c r="F252" s="75"/>
      <c r="G252" s="70">
        <f>SUMIFS('Central CL (Department)'!$BO:$BO,'Central CL (Department)'!$A:$A,$A252)</f>
        <v>0</v>
      </c>
      <c r="H252" s="75"/>
      <c r="I252" s="70">
        <f>SUMIFS('Siam Discovery'!$C:$C,'Siam Discovery'!$A:$A,$A252)</f>
        <v>0</v>
      </c>
      <c r="J252" s="75"/>
      <c r="K252" s="70">
        <f>SUMIFS('Paradise Park'!$C:$C,'Paradise Park'!$A:$A,$A252)</f>
        <v>0</v>
      </c>
      <c r="L252" s="75"/>
      <c r="M252" s="70">
        <f>SUMIFS('Central LP'!$D:$D,'Central LP'!$B:$B,$A252)</f>
        <v>0</v>
      </c>
      <c r="N252" s="75"/>
      <c r="O252" s="71">
        <f t="shared" si="6"/>
        <v>0</v>
      </c>
      <c r="P252" s="71">
        <f t="shared" si="7"/>
        <v>0</v>
      </c>
    </row>
    <row r="253" spans="1:16">
      <c r="A253" s="69" t="s">
        <v>518</v>
      </c>
      <c r="B253" s="69" t="s">
        <v>1575</v>
      </c>
      <c r="C253" s="69" t="s">
        <v>1634</v>
      </c>
      <c r="D253" s="74" t="s">
        <v>1602</v>
      </c>
      <c r="E253" s="70">
        <f>SUMIFS('K Village'!$D:$D,'K Village'!$B:$B,$A253)</f>
        <v>0</v>
      </c>
      <c r="F253" s="75"/>
      <c r="G253" s="70">
        <f>SUMIFS('Central CL (Department)'!$BO:$BO,'Central CL (Department)'!$A:$A,$A253)</f>
        <v>0</v>
      </c>
      <c r="H253" s="75"/>
      <c r="I253" s="70">
        <f>SUMIFS('Siam Discovery'!$C:$C,'Siam Discovery'!$A:$A,$A253)</f>
        <v>0</v>
      </c>
      <c r="J253" s="75"/>
      <c r="K253" s="70">
        <f>SUMIFS('Paradise Park'!$C:$C,'Paradise Park'!$A:$A,$A253)</f>
        <v>0</v>
      </c>
      <c r="L253" s="75"/>
      <c r="M253" s="70">
        <f>SUMIFS('Central LP'!$D:$D,'Central LP'!$B:$B,$A253)</f>
        <v>0</v>
      </c>
      <c r="N253" s="75"/>
      <c r="O253" s="71">
        <f t="shared" si="6"/>
        <v>0</v>
      </c>
      <c r="P253" s="71">
        <f t="shared" si="7"/>
        <v>0</v>
      </c>
    </row>
    <row r="254" spans="1:16">
      <c r="A254" s="69" t="s">
        <v>520</v>
      </c>
      <c r="B254" s="69" t="s">
        <v>1576</v>
      </c>
      <c r="C254" s="69" t="s">
        <v>1615</v>
      </c>
      <c r="D254" s="74" t="s">
        <v>1588</v>
      </c>
      <c r="E254" s="70">
        <f>SUMIFS('K Village'!$D:$D,'K Village'!$B:$B,$A254)</f>
        <v>0</v>
      </c>
      <c r="F254" s="75"/>
      <c r="G254" s="70">
        <f>SUMIFS('Central CL (Department)'!$BO:$BO,'Central CL (Department)'!$A:$A,$A254)</f>
        <v>0</v>
      </c>
      <c r="H254" s="75"/>
      <c r="I254" s="70">
        <f>SUMIFS('Siam Discovery'!$C:$C,'Siam Discovery'!$A:$A,$A254)</f>
        <v>0</v>
      </c>
      <c r="J254" s="75"/>
      <c r="K254" s="70">
        <f>SUMIFS('Paradise Park'!$C:$C,'Paradise Park'!$A:$A,$A254)</f>
        <v>0</v>
      </c>
      <c r="L254" s="75"/>
      <c r="M254" s="70">
        <f>SUMIFS('Central LP'!$D:$D,'Central LP'!$B:$B,$A254)</f>
        <v>0</v>
      </c>
      <c r="N254" s="75"/>
      <c r="O254" s="71">
        <f t="shared" si="6"/>
        <v>0</v>
      </c>
      <c r="P254" s="71">
        <f t="shared" si="7"/>
        <v>0</v>
      </c>
    </row>
    <row r="255" spans="1:16">
      <c r="A255" s="69" t="s">
        <v>118</v>
      </c>
      <c r="B255" s="69" t="s">
        <v>1576</v>
      </c>
      <c r="C255" s="69" t="s">
        <v>1615</v>
      </c>
      <c r="D255" s="74" t="s">
        <v>1589</v>
      </c>
      <c r="E255" s="70">
        <f>SUMIFS('K Village'!$D:$D,'K Village'!$B:$B,$A255)</f>
        <v>0</v>
      </c>
      <c r="F255" s="75"/>
      <c r="G255" s="70">
        <f>SUMIFS('Central CL (Department)'!$BO:$BO,'Central CL (Department)'!$A:$A,$A255)</f>
        <v>0</v>
      </c>
      <c r="H255" s="75"/>
      <c r="I255" s="70">
        <f>SUMIFS('Siam Discovery'!$C:$C,'Siam Discovery'!$A:$A,$A255)</f>
        <v>0</v>
      </c>
      <c r="J255" s="75"/>
      <c r="K255" s="70">
        <f>SUMIFS('Paradise Park'!$C:$C,'Paradise Park'!$A:$A,$A255)</f>
        <v>0</v>
      </c>
      <c r="L255" s="75"/>
      <c r="M255" s="70">
        <f>SUMIFS('Central LP'!$D:$D,'Central LP'!$B:$B,$A255)</f>
        <v>1</v>
      </c>
      <c r="N255" s="75"/>
      <c r="O255" s="71">
        <f t="shared" si="6"/>
        <v>1</v>
      </c>
      <c r="P255" s="71">
        <f t="shared" si="7"/>
        <v>0</v>
      </c>
    </row>
    <row r="256" spans="1:16">
      <c r="A256" s="69" t="s">
        <v>120</v>
      </c>
      <c r="B256" s="69" t="s">
        <v>1576</v>
      </c>
      <c r="C256" s="69" t="s">
        <v>1615</v>
      </c>
      <c r="D256" s="74" t="s">
        <v>1590</v>
      </c>
      <c r="E256" s="70">
        <f>SUMIFS('K Village'!$D:$D,'K Village'!$B:$B,$A256)</f>
        <v>0</v>
      </c>
      <c r="F256" s="75"/>
      <c r="G256" s="70">
        <f>SUMIFS('Central CL (Department)'!$BO:$BO,'Central CL (Department)'!$A:$A,$A256)</f>
        <v>0</v>
      </c>
      <c r="H256" s="75"/>
      <c r="I256" s="70">
        <f>SUMIFS('Siam Discovery'!$C:$C,'Siam Discovery'!$A:$A,$A256)</f>
        <v>0</v>
      </c>
      <c r="J256" s="75"/>
      <c r="K256" s="70">
        <f>SUMIFS('Paradise Park'!$C:$C,'Paradise Park'!$A:$A,$A256)</f>
        <v>0</v>
      </c>
      <c r="L256" s="75"/>
      <c r="M256" s="70">
        <f>SUMIFS('Central LP'!$D:$D,'Central LP'!$B:$B,$A256)</f>
        <v>0</v>
      </c>
      <c r="N256" s="75"/>
      <c r="O256" s="71">
        <f t="shared" si="6"/>
        <v>0</v>
      </c>
      <c r="P256" s="71">
        <f t="shared" si="7"/>
        <v>0</v>
      </c>
    </row>
    <row r="257" spans="1:16">
      <c r="A257" s="69" t="s">
        <v>122</v>
      </c>
      <c r="B257" s="69" t="s">
        <v>1576</v>
      </c>
      <c r="C257" s="69" t="s">
        <v>1615</v>
      </c>
      <c r="D257" s="74" t="s">
        <v>1591</v>
      </c>
      <c r="E257" s="70">
        <f>SUMIFS('K Village'!$D:$D,'K Village'!$B:$B,$A257)</f>
        <v>0</v>
      </c>
      <c r="F257" s="75"/>
      <c r="G257" s="70">
        <f>SUMIFS('Central CL (Department)'!$BO:$BO,'Central CL (Department)'!$A:$A,$A257)</f>
        <v>0</v>
      </c>
      <c r="H257" s="75"/>
      <c r="I257" s="70">
        <f>SUMIFS('Siam Discovery'!$C:$C,'Siam Discovery'!$A:$A,$A257)</f>
        <v>0</v>
      </c>
      <c r="J257" s="75"/>
      <c r="K257" s="70">
        <f>SUMIFS('Paradise Park'!$C:$C,'Paradise Park'!$A:$A,$A257)</f>
        <v>1</v>
      </c>
      <c r="L257" s="75"/>
      <c r="M257" s="70">
        <f>SUMIFS('Central LP'!$D:$D,'Central LP'!$B:$B,$A257)</f>
        <v>2</v>
      </c>
      <c r="N257" s="75"/>
      <c r="O257" s="71">
        <f t="shared" si="6"/>
        <v>3</v>
      </c>
      <c r="P257" s="71">
        <f t="shared" si="7"/>
        <v>0</v>
      </c>
    </row>
    <row r="258" spans="1:16">
      <c r="A258" s="69" t="s">
        <v>124</v>
      </c>
      <c r="B258" s="69" t="s">
        <v>1576</v>
      </c>
      <c r="C258" s="69" t="s">
        <v>1615</v>
      </c>
      <c r="D258" s="74" t="s">
        <v>1592</v>
      </c>
      <c r="E258" s="70">
        <f>SUMIFS('K Village'!$D:$D,'K Village'!$B:$B,$A258)</f>
        <v>0</v>
      </c>
      <c r="F258" s="75"/>
      <c r="G258" s="70">
        <f>SUMIFS('Central CL (Department)'!$BO:$BO,'Central CL (Department)'!$A:$A,$A258)</f>
        <v>0</v>
      </c>
      <c r="H258" s="75"/>
      <c r="I258" s="70">
        <f>SUMIFS('Siam Discovery'!$C:$C,'Siam Discovery'!$A:$A,$A258)</f>
        <v>0</v>
      </c>
      <c r="J258" s="75"/>
      <c r="K258" s="70">
        <f>SUMIFS('Paradise Park'!$C:$C,'Paradise Park'!$A:$A,$A258)</f>
        <v>1</v>
      </c>
      <c r="L258" s="75"/>
      <c r="M258" s="70">
        <f>SUMIFS('Central LP'!$D:$D,'Central LP'!$B:$B,$A258)</f>
        <v>1</v>
      </c>
      <c r="N258" s="75"/>
      <c r="O258" s="71">
        <f t="shared" si="6"/>
        <v>2</v>
      </c>
      <c r="P258" s="71">
        <f t="shared" si="7"/>
        <v>0</v>
      </c>
    </row>
    <row r="259" spans="1:16">
      <c r="A259" s="69" t="s">
        <v>126</v>
      </c>
      <c r="B259" s="69" t="s">
        <v>1576</v>
      </c>
      <c r="C259" s="69" t="s">
        <v>1615</v>
      </c>
      <c r="D259" s="74" t="s">
        <v>1593</v>
      </c>
      <c r="E259" s="70">
        <f>SUMIFS('K Village'!$D:$D,'K Village'!$B:$B,$A259)</f>
        <v>0</v>
      </c>
      <c r="F259" s="75"/>
      <c r="G259" s="70">
        <f>SUMIFS('Central CL (Department)'!$BO:$BO,'Central CL (Department)'!$A:$A,$A259)</f>
        <v>0</v>
      </c>
      <c r="H259" s="75"/>
      <c r="I259" s="70">
        <f>SUMIFS('Siam Discovery'!$C:$C,'Siam Discovery'!$A:$A,$A259)</f>
        <v>0</v>
      </c>
      <c r="J259" s="75"/>
      <c r="K259" s="70">
        <f>SUMIFS('Paradise Park'!$C:$C,'Paradise Park'!$A:$A,$A259)</f>
        <v>0</v>
      </c>
      <c r="L259" s="75"/>
      <c r="M259" s="70">
        <f>SUMIFS('Central LP'!$D:$D,'Central LP'!$B:$B,$A259)</f>
        <v>1</v>
      </c>
      <c r="N259" s="75"/>
      <c r="O259" s="71">
        <f t="shared" si="6"/>
        <v>1</v>
      </c>
      <c r="P259" s="71">
        <f t="shared" si="7"/>
        <v>0</v>
      </c>
    </row>
    <row r="260" spans="1:16">
      <c r="A260" s="69" t="s">
        <v>128</v>
      </c>
      <c r="B260" s="69" t="s">
        <v>1576</v>
      </c>
      <c r="C260" s="69" t="s">
        <v>1615</v>
      </c>
      <c r="D260" s="74" t="s">
        <v>1594</v>
      </c>
      <c r="E260" s="70">
        <f>SUMIFS('K Village'!$D:$D,'K Village'!$B:$B,$A260)</f>
        <v>0</v>
      </c>
      <c r="F260" s="75"/>
      <c r="G260" s="70">
        <f>SUMIFS('Central CL (Department)'!$BO:$BO,'Central CL (Department)'!$A:$A,$A260)</f>
        <v>0</v>
      </c>
      <c r="H260" s="75"/>
      <c r="I260" s="70">
        <f>SUMIFS('Siam Discovery'!$C:$C,'Siam Discovery'!$A:$A,$A260)</f>
        <v>0</v>
      </c>
      <c r="J260" s="75"/>
      <c r="K260" s="70">
        <f>SUMIFS('Paradise Park'!$C:$C,'Paradise Park'!$A:$A,$A260)</f>
        <v>0</v>
      </c>
      <c r="L260" s="75"/>
      <c r="M260" s="70">
        <f>SUMIFS('Central LP'!$D:$D,'Central LP'!$B:$B,$A260)</f>
        <v>1</v>
      </c>
      <c r="N260" s="75"/>
      <c r="O260" s="71">
        <f t="shared" si="6"/>
        <v>1</v>
      </c>
      <c r="P260" s="71">
        <f t="shared" si="7"/>
        <v>0</v>
      </c>
    </row>
    <row r="261" spans="1:16">
      <c r="A261" s="69" t="s">
        <v>1553</v>
      </c>
      <c r="B261" s="69" t="s">
        <v>1576</v>
      </c>
      <c r="C261" s="69" t="s">
        <v>1615</v>
      </c>
      <c r="D261" s="74" t="s">
        <v>1595</v>
      </c>
      <c r="E261" s="70">
        <f>SUMIFS('K Village'!$D:$D,'K Village'!$B:$B,$A261)</f>
        <v>0</v>
      </c>
      <c r="F261" s="75"/>
      <c r="G261" s="70">
        <f>SUMIFS('Central CL (Department)'!$BO:$BO,'Central CL (Department)'!$A:$A,$A261)</f>
        <v>0</v>
      </c>
      <c r="H261" s="75"/>
      <c r="I261" s="70">
        <f>SUMIFS('Siam Discovery'!$C:$C,'Siam Discovery'!$A:$A,$A261)</f>
        <v>0</v>
      </c>
      <c r="J261" s="75"/>
      <c r="K261" s="70">
        <f>SUMIFS('Paradise Park'!$C:$C,'Paradise Park'!$A:$A,$A261)</f>
        <v>0</v>
      </c>
      <c r="L261" s="75"/>
      <c r="M261" s="70">
        <f>SUMIFS('Central LP'!$D:$D,'Central LP'!$B:$B,$A261)</f>
        <v>1</v>
      </c>
      <c r="N261" s="75"/>
      <c r="O261" s="71">
        <f t="shared" si="6"/>
        <v>1</v>
      </c>
      <c r="P261" s="71">
        <f t="shared" si="7"/>
        <v>0</v>
      </c>
    </row>
    <row r="262" spans="1:16">
      <c r="A262" s="69" t="s">
        <v>1555</v>
      </c>
      <c r="B262" s="69" t="s">
        <v>1576</v>
      </c>
      <c r="C262" s="69" t="s">
        <v>1615</v>
      </c>
      <c r="D262" s="74" t="s">
        <v>1598</v>
      </c>
      <c r="E262" s="70">
        <f>SUMIFS('K Village'!$D:$D,'K Village'!$B:$B,$A262)</f>
        <v>0</v>
      </c>
      <c r="F262" s="75"/>
      <c r="G262" s="70">
        <f>SUMIFS('Central CL (Department)'!$BO:$BO,'Central CL (Department)'!$A:$A,$A262)</f>
        <v>0</v>
      </c>
      <c r="H262" s="75"/>
      <c r="I262" s="70">
        <f>SUMIFS('Siam Discovery'!$C:$C,'Siam Discovery'!$A:$A,$A262)</f>
        <v>0</v>
      </c>
      <c r="J262" s="75"/>
      <c r="K262" s="70">
        <f>SUMIFS('Paradise Park'!$C:$C,'Paradise Park'!$A:$A,$A262)</f>
        <v>0</v>
      </c>
      <c r="L262" s="75"/>
      <c r="M262" s="70">
        <f>SUMIFS('Central LP'!$D:$D,'Central LP'!$B:$B,$A262)</f>
        <v>1</v>
      </c>
      <c r="N262" s="75"/>
      <c r="O262" s="71">
        <f t="shared" ref="O262:O325" si="8">E262+G262+I262+K262+M262</f>
        <v>1</v>
      </c>
      <c r="P262" s="71">
        <f t="shared" ref="P262:P325" si="9">F262+H262+J262+L262+N262</f>
        <v>0</v>
      </c>
    </row>
    <row r="263" spans="1:16">
      <c r="A263" s="69" t="s">
        <v>134</v>
      </c>
      <c r="B263" s="69" t="s">
        <v>1576</v>
      </c>
      <c r="C263" s="69" t="s">
        <v>1615</v>
      </c>
      <c r="D263" s="74" t="s">
        <v>1599</v>
      </c>
      <c r="E263" s="70">
        <f>SUMIFS('K Village'!$D:$D,'K Village'!$B:$B,$A263)</f>
        <v>0</v>
      </c>
      <c r="F263" s="75"/>
      <c r="G263" s="70">
        <f>SUMIFS('Central CL (Department)'!$BO:$BO,'Central CL (Department)'!$A:$A,$A263)</f>
        <v>0</v>
      </c>
      <c r="H263" s="75"/>
      <c r="I263" s="70">
        <f>SUMIFS('Siam Discovery'!$C:$C,'Siam Discovery'!$A:$A,$A263)</f>
        <v>0</v>
      </c>
      <c r="J263" s="75"/>
      <c r="K263" s="70">
        <f>SUMIFS('Paradise Park'!$C:$C,'Paradise Park'!$A:$A,$A263)</f>
        <v>0</v>
      </c>
      <c r="L263" s="75"/>
      <c r="M263" s="70">
        <f>SUMIFS('Central LP'!$D:$D,'Central LP'!$B:$B,$A263)</f>
        <v>0</v>
      </c>
      <c r="N263" s="75"/>
      <c r="O263" s="71">
        <f t="shared" si="8"/>
        <v>0</v>
      </c>
      <c r="P263" s="71">
        <f t="shared" si="9"/>
        <v>0</v>
      </c>
    </row>
    <row r="264" spans="1:16">
      <c r="A264" s="69" t="s">
        <v>136</v>
      </c>
      <c r="B264" s="69" t="s">
        <v>1576</v>
      </c>
      <c r="C264" s="69" t="s">
        <v>1615</v>
      </c>
      <c r="D264" s="74" t="s">
        <v>1600</v>
      </c>
      <c r="E264" s="70">
        <f>SUMIFS('K Village'!$D:$D,'K Village'!$B:$B,$A264)</f>
        <v>0</v>
      </c>
      <c r="F264" s="75"/>
      <c r="G264" s="70">
        <f>SUMIFS('Central CL (Department)'!$BO:$BO,'Central CL (Department)'!$A:$A,$A264)</f>
        <v>0</v>
      </c>
      <c r="H264" s="75"/>
      <c r="I264" s="70">
        <f>SUMIFS('Siam Discovery'!$C:$C,'Siam Discovery'!$A:$A,$A264)</f>
        <v>0</v>
      </c>
      <c r="J264" s="75"/>
      <c r="K264" s="70">
        <f>SUMIFS('Paradise Park'!$C:$C,'Paradise Park'!$A:$A,$A264)</f>
        <v>0</v>
      </c>
      <c r="L264" s="75"/>
      <c r="M264" s="70">
        <f>SUMIFS('Central LP'!$D:$D,'Central LP'!$B:$B,$A264)</f>
        <v>1</v>
      </c>
      <c r="N264" s="75"/>
      <c r="O264" s="71">
        <f t="shared" si="8"/>
        <v>1</v>
      </c>
      <c r="P264" s="71">
        <f t="shared" si="9"/>
        <v>0</v>
      </c>
    </row>
    <row r="265" spans="1:16">
      <c r="A265" s="69" t="s">
        <v>138</v>
      </c>
      <c r="B265" s="69" t="s">
        <v>1576</v>
      </c>
      <c r="C265" s="69" t="s">
        <v>1615</v>
      </c>
      <c r="D265" s="74" t="s">
        <v>1601</v>
      </c>
      <c r="E265" s="70">
        <f>SUMIFS('K Village'!$D:$D,'K Village'!$B:$B,$A265)</f>
        <v>0</v>
      </c>
      <c r="F265" s="75"/>
      <c r="G265" s="70">
        <f>SUMIFS('Central CL (Department)'!$BO:$BO,'Central CL (Department)'!$A:$A,$A265)</f>
        <v>0</v>
      </c>
      <c r="H265" s="75"/>
      <c r="I265" s="70">
        <f>SUMIFS('Siam Discovery'!$C:$C,'Siam Discovery'!$A:$A,$A265)</f>
        <v>0</v>
      </c>
      <c r="J265" s="75"/>
      <c r="K265" s="70">
        <f>SUMIFS('Paradise Park'!$C:$C,'Paradise Park'!$A:$A,$A265)</f>
        <v>0</v>
      </c>
      <c r="L265" s="75"/>
      <c r="M265" s="70">
        <f>SUMIFS('Central LP'!$D:$D,'Central LP'!$B:$B,$A265)</f>
        <v>1</v>
      </c>
      <c r="N265" s="75"/>
      <c r="O265" s="71">
        <f t="shared" si="8"/>
        <v>1</v>
      </c>
      <c r="P265" s="71">
        <f t="shared" si="9"/>
        <v>0</v>
      </c>
    </row>
    <row r="266" spans="1:16">
      <c r="A266" s="69" t="s">
        <v>1557</v>
      </c>
      <c r="B266" s="69" t="s">
        <v>1576</v>
      </c>
      <c r="C266" s="69" t="s">
        <v>1635</v>
      </c>
      <c r="D266" s="74" t="s">
        <v>1588</v>
      </c>
      <c r="E266" s="70">
        <f>SUMIFS('K Village'!$D:$D,'K Village'!$B:$B,$A266)</f>
        <v>0</v>
      </c>
      <c r="F266" s="75"/>
      <c r="G266" s="70">
        <f>SUMIFS('Central CL (Department)'!$BO:$BO,'Central CL (Department)'!$A:$A,$A266)</f>
        <v>0</v>
      </c>
      <c r="H266" s="75"/>
      <c r="I266" s="70">
        <f>SUMIFS('Siam Discovery'!$C:$C,'Siam Discovery'!$A:$A,$A266)</f>
        <v>0</v>
      </c>
      <c r="J266" s="75"/>
      <c r="K266" s="70">
        <f>SUMIFS('Paradise Park'!$C:$C,'Paradise Park'!$A:$A,$A266)</f>
        <v>0</v>
      </c>
      <c r="L266" s="75"/>
      <c r="M266" s="70">
        <f>SUMIFS('Central LP'!$D:$D,'Central LP'!$B:$B,$A266)</f>
        <v>1</v>
      </c>
      <c r="N266" s="75"/>
      <c r="O266" s="71">
        <f t="shared" si="8"/>
        <v>1</v>
      </c>
      <c r="P266" s="71">
        <f t="shared" si="9"/>
        <v>0</v>
      </c>
    </row>
    <row r="267" spans="1:16">
      <c r="A267" s="69" t="s">
        <v>522</v>
      </c>
      <c r="B267" s="69" t="s">
        <v>1576</v>
      </c>
      <c r="C267" s="69" t="s">
        <v>1635</v>
      </c>
      <c r="D267" s="74" t="s">
        <v>1589</v>
      </c>
      <c r="E267" s="70">
        <f>SUMIFS('K Village'!$D:$D,'K Village'!$B:$B,$A267)</f>
        <v>0</v>
      </c>
      <c r="F267" s="75"/>
      <c r="G267" s="70">
        <f>SUMIFS('Central CL (Department)'!$BO:$BO,'Central CL (Department)'!$A:$A,$A267)</f>
        <v>0</v>
      </c>
      <c r="H267" s="75"/>
      <c r="I267" s="70">
        <f>SUMIFS('Siam Discovery'!$C:$C,'Siam Discovery'!$A:$A,$A267)</f>
        <v>0</v>
      </c>
      <c r="J267" s="75"/>
      <c r="K267" s="70">
        <f>SUMIFS('Paradise Park'!$C:$C,'Paradise Park'!$A:$A,$A267)</f>
        <v>1</v>
      </c>
      <c r="L267" s="75"/>
      <c r="M267" s="70">
        <f>SUMIFS('Central LP'!$D:$D,'Central LP'!$B:$B,$A267)</f>
        <v>1</v>
      </c>
      <c r="N267" s="75"/>
      <c r="O267" s="71">
        <f t="shared" si="8"/>
        <v>2</v>
      </c>
      <c r="P267" s="71">
        <f t="shared" si="9"/>
        <v>0</v>
      </c>
    </row>
    <row r="268" spans="1:16">
      <c r="A268" s="69" t="s">
        <v>524</v>
      </c>
      <c r="B268" s="69" t="s">
        <v>1576</v>
      </c>
      <c r="C268" s="69" t="s">
        <v>1635</v>
      </c>
      <c r="D268" s="74" t="s">
        <v>1590</v>
      </c>
      <c r="E268" s="70">
        <f>SUMIFS('K Village'!$D:$D,'K Village'!$B:$B,$A268)</f>
        <v>0</v>
      </c>
      <c r="F268" s="75"/>
      <c r="G268" s="70">
        <f>SUMIFS('Central CL (Department)'!$BO:$BO,'Central CL (Department)'!$A:$A,$A268)</f>
        <v>0</v>
      </c>
      <c r="H268" s="75"/>
      <c r="I268" s="70">
        <f>SUMIFS('Siam Discovery'!$C:$C,'Siam Discovery'!$A:$A,$A268)</f>
        <v>0</v>
      </c>
      <c r="J268" s="75"/>
      <c r="K268" s="70">
        <f>SUMIFS('Paradise Park'!$C:$C,'Paradise Park'!$A:$A,$A268)</f>
        <v>1</v>
      </c>
      <c r="L268" s="75"/>
      <c r="M268" s="70">
        <f>SUMIFS('Central LP'!$D:$D,'Central LP'!$B:$B,$A268)</f>
        <v>2</v>
      </c>
      <c r="N268" s="75"/>
      <c r="O268" s="71">
        <f t="shared" si="8"/>
        <v>3</v>
      </c>
      <c r="P268" s="71">
        <f t="shared" si="9"/>
        <v>0</v>
      </c>
    </row>
    <row r="269" spans="1:16">
      <c r="A269" s="69" t="s">
        <v>526</v>
      </c>
      <c r="B269" s="69" t="s">
        <v>1576</v>
      </c>
      <c r="C269" s="69" t="s">
        <v>1635</v>
      </c>
      <c r="D269" s="74" t="s">
        <v>1591</v>
      </c>
      <c r="E269" s="70">
        <f>SUMIFS('K Village'!$D:$D,'K Village'!$B:$B,$A269)</f>
        <v>0</v>
      </c>
      <c r="F269" s="75"/>
      <c r="G269" s="70">
        <f>SUMIFS('Central CL (Department)'!$BO:$BO,'Central CL (Department)'!$A:$A,$A269)</f>
        <v>0</v>
      </c>
      <c r="H269" s="75"/>
      <c r="I269" s="70">
        <f>SUMIFS('Siam Discovery'!$C:$C,'Siam Discovery'!$A:$A,$A269)</f>
        <v>0</v>
      </c>
      <c r="J269" s="75"/>
      <c r="K269" s="70">
        <f>SUMIFS('Paradise Park'!$C:$C,'Paradise Park'!$A:$A,$A269)</f>
        <v>1</v>
      </c>
      <c r="L269" s="75"/>
      <c r="M269" s="70">
        <f>SUMIFS('Central LP'!$D:$D,'Central LP'!$B:$B,$A269)</f>
        <v>1</v>
      </c>
      <c r="N269" s="75"/>
      <c r="O269" s="71">
        <f t="shared" si="8"/>
        <v>2</v>
      </c>
      <c r="P269" s="71">
        <f t="shared" si="9"/>
        <v>0</v>
      </c>
    </row>
    <row r="270" spans="1:16">
      <c r="A270" s="69" t="s">
        <v>528</v>
      </c>
      <c r="B270" s="69" t="s">
        <v>1576</v>
      </c>
      <c r="C270" s="69" t="s">
        <v>1635</v>
      </c>
      <c r="D270" s="74" t="s">
        <v>1592</v>
      </c>
      <c r="E270" s="70">
        <f>SUMIFS('K Village'!$D:$D,'K Village'!$B:$B,$A270)</f>
        <v>0</v>
      </c>
      <c r="F270" s="75"/>
      <c r="G270" s="70">
        <f>SUMIFS('Central CL (Department)'!$BO:$BO,'Central CL (Department)'!$A:$A,$A270)</f>
        <v>0</v>
      </c>
      <c r="H270" s="75"/>
      <c r="I270" s="70">
        <f>SUMIFS('Siam Discovery'!$C:$C,'Siam Discovery'!$A:$A,$A270)</f>
        <v>0</v>
      </c>
      <c r="J270" s="75"/>
      <c r="K270" s="70">
        <f>SUMIFS('Paradise Park'!$C:$C,'Paradise Park'!$A:$A,$A270)</f>
        <v>1</v>
      </c>
      <c r="L270" s="75"/>
      <c r="M270" s="70">
        <f>SUMIFS('Central LP'!$D:$D,'Central LP'!$B:$B,$A270)</f>
        <v>1</v>
      </c>
      <c r="N270" s="75"/>
      <c r="O270" s="71">
        <f t="shared" si="8"/>
        <v>2</v>
      </c>
      <c r="P270" s="71">
        <f t="shared" si="9"/>
        <v>0</v>
      </c>
    </row>
    <row r="271" spans="1:16">
      <c r="A271" s="69" t="s">
        <v>530</v>
      </c>
      <c r="B271" s="69" t="s">
        <v>1576</v>
      </c>
      <c r="C271" s="69" t="s">
        <v>1635</v>
      </c>
      <c r="D271" s="74" t="s">
        <v>1593</v>
      </c>
      <c r="E271" s="70">
        <f>SUMIFS('K Village'!$D:$D,'K Village'!$B:$B,$A271)</f>
        <v>0</v>
      </c>
      <c r="F271" s="75"/>
      <c r="G271" s="70">
        <f>SUMIFS('Central CL (Department)'!$BO:$BO,'Central CL (Department)'!$A:$A,$A271)</f>
        <v>0</v>
      </c>
      <c r="H271" s="75"/>
      <c r="I271" s="70">
        <f>SUMIFS('Siam Discovery'!$C:$C,'Siam Discovery'!$A:$A,$A271)</f>
        <v>0</v>
      </c>
      <c r="J271" s="75"/>
      <c r="K271" s="70">
        <f>SUMIFS('Paradise Park'!$C:$C,'Paradise Park'!$A:$A,$A271)</f>
        <v>1</v>
      </c>
      <c r="L271" s="75"/>
      <c r="M271" s="70">
        <f>SUMIFS('Central LP'!$D:$D,'Central LP'!$B:$B,$A271)</f>
        <v>1</v>
      </c>
      <c r="N271" s="75"/>
      <c r="O271" s="71">
        <f t="shared" si="8"/>
        <v>2</v>
      </c>
      <c r="P271" s="71">
        <f t="shared" si="9"/>
        <v>0</v>
      </c>
    </row>
    <row r="272" spans="1:16">
      <c r="A272" s="69" t="s">
        <v>1559</v>
      </c>
      <c r="B272" s="69" t="s">
        <v>1576</v>
      </c>
      <c r="C272" s="69" t="s">
        <v>1635</v>
      </c>
      <c r="D272" s="74" t="s">
        <v>1594</v>
      </c>
      <c r="E272" s="70">
        <f>SUMIFS('K Village'!$D:$D,'K Village'!$B:$B,$A272)</f>
        <v>0</v>
      </c>
      <c r="F272" s="75"/>
      <c r="G272" s="70">
        <f>SUMIFS('Central CL (Department)'!$BO:$BO,'Central CL (Department)'!$A:$A,$A272)</f>
        <v>0</v>
      </c>
      <c r="H272" s="75"/>
      <c r="I272" s="70">
        <f>SUMIFS('Siam Discovery'!$C:$C,'Siam Discovery'!$A:$A,$A272)</f>
        <v>0</v>
      </c>
      <c r="J272" s="75"/>
      <c r="K272" s="70">
        <f>SUMIFS('Paradise Park'!$C:$C,'Paradise Park'!$A:$A,$A272)</f>
        <v>0</v>
      </c>
      <c r="L272" s="75"/>
      <c r="M272" s="70">
        <f>SUMIFS('Central LP'!$D:$D,'Central LP'!$B:$B,$A272)</f>
        <v>1</v>
      </c>
      <c r="N272" s="75"/>
      <c r="O272" s="71">
        <f t="shared" si="8"/>
        <v>1</v>
      </c>
      <c r="P272" s="71">
        <f t="shared" si="9"/>
        <v>0</v>
      </c>
    </row>
    <row r="273" spans="1:16">
      <c r="A273" s="69" t="s">
        <v>532</v>
      </c>
      <c r="B273" s="69" t="s">
        <v>1577</v>
      </c>
      <c r="C273" s="69" t="s">
        <v>1622</v>
      </c>
      <c r="D273" s="74" t="s">
        <v>1589</v>
      </c>
      <c r="E273" s="70">
        <f>SUMIFS('K Village'!$D:$D,'K Village'!$B:$B,$A273)</f>
        <v>0</v>
      </c>
      <c r="F273" s="75"/>
      <c r="G273" s="70">
        <f>SUMIFS('Central CL (Department)'!$BO:$BO,'Central CL (Department)'!$A:$A,$A273)</f>
        <v>0</v>
      </c>
      <c r="H273" s="75"/>
      <c r="I273" s="70">
        <f>SUMIFS('Siam Discovery'!$C:$C,'Siam Discovery'!$A:$A,$A273)</f>
        <v>0</v>
      </c>
      <c r="J273" s="75"/>
      <c r="K273" s="70">
        <f>SUMIFS('Paradise Park'!$C:$C,'Paradise Park'!$A:$A,$A273)</f>
        <v>0</v>
      </c>
      <c r="L273" s="75"/>
      <c r="M273" s="70">
        <f>SUMIFS('Central LP'!$D:$D,'Central LP'!$B:$B,$A273)</f>
        <v>0</v>
      </c>
      <c r="N273" s="75"/>
      <c r="O273" s="71">
        <f t="shared" si="8"/>
        <v>0</v>
      </c>
      <c r="P273" s="71">
        <f t="shared" si="9"/>
        <v>0</v>
      </c>
    </row>
    <row r="274" spans="1:16">
      <c r="A274" s="69" t="s">
        <v>534</v>
      </c>
      <c r="B274" s="69" t="s">
        <v>1577</v>
      </c>
      <c r="C274" s="69" t="s">
        <v>1622</v>
      </c>
      <c r="D274" s="74" t="s">
        <v>1590</v>
      </c>
      <c r="E274" s="70">
        <f>SUMIFS('K Village'!$D:$D,'K Village'!$B:$B,$A274)</f>
        <v>0</v>
      </c>
      <c r="F274" s="75"/>
      <c r="G274" s="70">
        <f>SUMIFS('Central CL (Department)'!$BO:$BO,'Central CL (Department)'!$A:$A,$A274)</f>
        <v>0</v>
      </c>
      <c r="H274" s="75"/>
      <c r="I274" s="70">
        <f>SUMIFS('Siam Discovery'!$C:$C,'Siam Discovery'!$A:$A,$A274)</f>
        <v>0</v>
      </c>
      <c r="J274" s="75"/>
      <c r="K274" s="70">
        <f>SUMIFS('Paradise Park'!$C:$C,'Paradise Park'!$A:$A,$A274)</f>
        <v>0</v>
      </c>
      <c r="L274" s="75"/>
      <c r="M274" s="70">
        <f>SUMIFS('Central LP'!$D:$D,'Central LP'!$B:$B,$A274)</f>
        <v>0</v>
      </c>
      <c r="N274" s="75"/>
      <c r="O274" s="71">
        <f t="shared" si="8"/>
        <v>0</v>
      </c>
      <c r="P274" s="71">
        <f t="shared" si="9"/>
        <v>0</v>
      </c>
    </row>
    <row r="275" spans="1:16">
      <c r="A275" s="69" t="s">
        <v>536</v>
      </c>
      <c r="B275" s="69" t="s">
        <v>1577</v>
      </c>
      <c r="C275" s="69" t="s">
        <v>1622</v>
      </c>
      <c r="D275" s="74" t="s">
        <v>1591</v>
      </c>
      <c r="E275" s="70">
        <f>SUMIFS('K Village'!$D:$D,'K Village'!$B:$B,$A275)</f>
        <v>0</v>
      </c>
      <c r="F275" s="75"/>
      <c r="G275" s="70">
        <f>SUMIFS('Central CL (Department)'!$BO:$BO,'Central CL (Department)'!$A:$A,$A275)</f>
        <v>0</v>
      </c>
      <c r="H275" s="75"/>
      <c r="I275" s="70">
        <f>SUMIFS('Siam Discovery'!$C:$C,'Siam Discovery'!$A:$A,$A275)</f>
        <v>0</v>
      </c>
      <c r="J275" s="75"/>
      <c r="K275" s="70">
        <f>SUMIFS('Paradise Park'!$C:$C,'Paradise Park'!$A:$A,$A275)</f>
        <v>0</v>
      </c>
      <c r="L275" s="75"/>
      <c r="M275" s="70">
        <f>SUMIFS('Central LP'!$D:$D,'Central LP'!$B:$B,$A275)</f>
        <v>0</v>
      </c>
      <c r="N275" s="75"/>
      <c r="O275" s="71">
        <f t="shared" si="8"/>
        <v>0</v>
      </c>
      <c r="P275" s="71">
        <f t="shared" si="9"/>
        <v>0</v>
      </c>
    </row>
    <row r="276" spans="1:16">
      <c r="A276" s="69" t="s">
        <v>538</v>
      </c>
      <c r="B276" s="69" t="s">
        <v>1577</v>
      </c>
      <c r="C276" s="69" t="s">
        <v>1622</v>
      </c>
      <c r="D276" s="74" t="s">
        <v>1592</v>
      </c>
      <c r="E276" s="70">
        <f>SUMIFS('K Village'!$D:$D,'K Village'!$B:$B,$A276)</f>
        <v>0</v>
      </c>
      <c r="F276" s="75"/>
      <c r="G276" s="70">
        <f>SUMIFS('Central CL (Department)'!$BO:$BO,'Central CL (Department)'!$A:$A,$A276)</f>
        <v>0</v>
      </c>
      <c r="H276" s="75"/>
      <c r="I276" s="70">
        <f>SUMIFS('Siam Discovery'!$C:$C,'Siam Discovery'!$A:$A,$A276)</f>
        <v>0</v>
      </c>
      <c r="J276" s="75"/>
      <c r="K276" s="70">
        <f>SUMIFS('Paradise Park'!$C:$C,'Paradise Park'!$A:$A,$A276)</f>
        <v>0</v>
      </c>
      <c r="L276" s="75"/>
      <c r="M276" s="70">
        <f>SUMIFS('Central LP'!$D:$D,'Central LP'!$B:$B,$A276)</f>
        <v>0</v>
      </c>
      <c r="N276" s="75"/>
      <c r="O276" s="71">
        <f t="shared" si="8"/>
        <v>0</v>
      </c>
      <c r="P276" s="71">
        <f t="shared" si="9"/>
        <v>0</v>
      </c>
    </row>
    <row r="277" spans="1:16">
      <c r="A277" s="69" t="s">
        <v>540</v>
      </c>
      <c r="B277" s="69" t="s">
        <v>1577</v>
      </c>
      <c r="C277" s="69" t="s">
        <v>1622</v>
      </c>
      <c r="D277" s="74" t="s">
        <v>1593</v>
      </c>
      <c r="E277" s="70">
        <f>SUMIFS('K Village'!$D:$D,'K Village'!$B:$B,$A277)</f>
        <v>0</v>
      </c>
      <c r="F277" s="75"/>
      <c r="G277" s="70">
        <f>SUMIFS('Central CL (Department)'!$BO:$BO,'Central CL (Department)'!$A:$A,$A277)</f>
        <v>0</v>
      </c>
      <c r="H277" s="75"/>
      <c r="I277" s="70">
        <f>SUMIFS('Siam Discovery'!$C:$C,'Siam Discovery'!$A:$A,$A277)</f>
        <v>0</v>
      </c>
      <c r="J277" s="75"/>
      <c r="K277" s="70">
        <f>SUMIFS('Paradise Park'!$C:$C,'Paradise Park'!$A:$A,$A277)</f>
        <v>0</v>
      </c>
      <c r="L277" s="75"/>
      <c r="M277" s="70">
        <f>SUMIFS('Central LP'!$D:$D,'Central LP'!$B:$B,$A277)</f>
        <v>0</v>
      </c>
      <c r="N277" s="75"/>
      <c r="O277" s="71">
        <f t="shared" si="8"/>
        <v>0</v>
      </c>
      <c r="P277" s="71">
        <f t="shared" si="9"/>
        <v>0</v>
      </c>
    </row>
    <row r="278" spans="1:16">
      <c r="A278" s="69" t="s">
        <v>542</v>
      </c>
      <c r="B278" s="69" t="s">
        <v>1577</v>
      </c>
      <c r="C278" s="69" t="s">
        <v>1622</v>
      </c>
      <c r="D278" s="74" t="s">
        <v>1594</v>
      </c>
      <c r="E278" s="70">
        <f>SUMIFS('K Village'!$D:$D,'K Village'!$B:$B,$A278)</f>
        <v>0</v>
      </c>
      <c r="F278" s="75"/>
      <c r="G278" s="70">
        <f>SUMIFS('Central CL (Department)'!$BO:$BO,'Central CL (Department)'!$A:$A,$A278)</f>
        <v>0</v>
      </c>
      <c r="H278" s="75"/>
      <c r="I278" s="70">
        <f>SUMIFS('Siam Discovery'!$C:$C,'Siam Discovery'!$A:$A,$A278)</f>
        <v>0</v>
      </c>
      <c r="J278" s="75"/>
      <c r="K278" s="70">
        <f>SUMIFS('Paradise Park'!$C:$C,'Paradise Park'!$A:$A,$A278)</f>
        <v>0</v>
      </c>
      <c r="L278" s="75"/>
      <c r="M278" s="70">
        <f>SUMIFS('Central LP'!$D:$D,'Central LP'!$B:$B,$A278)</f>
        <v>0</v>
      </c>
      <c r="N278" s="75"/>
      <c r="O278" s="71">
        <f t="shared" si="8"/>
        <v>0</v>
      </c>
      <c r="P278" s="71">
        <f t="shared" si="9"/>
        <v>0</v>
      </c>
    </row>
    <row r="279" spans="1:16">
      <c r="A279" s="69" t="s">
        <v>544</v>
      </c>
      <c r="B279" s="69" t="s">
        <v>1577</v>
      </c>
      <c r="C279" s="69" t="s">
        <v>1636</v>
      </c>
      <c r="D279" s="74" t="s">
        <v>1590</v>
      </c>
      <c r="E279" s="70">
        <f>SUMIFS('K Village'!$D:$D,'K Village'!$B:$B,$A279)</f>
        <v>0</v>
      </c>
      <c r="F279" s="75"/>
      <c r="G279" s="70">
        <f>SUMIFS('Central CL (Department)'!$BO:$BO,'Central CL (Department)'!$A:$A,$A279)</f>
        <v>0</v>
      </c>
      <c r="H279" s="75"/>
      <c r="I279" s="70">
        <f>SUMIFS('Siam Discovery'!$C:$C,'Siam Discovery'!$A:$A,$A279)</f>
        <v>0</v>
      </c>
      <c r="J279" s="75"/>
      <c r="K279" s="70">
        <f>SUMIFS('Paradise Park'!$C:$C,'Paradise Park'!$A:$A,$A279)</f>
        <v>0</v>
      </c>
      <c r="L279" s="75"/>
      <c r="M279" s="70">
        <f>SUMIFS('Central LP'!$D:$D,'Central LP'!$B:$B,$A279)</f>
        <v>0</v>
      </c>
      <c r="N279" s="75"/>
      <c r="O279" s="71">
        <f t="shared" si="8"/>
        <v>0</v>
      </c>
      <c r="P279" s="71">
        <f t="shared" si="9"/>
        <v>0</v>
      </c>
    </row>
    <row r="280" spans="1:16">
      <c r="A280" s="69" t="s">
        <v>546</v>
      </c>
      <c r="B280" s="69" t="s">
        <v>1577</v>
      </c>
      <c r="C280" s="69" t="s">
        <v>1636</v>
      </c>
      <c r="D280" s="74" t="s">
        <v>1592</v>
      </c>
      <c r="E280" s="70">
        <f>SUMIFS('K Village'!$D:$D,'K Village'!$B:$B,$A280)</f>
        <v>0</v>
      </c>
      <c r="F280" s="75"/>
      <c r="G280" s="70">
        <f>SUMIFS('Central CL (Department)'!$BO:$BO,'Central CL (Department)'!$A:$A,$A280)</f>
        <v>0</v>
      </c>
      <c r="H280" s="75"/>
      <c r="I280" s="70">
        <f>SUMIFS('Siam Discovery'!$C:$C,'Siam Discovery'!$A:$A,$A280)</f>
        <v>0</v>
      </c>
      <c r="J280" s="75"/>
      <c r="K280" s="70">
        <f>SUMIFS('Paradise Park'!$C:$C,'Paradise Park'!$A:$A,$A280)</f>
        <v>0</v>
      </c>
      <c r="L280" s="75"/>
      <c r="M280" s="70">
        <f>SUMIFS('Central LP'!$D:$D,'Central LP'!$B:$B,$A280)</f>
        <v>0</v>
      </c>
      <c r="N280" s="75"/>
      <c r="O280" s="71">
        <f t="shared" si="8"/>
        <v>0</v>
      </c>
      <c r="P280" s="71">
        <f t="shared" si="9"/>
        <v>0</v>
      </c>
    </row>
    <row r="281" spans="1:16">
      <c r="A281" s="69" t="s">
        <v>548</v>
      </c>
      <c r="B281" s="69" t="s">
        <v>1577</v>
      </c>
      <c r="C281" s="69" t="s">
        <v>1636</v>
      </c>
      <c r="D281" s="74" t="s">
        <v>1595</v>
      </c>
      <c r="E281" s="70">
        <f>SUMIFS('K Village'!$D:$D,'K Village'!$B:$B,$A281)</f>
        <v>0</v>
      </c>
      <c r="F281" s="75"/>
      <c r="G281" s="70">
        <f>SUMIFS('Central CL (Department)'!$BO:$BO,'Central CL (Department)'!$A:$A,$A281)</f>
        <v>0</v>
      </c>
      <c r="H281" s="75"/>
      <c r="I281" s="70">
        <f>SUMIFS('Siam Discovery'!$C:$C,'Siam Discovery'!$A:$A,$A281)</f>
        <v>0</v>
      </c>
      <c r="J281" s="75"/>
      <c r="K281" s="70">
        <f>SUMIFS('Paradise Park'!$C:$C,'Paradise Park'!$A:$A,$A281)</f>
        <v>0</v>
      </c>
      <c r="L281" s="75"/>
      <c r="M281" s="70">
        <f>SUMIFS('Central LP'!$D:$D,'Central LP'!$B:$B,$A281)</f>
        <v>0</v>
      </c>
      <c r="N281" s="75"/>
      <c r="O281" s="71">
        <f t="shared" si="8"/>
        <v>0</v>
      </c>
      <c r="P281" s="71">
        <f t="shared" si="9"/>
        <v>0</v>
      </c>
    </row>
    <row r="282" spans="1:16">
      <c r="A282" s="69" t="s">
        <v>550</v>
      </c>
      <c r="B282" s="69" t="s">
        <v>1578</v>
      </c>
      <c r="C282" s="69" t="s">
        <v>1622</v>
      </c>
      <c r="D282" s="74" t="s">
        <v>1590</v>
      </c>
      <c r="E282" s="70">
        <f>SUMIFS('K Village'!$D:$D,'K Village'!$B:$B,$A282)</f>
        <v>0</v>
      </c>
      <c r="F282" s="75"/>
      <c r="G282" s="70">
        <f>SUMIFS('Central CL (Department)'!$BO:$BO,'Central CL (Department)'!$A:$A,$A282)</f>
        <v>1</v>
      </c>
      <c r="H282" s="75"/>
      <c r="I282" s="70">
        <f>SUMIFS('Siam Discovery'!$C:$C,'Siam Discovery'!$A:$A,$A282)</f>
        <v>0</v>
      </c>
      <c r="J282" s="75"/>
      <c r="K282" s="70">
        <f>SUMIFS('Paradise Park'!$C:$C,'Paradise Park'!$A:$A,$A282)</f>
        <v>0</v>
      </c>
      <c r="L282" s="75"/>
      <c r="M282" s="70">
        <f>SUMIFS('Central LP'!$D:$D,'Central LP'!$B:$B,$A282)</f>
        <v>0</v>
      </c>
      <c r="N282" s="75"/>
      <c r="O282" s="71">
        <f t="shared" si="8"/>
        <v>1</v>
      </c>
      <c r="P282" s="71">
        <f t="shared" si="9"/>
        <v>0</v>
      </c>
    </row>
    <row r="283" spans="1:16">
      <c r="A283" s="69" t="s">
        <v>552</v>
      </c>
      <c r="B283" s="69" t="s">
        <v>1578</v>
      </c>
      <c r="C283" s="69" t="s">
        <v>1622</v>
      </c>
      <c r="D283" s="74" t="s">
        <v>1591</v>
      </c>
      <c r="E283" s="70">
        <f>SUMIFS('K Village'!$D:$D,'K Village'!$B:$B,$A283)</f>
        <v>0</v>
      </c>
      <c r="F283" s="75"/>
      <c r="G283" s="70">
        <f>SUMIFS('Central CL (Department)'!$BO:$BO,'Central CL (Department)'!$A:$A,$A283)</f>
        <v>0</v>
      </c>
      <c r="H283" s="75"/>
      <c r="I283" s="70">
        <f>SUMIFS('Siam Discovery'!$C:$C,'Siam Discovery'!$A:$A,$A283)</f>
        <v>0</v>
      </c>
      <c r="J283" s="75"/>
      <c r="K283" s="70">
        <f>SUMIFS('Paradise Park'!$C:$C,'Paradise Park'!$A:$A,$A283)</f>
        <v>0</v>
      </c>
      <c r="L283" s="75"/>
      <c r="M283" s="70">
        <f>SUMIFS('Central LP'!$D:$D,'Central LP'!$B:$B,$A283)</f>
        <v>0</v>
      </c>
      <c r="N283" s="75"/>
      <c r="O283" s="71">
        <f t="shared" si="8"/>
        <v>0</v>
      </c>
      <c r="P283" s="71">
        <f t="shared" si="9"/>
        <v>0</v>
      </c>
    </row>
    <row r="284" spans="1:16">
      <c r="A284" s="69" t="s">
        <v>554</v>
      </c>
      <c r="B284" s="69" t="s">
        <v>1578</v>
      </c>
      <c r="C284" s="69" t="s">
        <v>1622</v>
      </c>
      <c r="D284" s="74" t="s">
        <v>1593</v>
      </c>
      <c r="E284" s="70">
        <f>SUMIFS('K Village'!$D:$D,'K Village'!$B:$B,$A284)</f>
        <v>0</v>
      </c>
      <c r="F284" s="75"/>
      <c r="G284" s="70">
        <f>SUMIFS('Central CL (Department)'!$BO:$BO,'Central CL (Department)'!$A:$A,$A284)</f>
        <v>0</v>
      </c>
      <c r="H284" s="75"/>
      <c r="I284" s="70">
        <f>SUMIFS('Siam Discovery'!$C:$C,'Siam Discovery'!$A:$A,$A284)</f>
        <v>0</v>
      </c>
      <c r="J284" s="75"/>
      <c r="K284" s="70">
        <f>SUMIFS('Paradise Park'!$C:$C,'Paradise Park'!$A:$A,$A284)</f>
        <v>0</v>
      </c>
      <c r="L284" s="75"/>
      <c r="M284" s="70">
        <f>SUMIFS('Central LP'!$D:$D,'Central LP'!$B:$B,$A284)</f>
        <v>0</v>
      </c>
      <c r="N284" s="75"/>
      <c r="O284" s="71">
        <f t="shared" si="8"/>
        <v>0</v>
      </c>
      <c r="P284" s="71">
        <f t="shared" si="9"/>
        <v>0</v>
      </c>
    </row>
    <row r="285" spans="1:16">
      <c r="A285" s="69" t="s">
        <v>556</v>
      </c>
      <c r="B285" s="69" t="s">
        <v>1578</v>
      </c>
      <c r="C285" s="69" t="s">
        <v>1622</v>
      </c>
      <c r="D285" s="74" t="s">
        <v>1594</v>
      </c>
      <c r="E285" s="70">
        <f>SUMIFS('K Village'!$D:$D,'K Village'!$B:$B,$A285)</f>
        <v>0</v>
      </c>
      <c r="F285" s="75"/>
      <c r="G285" s="70">
        <f>SUMIFS('Central CL (Department)'!$BO:$BO,'Central CL (Department)'!$A:$A,$A285)</f>
        <v>1</v>
      </c>
      <c r="H285" s="75"/>
      <c r="I285" s="70">
        <f>SUMIFS('Siam Discovery'!$C:$C,'Siam Discovery'!$A:$A,$A285)</f>
        <v>0</v>
      </c>
      <c r="J285" s="75"/>
      <c r="K285" s="70">
        <f>SUMIFS('Paradise Park'!$C:$C,'Paradise Park'!$A:$A,$A285)</f>
        <v>0</v>
      </c>
      <c r="L285" s="75"/>
      <c r="M285" s="70">
        <f>SUMIFS('Central LP'!$D:$D,'Central LP'!$B:$B,$A285)</f>
        <v>0</v>
      </c>
      <c r="N285" s="75"/>
      <c r="O285" s="71">
        <f t="shared" si="8"/>
        <v>1</v>
      </c>
      <c r="P285" s="71">
        <f t="shared" si="9"/>
        <v>0</v>
      </c>
    </row>
    <row r="286" spans="1:16">
      <c r="A286" s="69" t="s">
        <v>558</v>
      </c>
      <c r="B286" s="69" t="s">
        <v>1578</v>
      </c>
      <c r="C286" s="69" t="s">
        <v>1622</v>
      </c>
      <c r="D286" s="74" t="s">
        <v>1595</v>
      </c>
      <c r="E286" s="70">
        <f>SUMIFS('K Village'!$D:$D,'K Village'!$B:$B,$A286)</f>
        <v>0</v>
      </c>
      <c r="F286" s="75"/>
      <c r="G286" s="70">
        <f>SUMIFS('Central CL (Department)'!$BO:$BO,'Central CL (Department)'!$A:$A,$A286)</f>
        <v>1</v>
      </c>
      <c r="H286" s="75"/>
      <c r="I286" s="70">
        <f>SUMIFS('Siam Discovery'!$C:$C,'Siam Discovery'!$A:$A,$A286)</f>
        <v>0</v>
      </c>
      <c r="J286" s="75"/>
      <c r="K286" s="70">
        <f>SUMIFS('Paradise Park'!$C:$C,'Paradise Park'!$A:$A,$A286)</f>
        <v>0</v>
      </c>
      <c r="L286" s="75"/>
      <c r="M286" s="70">
        <f>SUMIFS('Central LP'!$D:$D,'Central LP'!$B:$B,$A286)</f>
        <v>0</v>
      </c>
      <c r="N286" s="75"/>
      <c r="O286" s="71">
        <f t="shared" si="8"/>
        <v>1</v>
      </c>
      <c r="P286" s="71">
        <f t="shared" si="9"/>
        <v>0</v>
      </c>
    </row>
    <row r="287" spans="1:16">
      <c r="A287" s="69" t="s">
        <v>560</v>
      </c>
      <c r="B287" s="69" t="s">
        <v>1578</v>
      </c>
      <c r="C287" s="69" t="s">
        <v>1637</v>
      </c>
      <c r="D287" s="74" t="s">
        <v>1599</v>
      </c>
      <c r="E287" s="70">
        <f>SUMIFS('K Village'!$D:$D,'K Village'!$B:$B,$A287)</f>
        <v>0</v>
      </c>
      <c r="F287" s="75"/>
      <c r="G287" s="70">
        <f>SUMIFS('Central CL (Department)'!$BO:$BO,'Central CL (Department)'!$A:$A,$A287)</f>
        <v>0</v>
      </c>
      <c r="H287" s="75"/>
      <c r="I287" s="70">
        <f>SUMIFS('Siam Discovery'!$C:$C,'Siam Discovery'!$A:$A,$A287)</f>
        <v>1</v>
      </c>
      <c r="J287" s="75"/>
      <c r="K287" s="70">
        <f>SUMIFS('Paradise Park'!$C:$C,'Paradise Park'!$A:$A,$A287)</f>
        <v>0</v>
      </c>
      <c r="L287" s="75"/>
      <c r="M287" s="70">
        <f>SUMIFS('Central LP'!$D:$D,'Central LP'!$B:$B,$A287)</f>
        <v>0</v>
      </c>
      <c r="N287" s="75"/>
      <c r="O287" s="71">
        <f t="shared" si="8"/>
        <v>1</v>
      </c>
      <c r="P287" s="71">
        <f t="shared" si="9"/>
        <v>0</v>
      </c>
    </row>
    <row r="288" spans="1:16">
      <c r="A288" s="69" t="s">
        <v>562</v>
      </c>
      <c r="B288" s="69" t="s">
        <v>1578</v>
      </c>
      <c r="C288" s="69" t="s">
        <v>1637</v>
      </c>
      <c r="D288" s="74" t="s">
        <v>1600</v>
      </c>
      <c r="E288" s="70">
        <f>SUMIFS('K Village'!$D:$D,'K Village'!$B:$B,$A288)</f>
        <v>1</v>
      </c>
      <c r="F288" s="75"/>
      <c r="G288" s="70">
        <f>SUMIFS('Central CL (Department)'!$BO:$BO,'Central CL (Department)'!$A:$A,$A288)</f>
        <v>0</v>
      </c>
      <c r="H288" s="75"/>
      <c r="I288" s="70">
        <f>SUMIFS('Siam Discovery'!$C:$C,'Siam Discovery'!$A:$A,$A288)</f>
        <v>0</v>
      </c>
      <c r="J288" s="75"/>
      <c r="K288" s="70">
        <f>SUMIFS('Paradise Park'!$C:$C,'Paradise Park'!$A:$A,$A288)</f>
        <v>1</v>
      </c>
      <c r="L288" s="75"/>
      <c r="M288" s="70">
        <f>SUMIFS('Central LP'!$D:$D,'Central LP'!$B:$B,$A288)</f>
        <v>0</v>
      </c>
      <c r="N288" s="75"/>
      <c r="O288" s="71">
        <f t="shared" si="8"/>
        <v>2</v>
      </c>
      <c r="P288" s="71">
        <f t="shared" si="9"/>
        <v>0</v>
      </c>
    </row>
    <row r="289" spans="1:16">
      <c r="A289" s="69" t="s">
        <v>564</v>
      </c>
      <c r="B289" s="69" t="s">
        <v>1578</v>
      </c>
      <c r="C289" s="69" t="s">
        <v>1637</v>
      </c>
      <c r="D289" s="74" t="s">
        <v>1601</v>
      </c>
      <c r="E289" s="70">
        <f>SUMIFS('K Village'!$D:$D,'K Village'!$B:$B,$A289)</f>
        <v>2</v>
      </c>
      <c r="F289" s="75"/>
      <c r="G289" s="70">
        <f>SUMIFS('Central CL (Department)'!$BO:$BO,'Central CL (Department)'!$A:$A,$A289)</f>
        <v>1</v>
      </c>
      <c r="H289" s="75"/>
      <c r="I289" s="70">
        <f>SUMIFS('Siam Discovery'!$C:$C,'Siam Discovery'!$A:$A,$A289)</f>
        <v>0</v>
      </c>
      <c r="J289" s="75"/>
      <c r="K289" s="70">
        <f>SUMIFS('Paradise Park'!$C:$C,'Paradise Park'!$A:$A,$A289)</f>
        <v>0</v>
      </c>
      <c r="L289" s="75"/>
      <c r="M289" s="70">
        <f>SUMIFS('Central LP'!$D:$D,'Central LP'!$B:$B,$A289)</f>
        <v>0</v>
      </c>
      <c r="N289" s="75"/>
      <c r="O289" s="71">
        <f t="shared" si="8"/>
        <v>3</v>
      </c>
      <c r="P289" s="71">
        <f t="shared" si="9"/>
        <v>0</v>
      </c>
    </row>
    <row r="290" spans="1:16">
      <c r="A290" s="69" t="s">
        <v>566</v>
      </c>
      <c r="B290" s="69" t="s">
        <v>1578</v>
      </c>
      <c r="C290" s="69" t="s">
        <v>1637</v>
      </c>
      <c r="D290" s="74" t="s">
        <v>1602</v>
      </c>
      <c r="E290" s="70">
        <f>SUMIFS('K Village'!$D:$D,'K Village'!$B:$B,$A290)</f>
        <v>2</v>
      </c>
      <c r="F290" s="75"/>
      <c r="G290" s="70">
        <f>SUMIFS('Central CL (Department)'!$BO:$BO,'Central CL (Department)'!$A:$A,$A290)</f>
        <v>1</v>
      </c>
      <c r="H290" s="75"/>
      <c r="I290" s="70">
        <f>SUMIFS('Siam Discovery'!$C:$C,'Siam Discovery'!$A:$A,$A290)</f>
        <v>0</v>
      </c>
      <c r="J290" s="75"/>
      <c r="K290" s="70">
        <f>SUMIFS('Paradise Park'!$C:$C,'Paradise Park'!$A:$A,$A290)</f>
        <v>2</v>
      </c>
      <c r="L290" s="75"/>
      <c r="M290" s="70">
        <f>SUMIFS('Central LP'!$D:$D,'Central LP'!$B:$B,$A290)</f>
        <v>1</v>
      </c>
      <c r="N290" s="75"/>
      <c r="O290" s="71">
        <f t="shared" si="8"/>
        <v>6</v>
      </c>
      <c r="P290" s="71">
        <f t="shared" si="9"/>
        <v>0</v>
      </c>
    </row>
    <row r="291" spans="1:16">
      <c r="A291" s="69" t="s">
        <v>568</v>
      </c>
      <c r="B291" s="69" t="s">
        <v>1578</v>
      </c>
      <c r="C291" s="69" t="s">
        <v>1637</v>
      </c>
      <c r="D291" s="74" t="s">
        <v>1603</v>
      </c>
      <c r="E291" s="70">
        <f>SUMIFS('K Village'!$D:$D,'K Village'!$B:$B,$A291)</f>
        <v>2</v>
      </c>
      <c r="F291" s="75"/>
      <c r="G291" s="70">
        <f>SUMIFS('Central CL (Department)'!$BO:$BO,'Central CL (Department)'!$A:$A,$A291)</f>
        <v>0</v>
      </c>
      <c r="H291" s="75"/>
      <c r="I291" s="70">
        <f>SUMIFS('Siam Discovery'!$C:$C,'Siam Discovery'!$A:$A,$A291)</f>
        <v>0</v>
      </c>
      <c r="J291" s="75"/>
      <c r="K291" s="70">
        <f>SUMIFS('Paradise Park'!$C:$C,'Paradise Park'!$A:$A,$A291)</f>
        <v>1</v>
      </c>
      <c r="L291" s="75"/>
      <c r="M291" s="70">
        <f>SUMIFS('Central LP'!$D:$D,'Central LP'!$B:$B,$A291)</f>
        <v>0</v>
      </c>
      <c r="N291" s="75"/>
      <c r="O291" s="71">
        <f t="shared" si="8"/>
        <v>3</v>
      </c>
      <c r="P291" s="71">
        <f t="shared" si="9"/>
        <v>0</v>
      </c>
    </row>
    <row r="292" spans="1:16">
      <c r="A292" s="69" t="s">
        <v>570</v>
      </c>
      <c r="B292" s="69" t="s">
        <v>1578</v>
      </c>
      <c r="C292" s="69" t="s">
        <v>1637</v>
      </c>
      <c r="D292" s="74" t="s">
        <v>1616</v>
      </c>
      <c r="E292" s="70">
        <f>SUMIFS('K Village'!$D:$D,'K Village'!$B:$B,$A292)</f>
        <v>1</v>
      </c>
      <c r="F292" s="75"/>
      <c r="G292" s="70">
        <f>SUMIFS('Central CL (Department)'!$BO:$BO,'Central CL (Department)'!$A:$A,$A292)</f>
        <v>0</v>
      </c>
      <c r="H292" s="75"/>
      <c r="I292" s="70">
        <f>SUMIFS('Siam Discovery'!$C:$C,'Siam Discovery'!$A:$A,$A292)</f>
        <v>0</v>
      </c>
      <c r="J292" s="75"/>
      <c r="K292" s="70">
        <f>SUMIFS('Paradise Park'!$C:$C,'Paradise Park'!$A:$A,$A292)</f>
        <v>0</v>
      </c>
      <c r="L292" s="75"/>
      <c r="M292" s="70">
        <f>SUMIFS('Central LP'!$D:$D,'Central LP'!$B:$B,$A292)</f>
        <v>0</v>
      </c>
      <c r="N292" s="75"/>
      <c r="O292" s="71">
        <f t="shared" si="8"/>
        <v>1</v>
      </c>
      <c r="P292" s="71">
        <f t="shared" si="9"/>
        <v>0</v>
      </c>
    </row>
    <row r="293" spans="1:16">
      <c r="A293" s="69" t="s">
        <v>572</v>
      </c>
      <c r="B293" s="69" t="s">
        <v>1578</v>
      </c>
      <c r="C293" s="69" t="s">
        <v>1613</v>
      </c>
      <c r="D293" s="74" t="s">
        <v>1588</v>
      </c>
      <c r="E293" s="70">
        <f>SUMIFS('K Village'!$D:$D,'K Village'!$B:$B,$A293)</f>
        <v>1</v>
      </c>
      <c r="F293" s="75"/>
      <c r="G293" s="70">
        <f>SUMIFS('Central CL (Department)'!$BO:$BO,'Central CL (Department)'!$A:$A,$A293)</f>
        <v>0</v>
      </c>
      <c r="H293" s="75"/>
      <c r="I293" s="70">
        <f>SUMIFS('Siam Discovery'!$C:$C,'Siam Discovery'!$A:$A,$A293)</f>
        <v>0</v>
      </c>
      <c r="J293" s="75"/>
      <c r="K293" s="70">
        <f>SUMIFS('Paradise Park'!$C:$C,'Paradise Park'!$A:$A,$A293)</f>
        <v>1</v>
      </c>
      <c r="L293" s="75"/>
      <c r="M293" s="70">
        <f>SUMIFS('Central LP'!$D:$D,'Central LP'!$B:$B,$A293)</f>
        <v>1</v>
      </c>
      <c r="N293" s="75"/>
      <c r="O293" s="71">
        <f t="shared" si="8"/>
        <v>3</v>
      </c>
      <c r="P293" s="71">
        <f t="shared" si="9"/>
        <v>0</v>
      </c>
    </row>
    <row r="294" spans="1:16">
      <c r="A294" s="69" t="s">
        <v>574</v>
      </c>
      <c r="B294" s="69" t="s">
        <v>1578</v>
      </c>
      <c r="C294" s="69" t="s">
        <v>1613</v>
      </c>
      <c r="D294" s="74" t="s">
        <v>1589</v>
      </c>
      <c r="E294" s="70">
        <f>SUMIFS('K Village'!$D:$D,'K Village'!$B:$B,$A294)</f>
        <v>2</v>
      </c>
      <c r="F294" s="75"/>
      <c r="G294" s="70">
        <f>SUMIFS('Central CL (Department)'!$BO:$BO,'Central CL (Department)'!$A:$A,$A294)</f>
        <v>1</v>
      </c>
      <c r="H294" s="75"/>
      <c r="I294" s="70">
        <f>SUMIFS('Siam Discovery'!$C:$C,'Siam Discovery'!$A:$A,$A294)</f>
        <v>0</v>
      </c>
      <c r="J294" s="75"/>
      <c r="K294" s="70">
        <f>SUMIFS('Paradise Park'!$C:$C,'Paradise Park'!$A:$A,$A294)</f>
        <v>2</v>
      </c>
      <c r="L294" s="75"/>
      <c r="M294" s="70">
        <f>SUMIFS('Central LP'!$D:$D,'Central LP'!$B:$B,$A294)</f>
        <v>0</v>
      </c>
      <c r="N294" s="75"/>
      <c r="O294" s="71">
        <f t="shared" si="8"/>
        <v>5</v>
      </c>
      <c r="P294" s="71">
        <f t="shared" si="9"/>
        <v>0</v>
      </c>
    </row>
    <row r="295" spans="1:16">
      <c r="A295" s="69" t="s">
        <v>576</v>
      </c>
      <c r="B295" s="69" t="s">
        <v>1578</v>
      </c>
      <c r="C295" s="69" t="s">
        <v>1613</v>
      </c>
      <c r="D295" s="74" t="s">
        <v>1590</v>
      </c>
      <c r="E295" s="70">
        <f>SUMIFS('K Village'!$D:$D,'K Village'!$B:$B,$A295)</f>
        <v>2</v>
      </c>
      <c r="F295" s="75"/>
      <c r="G295" s="70">
        <f>SUMIFS('Central CL (Department)'!$BO:$BO,'Central CL (Department)'!$A:$A,$A295)</f>
        <v>2</v>
      </c>
      <c r="H295" s="75"/>
      <c r="I295" s="70">
        <f>SUMIFS('Siam Discovery'!$C:$C,'Siam Discovery'!$A:$A,$A295)</f>
        <v>3</v>
      </c>
      <c r="J295" s="75"/>
      <c r="K295" s="70">
        <f>SUMIFS('Paradise Park'!$C:$C,'Paradise Park'!$A:$A,$A295)</f>
        <v>1</v>
      </c>
      <c r="L295" s="75"/>
      <c r="M295" s="70">
        <f>SUMIFS('Central LP'!$D:$D,'Central LP'!$B:$B,$A295)</f>
        <v>1</v>
      </c>
      <c r="N295" s="75"/>
      <c r="O295" s="71">
        <f t="shared" si="8"/>
        <v>9</v>
      </c>
      <c r="P295" s="71">
        <f t="shared" si="9"/>
        <v>0</v>
      </c>
    </row>
    <row r="296" spans="1:16">
      <c r="A296" s="69" t="s">
        <v>578</v>
      </c>
      <c r="B296" s="69" t="s">
        <v>1578</v>
      </c>
      <c r="C296" s="69" t="s">
        <v>1613</v>
      </c>
      <c r="D296" s="74" t="s">
        <v>1591</v>
      </c>
      <c r="E296" s="70">
        <f>SUMIFS('K Village'!$D:$D,'K Village'!$B:$B,$A296)</f>
        <v>0</v>
      </c>
      <c r="F296" s="75"/>
      <c r="G296" s="70">
        <f>SUMIFS('Central CL (Department)'!$BO:$BO,'Central CL (Department)'!$A:$A,$A296)</f>
        <v>0</v>
      </c>
      <c r="H296" s="75"/>
      <c r="I296" s="70">
        <f>SUMIFS('Siam Discovery'!$C:$C,'Siam Discovery'!$A:$A,$A296)</f>
        <v>2</v>
      </c>
      <c r="J296" s="75"/>
      <c r="K296" s="70">
        <f>SUMIFS('Paradise Park'!$C:$C,'Paradise Park'!$A:$A,$A296)</f>
        <v>0</v>
      </c>
      <c r="L296" s="75"/>
      <c r="M296" s="70">
        <f>SUMIFS('Central LP'!$D:$D,'Central LP'!$B:$B,$A296)</f>
        <v>2</v>
      </c>
      <c r="N296" s="75"/>
      <c r="O296" s="71">
        <f t="shared" si="8"/>
        <v>4</v>
      </c>
      <c r="P296" s="71">
        <f t="shared" si="9"/>
        <v>0</v>
      </c>
    </row>
    <row r="297" spans="1:16">
      <c r="A297" s="69" t="s">
        <v>580</v>
      </c>
      <c r="B297" s="69" t="s">
        <v>1578</v>
      </c>
      <c r="C297" s="69" t="s">
        <v>1613</v>
      </c>
      <c r="D297" s="74" t="s">
        <v>1592</v>
      </c>
      <c r="E297" s="70">
        <f>SUMIFS('K Village'!$D:$D,'K Village'!$B:$B,$A297)</f>
        <v>1</v>
      </c>
      <c r="F297" s="75"/>
      <c r="G297" s="70">
        <f>SUMIFS('Central CL (Department)'!$BO:$BO,'Central CL (Department)'!$A:$A,$A297)</f>
        <v>1</v>
      </c>
      <c r="H297" s="75"/>
      <c r="I297" s="70">
        <f>SUMIFS('Siam Discovery'!$C:$C,'Siam Discovery'!$A:$A,$A297)</f>
        <v>1</v>
      </c>
      <c r="J297" s="75"/>
      <c r="K297" s="70">
        <f>SUMIFS('Paradise Park'!$C:$C,'Paradise Park'!$A:$A,$A297)</f>
        <v>0</v>
      </c>
      <c r="L297" s="75"/>
      <c r="M297" s="70">
        <f>SUMIFS('Central LP'!$D:$D,'Central LP'!$B:$B,$A297)</f>
        <v>1</v>
      </c>
      <c r="N297" s="75"/>
      <c r="O297" s="71">
        <f t="shared" si="8"/>
        <v>4</v>
      </c>
      <c r="P297" s="71">
        <f t="shared" si="9"/>
        <v>0</v>
      </c>
    </row>
    <row r="298" spans="1:16">
      <c r="A298" s="69" t="s">
        <v>582</v>
      </c>
      <c r="B298" s="69" t="s">
        <v>1578</v>
      </c>
      <c r="C298" s="69" t="s">
        <v>1613</v>
      </c>
      <c r="D298" s="74" t="s">
        <v>1593</v>
      </c>
      <c r="E298" s="70">
        <f>SUMIFS('K Village'!$D:$D,'K Village'!$B:$B,$A298)</f>
        <v>0</v>
      </c>
      <c r="F298" s="75"/>
      <c r="G298" s="70">
        <f>SUMIFS('Central CL (Department)'!$BO:$BO,'Central CL (Department)'!$A:$A,$A298)</f>
        <v>1</v>
      </c>
      <c r="H298" s="75"/>
      <c r="I298" s="70">
        <f>SUMIFS('Siam Discovery'!$C:$C,'Siam Discovery'!$A:$A,$A298)</f>
        <v>0</v>
      </c>
      <c r="J298" s="75"/>
      <c r="K298" s="70">
        <f>SUMIFS('Paradise Park'!$C:$C,'Paradise Park'!$A:$A,$A298)</f>
        <v>0</v>
      </c>
      <c r="L298" s="75"/>
      <c r="M298" s="70">
        <f>SUMIFS('Central LP'!$D:$D,'Central LP'!$B:$B,$A298)</f>
        <v>1</v>
      </c>
      <c r="N298" s="75"/>
      <c r="O298" s="71">
        <f t="shared" si="8"/>
        <v>2</v>
      </c>
      <c r="P298" s="71">
        <f t="shared" si="9"/>
        <v>0</v>
      </c>
    </row>
    <row r="299" spans="1:16">
      <c r="A299" s="69" t="s">
        <v>584</v>
      </c>
      <c r="B299" s="69" t="s">
        <v>1578</v>
      </c>
      <c r="C299" s="69" t="s">
        <v>1613</v>
      </c>
      <c r="D299" s="74" t="s">
        <v>1594</v>
      </c>
      <c r="E299" s="70">
        <f>SUMIFS('K Village'!$D:$D,'K Village'!$B:$B,$A299)</f>
        <v>1</v>
      </c>
      <c r="F299" s="75"/>
      <c r="G299" s="70">
        <f>SUMIFS('Central CL (Department)'!$BO:$BO,'Central CL (Department)'!$A:$A,$A299)</f>
        <v>1</v>
      </c>
      <c r="H299" s="75"/>
      <c r="I299" s="70">
        <f>SUMIFS('Siam Discovery'!$C:$C,'Siam Discovery'!$A:$A,$A299)</f>
        <v>1</v>
      </c>
      <c r="J299" s="75"/>
      <c r="K299" s="70">
        <f>SUMIFS('Paradise Park'!$C:$C,'Paradise Park'!$A:$A,$A299)</f>
        <v>0</v>
      </c>
      <c r="L299" s="75"/>
      <c r="M299" s="70">
        <f>SUMIFS('Central LP'!$D:$D,'Central LP'!$B:$B,$A299)</f>
        <v>1</v>
      </c>
      <c r="N299" s="75"/>
      <c r="O299" s="71">
        <f t="shared" si="8"/>
        <v>4</v>
      </c>
      <c r="P299" s="71">
        <f t="shared" si="9"/>
        <v>0</v>
      </c>
    </row>
    <row r="300" spans="1:16">
      <c r="A300" s="69" t="s">
        <v>586</v>
      </c>
      <c r="B300" s="69" t="s">
        <v>1578</v>
      </c>
      <c r="C300" s="69" t="s">
        <v>1613</v>
      </c>
      <c r="D300" s="74" t="s">
        <v>1595</v>
      </c>
      <c r="E300" s="70">
        <f>SUMIFS('K Village'!$D:$D,'K Village'!$B:$B,$A300)</f>
        <v>1</v>
      </c>
      <c r="F300" s="75"/>
      <c r="G300" s="70">
        <f>SUMIFS('Central CL (Department)'!$BO:$BO,'Central CL (Department)'!$A:$A,$A300)</f>
        <v>0</v>
      </c>
      <c r="H300" s="75"/>
      <c r="I300" s="70">
        <f>SUMIFS('Siam Discovery'!$C:$C,'Siam Discovery'!$A:$A,$A300)</f>
        <v>0</v>
      </c>
      <c r="J300" s="75"/>
      <c r="K300" s="70">
        <f>SUMIFS('Paradise Park'!$C:$C,'Paradise Park'!$A:$A,$A300)</f>
        <v>1</v>
      </c>
      <c r="L300" s="75"/>
      <c r="M300" s="70">
        <f>SUMIFS('Central LP'!$D:$D,'Central LP'!$B:$B,$A300)</f>
        <v>0</v>
      </c>
      <c r="N300" s="75"/>
      <c r="O300" s="71">
        <f t="shared" si="8"/>
        <v>2</v>
      </c>
      <c r="P300" s="71">
        <f t="shared" si="9"/>
        <v>0</v>
      </c>
    </row>
    <row r="301" spans="1:16">
      <c r="A301" s="69" t="s">
        <v>1525</v>
      </c>
      <c r="B301" s="69" t="s">
        <v>1579</v>
      </c>
      <c r="C301" s="69" t="s">
        <v>1622</v>
      </c>
      <c r="D301" s="74" t="s">
        <v>1605</v>
      </c>
      <c r="E301" s="70">
        <f>SUMIFS('K Village'!$D:$D,'K Village'!$B:$B,$A301)</f>
        <v>2</v>
      </c>
      <c r="F301" s="75"/>
      <c r="G301" s="70">
        <f>SUMIFS('Central CL (Department)'!$BO:$BO,'Central CL (Department)'!$A:$A,$A301)</f>
        <v>0</v>
      </c>
      <c r="H301" s="75"/>
      <c r="I301" s="70">
        <f>SUMIFS('Siam Discovery'!$C:$C,'Siam Discovery'!$A:$A,$A301)</f>
        <v>0</v>
      </c>
      <c r="J301" s="75"/>
      <c r="K301" s="70">
        <f>SUMIFS('Paradise Park'!$C:$C,'Paradise Park'!$A:$A,$A301)</f>
        <v>0</v>
      </c>
      <c r="L301" s="75"/>
      <c r="M301" s="70">
        <f>SUMIFS('Central LP'!$D:$D,'Central LP'!$B:$B,$A301)</f>
        <v>0</v>
      </c>
      <c r="N301" s="75"/>
      <c r="O301" s="71">
        <f t="shared" si="8"/>
        <v>2</v>
      </c>
      <c r="P301" s="71">
        <f t="shared" si="9"/>
        <v>0</v>
      </c>
    </row>
    <row r="302" spans="1:16">
      <c r="A302" s="69" t="s">
        <v>1092</v>
      </c>
      <c r="B302" s="69" t="s">
        <v>1579</v>
      </c>
      <c r="C302" s="69" t="s">
        <v>1622</v>
      </c>
      <c r="D302" s="74" t="s">
        <v>1606</v>
      </c>
      <c r="E302" s="70">
        <f>SUMIFS('K Village'!$D:$D,'K Village'!$B:$B,$A302)</f>
        <v>0</v>
      </c>
      <c r="F302" s="75"/>
      <c r="G302" s="70">
        <f>SUMIFS('Central CL (Department)'!$BO:$BO,'Central CL (Department)'!$A:$A,$A302)</f>
        <v>0</v>
      </c>
      <c r="H302" s="75"/>
      <c r="I302" s="70">
        <f>SUMIFS('Siam Discovery'!$C:$C,'Siam Discovery'!$A:$A,$A302)</f>
        <v>0</v>
      </c>
      <c r="J302" s="75"/>
      <c r="K302" s="70">
        <f>SUMIFS('Paradise Park'!$C:$C,'Paradise Park'!$A:$A,$A302)</f>
        <v>1</v>
      </c>
      <c r="L302" s="75"/>
      <c r="M302" s="70">
        <f>SUMIFS('Central LP'!$D:$D,'Central LP'!$B:$B,$A302)</f>
        <v>1</v>
      </c>
      <c r="N302" s="75"/>
      <c r="O302" s="71">
        <f t="shared" si="8"/>
        <v>2</v>
      </c>
      <c r="P302" s="71">
        <f t="shared" si="9"/>
        <v>0</v>
      </c>
    </row>
    <row r="303" spans="1:16">
      <c r="A303" s="69" t="s">
        <v>1527</v>
      </c>
      <c r="B303" s="69" t="s">
        <v>1579</v>
      </c>
      <c r="C303" s="69" t="s">
        <v>1622</v>
      </c>
      <c r="D303" s="74" t="s">
        <v>1588</v>
      </c>
      <c r="E303" s="70">
        <f>SUMIFS('K Village'!$D:$D,'K Village'!$B:$B,$A303)</f>
        <v>1</v>
      </c>
      <c r="F303" s="75"/>
      <c r="G303" s="70">
        <f>SUMIFS('Central CL (Department)'!$BO:$BO,'Central CL (Department)'!$A:$A,$A303)</f>
        <v>0</v>
      </c>
      <c r="H303" s="75"/>
      <c r="I303" s="70">
        <f>SUMIFS('Siam Discovery'!$C:$C,'Siam Discovery'!$A:$A,$A303)</f>
        <v>0</v>
      </c>
      <c r="J303" s="75"/>
      <c r="K303" s="70">
        <f>SUMIFS('Paradise Park'!$C:$C,'Paradise Park'!$A:$A,$A303)</f>
        <v>0</v>
      </c>
      <c r="L303" s="75"/>
      <c r="M303" s="70">
        <f>SUMIFS('Central LP'!$D:$D,'Central LP'!$B:$B,$A303)</f>
        <v>1</v>
      </c>
      <c r="N303" s="75"/>
      <c r="O303" s="71">
        <f t="shared" si="8"/>
        <v>2</v>
      </c>
      <c r="P303" s="71">
        <f t="shared" si="9"/>
        <v>0</v>
      </c>
    </row>
    <row r="304" spans="1:16">
      <c r="A304" s="69" t="s">
        <v>588</v>
      </c>
      <c r="B304" s="69" t="s">
        <v>1579</v>
      </c>
      <c r="C304" s="69" t="s">
        <v>1622</v>
      </c>
      <c r="D304" s="74" t="s">
        <v>1589</v>
      </c>
      <c r="E304" s="70">
        <f>SUMIFS('K Village'!$D:$D,'K Village'!$B:$B,$A304)</f>
        <v>0</v>
      </c>
      <c r="F304" s="75"/>
      <c r="G304" s="70">
        <f>SUMIFS('Central CL (Department)'!$BO:$BO,'Central CL (Department)'!$A:$A,$A304)</f>
        <v>0</v>
      </c>
      <c r="H304" s="75"/>
      <c r="I304" s="70">
        <f>SUMIFS('Siam Discovery'!$C:$C,'Siam Discovery'!$A:$A,$A304)</f>
        <v>0</v>
      </c>
      <c r="J304" s="75"/>
      <c r="K304" s="70">
        <f>SUMIFS('Paradise Park'!$C:$C,'Paradise Park'!$A:$A,$A304)</f>
        <v>0</v>
      </c>
      <c r="L304" s="75"/>
      <c r="M304" s="70">
        <f>SUMIFS('Central LP'!$D:$D,'Central LP'!$B:$B,$A304)</f>
        <v>1</v>
      </c>
      <c r="N304" s="75"/>
      <c r="O304" s="71">
        <f t="shared" si="8"/>
        <v>1</v>
      </c>
      <c r="P304" s="71">
        <f t="shared" si="9"/>
        <v>0</v>
      </c>
    </row>
    <row r="305" spans="1:16">
      <c r="A305" s="69" t="s">
        <v>592</v>
      </c>
      <c r="B305" s="69" t="s">
        <v>1579</v>
      </c>
      <c r="C305" s="69" t="s">
        <v>1622</v>
      </c>
      <c r="D305" s="74" t="s">
        <v>1590</v>
      </c>
      <c r="E305" s="70">
        <v>1</v>
      </c>
      <c r="F305" s="75"/>
      <c r="G305" s="70">
        <f>SUMIFS('Central CL (Department)'!$BO:$BO,'Central CL (Department)'!$A:$A,$A305)</f>
        <v>1</v>
      </c>
      <c r="H305" s="75"/>
      <c r="I305" s="70">
        <f>SUMIFS('Siam Discovery'!$C:$C,'Siam Discovery'!$A:$A,$A305)</f>
        <v>1</v>
      </c>
      <c r="J305" s="75"/>
      <c r="K305" s="70">
        <f>SUMIFS('Paradise Park'!$C:$C,'Paradise Park'!$A:$A,$A305)</f>
        <v>0</v>
      </c>
      <c r="L305" s="75"/>
      <c r="M305" s="70">
        <f>SUMIFS('Central LP'!$D:$D,'Central LP'!$B:$B,$A305)</f>
        <v>1</v>
      </c>
      <c r="N305" s="75"/>
      <c r="O305" s="71">
        <f t="shared" si="8"/>
        <v>4</v>
      </c>
      <c r="P305" s="71">
        <f t="shared" si="9"/>
        <v>0</v>
      </c>
    </row>
    <row r="306" spans="1:16">
      <c r="A306" s="69" t="s">
        <v>596</v>
      </c>
      <c r="B306" s="69" t="s">
        <v>1579</v>
      </c>
      <c r="C306" s="69" t="s">
        <v>1622</v>
      </c>
      <c r="D306" s="74" t="s">
        <v>1591</v>
      </c>
      <c r="E306" s="70">
        <f>SUMIFS('K Village'!$D:$D,'K Village'!$B:$B,$A306)</f>
        <v>2</v>
      </c>
      <c r="F306" s="75"/>
      <c r="G306" s="70">
        <f>SUMIFS('Central CL (Department)'!$BO:$BO,'Central CL (Department)'!$A:$A,$A306)</f>
        <v>0</v>
      </c>
      <c r="H306" s="75"/>
      <c r="I306" s="70">
        <f>SUMIFS('Siam Discovery'!$C:$C,'Siam Discovery'!$A:$A,$A306)</f>
        <v>0</v>
      </c>
      <c r="J306" s="75"/>
      <c r="K306" s="70">
        <f>SUMIFS('Paradise Park'!$C:$C,'Paradise Park'!$A:$A,$A306)</f>
        <v>0</v>
      </c>
      <c r="L306" s="75"/>
      <c r="M306" s="70">
        <f>SUMIFS('Central LP'!$D:$D,'Central LP'!$B:$B,$A306)</f>
        <v>2</v>
      </c>
      <c r="N306" s="75"/>
      <c r="O306" s="71">
        <f t="shared" si="8"/>
        <v>4</v>
      </c>
      <c r="P306" s="71">
        <f t="shared" si="9"/>
        <v>0</v>
      </c>
    </row>
    <row r="307" spans="1:16">
      <c r="A307" s="69" t="s">
        <v>602</v>
      </c>
      <c r="B307" s="69" t="s">
        <v>1579</v>
      </c>
      <c r="C307" s="69" t="s">
        <v>1622</v>
      </c>
      <c r="D307" s="74" t="s">
        <v>1592</v>
      </c>
      <c r="E307" s="70">
        <f>SUMIFS('K Village'!$D:$D,'K Village'!$B:$B,$A307)</f>
        <v>3</v>
      </c>
      <c r="F307" s="75"/>
      <c r="G307" s="70">
        <f>SUMIFS('Central CL (Department)'!$BO:$BO,'Central CL (Department)'!$A:$A,$A307)</f>
        <v>1</v>
      </c>
      <c r="H307" s="75"/>
      <c r="I307" s="70">
        <f>SUMIFS('Siam Discovery'!$C:$C,'Siam Discovery'!$A:$A,$A307)</f>
        <v>1</v>
      </c>
      <c r="J307" s="75"/>
      <c r="K307" s="70">
        <f>SUMIFS('Paradise Park'!$C:$C,'Paradise Park'!$A:$A,$A307)</f>
        <v>0</v>
      </c>
      <c r="L307" s="75"/>
      <c r="M307" s="70">
        <f>SUMIFS('Central LP'!$D:$D,'Central LP'!$B:$B,$A307)</f>
        <v>1</v>
      </c>
      <c r="N307" s="75"/>
      <c r="O307" s="71">
        <f t="shared" si="8"/>
        <v>6</v>
      </c>
      <c r="P307" s="71">
        <f t="shared" si="9"/>
        <v>0</v>
      </c>
    </row>
    <row r="308" spans="1:16">
      <c r="A308" s="69" t="s">
        <v>606</v>
      </c>
      <c r="B308" s="69" t="s">
        <v>1579</v>
      </c>
      <c r="C308" s="69" t="s">
        <v>1622</v>
      </c>
      <c r="D308" s="74" t="s">
        <v>1593</v>
      </c>
      <c r="E308" s="70">
        <f>SUMIFS('K Village'!$D:$D,'K Village'!$B:$B,$A308)</f>
        <v>1</v>
      </c>
      <c r="F308" s="75"/>
      <c r="G308" s="70">
        <f>SUMIFS('Central CL (Department)'!$BO:$BO,'Central CL (Department)'!$A:$A,$A308)</f>
        <v>1</v>
      </c>
      <c r="H308" s="75"/>
      <c r="I308" s="70">
        <f>SUMIFS('Siam Discovery'!$C:$C,'Siam Discovery'!$A:$A,$A308)</f>
        <v>0</v>
      </c>
      <c r="J308" s="75"/>
      <c r="K308" s="70">
        <f>SUMIFS('Paradise Park'!$C:$C,'Paradise Park'!$A:$A,$A308)</f>
        <v>1</v>
      </c>
      <c r="L308" s="75"/>
      <c r="M308" s="70">
        <f>SUMIFS('Central LP'!$D:$D,'Central LP'!$B:$B,$A308)</f>
        <v>1</v>
      </c>
      <c r="N308" s="75"/>
      <c r="O308" s="71">
        <f t="shared" si="8"/>
        <v>4</v>
      </c>
      <c r="P308" s="71">
        <f t="shared" si="9"/>
        <v>0</v>
      </c>
    </row>
    <row r="309" spans="1:16">
      <c r="A309" s="69" t="s">
        <v>1561</v>
      </c>
      <c r="B309" s="69" t="s">
        <v>1579</v>
      </c>
      <c r="C309" s="69" t="s">
        <v>1622</v>
      </c>
      <c r="D309" s="74" t="s">
        <v>1594</v>
      </c>
      <c r="E309" s="70">
        <f>SUMIFS('K Village'!$D:$D,'K Village'!$B:$B,$A309)</f>
        <v>0</v>
      </c>
      <c r="F309" s="75"/>
      <c r="G309" s="70">
        <f>SUMIFS('Central CL (Department)'!$BO:$BO,'Central CL (Department)'!$A:$A,$A309)</f>
        <v>0</v>
      </c>
      <c r="H309" s="75"/>
      <c r="I309" s="70">
        <f>SUMIFS('Siam Discovery'!$C:$C,'Siam Discovery'!$A:$A,$A309)</f>
        <v>0</v>
      </c>
      <c r="J309" s="75"/>
      <c r="K309" s="70">
        <f>SUMIFS('Paradise Park'!$C:$C,'Paradise Park'!$A:$A,$A309)</f>
        <v>0</v>
      </c>
      <c r="L309" s="75"/>
      <c r="M309" s="70">
        <f>SUMIFS('Central LP'!$D:$D,'Central LP'!$B:$B,$A309)</f>
        <v>1</v>
      </c>
      <c r="N309" s="75"/>
      <c r="O309" s="71">
        <f t="shared" si="8"/>
        <v>1</v>
      </c>
      <c r="P309" s="71">
        <f t="shared" si="9"/>
        <v>0</v>
      </c>
    </row>
    <row r="310" spans="1:16">
      <c r="A310" s="69" t="s">
        <v>292</v>
      </c>
      <c r="B310" s="69" t="s">
        <v>1579</v>
      </c>
      <c r="C310" s="69" t="s">
        <v>1622</v>
      </c>
      <c r="D310" s="74" t="s">
        <v>1595</v>
      </c>
      <c r="E310" s="70">
        <f>SUMIFS('K Village'!$D:$D,'K Village'!$B:$B,$A310)</f>
        <v>1</v>
      </c>
      <c r="F310" s="75"/>
      <c r="G310" s="70">
        <f>SUMIFS('Central CL (Department)'!$BO:$BO,'Central CL (Department)'!$A:$A,$A310)</f>
        <v>0</v>
      </c>
      <c r="H310" s="75"/>
      <c r="I310" s="70">
        <f>SUMIFS('Siam Discovery'!$C:$C,'Siam Discovery'!$A:$A,$A310)</f>
        <v>1</v>
      </c>
      <c r="J310" s="75"/>
      <c r="K310" s="70">
        <f>SUMIFS('Paradise Park'!$C:$C,'Paradise Park'!$A:$A,$A310)</f>
        <v>1</v>
      </c>
      <c r="L310" s="75"/>
      <c r="M310" s="70">
        <f>SUMIFS('Central LP'!$D:$D,'Central LP'!$B:$B,$A310)</f>
        <v>1</v>
      </c>
      <c r="N310" s="75"/>
      <c r="O310" s="71">
        <f t="shared" si="8"/>
        <v>4</v>
      </c>
      <c r="P310" s="71">
        <f t="shared" si="9"/>
        <v>0</v>
      </c>
    </row>
    <row r="311" spans="1:16">
      <c r="A311" s="69" t="s">
        <v>608</v>
      </c>
      <c r="B311" s="69" t="s">
        <v>1579</v>
      </c>
      <c r="C311" s="69" t="s">
        <v>1622</v>
      </c>
      <c r="D311" s="74" t="s">
        <v>1598</v>
      </c>
      <c r="E311" s="70">
        <f>SUMIFS('K Village'!$D:$D,'K Village'!$B:$B,$A311)</f>
        <v>1</v>
      </c>
      <c r="F311" s="75"/>
      <c r="G311" s="70">
        <f>SUMIFS('Central CL (Department)'!$BO:$BO,'Central CL (Department)'!$A:$A,$A311)</f>
        <v>1</v>
      </c>
      <c r="H311" s="75"/>
      <c r="I311" s="70">
        <f>SUMIFS('Siam Discovery'!$C:$C,'Siam Discovery'!$A:$A,$A311)</f>
        <v>1</v>
      </c>
      <c r="J311" s="75"/>
      <c r="K311" s="70">
        <f>SUMIFS('Paradise Park'!$C:$C,'Paradise Park'!$A:$A,$A311)</f>
        <v>1</v>
      </c>
      <c r="L311" s="75"/>
      <c r="M311" s="70">
        <f>SUMIFS('Central LP'!$D:$D,'Central LP'!$B:$B,$A311)</f>
        <v>2</v>
      </c>
      <c r="N311" s="75"/>
      <c r="O311" s="71">
        <f t="shared" si="8"/>
        <v>6</v>
      </c>
      <c r="P311" s="71">
        <f t="shared" si="9"/>
        <v>0</v>
      </c>
    </row>
    <row r="312" spans="1:16">
      <c r="A312" s="69" t="s">
        <v>610</v>
      </c>
      <c r="B312" s="69" t="s">
        <v>1579</v>
      </c>
      <c r="C312" s="69" t="s">
        <v>1622</v>
      </c>
      <c r="D312" s="74" t="s">
        <v>1599</v>
      </c>
      <c r="E312" s="70">
        <f>SUMIFS('K Village'!$D:$D,'K Village'!$B:$B,$A312)</f>
        <v>2</v>
      </c>
      <c r="F312" s="75"/>
      <c r="G312" s="70">
        <f>SUMIFS('Central CL (Department)'!$BO:$BO,'Central CL (Department)'!$A:$A,$A312)</f>
        <v>2</v>
      </c>
      <c r="H312" s="75"/>
      <c r="I312" s="70">
        <f>SUMIFS('Siam Discovery'!$C:$C,'Siam Discovery'!$A:$A,$A312)</f>
        <v>1</v>
      </c>
      <c r="J312" s="75"/>
      <c r="K312" s="70">
        <f>SUMIFS('Paradise Park'!$C:$C,'Paradise Park'!$A:$A,$A312)</f>
        <v>1</v>
      </c>
      <c r="L312" s="75"/>
      <c r="M312" s="70">
        <f>SUMIFS('Central LP'!$D:$D,'Central LP'!$B:$B,$A312)</f>
        <v>3</v>
      </c>
      <c r="N312" s="75"/>
      <c r="O312" s="71">
        <f t="shared" si="8"/>
        <v>9</v>
      </c>
      <c r="P312" s="71">
        <f t="shared" si="9"/>
        <v>0</v>
      </c>
    </row>
    <row r="313" spans="1:16">
      <c r="A313" s="69" t="s">
        <v>612</v>
      </c>
      <c r="B313" s="69" t="s">
        <v>1579</v>
      </c>
      <c r="C313" s="69" t="s">
        <v>1622</v>
      </c>
      <c r="D313" s="74" t="s">
        <v>1600</v>
      </c>
      <c r="E313" s="70">
        <f>SUMIFS('K Village'!$D:$D,'K Village'!$B:$B,$A313)</f>
        <v>2</v>
      </c>
      <c r="F313" s="75"/>
      <c r="G313" s="70">
        <f>SUMIFS('Central CL (Department)'!$BO:$BO,'Central CL (Department)'!$A:$A,$A313)</f>
        <v>0</v>
      </c>
      <c r="H313" s="75"/>
      <c r="I313" s="70">
        <f>SUMIFS('Siam Discovery'!$C:$C,'Siam Discovery'!$A:$A,$A313)</f>
        <v>1</v>
      </c>
      <c r="J313" s="75"/>
      <c r="K313" s="70">
        <f>SUMIFS('Paradise Park'!$C:$C,'Paradise Park'!$A:$A,$A313)</f>
        <v>1</v>
      </c>
      <c r="L313" s="75"/>
      <c r="M313" s="70">
        <f>SUMIFS('Central LP'!$D:$D,'Central LP'!$B:$B,$A313)</f>
        <v>1</v>
      </c>
      <c r="N313" s="75"/>
      <c r="O313" s="71">
        <f t="shared" si="8"/>
        <v>5</v>
      </c>
      <c r="P313" s="71">
        <f t="shared" si="9"/>
        <v>0</v>
      </c>
    </row>
    <row r="314" spans="1:16">
      <c r="A314" s="69" t="s">
        <v>614</v>
      </c>
      <c r="B314" s="69" t="s">
        <v>1579</v>
      </c>
      <c r="C314" s="69" t="s">
        <v>1622</v>
      </c>
      <c r="D314" s="74" t="s">
        <v>1601</v>
      </c>
      <c r="E314" s="70">
        <f>SUMIFS('K Village'!$D:$D,'K Village'!$B:$B,$A314)</f>
        <v>2</v>
      </c>
      <c r="F314" s="75"/>
      <c r="G314" s="70">
        <f>SUMIFS('Central CL (Department)'!$BO:$BO,'Central CL (Department)'!$A:$A,$A314)</f>
        <v>1</v>
      </c>
      <c r="H314" s="75"/>
      <c r="I314" s="70">
        <f>SUMIFS('Siam Discovery'!$C:$C,'Siam Discovery'!$A:$A,$A314)</f>
        <v>0</v>
      </c>
      <c r="J314" s="75"/>
      <c r="K314" s="70">
        <f>SUMIFS('Paradise Park'!$C:$C,'Paradise Park'!$A:$A,$A314)</f>
        <v>0</v>
      </c>
      <c r="L314" s="75"/>
      <c r="M314" s="70">
        <f>SUMIFS('Central LP'!$D:$D,'Central LP'!$B:$B,$A314)</f>
        <v>1</v>
      </c>
      <c r="N314" s="75"/>
      <c r="O314" s="71">
        <f t="shared" si="8"/>
        <v>4</v>
      </c>
      <c r="P314" s="71">
        <f t="shared" si="9"/>
        <v>0</v>
      </c>
    </row>
    <row r="315" spans="1:16">
      <c r="A315" s="69" t="s">
        <v>616</v>
      </c>
      <c r="B315" s="69" t="s">
        <v>1579</v>
      </c>
      <c r="C315" s="69" t="s">
        <v>1622</v>
      </c>
      <c r="D315" s="74" t="s">
        <v>1602</v>
      </c>
      <c r="E315" s="70">
        <f>SUMIFS('K Village'!$D:$D,'K Village'!$B:$B,$A315)</f>
        <v>1</v>
      </c>
      <c r="F315" s="75"/>
      <c r="G315" s="70">
        <f>SUMIFS('Central CL (Department)'!$BO:$BO,'Central CL (Department)'!$A:$A,$A315)</f>
        <v>0</v>
      </c>
      <c r="H315" s="75"/>
      <c r="I315" s="70">
        <f>SUMIFS('Siam Discovery'!$C:$C,'Siam Discovery'!$A:$A,$A315)</f>
        <v>2</v>
      </c>
      <c r="J315" s="75"/>
      <c r="K315" s="70">
        <f>SUMIFS('Paradise Park'!$C:$C,'Paradise Park'!$A:$A,$A315)</f>
        <v>0</v>
      </c>
      <c r="L315" s="75"/>
      <c r="M315" s="70">
        <f>SUMIFS('Central LP'!$D:$D,'Central LP'!$B:$B,$A315)</f>
        <v>1</v>
      </c>
      <c r="N315" s="75"/>
      <c r="O315" s="71">
        <f t="shared" si="8"/>
        <v>4</v>
      </c>
      <c r="P315" s="71">
        <f t="shared" si="9"/>
        <v>0</v>
      </c>
    </row>
    <row r="316" spans="1:16">
      <c r="A316" s="69" t="s">
        <v>622</v>
      </c>
      <c r="B316" s="69" t="s">
        <v>1579</v>
      </c>
      <c r="C316" s="69" t="s">
        <v>1622</v>
      </c>
      <c r="D316" s="74" t="s">
        <v>1603</v>
      </c>
      <c r="E316" s="70">
        <f>SUMIFS('K Village'!$D:$D,'K Village'!$B:$B,$A316)</f>
        <v>1</v>
      </c>
      <c r="F316" s="75"/>
      <c r="G316" s="70">
        <f>SUMIFS('Central CL (Department)'!$BO:$BO,'Central CL (Department)'!$A:$A,$A316)</f>
        <v>1</v>
      </c>
      <c r="H316" s="75"/>
      <c r="I316" s="70">
        <f>SUMIFS('Siam Discovery'!$C:$C,'Siam Discovery'!$A:$A,$A316)</f>
        <v>0</v>
      </c>
      <c r="J316" s="75"/>
      <c r="K316" s="70">
        <f>SUMIFS('Paradise Park'!$C:$C,'Paradise Park'!$A:$A,$A316)</f>
        <v>1</v>
      </c>
      <c r="L316" s="75"/>
      <c r="M316" s="70">
        <f>SUMIFS('Central LP'!$D:$D,'Central LP'!$B:$B,$A316)</f>
        <v>1</v>
      </c>
      <c r="N316" s="75"/>
      <c r="O316" s="71">
        <f t="shared" si="8"/>
        <v>4</v>
      </c>
      <c r="P316" s="71">
        <f t="shared" si="9"/>
        <v>0</v>
      </c>
    </row>
    <row r="317" spans="1:16">
      <c r="A317" s="69" t="s">
        <v>1529</v>
      </c>
      <c r="B317" s="69" t="s">
        <v>1579</v>
      </c>
      <c r="C317" s="69" t="s">
        <v>1638</v>
      </c>
      <c r="D317" s="74" t="s">
        <v>1588</v>
      </c>
      <c r="E317" s="70">
        <f>SUMIFS('K Village'!$D:$D,'K Village'!$B:$B,$A317)</f>
        <v>1</v>
      </c>
      <c r="F317" s="75"/>
      <c r="G317" s="70">
        <f>SUMIFS('Central CL (Department)'!$BO:$BO,'Central CL (Department)'!$A:$A,$A317)</f>
        <v>0</v>
      </c>
      <c r="H317" s="75"/>
      <c r="I317" s="70">
        <f>SUMIFS('Siam Discovery'!$C:$C,'Siam Discovery'!$A:$A,$A317)</f>
        <v>0</v>
      </c>
      <c r="J317" s="75"/>
      <c r="K317" s="70">
        <f>SUMIFS('Paradise Park'!$C:$C,'Paradise Park'!$A:$A,$A317)</f>
        <v>0</v>
      </c>
      <c r="L317" s="75"/>
      <c r="M317" s="70">
        <f>SUMIFS('Central LP'!$D:$D,'Central LP'!$B:$B,$A317)</f>
        <v>2</v>
      </c>
      <c r="N317" s="75"/>
      <c r="O317" s="71">
        <f t="shared" si="8"/>
        <v>3</v>
      </c>
      <c r="P317" s="71">
        <f t="shared" si="9"/>
        <v>0</v>
      </c>
    </row>
    <row r="318" spans="1:16">
      <c r="A318" s="69" t="s">
        <v>628</v>
      </c>
      <c r="B318" s="69" t="s">
        <v>1579</v>
      </c>
      <c r="C318" s="69" t="s">
        <v>1638</v>
      </c>
      <c r="D318" s="74" t="s">
        <v>1589</v>
      </c>
      <c r="E318" s="70">
        <f>SUMIFS('K Village'!$D:$D,'K Village'!$B:$B,$A318)</f>
        <v>1</v>
      </c>
      <c r="F318" s="75"/>
      <c r="G318" s="70">
        <f>SUMIFS('Central CL (Department)'!$BO:$BO,'Central CL (Department)'!$A:$A,$A318)</f>
        <v>1</v>
      </c>
      <c r="H318" s="75"/>
      <c r="I318" s="70">
        <f>SUMIFS('Siam Discovery'!$C:$C,'Siam Discovery'!$A:$A,$A318)</f>
        <v>0</v>
      </c>
      <c r="J318" s="75"/>
      <c r="K318" s="70">
        <f>SUMIFS('Paradise Park'!$C:$C,'Paradise Park'!$A:$A,$A318)</f>
        <v>0</v>
      </c>
      <c r="L318" s="75"/>
      <c r="M318" s="70">
        <f>SUMIFS('Central LP'!$D:$D,'Central LP'!$B:$B,$A318)</f>
        <v>1</v>
      </c>
      <c r="N318" s="75"/>
      <c r="O318" s="71">
        <f t="shared" si="8"/>
        <v>3</v>
      </c>
      <c r="P318" s="71">
        <f t="shared" si="9"/>
        <v>0</v>
      </c>
    </row>
    <row r="319" spans="1:16">
      <c r="A319" s="69" t="s">
        <v>630</v>
      </c>
      <c r="B319" s="69" t="s">
        <v>1579</v>
      </c>
      <c r="C319" s="69" t="s">
        <v>1638</v>
      </c>
      <c r="D319" s="74" t="s">
        <v>1590</v>
      </c>
      <c r="E319" s="70">
        <f>SUMIFS('K Village'!$D:$D,'K Village'!$B:$B,$A319)</f>
        <v>0</v>
      </c>
      <c r="F319" s="75"/>
      <c r="G319" s="70">
        <f>SUMIFS('Central CL (Department)'!$BO:$BO,'Central CL (Department)'!$A:$A,$A319)</f>
        <v>2</v>
      </c>
      <c r="H319" s="75"/>
      <c r="I319" s="70">
        <f>SUMIFS('Siam Discovery'!$C:$C,'Siam Discovery'!$A:$A,$A319)</f>
        <v>1</v>
      </c>
      <c r="J319" s="75"/>
      <c r="K319" s="70">
        <f>SUMIFS('Paradise Park'!$C:$C,'Paradise Park'!$A:$A,$A319)</f>
        <v>0</v>
      </c>
      <c r="L319" s="75"/>
      <c r="M319" s="70">
        <f>SUMIFS('Central LP'!$D:$D,'Central LP'!$B:$B,$A319)</f>
        <v>1</v>
      </c>
      <c r="N319" s="75"/>
      <c r="O319" s="71">
        <f t="shared" si="8"/>
        <v>4</v>
      </c>
      <c r="P319" s="71">
        <f t="shared" si="9"/>
        <v>0</v>
      </c>
    </row>
    <row r="320" spans="1:16">
      <c r="A320" s="69" t="s">
        <v>632</v>
      </c>
      <c r="B320" s="69" t="s">
        <v>1579</v>
      </c>
      <c r="C320" s="69" t="s">
        <v>1638</v>
      </c>
      <c r="D320" s="74" t="s">
        <v>1591</v>
      </c>
      <c r="E320" s="70">
        <f>SUMIFS('K Village'!$D:$D,'K Village'!$B:$B,$A320)</f>
        <v>2</v>
      </c>
      <c r="F320" s="75"/>
      <c r="G320" s="70">
        <f>SUMIFS('Central CL (Department)'!$BO:$BO,'Central CL (Department)'!$A:$A,$A320)</f>
        <v>0</v>
      </c>
      <c r="H320" s="75"/>
      <c r="I320" s="70">
        <f>SUMIFS('Siam Discovery'!$C:$C,'Siam Discovery'!$A:$A,$A320)</f>
        <v>1</v>
      </c>
      <c r="J320" s="75"/>
      <c r="K320" s="70">
        <f>SUMIFS('Paradise Park'!$C:$C,'Paradise Park'!$A:$A,$A320)</f>
        <v>0</v>
      </c>
      <c r="L320" s="75"/>
      <c r="M320" s="70">
        <f>SUMIFS('Central LP'!$D:$D,'Central LP'!$B:$B,$A320)</f>
        <v>1</v>
      </c>
      <c r="N320" s="75"/>
      <c r="O320" s="71">
        <f t="shared" si="8"/>
        <v>4</v>
      </c>
      <c r="P320" s="71">
        <f t="shared" si="9"/>
        <v>0</v>
      </c>
    </row>
    <row r="321" spans="1:16">
      <c r="A321" s="69" t="s">
        <v>634</v>
      </c>
      <c r="B321" s="69" t="s">
        <v>1579</v>
      </c>
      <c r="C321" s="69" t="s">
        <v>1638</v>
      </c>
      <c r="D321" s="74" t="s">
        <v>1592</v>
      </c>
      <c r="E321" s="70">
        <f>SUMIFS('K Village'!$D:$D,'K Village'!$B:$B,$A321)</f>
        <v>2</v>
      </c>
      <c r="F321" s="75"/>
      <c r="G321" s="70">
        <f>SUMIFS('Central CL (Department)'!$BO:$BO,'Central CL (Department)'!$A:$A,$A321)</f>
        <v>1</v>
      </c>
      <c r="H321" s="75"/>
      <c r="I321" s="70">
        <f>SUMIFS('Siam Discovery'!$C:$C,'Siam Discovery'!$A:$A,$A321)</f>
        <v>1</v>
      </c>
      <c r="J321" s="75"/>
      <c r="K321" s="70">
        <f>SUMIFS('Paradise Park'!$C:$C,'Paradise Park'!$A:$A,$A321)</f>
        <v>0</v>
      </c>
      <c r="L321" s="75"/>
      <c r="M321" s="70">
        <f>SUMIFS('Central LP'!$D:$D,'Central LP'!$B:$B,$A321)</f>
        <v>1</v>
      </c>
      <c r="N321" s="75"/>
      <c r="O321" s="71">
        <f t="shared" si="8"/>
        <v>5</v>
      </c>
      <c r="P321" s="71">
        <f t="shared" si="9"/>
        <v>0</v>
      </c>
    </row>
    <row r="322" spans="1:16">
      <c r="A322" s="69" t="s">
        <v>636</v>
      </c>
      <c r="B322" s="69" t="s">
        <v>1579</v>
      </c>
      <c r="C322" s="69" t="s">
        <v>1638</v>
      </c>
      <c r="D322" s="74" t="s">
        <v>1593</v>
      </c>
      <c r="E322" s="70">
        <f>SUMIFS('K Village'!$D:$D,'K Village'!$B:$B,$A322)</f>
        <v>2</v>
      </c>
      <c r="F322" s="75"/>
      <c r="G322" s="70">
        <f>SUMIFS('Central CL (Department)'!$BO:$BO,'Central CL (Department)'!$A:$A,$A322)</f>
        <v>2</v>
      </c>
      <c r="H322" s="75"/>
      <c r="I322" s="70">
        <f>SUMIFS('Siam Discovery'!$C:$C,'Siam Discovery'!$A:$A,$A322)</f>
        <v>1</v>
      </c>
      <c r="J322" s="75"/>
      <c r="K322" s="70">
        <f>SUMIFS('Paradise Park'!$C:$C,'Paradise Park'!$A:$A,$A322)</f>
        <v>0</v>
      </c>
      <c r="L322" s="75"/>
      <c r="M322" s="70">
        <f>SUMIFS('Central LP'!$D:$D,'Central LP'!$B:$B,$A322)</f>
        <v>0</v>
      </c>
      <c r="N322" s="75"/>
      <c r="O322" s="71">
        <f t="shared" si="8"/>
        <v>5</v>
      </c>
      <c r="P322" s="71">
        <f t="shared" si="9"/>
        <v>0</v>
      </c>
    </row>
    <row r="323" spans="1:16">
      <c r="A323" s="69" t="s">
        <v>638</v>
      </c>
      <c r="B323" s="69" t="s">
        <v>1579</v>
      </c>
      <c r="C323" s="69" t="s">
        <v>1638</v>
      </c>
      <c r="D323" s="74" t="s">
        <v>1594</v>
      </c>
      <c r="E323" s="70">
        <f>SUMIFS('K Village'!$D:$D,'K Village'!$B:$B,$A323)</f>
        <v>2</v>
      </c>
      <c r="F323" s="75"/>
      <c r="G323" s="70">
        <f>SUMIFS('Central CL (Department)'!$BO:$BO,'Central CL (Department)'!$A:$A,$A323)</f>
        <v>2</v>
      </c>
      <c r="H323" s="75"/>
      <c r="I323" s="70">
        <f>SUMIFS('Siam Discovery'!$C:$C,'Siam Discovery'!$A:$A,$A323)</f>
        <v>1</v>
      </c>
      <c r="J323" s="75"/>
      <c r="K323" s="70">
        <f>SUMIFS('Paradise Park'!$C:$C,'Paradise Park'!$A:$A,$A323)</f>
        <v>0</v>
      </c>
      <c r="L323" s="75"/>
      <c r="M323" s="70">
        <f>SUMIFS('Central LP'!$D:$D,'Central LP'!$B:$B,$A323)</f>
        <v>0</v>
      </c>
      <c r="N323" s="75"/>
      <c r="O323" s="71">
        <f t="shared" si="8"/>
        <v>5</v>
      </c>
      <c r="P323" s="71">
        <f t="shared" si="9"/>
        <v>0</v>
      </c>
    </row>
    <row r="324" spans="1:16">
      <c r="A324" s="69" t="s">
        <v>1530</v>
      </c>
      <c r="B324" s="69" t="s">
        <v>1579</v>
      </c>
      <c r="C324" s="69" t="s">
        <v>1638</v>
      </c>
      <c r="D324" s="74" t="s">
        <v>1595</v>
      </c>
      <c r="E324" s="70">
        <f>SUMIFS('K Village'!$D:$D,'K Village'!$B:$B,$A324)</f>
        <v>1</v>
      </c>
      <c r="F324" s="75"/>
      <c r="G324" s="70">
        <f>SUMIFS('Central CL (Department)'!$BO:$BO,'Central CL (Department)'!$A:$A,$A324)</f>
        <v>0</v>
      </c>
      <c r="H324" s="75"/>
      <c r="I324" s="70">
        <f>SUMIFS('Siam Discovery'!$C:$C,'Siam Discovery'!$A:$A,$A324)</f>
        <v>0</v>
      </c>
      <c r="J324" s="75"/>
      <c r="K324" s="70">
        <f>SUMIFS('Paradise Park'!$C:$C,'Paradise Park'!$A:$A,$A324)</f>
        <v>0</v>
      </c>
      <c r="L324" s="75"/>
      <c r="M324" s="70">
        <f>SUMIFS('Central LP'!$D:$D,'Central LP'!$B:$B,$A324)</f>
        <v>0</v>
      </c>
      <c r="N324" s="75"/>
      <c r="O324" s="71">
        <f t="shared" si="8"/>
        <v>1</v>
      </c>
      <c r="P324" s="71">
        <f t="shared" si="9"/>
        <v>0</v>
      </c>
    </row>
    <row r="325" spans="1:16">
      <c r="A325" s="69" t="s">
        <v>640</v>
      </c>
      <c r="B325" s="69" t="s">
        <v>1579</v>
      </c>
      <c r="C325" s="69" t="s">
        <v>1638</v>
      </c>
      <c r="D325" s="74" t="s">
        <v>1598</v>
      </c>
      <c r="E325" s="70">
        <f>SUMIFS('K Village'!$D:$D,'K Village'!$B:$B,$A325)</f>
        <v>0</v>
      </c>
      <c r="F325" s="75"/>
      <c r="G325" s="70">
        <f>SUMIFS('Central CL (Department)'!$BO:$BO,'Central CL (Department)'!$A:$A,$A325)</f>
        <v>0</v>
      </c>
      <c r="H325" s="75"/>
      <c r="I325" s="70">
        <f>SUMIFS('Siam Discovery'!$C:$C,'Siam Discovery'!$A:$A,$A325)</f>
        <v>0</v>
      </c>
      <c r="J325" s="75"/>
      <c r="K325" s="70">
        <f>SUMIFS('Paradise Park'!$C:$C,'Paradise Park'!$A:$A,$A325)</f>
        <v>0</v>
      </c>
      <c r="L325" s="75"/>
      <c r="M325" s="70">
        <f>SUMIFS('Central LP'!$D:$D,'Central LP'!$B:$B,$A325)</f>
        <v>0</v>
      </c>
      <c r="N325" s="75"/>
      <c r="O325" s="71">
        <f t="shared" si="8"/>
        <v>0</v>
      </c>
      <c r="P325" s="71">
        <f t="shared" si="9"/>
        <v>0</v>
      </c>
    </row>
    <row r="326" spans="1:16">
      <c r="A326" s="69" t="s">
        <v>642</v>
      </c>
      <c r="B326" s="69" t="s">
        <v>1579</v>
      </c>
      <c r="C326" s="69" t="s">
        <v>1638</v>
      </c>
      <c r="D326" s="74" t="s">
        <v>1599</v>
      </c>
      <c r="E326" s="70">
        <f>SUMIFS('K Village'!$D:$D,'K Village'!$B:$B,$A326)</f>
        <v>0</v>
      </c>
      <c r="F326" s="75"/>
      <c r="G326" s="70">
        <f>SUMIFS('Central CL (Department)'!$BO:$BO,'Central CL (Department)'!$A:$A,$A326)</f>
        <v>0</v>
      </c>
      <c r="H326" s="75"/>
      <c r="I326" s="70">
        <f>SUMIFS('Siam Discovery'!$C:$C,'Siam Discovery'!$A:$A,$A326)</f>
        <v>0</v>
      </c>
      <c r="J326" s="75"/>
      <c r="K326" s="70">
        <f>SUMIFS('Paradise Park'!$C:$C,'Paradise Park'!$A:$A,$A326)</f>
        <v>0</v>
      </c>
      <c r="L326" s="75"/>
      <c r="M326" s="70">
        <f>SUMIFS('Central LP'!$D:$D,'Central LP'!$B:$B,$A326)</f>
        <v>0</v>
      </c>
      <c r="N326" s="75"/>
      <c r="O326" s="71">
        <f t="shared" ref="O326:O389" si="10">E326+G326+I326+K326+M326</f>
        <v>0</v>
      </c>
      <c r="P326" s="71">
        <f t="shared" ref="P326:P389" si="11">F326+H326+J326+L326+N326</f>
        <v>0</v>
      </c>
    </row>
    <row r="327" spans="1:16">
      <c r="A327" s="69" t="s">
        <v>644</v>
      </c>
      <c r="B327" s="69" t="s">
        <v>1579</v>
      </c>
      <c r="C327" s="69" t="s">
        <v>1638</v>
      </c>
      <c r="D327" s="74" t="s">
        <v>1600</v>
      </c>
      <c r="E327" s="70">
        <f>SUMIFS('K Village'!$D:$D,'K Village'!$B:$B,$A327)</f>
        <v>0</v>
      </c>
      <c r="F327" s="75"/>
      <c r="G327" s="70">
        <f>SUMIFS('Central CL (Department)'!$BO:$BO,'Central CL (Department)'!$A:$A,$A327)</f>
        <v>3</v>
      </c>
      <c r="H327" s="75"/>
      <c r="I327" s="70">
        <f>SUMIFS('Siam Discovery'!$C:$C,'Siam Discovery'!$A:$A,$A327)</f>
        <v>0</v>
      </c>
      <c r="J327" s="75"/>
      <c r="K327" s="70">
        <f>SUMIFS('Paradise Park'!$C:$C,'Paradise Park'!$A:$A,$A327)</f>
        <v>0</v>
      </c>
      <c r="L327" s="75"/>
      <c r="M327" s="70">
        <f>SUMIFS('Central LP'!$D:$D,'Central LP'!$B:$B,$A327)</f>
        <v>0</v>
      </c>
      <c r="N327" s="75"/>
      <c r="O327" s="71">
        <f t="shared" si="10"/>
        <v>3</v>
      </c>
      <c r="P327" s="71">
        <f t="shared" si="11"/>
        <v>0</v>
      </c>
    </row>
    <row r="328" spans="1:16">
      <c r="A328" s="69" t="s">
        <v>646</v>
      </c>
      <c r="B328" s="69" t="s">
        <v>1579</v>
      </c>
      <c r="C328" s="69" t="s">
        <v>1638</v>
      </c>
      <c r="D328" s="74" t="s">
        <v>1601</v>
      </c>
      <c r="E328" s="70">
        <f>SUMIFS('K Village'!$D:$D,'K Village'!$B:$B,$A328)</f>
        <v>0</v>
      </c>
      <c r="F328" s="75"/>
      <c r="G328" s="70">
        <f>SUMIFS('Central CL (Department)'!$BO:$BO,'Central CL (Department)'!$A:$A,$A328)</f>
        <v>1</v>
      </c>
      <c r="H328" s="75"/>
      <c r="I328" s="70">
        <f>SUMIFS('Siam Discovery'!$C:$C,'Siam Discovery'!$A:$A,$A328)</f>
        <v>0</v>
      </c>
      <c r="J328" s="75"/>
      <c r="K328" s="70">
        <f>SUMIFS('Paradise Park'!$C:$C,'Paradise Park'!$A:$A,$A328)</f>
        <v>0</v>
      </c>
      <c r="L328" s="75"/>
      <c r="M328" s="70">
        <f>SUMIFS('Central LP'!$D:$D,'Central LP'!$B:$B,$A328)</f>
        <v>0</v>
      </c>
      <c r="N328" s="75"/>
      <c r="O328" s="71">
        <f t="shared" si="10"/>
        <v>1</v>
      </c>
      <c r="P328" s="71">
        <f t="shared" si="11"/>
        <v>0</v>
      </c>
    </row>
    <row r="329" spans="1:16">
      <c r="A329" s="69" t="s">
        <v>648</v>
      </c>
      <c r="B329" s="69" t="s">
        <v>1579</v>
      </c>
      <c r="C329" s="69" t="s">
        <v>1638</v>
      </c>
      <c r="D329" s="74" t="s">
        <v>1602</v>
      </c>
      <c r="E329" s="70">
        <f>SUMIFS('K Village'!$D:$D,'K Village'!$B:$B,$A329)</f>
        <v>0</v>
      </c>
      <c r="F329" s="75"/>
      <c r="G329" s="70">
        <f>SUMIFS('Central CL (Department)'!$BO:$BO,'Central CL (Department)'!$A:$A,$A329)</f>
        <v>1</v>
      </c>
      <c r="H329" s="75"/>
      <c r="I329" s="70">
        <f>SUMIFS('Siam Discovery'!$C:$C,'Siam Discovery'!$A:$A,$A329)</f>
        <v>0</v>
      </c>
      <c r="J329" s="75"/>
      <c r="K329" s="70">
        <f>SUMIFS('Paradise Park'!$C:$C,'Paradise Park'!$A:$A,$A329)</f>
        <v>0</v>
      </c>
      <c r="L329" s="75"/>
      <c r="M329" s="70">
        <f>SUMIFS('Central LP'!$D:$D,'Central LP'!$B:$B,$A329)</f>
        <v>0</v>
      </c>
      <c r="N329" s="75"/>
      <c r="O329" s="71">
        <f t="shared" si="10"/>
        <v>1</v>
      </c>
      <c r="P329" s="71">
        <f t="shared" si="11"/>
        <v>0</v>
      </c>
    </row>
    <row r="330" spans="1:16">
      <c r="A330" s="69" t="s">
        <v>650</v>
      </c>
      <c r="B330" s="69" t="s">
        <v>1579</v>
      </c>
      <c r="C330" s="69" t="s">
        <v>1638</v>
      </c>
      <c r="D330" s="74" t="s">
        <v>1603</v>
      </c>
      <c r="E330" s="70">
        <f>SUMIFS('K Village'!$D:$D,'K Village'!$B:$B,$A330)</f>
        <v>0</v>
      </c>
      <c r="F330" s="75"/>
      <c r="G330" s="70">
        <f>SUMIFS('Central CL (Department)'!$BO:$BO,'Central CL (Department)'!$A:$A,$A330)</f>
        <v>0</v>
      </c>
      <c r="H330" s="75"/>
      <c r="I330" s="70">
        <f>SUMIFS('Siam Discovery'!$C:$C,'Siam Discovery'!$A:$A,$A330)</f>
        <v>0</v>
      </c>
      <c r="J330" s="75"/>
      <c r="K330" s="70">
        <f>SUMIFS('Paradise Park'!$C:$C,'Paradise Park'!$A:$A,$A330)</f>
        <v>0</v>
      </c>
      <c r="L330" s="75"/>
      <c r="M330" s="70">
        <f>SUMIFS('Central LP'!$D:$D,'Central LP'!$B:$B,$A330)</f>
        <v>0</v>
      </c>
      <c r="N330" s="75"/>
      <c r="O330" s="71">
        <f t="shared" si="10"/>
        <v>0</v>
      </c>
      <c r="P330" s="71">
        <f t="shared" si="11"/>
        <v>0</v>
      </c>
    </row>
    <row r="331" spans="1:16">
      <c r="A331" s="69" t="s">
        <v>1090</v>
      </c>
      <c r="B331" s="69" t="s">
        <v>1579</v>
      </c>
      <c r="C331" s="69" t="s">
        <v>1638</v>
      </c>
      <c r="D331" s="74" t="s">
        <v>1588</v>
      </c>
      <c r="E331" s="70">
        <f>SUMIFS('K Village'!$D:$D,'K Village'!$B:$B,$A331)</f>
        <v>0</v>
      </c>
      <c r="F331" s="75"/>
      <c r="G331" s="70">
        <f>SUMIFS('Central CL (Department)'!$BO:$BO,'Central CL (Department)'!$A:$A,$A331)</f>
        <v>0</v>
      </c>
      <c r="H331" s="75"/>
      <c r="I331" s="70">
        <f>SUMIFS('Siam Discovery'!$C:$C,'Siam Discovery'!$A:$A,$A331)</f>
        <v>0</v>
      </c>
      <c r="J331" s="75"/>
      <c r="K331" s="70">
        <f>SUMIFS('Paradise Park'!$C:$C,'Paradise Park'!$A:$A,$A331)</f>
        <v>1</v>
      </c>
      <c r="L331" s="75"/>
      <c r="M331" s="70">
        <f>SUMIFS('Central LP'!$D:$D,'Central LP'!$B:$B,$A331)</f>
        <v>0</v>
      </c>
      <c r="N331" s="75"/>
      <c r="O331" s="71">
        <f t="shared" si="10"/>
        <v>1</v>
      </c>
      <c r="P331" s="71">
        <f t="shared" si="11"/>
        <v>0</v>
      </c>
    </row>
    <row r="332" spans="1:16">
      <c r="A332" s="69" t="s">
        <v>1088</v>
      </c>
      <c r="B332" s="69" t="s">
        <v>1579</v>
      </c>
      <c r="C332" s="69" t="s">
        <v>1638</v>
      </c>
      <c r="D332" s="74" t="s">
        <v>1589</v>
      </c>
      <c r="E332" s="70">
        <f>SUMIFS('K Village'!$D:$D,'K Village'!$B:$B,$A332)</f>
        <v>0</v>
      </c>
      <c r="F332" s="75"/>
      <c r="G332" s="70">
        <f>SUMIFS('Central CL (Department)'!$BO:$BO,'Central CL (Department)'!$A:$A,$A332)</f>
        <v>0</v>
      </c>
      <c r="H332" s="75"/>
      <c r="I332" s="70">
        <f>SUMIFS('Siam Discovery'!$C:$C,'Siam Discovery'!$A:$A,$A332)</f>
        <v>0</v>
      </c>
      <c r="J332" s="75"/>
      <c r="K332" s="70">
        <f>SUMIFS('Paradise Park'!$C:$C,'Paradise Park'!$A:$A,$A332)</f>
        <v>1</v>
      </c>
      <c r="L332" s="75"/>
      <c r="M332" s="70">
        <f>SUMIFS('Central LP'!$D:$D,'Central LP'!$B:$B,$A332)</f>
        <v>0</v>
      </c>
      <c r="N332" s="75"/>
      <c r="O332" s="71">
        <f t="shared" si="10"/>
        <v>1</v>
      </c>
      <c r="P332" s="71">
        <f t="shared" si="11"/>
        <v>0</v>
      </c>
    </row>
    <row r="333" spans="1:16">
      <c r="A333" s="69" t="s">
        <v>1087</v>
      </c>
      <c r="B333" s="69" t="s">
        <v>1579</v>
      </c>
      <c r="C333" s="69" t="s">
        <v>1638</v>
      </c>
      <c r="D333" s="74" t="s">
        <v>1590</v>
      </c>
      <c r="E333" s="70">
        <f>SUMIFS('K Village'!$D:$D,'K Village'!$B:$B,$A333)</f>
        <v>0</v>
      </c>
      <c r="F333" s="75"/>
      <c r="G333" s="70">
        <f>SUMIFS('Central CL (Department)'!$BO:$BO,'Central CL (Department)'!$A:$A,$A333)</f>
        <v>0</v>
      </c>
      <c r="H333" s="75"/>
      <c r="I333" s="70">
        <f>SUMIFS('Siam Discovery'!$C:$C,'Siam Discovery'!$A:$A,$A333)</f>
        <v>0</v>
      </c>
      <c r="J333" s="75"/>
      <c r="K333" s="70">
        <f>SUMIFS('Paradise Park'!$C:$C,'Paradise Park'!$A:$A,$A333)</f>
        <v>2</v>
      </c>
      <c r="L333" s="75"/>
      <c r="M333" s="70">
        <f>SUMIFS('Central LP'!$D:$D,'Central LP'!$B:$B,$A333)</f>
        <v>0</v>
      </c>
      <c r="N333" s="75"/>
      <c r="O333" s="71">
        <f t="shared" si="10"/>
        <v>2</v>
      </c>
      <c r="P333" s="71">
        <f t="shared" si="11"/>
        <v>0</v>
      </c>
    </row>
    <row r="334" spans="1:16">
      <c r="A334" s="69" t="s">
        <v>1086</v>
      </c>
      <c r="B334" s="69" t="s">
        <v>1579</v>
      </c>
      <c r="C334" s="69" t="s">
        <v>1638</v>
      </c>
      <c r="D334" s="74" t="s">
        <v>1591</v>
      </c>
      <c r="E334" s="70">
        <f>SUMIFS('K Village'!$D:$D,'K Village'!$B:$B,$A334)</f>
        <v>0</v>
      </c>
      <c r="F334" s="75"/>
      <c r="G334" s="70">
        <f>SUMIFS('Central CL (Department)'!$BO:$BO,'Central CL (Department)'!$A:$A,$A334)</f>
        <v>0</v>
      </c>
      <c r="H334" s="75"/>
      <c r="I334" s="70">
        <f>SUMIFS('Siam Discovery'!$C:$C,'Siam Discovery'!$A:$A,$A334)</f>
        <v>0</v>
      </c>
      <c r="J334" s="75"/>
      <c r="K334" s="70">
        <f>SUMIFS('Paradise Park'!$C:$C,'Paradise Park'!$A:$A,$A334)</f>
        <v>2</v>
      </c>
      <c r="L334" s="75"/>
      <c r="M334" s="70">
        <f>SUMIFS('Central LP'!$D:$D,'Central LP'!$B:$B,$A334)</f>
        <v>0</v>
      </c>
      <c r="N334" s="75"/>
      <c r="O334" s="71">
        <f t="shared" si="10"/>
        <v>2</v>
      </c>
      <c r="P334" s="71">
        <f t="shared" si="11"/>
        <v>0</v>
      </c>
    </row>
    <row r="335" spans="1:16">
      <c r="A335" s="69" t="s">
        <v>1085</v>
      </c>
      <c r="B335" s="69" t="s">
        <v>1579</v>
      </c>
      <c r="C335" s="69" t="s">
        <v>1638</v>
      </c>
      <c r="D335" s="74" t="s">
        <v>1592</v>
      </c>
      <c r="E335" s="70">
        <f>SUMIFS('K Village'!$D:$D,'K Village'!$B:$B,$A335)</f>
        <v>0</v>
      </c>
      <c r="F335" s="75"/>
      <c r="G335" s="70">
        <f>SUMIFS('Central CL (Department)'!$BO:$BO,'Central CL (Department)'!$A:$A,$A335)</f>
        <v>0</v>
      </c>
      <c r="H335" s="75"/>
      <c r="I335" s="70">
        <f>SUMIFS('Siam Discovery'!$C:$C,'Siam Discovery'!$A:$A,$A335)</f>
        <v>0</v>
      </c>
      <c r="J335" s="75"/>
      <c r="K335" s="70">
        <f>SUMIFS('Paradise Park'!$C:$C,'Paradise Park'!$A:$A,$A335)</f>
        <v>1</v>
      </c>
      <c r="L335" s="75"/>
      <c r="M335" s="70">
        <f>SUMIFS('Central LP'!$D:$D,'Central LP'!$B:$B,$A335)</f>
        <v>0</v>
      </c>
      <c r="N335" s="75"/>
      <c r="O335" s="71">
        <f t="shared" si="10"/>
        <v>1</v>
      </c>
      <c r="P335" s="71">
        <f t="shared" si="11"/>
        <v>0</v>
      </c>
    </row>
    <row r="336" spans="1:16">
      <c r="A336" s="69" t="s">
        <v>1084</v>
      </c>
      <c r="B336" s="69" t="s">
        <v>1579</v>
      </c>
      <c r="C336" s="69" t="s">
        <v>1638</v>
      </c>
      <c r="D336" s="74" t="s">
        <v>1593</v>
      </c>
      <c r="E336" s="70">
        <f>SUMIFS('K Village'!$D:$D,'K Village'!$B:$B,$A336)</f>
        <v>0</v>
      </c>
      <c r="F336" s="75"/>
      <c r="G336" s="70">
        <f>SUMIFS('Central CL (Department)'!$BO:$BO,'Central CL (Department)'!$A:$A,$A336)</f>
        <v>0</v>
      </c>
      <c r="H336" s="75"/>
      <c r="I336" s="70">
        <f>SUMIFS('Siam Discovery'!$C:$C,'Siam Discovery'!$A:$A,$A336)</f>
        <v>0</v>
      </c>
      <c r="J336" s="75"/>
      <c r="K336" s="70">
        <f>SUMIFS('Paradise Park'!$C:$C,'Paradise Park'!$A:$A,$A336)</f>
        <v>2</v>
      </c>
      <c r="L336" s="75"/>
      <c r="M336" s="70">
        <f>SUMIFS('Central LP'!$D:$D,'Central LP'!$B:$B,$A336)</f>
        <v>0</v>
      </c>
      <c r="N336" s="75"/>
      <c r="O336" s="71">
        <f t="shared" si="10"/>
        <v>2</v>
      </c>
      <c r="P336" s="71">
        <f t="shared" si="11"/>
        <v>0</v>
      </c>
    </row>
    <row r="337" spans="1:16">
      <c r="A337" s="69" t="s">
        <v>1568</v>
      </c>
      <c r="B337" s="69" t="s">
        <v>1579</v>
      </c>
      <c r="C337" s="69" t="s">
        <v>1638</v>
      </c>
      <c r="D337" s="74" t="s">
        <v>1598</v>
      </c>
      <c r="E337" s="70">
        <f>SUMIFS('K Village'!$D:$D,'K Village'!$B:$B,$A337)</f>
        <v>0</v>
      </c>
      <c r="F337" s="75"/>
      <c r="G337" s="70">
        <f>SUMIFS('Central CL (Department)'!$BO:$BO,'Central CL (Department)'!$A:$A,$A337)</f>
        <v>0</v>
      </c>
      <c r="H337" s="75"/>
      <c r="I337" s="70">
        <f>SUMIFS('Siam Discovery'!$C:$C,'Siam Discovery'!$A:$A,$A337)</f>
        <v>0</v>
      </c>
      <c r="J337" s="75"/>
      <c r="K337" s="70">
        <f>SUMIFS('Paradise Park'!$C:$C,'Paradise Park'!$A:$A,$A337)</f>
        <v>0</v>
      </c>
      <c r="L337" s="75"/>
      <c r="M337" s="70">
        <f>SUMIFS('Central LP'!$D:$D,'Central LP'!$B:$B,$A337)</f>
        <v>1</v>
      </c>
      <c r="N337" s="75"/>
      <c r="O337" s="71">
        <f t="shared" si="10"/>
        <v>1</v>
      </c>
      <c r="P337" s="71">
        <f t="shared" si="11"/>
        <v>0</v>
      </c>
    </row>
    <row r="338" spans="1:16">
      <c r="A338" s="69" t="s">
        <v>726</v>
      </c>
      <c r="B338" s="69" t="s">
        <v>1579</v>
      </c>
      <c r="C338" s="69" t="s">
        <v>1638</v>
      </c>
      <c r="D338" s="74" t="s">
        <v>1599</v>
      </c>
      <c r="E338" s="70">
        <f>SUMIFS('K Village'!$D:$D,'K Village'!$B:$B,$A338)</f>
        <v>0</v>
      </c>
      <c r="F338" s="75"/>
      <c r="G338" s="70">
        <f>SUMIFS('Central CL (Department)'!$BO:$BO,'Central CL (Department)'!$A:$A,$A338)</f>
        <v>0</v>
      </c>
      <c r="H338" s="75"/>
      <c r="I338" s="70">
        <f>SUMIFS('Siam Discovery'!$C:$C,'Siam Discovery'!$A:$A,$A338)</f>
        <v>1</v>
      </c>
      <c r="J338" s="75"/>
      <c r="K338" s="70">
        <f>SUMIFS('Paradise Park'!$C:$C,'Paradise Park'!$A:$A,$A338)</f>
        <v>1</v>
      </c>
      <c r="L338" s="75"/>
      <c r="M338" s="70">
        <f>SUMIFS('Central LP'!$D:$D,'Central LP'!$B:$B,$A338)</f>
        <v>1</v>
      </c>
      <c r="N338" s="75"/>
      <c r="O338" s="71">
        <f t="shared" si="10"/>
        <v>3</v>
      </c>
      <c r="P338" s="71">
        <f t="shared" si="11"/>
        <v>0</v>
      </c>
    </row>
    <row r="339" spans="1:16">
      <c r="A339" s="69" t="s">
        <v>727</v>
      </c>
      <c r="B339" s="69" t="s">
        <v>1579</v>
      </c>
      <c r="C339" s="69" t="s">
        <v>1638</v>
      </c>
      <c r="D339" s="74" t="s">
        <v>1600</v>
      </c>
      <c r="E339" s="70">
        <f>SUMIFS('K Village'!$D:$D,'K Village'!$B:$B,$A339)</f>
        <v>2</v>
      </c>
      <c r="F339" s="75"/>
      <c r="G339" s="70">
        <f>SUMIFS('Central CL (Department)'!$BO:$BO,'Central CL (Department)'!$A:$A,$A339)</f>
        <v>0</v>
      </c>
      <c r="H339" s="75"/>
      <c r="I339" s="70">
        <f>SUMIFS('Siam Discovery'!$C:$C,'Siam Discovery'!$A:$A,$A339)</f>
        <v>2</v>
      </c>
      <c r="J339" s="75"/>
      <c r="K339" s="70">
        <f>SUMIFS('Paradise Park'!$C:$C,'Paradise Park'!$A:$A,$A339)</f>
        <v>2</v>
      </c>
      <c r="L339" s="75"/>
      <c r="M339" s="70">
        <f>SUMIFS('Central LP'!$D:$D,'Central LP'!$B:$B,$A339)</f>
        <v>2</v>
      </c>
      <c r="N339" s="75"/>
      <c r="O339" s="71">
        <f t="shared" si="10"/>
        <v>8</v>
      </c>
      <c r="P339" s="71">
        <f t="shared" si="11"/>
        <v>0</v>
      </c>
    </row>
    <row r="340" spans="1:16">
      <c r="A340" s="69" t="s">
        <v>730</v>
      </c>
      <c r="B340" s="69" t="s">
        <v>1579</v>
      </c>
      <c r="C340" s="69" t="s">
        <v>1638</v>
      </c>
      <c r="D340" s="74" t="s">
        <v>1601</v>
      </c>
      <c r="E340" s="70">
        <f>SUMIFS('K Village'!$D:$D,'K Village'!$B:$B,$A340)</f>
        <v>2</v>
      </c>
      <c r="F340" s="75"/>
      <c r="G340" s="70">
        <f>SUMIFS('Central CL (Department)'!$BO:$BO,'Central CL (Department)'!$A:$A,$A340)</f>
        <v>0</v>
      </c>
      <c r="H340" s="75"/>
      <c r="I340" s="70">
        <f>SUMIFS('Siam Discovery'!$C:$C,'Siam Discovery'!$A:$A,$A340)</f>
        <v>1</v>
      </c>
      <c r="J340" s="75"/>
      <c r="K340" s="70">
        <f>SUMIFS('Paradise Park'!$C:$C,'Paradise Park'!$A:$A,$A340)</f>
        <v>1</v>
      </c>
      <c r="L340" s="75"/>
      <c r="M340" s="70">
        <f>SUMIFS('Central LP'!$D:$D,'Central LP'!$B:$B,$A340)</f>
        <v>0</v>
      </c>
      <c r="N340" s="75"/>
      <c r="O340" s="71">
        <f t="shared" si="10"/>
        <v>4</v>
      </c>
      <c r="P340" s="71">
        <f t="shared" si="11"/>
        <v>0</v>
      </c>
    </row>
    <row r="341" spans="1:16">
      <c r="A341" s="69" t="s">
        <v>731</v>
      </c>
      <c r="B341" s="69" t="s">
        <v>1579</v>
      </c>
      <c r="C341" s="69" t="s">
        <v>1638</v>
      </c>
      <c r="D341" s="74" t="s">
        <v>1602</v>
      </c>
      <c r="E341" s="70">
        <f>SUMIFS('K Village'!$D:$D,'K Village'!$B:$B,$A341)</f>
        <v>1</v>
      </c>
      <c r="F341" s="75"/>
      <c r="G341" s="70">
        <f>SUMIFS('Central CL (Department)'!$BO:$BO,'Central CL (Department)'!$A:$A,$A341)</f>
        <v>0</v>
      </c>
      <c r="H341" s="75"/>
      <c r="I341" s="70">
        <f>SUMIFS('Siam Discovery'!$C:$C,'Siam Discovery'!$A:$A,$A341)</f>
        <v>2</v>
      </c>
      <c r="J341" s="75"/>
      <c r="K341" s="70">
        <f>SUMIFS('Paradise Park'!$C:$C,'Paradise Park'!$A:$A,$A341)</f>
        <v>2</v>
      </c>
      <c r="L341" s="75"/>
      <c r="M341" s="70">
        <f>SUMIFS('Central LP'!$D:$D,'Central LP'!$B:$B,$A341)</f>
        <v>1</v>
      </c>
      <c r="N341" s="75"/>
      <c r="O341" s="71">
        <f t="shared" si="10"/>
        <v>6</v>
      </c>
      <c r="P341" s="71">
        <f t="shared" si="11"/>
        <v>0</v>
      </c>
    </row>
    <row r="342" spans="1:16">
      <c r="A342" s="69" t="s">
        <v>734</v>
      </c>
      <c r="B342" s="69" t="s">
        <v>1579</v>
      </c>
      <c r="C342" s="69" t="s">
        <v>1638</v>
      </c>
      <c r="D342" s="74" t="s">
        <v>1603</v>
      </c>
      <c r="E342" s="70">
        <f>SUMIFS('K Village'!$D:$D,'K Village'!$B:$B,$A342)</f>
        <v>1</v>
      </c>
      <c r="F342" s="75"/>
      <c r="G342" s="70">
        <f>SUMIFS('Central CL (Department)'!$BO:$BO,'Central CL (Department)'!$A:$A,$A342)</f>
        <v>0</v>
      </c>
      <c r="H342" s="75"/>
      <c r="I342" s="70">
        <f>SUMIFS('Siam Discovery'!$C:$C,'Siam Discovery'!$A:$A,$A342)</f>
        <v>2</v>
      </c>
      <c r="J342" s="75"/>
      <c r="K342" s="70">
        <f>SUMIFS('Paradise Park'!$C:$C,'Paradise Park'!$A:$A,$A342)</f>
        <v>2</v>
      </c>
      <c r="L342" s="75"/>
      <c r="M342" s="70">
        <f>SUMIFS('Central LP'!$D:$D,'Central LP'!$B:$B,$A342)</f>
        <v>1</v>
      </c>
      <c r="N342" s="75"/>
      <c r="O342" s="71">
        <f t="shared" si="10"/>
        <v>6</v>
      </c>
      <c r="P342" s="71">
        <f t="shared" si="11"/>
        <v>0</v>
      </c>
    </row>
    <row r="343" spans="1:16">
      <c r="A343" s="69" t="s">
        <v>1083</v>
      </c>
      <c r="B343" s="69" t="s">
        <v>1579</v>
      </c>
      <c r="C343" s="69" t="s">
        <v>1638</v>
      </c>
      <c r="D343" s="74" t="s">
        <v>1616</v>
      </c>
      <c r="E343" s="70">
        <f>SUMIFS('K Village'!$D:$D,'K Village'!$B:$B,$A343)</f>
        <v>1</v>
      </c>
      <c r="F343" s="75"/>
      <c r="G343" s="70">
        <f>SUMIFS('Central CL (Department)'!$BO:$BO,'Central CL (Department)'!$A:$A,$A343)</f>
        <v>0</v>
      </c>
      <c r="H343" s="75"/>
      <c r="I343" s="70">
        <f>SUMIFS('Siam Discovery'!$C:$C,'Siam Discovery'!$A:$A,$A343)</f>
        <v>0</v>
      </c>
      <c r="J343" s="75"/>
      <c r="K343" s="70">
        <f>SUMIFS('Paradise Park'!$C:$C,'Paradise Park'!$A:$A,$A343)</f>
        <v>1</v>
      </c>
      <c r="L343" s="75"/>
      <c r="M343" s="70">
        <f>SUMIFS('Central LP'!$D:$D,'Central LP'!$B:$B,$A343)</f>
        <v>1</v>
      </c>
      <c r="N343" s="75"/>
      <c r="O343" s="71">
        <f t="shared" si="10"/>
        <v>3</v>
      </c>
      <c r="P343" s="71">
        <f t="shared" si="11"/>
        <v>0</v>
      </c>
    </row>
    <row r="344" spans="1:16">
      <c r="A344" s="69" t="s">
        <v>1081</v>
      </c>
      <c r="B344" s="69" t="s">
        <v>1579</v>
      </c>
      <c r="C344" s="69" t="s">
        <v>1639</v>
      </c>
      <c r="D344" s="74" t="s">
        <v>1588</v>
      </c>
      <c r="E344" s="70">
        <f>SUMIFS('K Village'!$D:$D,'K Village'!$B:$B,$A344)</f>
        <v>1</v>
      </c>
      <c r="F344" s="75"/>
      <c r="G344" s="70">
        <f>SUMIFS('Central CL (Department)'!$BO:$BO,'Central CL (Department)'!$A:$A,$A344)</f>
        <v>0</v>
      </c>
      <c r="H344" s="75"/>
      <c r="I344" s="70">
        <f>SUMIFS('Siam Discovery'!$C:$C,'Siam Discovery'!$A:$A,$A344)</f>
        <v>0</v>
      </c>
      <c r="J344" s="75"/>
      <c r="K344" s="70">
        <f>SUMIFS('Paradise Park'!$C:$C,'Paradise Park'!$A:$A,$A344)</f>
        <v>1</v>
      </c>
      <c r="L344" s="75"/>
      <c r="M344" s="70">
        <f>SUMIFS('Central LP'!$D:$D,'Central LP'!$B:$B,$A344)</f>
        <v>0</v>
      </c>
      <c r="N344" s="75"/>
      <c r="O344" s="71">
        <f t="shared" si="10"/>
        <v>2</v>
      </c>
      <c r="P344" s="71">
        <f t="shared" si="11"/>
        <v>0</v>
      </c>
    </row>
    <row r="345" spans="1:16">
      <c r="A345" s="69" t="s">
        <v>652</v>
      </c>
      <c r="B345" s="69" t="s">
        <v>1579</v>
      </c>
      <c r="C345" s="69" t="s">
        <v>1639</v>
      </c>
      <c r="D345" s="74" t="s">
        <v>1589</v>
      </c>
      <c r="E345" s="70">
        <f>SUMIFS('K Village'!$D:$D,'K Village'!$B:$B,$A345)</f>
        <v>1</v>
      </c>
      <c r="F345" s="75"/>
      <c r="G345" s="70">
        <f>SUMIFS('Central CL (Department)'!$BO:$BO,'Central CL (Department)'!$A:$A,$A345)</f>
        <v>0</v>
      </c>
      <c r="H345" s="75"/>
      <c r="I345" s="70">
        <f>SUMIFS('Siam Discovery'!$C:$C,'Siam Discovery'!$A:$A,$A345)</f>
        <v>0</v>
      </c>
      <c r="J345" s="75"/>
      <c r="K345" s="70">
        <f>SUMIFS('Paradise Park'!$C:$C,'Paradise Park'!$A:$A,$A345)</f>
        <v>1</v>
      </c>
      <c r="L345" s="75"/>
      <c r="M345" s="70">
        <f>SUMIFS('Central LP'!$D:$D,'Central LP'!$B:$B,$A345)</f>
        <v>1</v>
      </c>
      <c r="N345" s="75"/>
      <c r="O345" s="71">
        <f t="shared" si="10"/>
        <v>3</v>
      </c>
      <c r="P345" s="71">
        <f t="shared" si="11"/>
        <v>0</v>
      </c>
    </row>
    <row r="346" spans="1:16">
      <c r="A346" s="69" t="s">
        <v>654</v>
      </c>
      <c r="B346" s="69" t="s">
        <v>1579</v>
      </c>
      <c r="C346" s="69" t="s">
        <v>1639</v>
      </c>
      <c r="D346" s="74" t="s">
        <v>1590</v>
      </c>
      <c r="E346" s="70">
        <f>SUMIFS('K Village'!$D:$D,'K Village'!$B:$B,$A346)</f>
        <v>3</v>
      </c>
      <c r="F346" s="75"/>
      <c r="G346" s="70">
        <f>SUMIFS('Central CL (Department)'!$BO:$BO,'Central CL (Department)'!$A:$A,$A346)</f>
        <v>1</v>
      </c>
      <c r="H346" s="75"/>
      <c r="I346" s="70">
        <f>SUMIFS('Siam Discovery'!$C:$C,'Siam Discovery'!$A:$A,$A346)</f>
        <v>3</v>
      </c>
      <c r="J346" s="75"/>
      <c r="K346" s="70">
        <f>SUMIFS('Paradise Park'!$C:$C,'Paradise Park'!$A:$A,$A346)</f>
        <v>2</v>
      </c>
      <c r="L346" s="75"/>
      <c r="M346" s="70">
        <f>SUMIFS('Central LP'!$D:$D,'Central LP'!$B:$B,$A346)</f>
        <v>1</v>
      </c>
      <c r="N346" s="75"/>
      <c r="O346" s="71">
        <f t="shared" si="10"/>
        <v>10</v>
      </c>
      <c r="P346" s="71">
        <f t="shared" si="11"/>
        <v>0</v>
      </c>
    </row>
    <row r="347" spans="1:16">
      <c r="A347" s="69" t="s">
        <v>656</v>
      </c>
      <c r="B347" s="69" t="s">
        <v>1579</v>
      </c>
      <c r="C347" s="69" t="s">
        <v>1639</v>
      </c>
      <c r="D347" s="74" t="s">
        <v>1591</v>
      </c>
      <c r="E347" s="70">
        <f>SUMIFS('K Village'!$D:$D,'K Village'!$B:$B,$A347)</f>
        <v>2</v>
      </c>
      <c r="F347" s="75"/>
      <c r="G347" s="70">
        <f>SUMIFS('Central CL (Department)'!$BO:$BO,'Central CL (Department)'!$A:$A,$A347)</f>
        <v>2</v>
      </c>
      <c r="H347" s="75"/>
      <c r="I347" s="70">
        <f>SUMIFS('Siam Discovery'!$C:$C,'Siam Discovery'!$A:$A,$A347)</f>
        <v>0</v>
      </c>
      <c r="J347" s="75"/>
      <c r="K347" s="70">
        <f>SUMIFS('Paradise Park'!$C:$C,'Paradise Park'!$A:$A,$A347)</f>
        <v>2</v>
      </c>
      <c r="L347" s="75"/>
      <c r="M347" s="70">
        <f>SUMIFS('Central LP'!$D:$D,'Central LP'!$B:$B,$A347)</f>
        <v>1</v>
      </c>
      <c r="N347" s="75"/>
      <c r="O347" s="71">
        <f t="shared" si="10"/>
        <v>7</v>
      </c>
      <c r="P347" s="71">
        <f t="shared" si="11"/>
        <v>0</v>
      </c>
    </row>
    <row r="348" spans="1:16">
      <c r="A348" s="69" t="s">
        <v>658</v>
      </c>
      <c r="B348" s="69" t="s">
        <v>1579</v>
      </c>
      <c r="C348" s="69" t="s">
        <v>1639</v>
      </c>
      <c r="D348" s="74" t="s">
        <v>1592</v>
      </c>
      <c r="E348" s="70">
        <f>SUMIFS('K Village'!$D:$D,'K Village'!$B:$B,$A348)</f>
        <v>2</v>
      </c>
      <c r="F348" s="75"/>
      <c r="G348" s="70">
        <f>SUMIFS('Central CL (Department)'!$BO:$BO,'Central CL (Department)'!$A:$A,$A348)</f>
        <v>1</v>
      </c>
      <c r="H348" s="75"/>
      <c r="I348" s="70">
        <f>SUMIFS('Siam Discovery'!$C:$C,'Siam Discovery'!$A:$A,$A348)</f>
        <v>1</v>
      </c>
      <c r="J348" s="75"/>
      <c r="K348" s="70">
        <f>SUMIFS('Paradise Park'!$C:$C,'Paradise Park'!$A:$A,$A348)</f>
        <v>1</v>
      </c>
      <c r="L348" s="75"/>
      <c r="M348" s="70">
        <f>SUMIFS('Central LP'!$D:$D,'Central LP'!$B:$B,$A348)</f>
        <v>1</v>
      </c>
      <c r="N348" s="75"/>
      <c r="O348" s="71">
        <f t="shared" si="10"/>
        <v>6</v>
      </c>
      <c r="P348" s="71">
        <f t="shared" si="11"/>
        <v>0</v>
      </c>
    </row>
    <row r="349" spans="1:16">
      <c r="A349" s="69" t="s">
        <v>660</v>
      </c>
      <c r="B349" s="69" t="s">
        <v>1579</v>
      </c>
      <c r="C349" s="69" t="s">
        <v>1639</v>
      </c>
      <c r="D349" s="74" t="s">
        <v>1593</v>
      </c>
      <c r="E349" s="70">
        <f>SUMIFS('K Village'!$D:$D,'K Village'!$B:$B,$A349)</f>
        <v>1</v>
      </c>
      <c r="F349" s="75"/>
      <c r="G349" s="70">
        <f>SUMIFS('Central CL (Department)'!$BO:$BO,'Central CL (Department)'!$A:$A,$A349)</f>
        <v>1</v>
      </c>
      <c r="H349" s="75"/>
      <c r="I349" s="70">
        <f>SUMIFS('Siam Discovery'!$C:$C,'Siam Discovery'!$A:$A,$A349)</f>
        <v>0</v>
      </c>
      <c r="J349" s="75"/>
      <c r="K349" s="70">
        <f>SUMIFS('Paradise Park'!$C:$C,'Paradise Park'!$A:$A,$A349)</f>
        <v>0</v>
      </c>
      <c r="L349" s="75"/>
      <c r="M349" s="70">
        <f>SUMIFS('Central LP'!$D:$D,'Central LP'!$B:$B,$A349)</f>
        <v>1</v>
      </c>
      <c r="N349" s="75"/>
      <c r="O349" s="71">
        <f t="shared" si="10"/>
        <v>3</v>
      </c>
      <c r="P349" s="71">
        <f t="shared" si="11"/>
        <v>0</v>
      </c>
    </row>
    <row r="350" spans="1:16">
      <c r="A350" s="69" t="s">
        <v>662</v>
      </c>
      <c r="B350" s="69" t="s">
        <v>1579</v>
      </c>
      <c r="C350" s="69" t="s">
        <v>1639</v>
      </c>
      <c r="D350" s="74" t="s">
        <v>1594</v>
      </c>
      <c r="E350" s="70">
        <f>SUMIFS('K Village'!$D:$D,'K Village'!$B:$B,$A350)</f>
        <v>2</v>
      </c>
      <c r="F350" s="75"/>
      <c r="G350" s="70">
        <f>SUMIFS('Central CL (Department)'!$BO:$BO,'Central CL (Department)'!$A:$A,$A350)</f>
        <v>1</v>
      </c>
      <c r="H350" s="75"/>
      <c r="I350" s="70">
        <f>SUMIFS('Siam Discovery'!$C:$C,'Siam Discovery'!$A:$A,$A350)</f>
        <v>1</v>
      </c>
      <c r="J350" s="75"/>
      <c r="K350" s="70">
        <f>SUMIFS('Paradise Park'!$C:$C,'Paradise Park'!$A:$A,$A350)</f>
        <v>1</v>
      </c>
      <c r="L350" s="75"/>
      <c r="M350" s="70">
        <f>SUMIFS('Central LP'!$D:$D,'Central LP'!$B:$B,$A350)</f>
        <v>1</v>
      </c>
      <c r="N350" s="75"/>
      <c r="O350" s="71">
        <f t="shared" si="10"/>
        <v>6</v>
      </c>
      <c r="P350" s="71">
        <f t="shared" si="11"/>
        <v>0</v>
      </c>
    </row>
    <row r="351" spans="1:16">
      <c r="A351" s="69" t="s">
        <v>664</v>
      </c>
      <c r="B351" s="69" t="s">
        <v>1579</v>
      </c>
      <c r="C351" s="69" t="s">
        <v>1639</v>
      </c>
      <c r="D351" s="74" t="s">
        <v>1595</v>
      </c>
      <c r="E351" s="70">
        <f>SUMIFS('K Village'!$D:$D,'K Village'!$B:$B,$A351)</f>
        <v>1</v>
      </c>
      <c r="F351" s="75"/>
      <c r="G351" s="70">
        <f>SUMIFS('Central CL (Department)'!$BO:$BO,'Central CL (Department)'!$A:$A,$A351)</f>
        <v>1</v>
      </c>
      <c r="H351" s="75"/>
      <c r="I351" s="70">
        <f>SUMIFS('Siam Discovery'!$C:$C,'Siam Discovery'!$A:$A,$A351)</f>
        <v>1</v>
      </c>
      <c r="J351" s="75"/>
      <c r="K351" s="70">
        <f>SUMIFS('Paradise Park'!$C:$C,'Paradise Park'!$A:$A,$A351)</f>
        <v>1</v>
      </c>
      <c r="L351" s="75"/>
      <c r="M351" s="70">
        <f>SUMIFS('Central LP'!$D:$D,'Central LP'!$B:$B,$A351)</f>
        <v>0</v>
      </c>
      <c r="N351" s="75"/>
      <c r="O351" s="71">
        <f t="shared" si="10"/>
        <v>4</v>
      </c>
      <c r="P351" s="71">
        <f t="shared" si="11"/>
        <v>0</v>
      </c>
    </row>
    <row r="352" spans="1:16">
      <c r="A352" s="69" t="s">
        <v>1079</v>
      </c>
      <c r="B352" s="69" t="s">
        <v>1580</v>
      </c>
      <c r="C352" s="69" t="s">
        <v>1622</v>
      </c>
      <c r="D352" s="74" t="s">
        <v>1606</v>
      </c>
      <c r="E352" s="70">
        <f>SUMIFS('K Village'!$D:$D,'K Village'!$B:$B,$A352)</f>
        <v>0</v>
      </c>
      <c r="F352" s="75"/>
      <c r="G352" s="70">
        <f>SUMIFS('Central CL (Department)'!$BO:$BO,'Central CL (Department)'!$A:$A,$A352)</f>
        <v>0</v>
      </c>
      <c r="H352" s="75"/>
      <c r="I352" s="70">
        <f>SUMIFS('Siam Discovery'!$C:$C,'Siam Discovery'!$A:$A,$A352)</f>
        <v>0</v>
      </c>
      <c r="J352" s="75"/>
      <c r="K352" s="70">
        <f>SUMIFS('Paradise Park'!$C:$C,'Paradise Park'!$A:$A,$A352)</f>
        <v>1</v>
      </c>
      <c r="L352" s="75"/>
      <c r="M352" s="70">
        <f>SUMIFS('Central LP'!$D:$D,'Central LP'!$B:$B,$A352)</f>
        <v>1</v>
      </c>
      <c r="N352" s="75"/>
      <c r="O352" s="71">
        <f t="shared" si="10"/>
        <v>2</v>
      </c>
      <c r="P352" s="71">
        <f t="shared" si="11"/>
        <v>0</v>
      </c>
    </row>
    <row r="353" spans="1:16">
      <c r="A353" s="69" t="s">
        <v>666</v>
      </c>
      <c r="B353" s="69" t="s">
        <v>1580</v>
      </c>
      <c r="C353" s="69" t="s">
        <v>1622</v>
      </c>
      <c r="D353" s="74" t="s">
        <v>1588</v>
      </c>
      <c r="E353" s="70">
        <f>SUMIFS('K Village'!$D:$D,'K Village'!$B:$B,$A353)</f>
        <v>0</v>
      </c>
      <c r="F353" s="75"/>
      <c r="G353" s="70">
        <f>SUMIFS('Central CL (Department)'!$BO:$BO,'Central CL (Department)'!$A:$A,$A353)</f>
        <v>0</v>
      </c>
      <c r="H353" s="75"/>
      <c r="I353" s="70">
        <f>SUMIFS('Siam Discovery'!$C:$C,'Siam Discovery'!$A:$A,$A353)</f>
        <v>0</v>
      </c>
      <c r="J353" s="75"/>
      <c r="K353" s="70">
        <f>SUMIFS('Paradise Park'!$C:$C,'Paradise Park'!$A:$A,$A353)</f>
        <v>0</v>
      </c>
      <c r="L353" s="75"/>
      <c r="M353" s="70">
        <f>SUMIFS('Central LP'!$D:$D,'Central LP'!$B:$B,$A353)</f>
        <v>2</v>
      </c>
      <c r="N353" s="75"/>
      <c r="O353" s="71">
        <f t="shared" si="10"/>
        <v>2</v>
      </c>
      <c r="P353" s="71">
        <f t="shared" si="11"/>
        <v>0</v>
      </c>
    </row>
    <row r="354" spans="1:16">
      <c r="A354" s="69" t="s">
        <v>668</v>
      </c>
      <c r="B354" s="69" t="s">
        <v>1580</v>
      </c>
      <c r="C354" s="69" t="s">
        <v>1622</v>
      </c>
      <c r="D354" s="74" t="s">
        <v>1589</v>
      </c>
      <c r="E354" s="70">
        <f>SUMIFS('K Village'!$D:$D,'K Village'!$B:$B,$A354)</f>
        <v>2</v>
      </c>
      <c r="F354" s="75"/>
      <c r="G354" s="70">
        <f>SUMIFS('Central CL (Department)'!$BO:$BO,'Central CL (Department)'!$A:$A,$A354)</f>
        <v>1</v>
      </c>
      <c r="H354" s="75"/>
      <c r="I354" s="70">
        <f>SUMIFS('Siam Discovery'!$C:$C,'Siam Discovery'!$A:$A,$A354)</f>
        <v>2</v>
      </c>
      <c r="J354" s="75"/>
      <c r="K354" s="70">
        <f>SUMIFS('Paradise Park'!$C:$C,'Paradise Park'!$A:$A,$A354)</f>
        <v>0</v>
      </c>
      <c r="L354" s="75"/>
      <c r="M354" s="70">
        <f>SUMIFS('Central LP'!$D:$D,'Central LP'!$B:$B,$A354)</f>
        <v>1</v>
      </c>
      <c r="N354" s="75"/>
      <c r="O354" s="71">
        <f t="shared" si="10"/>
        <v>6</v>
      </c>
      <c r="P354" s="71">
        <f t="shared" si="11"/>
        <v>0</v>
      </c>
    </row>
    <row r="355" spans="1:16">
      <c r="A355" s="69" t="s">
        <v>670</v>
      </c>
      <c r="B355" s="69" t="s">
        <v>1580</v>
      </c>
      <c r="C355" s="69" t="s">
        <v>1622</v>
      </c>
      <c r="D355" s="74" t="s">
        <v>1590</v>
      </c>
      <c r="E355" s="70">
        <f>SUMIFS('K Village'!$D:$D,'K Village'!$B:$B,$A355)</f>
        <v>1</v>
      </c>
      <c r="F355" s="75"/>
      <c r="G355" s="70">
        <f>SUMIFS('Central CL (Department)'!$BO:$BO,'Central CL (Department)'!$A:$A,$A355)</f>
        <v>2</v>
      </c>
      <c r="H355" s="75"/>
      <c r="I355" s="70">
        <f>SUMIFS('Siam Discovery'!$C:$C,'Siam Discovery'!$A:$A,$A355)</f>
        <v>3</v>
      </c>
      <c r="J355" s="75"/>
      <c r="K355" s="70">
        <f>SUMIFS('Paradise Park'!$C:$C,'Paradise Park'!$A:$A,$A355)</f>
        <v>1</v>
      </c>
      <c r="L355" s="75"/>
      <c r="M355" s="70">
        <f>SUMIFS('Central LP'!$D:$D,'Central LP'!$B:$B,$A355)</f>
        <v>2</v>
      </c>
      <c r="N355" s="75"/>
      <c r="O355" s="71">
        <f t="shared" si="10"/>
        <v>9</v>
      </c>
      <c r="P355" s="71">
        <f t="shared" si="11"/>
        <v>0</v>
      </c>
    </row>
    <row r="356" spans="1:16">
      <c r="A356" s="69" t="s">
        <v>672</v>
      </c>
      <c r="B356" s="69" t="s">
        <v>1580</v>
      </c>
      <c r="C356" s="69" t="s">
        <v>1622</v>
      </c>
      <c r="D356" s="74" t="s">
        <v>1591</v>
      </c>
      <c r="E356" s="70">
        <f>SUMIFS('K Village'!$D:$D,'K Village'!$B:$B,$A356)</f>
        <v>2</v>
      </c>
      <c r="F356" s="75"/>
      <c r="G356" s="70">
        <f>SUMIFS('Central CL (Department)'!$BO:$BO,'Central CL (Department)'!$A:$A,$A356)</f>
        <v>3</v>
      </c>
      <c r="H356" s="75"/>
      <c r="I356" s="70">
        <f>SUMIFS('Siam Discovery'!$C:$C,'Siam Discovery'!$A:$A,$A356)</f>
        <v>2</v>
      </c>
      <c r="J356" s="75"/>
      <c r="K356" s="70">
        <f>SUMIFS('Paradise Park'!$C:$C,'Paradise Park'!$A:$A,$A356)</f>
        <v>1</v>
      </c>
      <c r="L356" s="75"/>
      <c r="M356" s="70">
        <f>SUMIFS('Central LP'!$D:$D,'Central LP'!$B:$B,$A356)</f>
        <v>1</v>
      </c>
      <c r="N356" s="75"/>
      <c r="O356" s="71">
        <f t="shared" si="10"/>
        <v>9</v>
      </c>
      <c r="P356" s="71">
        <f t="shared" si="11"/>
        <v>0</v>
      </c>
    </row>
    <row r="357" spans="1:16">
      <c r="A357" s="69" t="s">
        <v>676</v>
      </c>
      <c r="B357" s="69" t="s">
        <v>1580</v>
      </c>
      <c r="C357" s="69" t="s">
        <v>1622</v>
      </c>
      <c r="D357" s="74" t="s">
        <v>1592</v>
      </c>
      <c r="E357" s="70">
        <f>SUMIFS('K Village'!$D:$D,'K Village'!$B:$B,$A357)</f>
        <v>1</v>
      </c>
      <c r="F357" s="75"/>
      <c r="G357" s="70">
        <f>SUMIFS('Central CL (Department)'!$BO:$BO,'Central CL (Department)'!$A:$A,$A357)</f>
        <v>1</v>
      </c>
      <c r="H357" s="75"/>
      <c r="I357" s="70">
        <f>SUMIFS('Siam Discovery'!$C:$C,'Siam Discovery'!$A:$A,$A357)</f>
        <v>3</v>
      </c>
      <c r="J357" s="75"/>
      <c r="K357" s="70">
        <f>SUMIFS('Paradise Park'!$C:$C,'Paradise Park'!$A:$A,$A357)</f>
        <v>1</v>
      </c>
      <c r="L357" s="75"/>
      <c r="M357" s="70">
        <f>SUMIFS('Central LP'!$D:$D,'Central LP'!$B:$B,$A357)</f>
        <v>2</v>
      </c>
      <c r="N357" s="75"/>
      <c r="O357" s="71">
        <f t="shared" si="10"/>
        <v>8</v>
      </c>
      <c r="P357" s="71">
        <f t="shared" si="11"/>
        <v>0</v>
      </c>
    </row>
    <row r="358" spans="1:16">
      <c r="A358" s="69" t="s">
        <v>678</v>
      </c>
      <c r="B358" s="69" t="s">
        <v>1580</v>
      </c>
      <c r="C358" s="69" t="s">
        <v>1622</v>
      </c>
      <c r="D358" s="74" t="s">
        <v>1593</v>
      </c>
      <c r="E358" s="70">
        <f>SUMIFS('K Village'!$D:$D,'K Village'!$B:$B,$A358)</f>
        <v>0</v>
      </c>
      <c r="F358" s="75"/>
      <c r="G358" s="70">
        <f>SUMIFS('Central CL (Department)'!$BO:$BO,'Central CL (Department)'!$A:$A,$A358)</f>
        <v>1</v>
      </c>
      <c r="H358" s="75"/>
      <c r="I358" s="70">
        <f>SUMIFS('Siam Discovery'!$C:$C,'Siam Discovery'!$A:$A,$A358)</f>
        <v>2</v>
      </c>
      <c r="J358" s="75"/>
      <c r="K358" s="70">
        <f>SUMIFS('Paradise Park'!$C:$C,'Paradise Park'!$A:$A,$A358)</f>
        <v>1</v>
      </c>
      <c r="L358" s="75"/>
      <c r="M358" s="70">
        <f>SUMIFS('Central LP'!$D:$D,'Central LP'!$B:$B,$A358)</f>
        <v>1</v>
      </c>
      <c r="N358" s="75"/>
      <c r="O358" s="71">
        <f t="shared" si="10"/>
        <v>5</v>
      </c>
      <c r="P358" s="71">
        <f t="shared" si="11"/>
        <v>0</v>
      </c>
    </row>
    <row r="359" spans="1:16">
      <c r="A359" s="69" t="s">
        <v>680</v>
      </c>
      <c r="B359" s="69" t="s">
        <v>1580</v>
      </c>
      <c r="C359" s="69" t="s">
        <v>1622</v>
      </c>
      <c r="D359" s="74" t="s">
        <v>1594</v>
      </c>
      <c r="E359" s="70">
        <f>SUMIFS('K Village'!$D:$D,'K Village'!$B:$B,$A359)</f>
        <v>1</v>
      </c>
      <c r="F359" s="75"/>
      <c r="G359" s="70">
        <f>SUMIFS('Central CL (Department)'!$BO:$BO,'Central CL (Department)'!$A:$A,$A359)</f>
        <v>2</v>
      </c>
      <c r="H359" s="75"/>
      <c r="I359" s="70">
        <f>SUMIFS('Siam Discovery'!$C:$C,'Siam Discovery'!$A:$A,$A359)</f>
        <v>1</v>
      </c>
      <c r="J359" s="75"/>
      <c r="K359" s="70">
        <f>SUMIFS('Paradise Park'!$C:$C,'Paradise Park'!$A:$A,$A359)</f>
        <v>1</v>
      </c>
      <c r="L359" s="75"/>
      <c r="M359" s="70">
        <f>SUMIFS('Central LP'!$D:$D,'Central LP'!$B:$B,$A359)</f>
        <v>1</v>
      </c>
      <c r="N359" s="75"/>
      <c r="O359" s="71">
        <f t="shared" si="10"/>
        <v>6</v>
      </c>
      <c r="P359" s="71">
        <f t="shared" si="11"/>
        <v>0</v>
      </c>
    </row>
    <row r="360" spans="1:16">
      <c r="A360" s="69" t="s">
        <v>735</v>
      </c>
      <c r="B360" s="69" t="s">
        <v>1580</v>
      </c>
      <c r="C360" s="69" t="s">
        <v>1622</v>
      </c>
      <c r="D360" s="74" t="s">
        <v>1595</v>
      </c>
      <c r="E360" s="70">
        <f>SUMIFS('K Village'!$D:$D,'K Village'!$B:$B,$A360)</f>
        <v>2</v>
      </c>
      <c r="F360" s="75"/>
      <c r="G360" s="70">
        <f>SUMIFS('Central CL (Department)'!$BO:$BO,'Central CL (Department)'!$A:$A,$A360)</f>
        <v>0</v>
      </c>
      <c r="H360" s="75"/>
      <c r="I360" s="70">
        <f>SUMIFS('Siam Discovery'!$C:$C,'Siam Discovery'!$A:$A,$A360)</f>
        <v>0</v>
      </c>
      <c r="J360" s="75"/>
      <c r="K360" s="70">
        <f>SUMIFS('Paradise Park'!$C:$C,'Paradise Park'!$A:$A,$A360)</f>
        <v>1</v>
      </c>
      <c r="L360" s="75"/>
      <c r="M360" s="70">
        <f>SUMIFS('Central LP'!$D:$D,'Central LP'!$B:$B,$A360)</f>
        <v>0</v>
      </c>
      <c r="N360" s="75"/>
      <c r="O360" s="71">
        <f t="shared" si="10"/>
        <v>3</v>
      </c>
      <c r="P360" s="71">
        <f t="shared" si="11"/>
        <v>0</v>
      </c>
    </row>
    <row r="361" spans="1:16">
      <c r="A361" s="69" t="s">
        <v>737</v>
      </c>
      <c r="B361" s="69" t="s">
        <v>1580</v>
      </c>
      <c r="C361" s="69" t="s">
        <v>1622</v>
      </c>
      <c r="D361" s="74" t="s">
        <v>1596</v>
      </c>
      <c r="E361" s="70">
        <f>SUMIFS('K Village'!$D:$D,'K Village'!$B:$B,$A361)</f>
        <v>2</v>
      </c>
      <c r="F361" s="75"/>
      <c r="G361" s="70">
        <f>SUMIFS('Central CL (Department)'!$BO:$BO,'Central CL (Department)'!$A:$A,$A361)</f>
        <v>0</v>
      </c>
      <c r="H361" s="75"/>
      <c r="I361" s="70">
        <f>SUMIFS('Siam Discovery'!$C:$C,'Siam Discovery'!$A:$A,$A361)</f>
        <v>0</v>
      </c>
      <c r="J361" s="75"/>
      <c r="K361" s="70">
        <f>SUMIFS('Paradise Park'!$C:$C,'Paradise Park'!$A:$A,$A361)</f>
        <v>1</v>
      </c>
      <c r="L361" s="75"/>
      <c r="M361" s="70">
        <f>SUMIFS('Central LP'!$D:$D,'Central LP'!$B:$B,$A361)</f>
        <v>0</v>
      </c>
      <c r="N361" s="75"/>
      <c r="O361" s="71">
        <f t="shared" si="10"/>
        <v>3</v>
      </c>
      <c r="P361" s="71">
        <f t="shared" si="11"/>
        <v>0</v>
      </c>
    </row>
    <row r="362" spans="1:16">
      <c r="A362" s="69" t="s">
        <v>682</v>
      </c>
      <c r="B362" s="69" t="s">
        <v>1580</v>
      </c>
      <c r="C362" s="69" t="s">
        <v>1622</v>
      </c>
      <c r="D362" s="74" t="s">
        <v>1598</v>
      </c>
      <c r="E362" s="70">
        <f>SUMIFS('K Village'!$D:$D,'K Village'!$B:$B,$A362)</f>
        <v>0</v>
      </c>
      <c r="F362" s="75"/>
      <c r="G362" s="70">
        <f>SUMIFS('Central CL (Department)'!$BO:$BO,'Central CL (Department)'!$A:$A,$A362)</f>
        <v>0</v>
      </c>
      <c r="H362" s="75"/>
      <c r="I362" s="70">
        <f>SUMIFS('Siam Discovery'!$C:$C,'Siam Discovery'!$A:$A,$A362)</f>
        <v>0</v>
      </c>
      <c r="J362" s="75"/>
      <c r="K362" s="70">
        <f>SUMIFS('Paradise Park'!$C:$C,'Paradise Park'!$A:$A,$A362)</f>
        <v>0</v>
      </c>
      <c r="L362" s="75"/>
      <c r="M362" s="70">
        <f>SUMIFS('Central LP'!$D:$D,'Central LP'!$B:$B,$A362)</f>
        <v>0</v>
      </c>
      <c r="N362" s="75"/>
      <c r="O362" s="71">
        <f t="shared" si="10"/>
        <v>0</v>
      </c>
      <c r="P362" s="71">
        <f t="shared" si="11"/>
        <v>0</v>
      </c>
    </row>
    <row r="363" spans="1:16">
      <c r="A363" s="69" t="s">
        <v>684</v>
      </c>
      <c r="B363" s="69" t="s">
        <v>1580</v>
      </c>
      <c r="C363" s="69" t="s">
        <v>1622</v>
      </c>
      <c r="D363" s="74" t="s">
        <v>1599</v>
      </c>
      <c r="E363" s="70">
        <f>SUMIFS('K Village'!$D:$D,'K Village'!$B:$B,$A363)</f>
        <v>0</v>
      </c>
      <c r="F363" s="75"/>
      <c r="G363" s="70">
        <f>SUMIFS('Central CL (Department)'!$BO:$BO,'Central CL (Department)'!$A:$A,$A363)</f>
        <v>0</v>
      </c>
      <c r="H363" s="75"/>
      <c r="I363" s="70">
        <f>SUMIFS('Siam Discovery'!$C:$C,'Siam Discovery'!$A:$A,$A363)</f>
        <v>0</v>
      </c>
      <c r="J363" s="75"/>
      <c r="K363" s="70">
        <f>SUMIFS('Paradise Park'!$C:$C,'Paradise Park'!$A:$A,$A363)</f>
        <v>0</v>
      </c>
      <c r="L363" s="75"/>
      <c r="M363" s="70">
        <f>SUMIFS('Central LP'!$D:$D,'Central LP'!$B:$B,$A363)</f>
        <v>0</v>
      </c>
      <c r="N363" s="75"/>
      <c r="O363" s="71">
        <f t="shared" si="10"/>
        <v>0</v>
      </c>
      <c r="P363" s="71">
        <f t="shared" si="11"/>
        <v>0</v>
      </c>
    </row>
    <row r="364" spans="1:16">
      <c r="A364" s="69" t="s">
        <v>686</v>
      </c>
      <c r="B364" s="69" t="s">
        <v>1580</v>
      </c>
      <c r="C364" s="69" t="s">
        <v>1622</v>
      </c>
      <c r="D364" s="74" t="s">
        <v>1600</v>
      </c>
      <c r="E364" s="70">
        <f>SUMIFS('K Village'!$D:$D,'K Village'!$B:$B,$A364)</f>
        <v>0</v>
      </c>
      <c r="F364" s="75"/>
      <c r="G364" s="70">
        <f>SUMIFS('Central CL (Department)'!$BO:$BO,'Central CL (Department)'!$A:$A,$A364)</f>
        <v>2</v>
      </c>
      <c r="H364" s="75"/>
      <c r="I364" s="70">
        <f>SUMIFS('Siam Discovery'!$C:$C,'Siam Discovery'!$A:$A,$A364)</f>
        <v>0</v>
      </c>
      <c r="J364" s="75"/>
      <c r="K364" s="70">
        <f>SUMIFS('Paradise Park'!$C:$C,'Paradise Park'!$A:$A,$A364)</f>
        <v>0</v>
      </c>
      <c r="L364" s="75"/>
      <c r="M364" s="70">
        <f>SUMIFS('Central LP'!$D:$D,'Central LP'!$B:$B,$A364)</f>
        <v>0</v>
      </c>
      <c r="N364" s="75"/>
      <c r="O364" s="71">
        <f t="shared" si="10"/>
        <v>2</v>
      </c>
      <c r="P364" s="71">
        <f t="shared" si="11"/>
        <v>0</v>
      </c>
    </row>
    <row r="365" spans="1:16">
      <c r="A365" s="69" t="s">
        <v>688</v>
      </c>
      <c r="B365" s="69" t="s">
        <v>1580</v>
      </c>
      <c r="C365" s="69" t="s">
        <v>1622</v>
      </c>
      <c r="D365" s="74" t="s">
        <v>1601</v>
      </c>
      <c r="E365" s="70">
        <f>SUMIFS('K Village'!$D:$D,'K Village'!$B:$B,$A365)</f>
        <v>0</v>
      </c>
      <c r="F365" s="75"/>
      <c r="G365" s="70">
        <f>SUMIFS('Central CL (Department)'!$BO:$BO,'Central CL (Department)'!$A:$A,$A365)</f>
        <v>0</v>
      </c>
      <c r="H365" s="75"/>
      <c r="I365" s="70">
        <f>SUMIFS('Siam Discovery'!$C:$C,'Siam Discovery'!$A:$A,$A365)</f>
        <v>0</v>
      </c>
      <c r="J365" s="75"/>
      <c r="K365" s="70">
        <f>SUMIFS('Paradise Park'!$C:$C,'Paradise Park'!$A:$A,$A365)</f>
        <v>0</v>
      </c>
      <c r="L365" s="75"/>
      <c r="M365" s="70">
        <f>SUMIFS('Central LP'!$D:$D,'Central LP'!$B:$B,$A365)</f>
        <v>0</v>
      </c>
      <c r="N365" s="75"/>
      <c r="O365" s="71">
        <f t="shared" si="10"/>
        <v>0</v>
      </c>
      <c r="P365" s="71">
        <f t="shared" si="11"/>
        <v>0</v>
      </c>
    </row>
    <row r="366" spans="1:16">
      <c r="A366" s="69" t="s">
        <v>690</v>
      </c>
      <c r="B366" s="69" t="s">
        <v>1580</v>
      </c>
      <c r="C366" s="69" t="s">
        <v>1622</v>
      </c>
      <c r="D366" s="74" t="s">
        <v>1602</v>
      </c>
      <c r="E366" s="70">
        <f>SUMIFS('K Village'!$D:$D,'K Village'!$B:$B,$A366)</f>
        <v>0</v>
      </c>
      <c r="F366" s="75"/>
      <c r="G366" s="70">
        <f>SUMIFS('Central CL (Department)'!$BO:$BO,'Central CL (Department)'!$A:$A,$A366)</f>
        <v>0</v>
      </c>
      <c r="H366" s="75"/>
      <c r="I366" s="70">
        <f>SUMIFS('Siam Discovery'!$C:$C,'Siam Discovery'!$A:$A,$A366)</f>
        <v>0</v>
      </c>
      <c r="J366" s="75"/>
      <c r="K366" s="70">
        <f>SUMIFS('Paradise Park'!$C:$C,'Paradise Park'!$A:$A,$A366)</f>
        <v>0</v>
      </c>
      <c r="L366" s="75"/>
      <c r="M366" s="70">
        <f>SUMIFS('Central LP'!$D:$D,'Central LP'!$B:$B,$A366)</f>
        <v>0</v>
      </c>
      <c r="N366" s="75"/>
      <c r="O366" s="71">
        <f t="shared" si="10"/>
        <v>0</v>
      </c>
      <c r="P366" s="71">
        <f t="shared" si="11"/>
        <v>0</v>
      </c>
    </row>
    <row r="367" spans="1:16">
      <c r="A367" s="69" t="s">
        <v>692</v>
      </c>
      <c r="B367" s="69" t="s">
        <v>1580</v>
      </c>
      <c r="C367" s="69" t="s">
        <v>1640</v>
      </c>
      <c r="D367" s="74" t="s">
        <v>1588</v>
      </c>
      <c r="E367" s="70">
        <f>SUMIFS('K Village'!$D:$D,'K Village'!$B:$B,$A367)</f>
        <v>1</v>
      </c>
      <c r="F367" s="75"/>
      <c r="G367" s="70">
        <f>SUMIFS('Central CL (Department)'!$BO:$BO,'Central CL (Department)'!$A:$A,$A367)</f>
        <v>0</v>
      </c>
      <c r="H367" s="75"/>
      <c r="I367" s="70">
        <f>SUMIFS('Siam Discovery'!$C:$C,'Siam Discovery'!$A:$A,$A367)</f>
        <v>0</v>
      </c>
      <c r="J367" s="75"/>
      <c r="K367" s="70">
        <f>SUMIFS('Paradise Park'!$C:$C,'Paradise Park'!$A:$A,$A367)</f>
        <v>1</v>
      </c>
      <c r="L367" s="75"/>
      <c r="M367" s="70">
        <f>SUMIFS('Central LP'!$D:$D,'Central LP'!$B:$B,$A367)</f>
        <v>0</v>
      </c>
      <c r="N367" s="75"/>
      <c r="O367" s="71">
        <f t="shared" si="10"/>
        <v>2</v>
      </c>
      <c r="P367" s="71">
        <f t="shared" si="11"/>
        <v>0</v>
      </c>
    </row>
    <row r="368" spans="1:16">
      <c r="A368" s="69" t="s">
        <v>694</v>
      </c>
      <c r="B368" s="69" t="s">
        <v>1580</v>
      </c>
      <c r="C368" s="69" t="s">
        <v>1640</v>
      </c>
      <c r="D368" s="74" t="s">
        <v>1589</v>
      </c>
      <c r="E368" s="70">
        <f>SUMIFS('K Village'!$D:$D,'K Village'!$B:$B,$A368)</f>
        <v>0</v>
      </c>
      <c r="F368" s="75"/>
      <c r="G368" s="70">
        <f>SUMIFS('Central CL (Department)'!$BO:$BO,'Central CL (Department)'!$A:$A,$A368)</f>
        <v>0</v>
      </c>
      <c r="H368" s="75"/>
      <c r="I368" s="70">
        <f>SUMIFS('Siam Discovery'!$C:$C,'Siam Discovery'!$A:$A,$A368)</f>
        <v>1</v>
      </c>
      <c r="J368" s="75"/>
      <c r="K368" s="70">
        <f>SUMIFS('Paradise Park'!$C:$C,'Paradise Park'!$A:$A,$A368)</f>
        <v>1</v>
      </c>
      <c r="L368" s="75"/>
      <c r="M368" s="70">
        <f>SUMIFS('Central LP'!$D:$D,'Central LP'!$B:$B,$A368)</f>
        <v>1</v>
      </c>
      <c r="N368" s="75"/>
      <c r="O368" s="71">
        <f t="shared" si="10"/>
        <v>3</v>
      </c>
      <c r="P368" s="71">
        <f t="shared" si="11"/>
        <v>0</v>
      </c>
    </row>
    <row r="369" spans="1:16">
      <c r="A369" s="69" t="s">
        <v>696</v>
      </c>
      <c r="B369" s="69" t="s">
        <v>1580</v>
      </c>
      <c r="C369" s="69" t="s">
        <v>1640</v>
      </c>
      <c r="D369" s="74" t="s">
        <v>1590</v>
      </c>
      <c r="E369" s="70">
        <f>SUMIFS('K Village'!$D:$D,'K Village'!$B:$B,$A369)</f>
        <v>2</v>
      </c>
      <c r="F369" s="75"/>
      <c r="G369" s="70">
        <f>SUMIFS('Central CL (Department)'!$BO:$BO,'Central CL (Department)'!$A:$A,$A369)</f>
        <v>1</v>
      </c>
      <c r="H369" s="75"/>
      <c r="I369" s="70">
        <f>SUMIFS('Siam Discovery'!$C:$C,'Siam Discovery'!$A:$A,$A369)</f>
        <v>1</v>
      </c>
      <c r="J369" s="75"/>
      <c r="K369" s="70">
        <f>SUMIFS('Paradise Park'!$C:$C,'Paradise Park'!$A:$A,$A369)</f>
        <v>1</v>
      </c>
      <c r="L369" s="75"/>
      <c r="M369" s="70">
        <f>SUMIFS('Central LP'!$D:$D,'Central LP'!$B:$B,$A369)</f>
        <v>0</v>
      </c>
      <c r="N369" s="75"/>
      <c r="O369" s="71">
        <f t="shared" si="10"/>
        <v>5</v>
      </c>
      <c r="P369" s="71">
        <f t="shared" si="11"/>
        <v>0</v>
      </c>
    </row>
    <row r="370" spans="1:16">
      <c r="A370" s="69" t="s">
        <v>698</v>
      </c>
      <c r="B370" s="69" t="s">
        <v>1580</v>
      </c>
      <c r="C370" s="69" t="s">
        <v>1640</v>
      </c>
      <c r="D370" s="74" t="s">
        <v>1591</v>
      </c>
      <c r="E370" s="70">
        <f>SUMIFS('K Village'!$D:$D,'K Village'!$B:$B,$A370)</f>
        <v>1</v>
      </c>
      <c r="F370" s="75"/>
      <c r="G370" s="70">
        <f>SUMIFS('Central CL (Department)'!$BO:$BO,'Central CL (Department)'!$A:$A,$A370)</f>
        <v>2</v>
      </c>
      <c r="H370" s="75"/>
      <c r="I370" s="70">
        <f>SUMIFS('Siam Discovery'!$C:$C,'Siam Discovery'!$A:$A,$A370)</f>
        <v>1</v>
      </c>
      <c r="J370" s="75"/>
      <c r="K370" s="70">
        <f>SUMIFS('Paradise Park'!$C:$C,'Paradise Park'!$A:$A,$A370)</f>
        <v>1</v>
      </c>
      <c r="L370" s="75"/>
      <c r="M370" s="70">
        <f>SUMIFS('Central LP'!$D:$D,'Central LP'!$B:$B,$A370)</f>
        <v>1</v>
      </c>
      <c r="N370" s="75"/>
      <c r="O370" s="71">
        <f t="shared" si="10"/>
        <v>6</v>
      </c>
      <c r="P370" s="71">
        <f t="shared" si="11"/>
        <v>0</v>
      </c>
    </row>
    <row r="371" spans="1:16">
      <c r="A371" s="69" t="s">
        <v>700</v>
      </c>
      <c r="B371" s="69" t="s">
        <v>1580</v>
      </c>
      <c r="C371" s="69" t="s">
        <v>1640</v>
      </c>
      <c r="D371" s="74" t="s">
        <v>1592</v>
      </c>
      <c r="E371" s="70">
        <f>SUMIFS('K Village'!$D:$D,'K Village'!$B:$B,$A371)</f>
        <v>0</v>
      </c>
      <c r="F371" s="75"/>
      <c r="G371" s="70">
        <f>SUMIFS('Central CL (Department)'!$BO:$BO,'Central CL (Department)'!$A:$A,$A371)</f>
        <v>0</v>
      </c>
      <c r="H371" s="75"/>
      <c r="I371" s="70">
        <f>SUMIFS('Siam Discovery'!$C:$C,'Siam Discovery'!$A:$A,$A371)</f>
        <v>1</v>
      </c>
      <c r="J371" s="75"/>
      <c r="K371" s="70">
        <f>SUMIFS('Paradise Park'!$C:$C,'Paradise Park'!$A:$A,$A371)</f>
        <v>0</v>
      </c>
      <c r="L371" s="75"/>
      <c r="M371" s="70">
        <f>SUMIFS('Central LP'!$D:$D,'Central LP'!$B:$B,$A371)</f>
        <v>0</v>
      </c>
      <c r="N371" s="75"/>
      <c r="O371" s="71">
        <f t="shared" si="10"/>
        <v>1</v>
      </c>
      <c r="P371" s="71">
        <f t="shared" si="11"/>
        <v>0</v>
      </c>
    </row>
    <row r="372" spans="1:16">
      <c r="A372" s="69" t="s">
        <v>1030</v>
      </c>
      <c r="B372" s="69" t="s">
        <v>1580</v>
      </c>
      <c r="C372" s="69" t="s">
        <v>1640</v>
      </c>
      <c r="D372" s="74" t="s">
        <v>1593</v>
      </c>
      <c r="E372" s="70">
        <f>SUMIFS('K Village'!$D:$D,'K Village'!$B:$B,$A372)</f>
        <v>1</v>
      </c>
      <c r="F372" s="75"/>
      <c r="G372" s="70">
        <f>SUMIFS('Central CL (Department)'!$BO:$BO,'Central CL (Department)'!$A:$A,$A372)</f>
        <v>0</v>
      </c>
      <c r="H372" s="75"/>
      <c r="I372" s="70">
        <f>SUMIFS('Siam Discovery'!$C:$C,'Siam Discovery'!$A:$A,$A372)</f>
        <v>1</v>
      </c>
      <c r="J372" s="75"/>
      <c r="K372" s="70">
        <f>SUMIFS('Paradise Park'!$C:$C,'Paradise Park'!$A:$A,$A372)</f>
        <v>0</v>
      </c>
      <c r="L372" s="75"/>
      <c r="M372" s="70">
        <f>SUMIFS('Central LP'!$D:$D,'Central LP'!$B:$B,$A372)</f>
        <v>0</v>
      </c>
      <c r="N372" s="75"/>
      <c r="O372" s="71">
        <f t="shared" si="10"/>
        <v>2</v>
      </c>
      <c r="P372" s="71">
        <f t="shared" si="11"/>
        <v>0</v>
      </c>
    </row>
    <row r="373" spans="1:16">
      <c r="A373" s="69" t="s">
        <v>702</v>
      </c>
      <c r="B373" s="69" t="s">
        <v>1580</v>
      </c>
      <c r="C373" s="69" t="s">
        <v>1640</v>
      </c>
      <c r="D373" s="74" t="s">
        <v>1594</v>
      </c>
      <c r="E373" s="70">
        <f>SUMIFS('K Village'!$D:$D,'K Village'!$B:$B,$A373)</f>
        <v>2</v>
      </c>
      <c r="F373" s="75"/>
      <c r="G373" s="70">
        <f>SUMIFS('Central CL (Department)'!$BO:$BO,'Central CL (Department)'!$A:$A,$A373)</f>
        <v>1</v>
      </c>
      <c r="H373" s="75"/>
      <c r="I373" s="70">
        <f>SUMIFS('Siam Discovery'!$C:$C,'Siam Discovery'!$A:$A,$A373)</f>
        <v>0</v>
      </c>
      <c r="J373" s="75"/>
      <c r="K373" s="70">
        <f>SUMIFS('Paradise Park'!$C:$C,'Paradise Park'!$A:$A,$A373)</f>
        <v>1</v>
      </c>
      <c r="L373" s="75"/>
      <c r="M373" s="70">
        <f>SUMIFS('Central LP'!$D:$D,'Central LP'!$B:$B,$A373)</f>
        <v>0</v>
      </c>
      <c r="N373" s="75"/>
      <c r="O373" s="71">
        <f t="shared" si="10"/>
        <v>4</v>
      </c>
      <c r="P373" s="71">
        <f t="shared" si="11"/>
        <v>0</v>
      </c>
    </row>
    <row r="374" spans="1:16">
      <c r="A374" s="69" t="s">
        <v>1077</v>
      </c>
      <c r="B374" s="69" t="s">
        <v>1580</v>
      </c>
      <c r="C374" s="69" t="s">
        <v>1640</v>
      </c>
      <c r="D374" s="74" t="s">
        <v>1595</v>
      </c>
      <c r="E374" s="70">
        <f>SUMIFS('K Village'!$D:$D,'K Village'!$B:$B,$A374)</f>
        <v>1</v>
      </c>
      <c r="F374" s="75"/>
      <c r="G374" s="70">
        <f>SUMIFS('Central CL (Department)'!$BO:$BO,'Central CL (Department)'!$A:$A,$A374)</f>
        <v>0</v>
      </c>
      <c r="H374" s="75"/>
      <c r="I374" s="70">
        <f>SUMIFS('Siam Discovery'!$C:$C,'Siam Discovery'!$A:$A,$A374)</f>
        <v>0</v>
      </c>
      <c r="J374" s="75"/>
      <c r="K374" s="70">
        <f>SUMIFS('Paradise Park'!$C:$C,'Paradise Park'!$A:$A,$A374)</f>
        <v>1</v>
      </c>
      <c r="L374" s="75"/>
      <c r="M374" s="70">
        <f>SUMIFS('Central LP'!$D:$D,'Central LP'!$B:$B,$A374)</f>
        <v>0</v>
      </c>
      <c r="N374" s="75"/>
      <c r="O374" s="71">
        <f t="shared" si="10"/>
        <v>2</v>
      </c>
      <c r="P374" s="71">
        <f t="shared" si="11"/>
        <v>0</v>
      </c>
    </row>
    <row r="375" spans="1:16">
      <c r="A375" s="69" t="s">
        <v>704</v>
      </c>
      <c r="B375" s="69" t="s">
        <v>1580</v>
      </c>
      <c r="C375" s="69" t="s">
        <v>1640</v>
      </c>
      <c r="D375" s="74" t="s">
        <v>1598</v>
      </c>
      <c r="E375" s="70">
        <f>SUMIFS('K Village'!$D:$D,'K Village'!$B:$B,$A375)</f>
        <v>0</v>
      </c>
      <c r="F375" s="75"/>
      <c r="G375" s="70">
        <f>SUMIFS('Central CL (Department)'!$BO:$BO,'Central CL (Department)'!$A:$A,$A375)</f>
        <v>1</v>
      </c>
      <c r="H375" s="75"/>
      <c r="I375" s="70">
        <f>SUMIFS('Siam Discovery'!$C:$C,'Siam Discovery'!$A:$A,$A375)</f>
        <v>0</v>
      </c>
      <c r="J375" s="75"/>
      <c r="K375" s="70">
        <f>SUMIFS('Paradise Park'!$C:$C,'Paradise Park'!$A:$A,$A375)</f>
        <v>2</v>
      </c>
      <c r="L375" s="75"/>
      <c r="M375" s="70">
        <f>SUMIFS('Central LP'!$D:$D,'Central LP'!$B:$B,$A375)</f>
        <v>0</v>
      </c>
      <c r="N375" s="75"/>
      <c r="O375" s="71">
        <f t="shared" si="10"/>
        <v>3</v>
      </c>
      <c r="P375" s="71">
        <f t="shared" si="11"/>
        <v>0</v>
      </c>
    </row>
    <row r="376" spans="1:16">
      <c r="A376" s="69" t="s">
        <v>706</v>
      </c>
      <c r="B376" s="69" t="s">
        <v>1580</v>
      </c>
      <c r="C376" s="69" t="s">
        <v>1640</v>
      </c>
      <c r="D376" s="74" t="s">
        <v>1599</v>
      </c>
      <c r="E376" s="70">
        <f>SUMIFS('K Village'!$D:$D,'K Village'!$B:$B,$A376)</f>
        <v>0</v>
      </c>
      <c r="F376" s="75"/>
      <c r="G376" s="70">
        <f>SUMIFS('Central CL (Department)'!$BO:$BO,'Central CL (Department)'!$A:$A,$A376)</f>
        <v>2</v>
      </c>
      <c r="H376" s="75"/>
      <c r="I376" s="70">
        <f>SUMIFS('Siam Discovery'!$C:$C,'Siam Discovery'!$A:$A,$A376)</f>
        <v>0</v>
      </c>
      <c r="J376" s="75"/>
      <c r="K376" s="70">
        <f>SUMIFS('Paradise Park'!$C:$C,'Paradise Park'!$A:$A,$A376)</f>
        <v>2</v>
      </c>
      <c r="L376" s="75"/>
      <c r="M376" s="70">
        <f>SUMIFS('Central LP'!$D:$D,'Central LP'!$B:$B,$A376)</f>
        <v>1</v>
      </c>
      <c r="N376" s="75"/>
      <c r="O376" s="71">
        <f t="shared" si="10"/>
        <v>5</v>
      </c>
      <c r="P376" s="71">
        <f t="shared" si="11"/>
        <v>0</v>
      </c>
    </row>
    <row r="377" spans="1:16">
      <c r="A377" s="69" t="s">
        <v>708</v>
      </c>
      <c r="B377" s="69" t="s">
        <v>1580</v>
      </c>
      <c r="C377" s="69" t="s">
        <v>1640</v>
      </c>
      <c r="D377" s="74" t="s">
        <v>1600</v>
      </c>
      <c r="E377" s="70">
        <f>SUMIFS('K Village'!$D:$D,'K Village'!$B:$B,$A377)</f>
        <v>0</v>
      </c>
      <c r="F377" s="75"/>
      <c r="G377" s="70">
        <f>SUMIFS('Central CL (Department)'!$BO:$BO,'Central CL (Department)'!$A:$A,$A377)</f>
        <v>1</v>
      </c>
      <c r="H377" s="75"/>
      <c r="I377" s="70">
        <f>SUMIFS('Siam Discovery'!$C:$C,'Siam Discovery'!$A:$A,$A377)</f>
        <v>0</v>
      </c>
      <c r="J377" s="75"/>
      <c r="K377" s="70">
        <f>SUMIFS('Paradise Park'!$C:$C,'Paradise Park'!$A:$A,$A377)</f>
        <v>2</v>
      </c>
      <c r="L377" s="75"/>
      <c r="M377" s="70">
        <f>SUMIFS('Central LP'!$D:$D,'Central LP'!$B:$B,$A377)</f>
        <v>1</v>
      </c>
      <c r="N377" s="75"/>
      <c r="O377" s="71">
        <f t="shared" si="10"/>
        <v>4</v>
      </c>
      <c r="P377" s="71">
        <f t="shared" si="11"/>
        <v>0</v>
      </c>
    </row>
    <row r="378" spans="1:16">
      <c r="A378" s="69" t="s">
        <v>710</v>
      </c>
      <c r="B378" s="69" t="s">
        <v>1580</v>
      </c>
      <c r="C378" s="69" t="s">
        <v>1640</v>
      </c>
      <c r="D378" s="74" t="s">
        <v>1601</v>
      </c>
      <c r="E378" s="70">
        <f>SUMIFS('K Village'!$D:$D,'K Village'!$B:$B,$A378)</f>
        <v>0</v>
      </c>
      <c r="F378" s="75"/>
      <c r="G378" s="70">
        <f>SUMIFS('Central CL (Department)'!$BO:$BO,'Central CL (Department)'!$A:$A,$A378)</f>
        <v>0</v>
      </c>
      <c r="H378" s="75"/>
      <c r="I378" s="70">
        <f>SUMIFS('Siam Discovery'!$C:$C,'Siam Discovery'!$A:$A,$A378)</f>
        <v>0</v>
      </c>
      <c r="J378" s="75"/>
      <c r="K378" s="70">
        <f>SUMIFS('Paradise Park'!$C:$C,'Paradise Park'!$A:$A,$A378)</f>
        <v>2</v>
      </c>
      <c r="L378" s="75"/>
      <c r="M378" s="70">
        <f>SUMIFS('Central LP'!$D:$D,'Central LP'!$B:$B,$A378)</f>
        <v>1</v>
      </c>
      <c r="N378" s="75"/>
      <c r="O378" s="71">
        <f t="shared" si="10"/>
        <v>3</v>
      </c>
      <c r="P378" s="71">
        <f t="shared" si="11"/>
        <v>0</v>
      </c>
    </row>
    <row r="379" spans="1:16">
      <c r="A379" s="69" t="s">
        <v>712</v>
      </c>
      <c r="B379" s="69" t="s">
        <v>1580</v>
      </c>
      <c r="C379" s="69" t="s">
        <v>1640</v>
      </c>
      <c r="D379" s="74" t="s">
        <v>1602</v>
      </c>
      <c r="E379" s="70">
        <f>SUMIFS('K Village'!$D:$D,'K Village'!$B:$B,$A379)</f>
        <v>0</v>
      </c>
      <c r="F379" s="75"/>
      <c r="G379" s="70">
        <f>SUMIFS('Central CL (Department)'!$BO:$BO,'Central CL (Department)'!$A:$A,$A379)</f>
        <v>1</v>
      </c>
      <c r="H379" s="75"/>
      <c r="I379" s="70">
        <f>SUMIFS('Siam Discovery'!$C:$C,'Siam Discovery'!$A:$A,$A379)</f>
        <v>0</v>
      </c>
      <c r="J379" s="75"/>
      <c r="K379" s="70">
        <f>SUMIFS('Paradise Park'!$C:$C,'Paradise Park'!$A:$A,$A379)</f>
        <v>2</v>
      </c>
      <c r="L379" s="75"/>
      <c r="M379" s="70">
        <f>SUMIFS('Central LP'!$D:$D,'Central LP'!$B:$B,$A379)</f>
        <v>1</v>
      </c>
      <c r="N379" s="75"/>
      <c r="O379" s="71">
        <f t="shared" si="10"/>
        <v>4</v>
      </c>
      <c r="P379" s="71">
        <f t="shared" si="11"/>
        <v>0</v>
      </c>
    </row>
    <row r="380" spans="1:16">
      <c r="A380" s="69" t="s">
        <v>1075</v>
      </c>
      <c r="B380" s="69" t="s">
        <v>1580</v>
      </c>
      <c r="C380" s="69" t="s">
        <v>1640</v>
      </c>
      <c r="D380" s="74" t="s">
        <v>1603</v>
      </c>
      <c r="E380" s="70">
        <f>SUMIFS('K Village'!$D:$D,'K Village'!$B:$B,$A380)</f>
        <v>0</v>
      </c>
      <c r="F380" s="75"/>
      <c r="G380" s="70">
        <f>SUMIFS('Central CL (Department)'!$BO:$BO,'Central CL (Department)'!$A:$A,$A380)</f>
        <v>0</v>
      </c>
      <c r="H380" s="75"/>
      <c r="I380" s="70">
        <f>SUMIFS('Siam Discovery'!$C:$C,'Siam Discovery'!$A:$A,$A380)</f>
        <v>0</v>
      </c>
      <c r="J380" s="75"/>
      <c r="K380" s="70">
        <f>SUMIFS('Paradise Park'!$C:$C,'Paradise Park'!$A:$A,$A380)</f>
        <v>1</v>
      </c>
      <c r="L380" s="75"/>
      <c r="M380" s="70">
        <f>SUMIFS('Central LP'!$D:$D,'Central LP'!$B:$B,$A380)</f>
        <v>1</v>
      </c>
      <c r="N380" s="75"/>
      <c r="O380" s="71">
        <f t="shared" si="10"/>
        <v>2</v>
      </c>
      <c r="P380" s="71">
        <f t="shared" si="11"/>
        <v>0</v>
      </c>
    </row>
    <row r="381" spans="1:16">
      <c r="A381" s="69" t="s">
        <v>714</v>
      </c>
      <c r="B381" s="69" t="s">
        <v>1580</v>
      </c>
      <c r="C381" s="69" t="s">
        <v>1641</v>
      </c>
      <c r="D381" s="74" t="s">
        <v>1588</v>
      </c>
      <c r="E381" s="70">
        <f>SUMIFS('K Village'!$D:$D,'K Village'!$B:$B,$A381)</f>
        <v>1</v>
      </c>
      <c r="F381" s="75"/>
      <c r="G381" s="70">
        <f>SUMIFS('Central CL (Department)'!$BO:$BO,'Central CL (Department)'!$A:$A,$A381)</f>
        <v>0</v>
      </c>
      <c r="H381" s="75"/>
      <c r="I381" s="70">
        <f>SUMIFS('Siam Discovery'!$C:$C,'Siam Discovery'!$A:$A,$A381)</f>
        <v>0</v>
      </c>
      <c r="J381" s="75"/>
      <c r="K381" s="70">
        <f>SUMIFS('Paradise Park'!$C:$C,'Paradise Park'!$A:$A,$A381)</f>
        <v>2</v>
      </c>
      <c r="L381" s="75"/>
      <c r="M381" s="70">
        <f>SUMIFS('Central LP'!$D:$D,'Central LP'!$B:$B,$A381)</f>
        <v>0</v>
      </c>
      <c r="N381" s="75"/>
      <c r="O381" s="71">
        <f t="shared" si="10"/>
        <v>3</v>
      </c>
      <c r="P381" s="71">
        <f t="shared" si="11"/>
        <v>0</v>
      </c>
    </row>
    <row r="382" spans="1:16">
      <c r="A382" s="69" t="s">
        <v>716</v>
      </c>
      <c r="B382" s="69" t="s">
        <v>1580</v>
      </c>
      <c r="C382" s="69" t="s">
        <v>1641</v>
      </c>
      <c r="D382" s="74" t="s">
        <v>1589</v>
      </c>
      <c r="E382" s="70">
        <f>SUMIFS('K Village'!$D:$D,'K Village'!$B:$B,$A382)</f>
        <v>1</v>
      </c>
      <c r="F382" s="75"/>
      <c r="G382" s="70">
        <f>SUMIFS('Central CL (Department)'!$BO:$BO,'Central CL (Department)'!$A:$A,$A382)</f>
        <v>1</v>
      </c>
      <c r="H382" s="75"/>
      <c r="I382" s="70">
        <f>SUMIFS('Siam Discovery'!$C:$C,'Siam Discovery'!$A:$A,$A382)</f>
        <v>1</v>
      </c>
      <c r="J382" s="75"/>
      <c r="K382" s="70">
        <f>SUMIFS('Paradise Park'!$C:$C,'Paradise Park'!$A:$A,$A382)</f>
        <v>3</v>
      </c>
      <c r="L382" s="75"/>
      <c r="M382" s="70">
        <f>SUMIFS('Central LP'!$D:$D,'Central LP'!$B:$B,$A382)</f>
        <v>1</v>
      </c>
      <c r="N382" s="75"/>
      <c r="O382" s="71">
        <f t="shared" si="10"/>
        <v>7</v>
      </c>
      <c r="P382" s="71">
        <f t="shared" si="11"/>
        <v>0</v>
      </c>
    </row>
    <row r="383" spans="1:16">
      <c r="A383" s="69" t="s">
        <v>718</v>
      </c>
      <c r="B383" s="69" t="s">
        <v>1580</v>
      </c>
      <c r="C383" s="69" t="s">
        <v>1641</v>
      </c>
      <c r="D383" s="74" t="s">
        <v>1590</v>
      </c>
      <c r="E383" s="70">
        <f>SUMIFS('K Village'!$D:$D,'K Village'!$B:$B,$A383)</f>
        <v>0</v>
      </c>
      <c r="F383" s="75"/>
      <c r="G383" s="70">
        <f>SUMIFS('Central CL (Department)'!$BO:$BO,'Central CL (Department)'!$A:$A,$A383)</f>
        <v>2</v>
      </c>
      <c r="H383" s="75"/>
      <c r="I383" s="70">
        <f>SUMIFS('Siam Discovery'!$C:$C,'Siam Discovery'!$A:$A,$A383)</f>
        <v>1</v>
      </c>
      <c r="J383" s="75"/>
      <c r="K383" s="70">
        <f>SUMIFS('Paradise Park'!$C:$C,'Paradise Park'!$A:$A,$A383)</f>
        <v>4</v>
      </c>
      <c r="L383" s="75"/>
      <c r="M383" s="70">
        <f>SUMIFS('Central LP'!$D:$D,'Central LP'!$B:$B,$A383)</f>
        <v>1</v>
      </c>
      <c r="N383" s="75"/>
      <c r="O383" s="71">
        <f t="shared" si="10"/>
        <v>8</v>
      </c>
      <c r="P383" s="71">
        <f t="shared" si="11"/>
        <v>0</v>
      </c>
    </row>
    <row r="384" spans="1:16">
      <c r="A384" s="69" t="s">
        <v>720</v>
      </c>
      <c r="B384" s="69" t="s">
        <v>1580</v>
      </c>
      <c r="C384" s="69" t="s">
        <v>1641</v>
      </c>
      <c r="D384" s="74" t="s">
        <v>1591</v>
      </c>
      <c r="E384" s="70">
        <f>SUMIFS('K Village'!$D:$D,'K Village'!$B:$B,$A384)</f>
        <v>1</v>
      </c>
      <c r="F384" s="75"/>
      <c r="G384" s="70">
        <f>SUMIFS('Central CL (Department)'!$BO:$BO,'Central CL (Department)'!$A:$A,$A384)</f>
        <v>1</v>
      </c>
      <c r="H384" s="75"/>
      <c r="I384" s="70">
        <f>SUMIFS('Siam Discovery'!$C:$C,'Siam Discovery'!$A:$A,$A384)</f>
        <v>1</v>
      </c>
      <c r="J384" s="75"/>
      <c r="K384" s="70">
        <f>SUMIFS('Paradise Park'!$C:$C,'Paradise Park'!$A:$A,$A384)</f>
        <v>3</v>
      </c>
      <c r="L384" s="75"/>
      <c r="M384" s="70">
        <f>SUMIFS('Central LP'!$D:$D,'Central LP'!$B:$B,$A384)</f>
        <v>1</v>
      </c>
      <c r="N384" s="75"/>
      <c r="O384" s="71">
        <f t="shared" si="10"/>
        <v>7</v>
      </c>
      <c r="P384" s="71">
        <f t="shared" si="11"/>
        <v>0</v>
      </c>
    </row>
    <row r="385" spans="1:16">
      <c r="A385" s="69" t="s">
        <v>722</v>
      </c>
      <c r="B385" s="69" t="s">
        <v>1580</v>
      </c>
      <c r="C385" s="69" t="s">
        <v>1641</v>
      </c>
      <c r="D385" s="74" t="s">
        <v>1592</v>
      </c>
      <c r="E385" s="70">
        <f>SUMIFS('K Village'!$D:$D,'K Village'!$B:$B,$A385)</f>
        <v>1</v>
      </c>
      <c r="F385" s="75"/>
      <c r="G385" s="70">
        <f>SUMIFS('Central CL (Department)'!$BO:$BO,'Central CL (Department)'!$A:$A,$A385)</f>
        <v>1</v>
      </c>
      <c r="H385" s="75"/>
      <c r="I385" s="70">
        <f>SUMIFS('Siam Discovery'!$C:$C,'Siam Discovery'!$A:$A,$A385)</f>
        <v>1</v>
      </c>
      <c r="J385" s="75"/>
      <c r="K385" s="70">
        <f>SUMIFS('Paradise Park'!$C:$C,'Paradise Park'!$A:$A,$A385)</f>
        <v>2</v>
      </c>
      <c r="L385" s="75"/>
      <c r="M385" s="70">
        <f>SUMIFS('Central LP'!$D:$D,'Central LP'!$B:$B,$A385)</f>
        <v>1</v>
      </c>
      <c r="N385" s="75"/>
      <c r="O385" s="71">
        <f t="shared" si="10"/>
        <v>6</v>
      </c>
      <c r="P385" s="71">
        <f t="shared" si="11"/>
        <v>0</v>
      </c>
    </row>
    <row r="386" spans="1:16">
      <c r="A386" s="69" t="s">
        <v>724</v>
      </c>
      <c r="B386" s="69" t="s">
        <v>1580</v>
      </c>
      <c r="C386" s="69" t="s">
        <v>1641</v>
      </c>
      <c r="D386" s="74" t="s">
        <v>1593</v>
      </c>
      <c r="E386" s="70">
        <f>SUMIFS('K Village'!$D:$D,'K Village'!$B:$B,$A386)</f>
        <v>0</v>
      </c>
      <c r="F386" s="75"/>
      <c r="G386" s="70">
        <f>SUMIFS('Central CL (Department)'!$BO:$BO,'Central CL (Department)'!$A:$A,$A386)</f>
        <v>1</v>
      </c>
      <c r="H386" s="75"/>
      <c r="I386" s="70">
        <f>SUMIFS('Siam Discovery'!$C:$C,'Siam Discovery'!$A:$A,$A386)</f>
        <v>1</v>
      </c>
      <c r="J386" s="75"/>
      <c r="K386" s="70">
        <f>SUMIFS('Paradise Park'!$C:$C,'Paradise Park'!$A:$A,$A386)</f>
        <v>0</v>
      </c>
      <c r="L386" s="75"/>
      <c r="M386" s="70">
        <f>SUMIFS('Central LP'!$D:$D,'Central LP'!$B:$B,$A386)</f>
        <v>1</v>
      </c>
      <c r="N386" s="75"/>
      <c r="O386" s="71">
        <f t="shared" si="10"/>
        <v>3</v>
      </c>
      <c r="P386" s="71">
        <f t="shared" si="11"/>
        <v>0</v>
      </c>
    </row>
    <row r="387" spans="1:16">
      <c r="A387" s="69" t="s">
        <v>728</v>
      </c>
      <c r="B387" s="69" t="s">
        <v>1580</v>
      </c>
      <c r="C387" s="69" t="s">
        <v>1641</v>
      </c>
      <c r="D387" s="74" t="s">
        <v>1594</v>
      </c>
      <c r="E387" s="70">
        <f>SUMIFS('K Village'!$D:$D,'K Village'!$B:$B,$A387)</f>
        <v>1</v>
      </c>
      <c r="F387" s="75"/>
      <c r="G387" s="70">
        <f>SUMIFS('Central CL (Department)'!$BO:$BO,'Central CL (Department)'!$A:$A,$A387)</f>
        <v>1</v>
      </c>
      <c r="H387" s="75"/>
      <c r="I387" s="70">
        <f>SUMIFS('Siam Discovery'!$C:$C,'Siam Discovery'!$A:$A,$A387)</f>
        <v>0</v>
      </c>
      <c r="J387" s="75"/>
      <c r="K387" s="70">
        <f>SUMIFS('Paradise Park'!$C:$C,'Paradise Park'!$A:$A,$A387)</f>
        <v>1</v>
      </c>
      <c r="L387" s="75"/>
      <c r="M387" s="70">
        <f>SUMIFS('Central LP'!$D:$D,'Central LP'!$B:$B,$A387)</f>
        <v>1</v>
      </c>
      <c r="N387" s="75"/>
      <c r="O387" s="71">
        <f t="shared" si="10"/>
        <v>4</v>
      </c>
      <c r="P387" s="71">
        <f t="shared" si="11"/>
        <v>0</v>
      </c>
    </row>
    <row r="388" spans="1:16">
      <c r="A388" s="69" t="s">
        <v>1073</v>
      </c>
      <c r="B388" s="69" t="s">
        <v>1580</v>
      </c>
      <c r="C388" s="69" t="s">
        <v>1641</v>
      </c>
      <c r="D388" s="74" t="s">
        <v>1595</v>
      </c>
      <c r="E388" s="70">
        <f>SUMIFS('K Village'!$D:$D,'K Village'!$B:$B,$A388)</f>
        <v>1</v>
      </c>
      <c r="F388" s="75"/>
      <c r="G388" s="70">
        <f>SUMIFS('Central CL (Department)'!$BO:$BO,'Central CL (Department)'!$A:$A,$A388)</f>
        <v>0</v>
      </c>
      <c r="H388" s="75"/>
      <c r="I388" s="70">
        <f>SUMIFS('Siam Discovery'!$C:$C,'Siam Discovery'!$A:$A,$A388)</f>
        <v>0</v>
      </c>
      <c r="J388" s="75"/>
      <c r="K388" s="70">
        <f>SUMIFS('Paradise Park'!$C:$C,'Paradise Park'!$A:$A,$A388)</f>
        <v>1</v>
      </c>
      <c r="L388" s="75"/>
      <c r="M388" s="70">
        <f>SUMIFS('Central LP'!$D:$D,'Central LP'!$B:$B,$A388)</f>
        <v>0</v>
      </c>
      <c r="N388" s="75"/>
      <c r="O388" s="71">
        <f t="shared" si="10"/>
        <v>2</v>
      </c>
      <c r="P388" s="71">
        <f t="shared" si="11"/>
        <v>0</v>
      </c>
    </row>
    <row r="389" spans="1:16">
      <c r="A389" s="69" t="s">
        <v>732</v>
      </c>
      <c r="B389" s="69" t="s">
        <v>1581</v>
      </c>
      <c r="C389" s="69" t="s">
        <v>1622</v>
      </c>
      <c r="D389" s="74" t="s">
        <v>1588</v>
      </c>
      <c r="E389" s="70">
        <f>SUMIFS('K Village'!$D:$D,'K Village'!$B:$B,$A389)</f>
        <v>2</v>
      </c>
      <c r="F389" s="75"/>
      <c r="G389" s="70">
        <f>SUMIFS('Central CL (Department)'!$BO:$BO,'Central CL (Department)'!$A:$A,$A389)</f>
        <v>1</v>
      </c>
      <c r="H389" s="75"/>
      <c r="I389" s="70">
        <f>SUMIFS('Siam Discovery'!$C:$C,'Siam Discovery'!$A:$A,$A389)</f>
        <v>3</v>
      </c>
      <c r="J389" s="75"/>
      <c r="K389" s="70">
        <f>SUMIFS('Paradise Park'!$C:$C,'Paradise Park'!$A:$A,$A389)</f>
        <v>2</v>
      </c>
      <c r="L389" s="75"/>
      <c r="M389" s="70">
        <f>SUMIFS('Central LP'!$D:$D,'Central LP'!$B:$B,$A389)</f>
        <v>1</v>
      </c>
      <c r="N389" s="75"/>
      <c r="O389" s="71">
        <f t="shared" si="10"/>
        <v>9</v>
      </c>
      <c r="P389" s="71">
        <f t="shared" si="11"/>
        <v>0</v>
      </c>
    </row>
    <row r="390" spans="1:16">
      <c r="A390" s="69" t="s">
        <v>103</v>
      </c>
      <c r="B390" s="69" t="s">
        <v>1581</v>
      </c>
      <c r="C390" s="69" t="s">
        <v>1622</v>
      </c>
      <c r="D390" s="74" t="s">
        <v>1589</v>
      </c>
      <c r="E390" s="70">
        <f>SUMIFS('K Village'!$D:$D,'K Village'!$B:$B,$A390)</f>
        <v>2</v>
      </c>
      <c r="F390" s="75"/>
      <c r="G390" s="70">
        <f>SUMIFS('Central CL (Department)'!$BO:$BO,'Central CL (Department)'!$A:$A,$A390)</f>
        <v>1</v>
      </c>
      <c r="H390" s="75"/>
      <c r="I390" s="70">
        <f>SUMIFS('Siam Discovery'!$C:$C,'Siam Discovery'!$A:$A,$A390)</f>
        <v>3</v>
      </c>
      <c r="J390" s="75"/>
      <c r="K390" s="70">
        <f>SUMIFS('Paradise Park'!$C:$C,'Paradise Park'!$A:$A,$A390)</f>
        <v>3</v>
      </c>
      <c r="L390" s="75"/>
      <c r="M390" s="70">
        <f>SUMIFS('Central LP'!$D:$D,'Central LP'!$B:$B,$A390)</f>
        <v>1</v>
      </c>
      <c r="N390" s="75"/>
      <c r="O390" s="71">
        <f t="shared" ref="O390:O453" si="12">E390+G390+I390+K390+M390</f>
        <v>10</v>
      </c>
      <c r="P390" s="71">
        <f t="shared" ref="P390:P453" si="13">F390+H390+J390+L390+N390</f>
        <v>0</v>
      </c>
    </row>
    <row r="391" spans="1:16">
      <c r="A391" s="69" t="s">
        <v>105</v>
      </c>
      <c r="B391" s="69" t="s">
        <v>1581</v>
      </c>
      <c r="C391" s="69" t="s">
        <v>1622</v>
      </c>
      <c r="D391" s="74" t="s">
        <v>1590</v>
      </c>
      <c r="E391" s="70">
        <f>SUMIFS('K Village'!$D:$D,'K Village'!$B:$B,$A391)</f>
        <v>2</v>
      </c>
      <c r="F391" s="75"/>
      <c r="G391" s="70">
        <f>SUMIFS('Central CL (Department)'!$BO:$BO,'Central CL (Department)'!$A:$A,$A391)</f>
        <v>5</v>
      </c>
      <c r="H391" s="75"/>
      <c r="I391" s="70">
        <f>SUMIFS('Siam Discovery'!$C:$C,'Siam Discovery'!$A:$A,$A391)</f>
        <v>2</v>
      </c>
      <c r="J391" s="75"/>
      <c r="K391" s="70">
        <f>SUMIFS('Paradise Park'!$C:$C,'Paradise Park'!$A:$A,$A391)</f>
        <v>2</v>
      </c>
      <c r="L391" s="75"/>
      <c r="M391" s="70">
        <f>SUMIFS('Central LP'!$D:$D,'Central LP'!$B:$B,$A391)</f>
        <v>1</v>
      </c>
      <c r="N391" s="75"/>
      <c r="O391" s="71">
        <f t="shared" si="12"/>
        <v>12</v>
      </c>
      <c r="P391" s="71">
        <f t="shared" si="13"/>
        <v>0</v>
      </c>
    </row>
    <row r="392" spans="1:16">
      <c r="A392" s="69" t="s">
        <v>107</v>
      </c>
      <c r="B392" s="69" t="s">
        <v>1581</v>
      </c>
      <c r="C392" s="69" t="s">
        <v>1622</v>
      </c>
      <c r="D392" s="74" t="s">
        <v>1591</v>
      </c>
      <c r="E392" s="70">
        <f>SUMIFS('K Village'!$D:$D,'K Village'!$B:$B,$A392)</f>
        <v>2</v>
      </c>
      <c r="F392" s="75"/>
      <c r="G392" s="70">
        <f>SUMIFS('Central CL (Department)'!$BO:$BO,'Central CL (Department)'!$A:$A,$A392)</f>
        <v>0</v>
      </c>
      <c r="H392" s="75"/>
      <c r="I392" s="70">
        <f>SUMIFS('Siam Discovery'!$C:$C,'Siam Discovery'!$A:$A,$A392)</f>
        <v>1</v>
      </c>
      <c r="J392" s="75"/>
      <c r="K392" s="70">
        <f>SUMIFS('Paradise Park'!$C:$C,'Paradise Park'!$A:$A,$A392)</f>
        <v>1</v>
      </c>
      <c r="L392" s="75"/>
      <c r="M392" s="70">
        <f>SUMIFS('Central LP'!$D:$D,'Central LP'!$B:$B,$A392)</f>
        <v>1</v>
      </c>
      <c r="N392" s="75"/>
      <c r="O392" s="71">
        <f t="shared" si="12"/>
        <v>5</v>
      </c>
      <c r="P392" s="71">
        <f t="shared" si="13"/>
        <v>0</v>
      </c>
    </row>
    <row r="393" spans="1:16">
      <c r="A393" s="69" t="s">
        <v>109</v>
      </c>
      <c r="B393" s="69" t="s">
        <v>1581</v>
      </c>
      <c r="C393" s="69" t="s">
        <v>1622</v>
      </c>
      <c r="D393" s="74" t="s">
        <v>1592</v>
      </c>
      <c r="E393" s="70">
        <f>SUMIFS('K Village'!$D:$D,'K Village'!$B:$B,$A393)</f>
        <v>2</v>
      </c>
      <c r="F393" s="75"/>
      <c r="G393" s="70">
        <f>SUMIFS('Central CL (Department)'!$BO:$BO,'Central CL (Department)'!$A:$A,$A393)</f>
        <v>1</v>
      </c>
      <c r="H393" s="75"/>
      <c r="I393" s="70">
        <f>SUMIFS('Siam Discovery'!$C:$C,'Siam Discovery'!$A:$A,$A393)</f>
        <v>1</v>
      </c>
      <c r="J393" s="75"/>
      <c r="K393" s="70">
        <f>SUMIFS('Paradise Park'!$C:$C,'Paradise Park'!$A:$A,$A393)</f>
        <v>0</v>
      </c>
      <c r="L393" s="75"/>
      <c r="M393" s="70">
        <f>SUMIFS('Central LP'!$D:$D,'Central LP'!$B:$B,$A393)</f>
        <v>2</v>
      </c>
      <c r="N393" s="75"/>
      <c r="O393" s="71">
        <f t="shared" si="12"/>
        <v>6</v>
      </c>
      <c r="P393" s="71">
        <f t="shared" si="13"/>
        <v>0</v>
      </c>
    </row>
    <row r="394" spans="1:16">
      <c r="A394" s="69" t="s">
        <v>111</v>
      </c>
      <c r="B394" s="69" t="s">
        <v>1581</v>
      </c>
      <c r="C394" s="69" t="s">
        <v>1622</v>
      </c>
      <c r="D394" s="74" t="s">
        <v>1593</v>
      </c>
      <c r="E394" s="70">
        <f>SUMIFS('K Village'!$D:$D,'K Village'!$B:$B,$A394)</f>
        <v>1</v>
      </c>
      <c r="F394" s="75"/>
      <c r="G394" s="70">
        <f>SUMIFS('Central CL (Department)'!$BO:$BO,'Central CL (Department)'!$A:$A,$A394)</f>
        <v>1</v>
      </c>
      <c r="H394" s="75"/>
      <c r="I394" s="70">
        <f>SUMIFS('Siam Discovery'!$C:$C,'Siam Discovery'!$A:$A,$A394)</f>
        <v>2</v>
      </c>
      <c r="J394" s="75"/>
      <c r="K394" s="70">
        <f>SUMIFS('Paradise Park'!$C:$C,'Paradise Park'!$A:$A,$A394)</f>
        <v>1</v>
      </c>
      <c r="L394" s="75"/>
      <c r="M394" s="70">
        <f>SUMIFS('Central LP'!$D:$D,'Central LP'!$B:$B,$A394)</f>
        <v>1</v>
      </c>
      <c r="N394" s="75"/>
      <c r="O394" s="71">
        <f t="shared" si="12"/>
        <v>6</v>
      </c>
      <c r="P394" s="71">
        <f t="shared" si="13"/>
        <v>0</v>
      </c>
    </row>
    <row r="395" spans="1:16">
      <c r="A395" s="69" t="s">
        <v>113</v>
      </c>
      <c r="B395" s="69" t="s">
        <v>1581</v>
      </c>
      <c r="C395" s="69" t="s">
        <v>1622</v>
      </c>
      <c r="D395" s="74" t="s">
        <v>1594</v>
      </c>
      <c r="E395" s="70">
        <f>SUMIFS('K Village'!$D:$D,'K Village'!$B:$B,$A395)</f>
        <v>1</v>
      </c>
      <c r="F395" s="75"/>
      <c r="G395" s="70">
        <f>SUMIFS('Central CL (Department)'!$BO:$BO,'Central CL (Department)'!$A:$A,$A395)</f>
        <v>1</v>
      </c>
      <c r="H395" s="75"/>
      <c r="I395" s="70">
        <f>SUMIFS('Siam Discovery'!$C:$C,'Siam Discovery'!$A:$A,$A395)</f>
        <v>0</v>
      </c>
      <c r="J395" s="75"/>
      <c r="K395" s="70">
        <f>SUMIFS('Paradise Park'!$C:$C,'Paradise Park'!$A:$A,$A395)</f>
        <v>1</v>
      </c>
      <c r="L395" s="75"/>
      <c r="M395" s="70">
        <f>SUMIFS('Central LP'!$D:$D,'Central LP'!$B:$B,$A395)</f>
        <v>1</v>
      </c>
      <c r="N395" s="75"/>
      <c r="O395" s="71">
        <f t="shared" si="12"/>
        <v>4</v>
      </c>
      <c r="P395" s="71">
        <f t="shared" si="13"/>
        <v>0</v>
      </c>
    </row>
    <row r="396" spans="1:16">
      <c r="A396" s="69" t="s">
        <v>749</v>
      </c>
      <c r="B396" s="69" t="s">
        <v>1581</v>
      </c>
      <c r="C396" s="69" t="s">
        <v>1622</v>
      </c>
      <c r="D396" s="74" t="s">
        <v>1595</v>
      </c>
      <c r="E396" s="70">
        <f>SUMIFS('K Village'!$D:$D,'K Village'!$B:$B,$A396)</f>
        <v>2</v>
      </c>
      <c r="F396" s="75"/>
      <c r="G396" s="70">
        <f>SUMIFS('Central CL (Department)'!$BO:$BO,'Central CL (Department)'!$A:$A,$A396)</f>
        <v>0</v>
      </c>
      <c r="H396" s="75"/>
      <c r="I396" s="70">
        <f>SUMIFS('Siam Discovery'!$C:$C,'Siam Discovery'!$A:$A,$A396)</f>
        <v>0</v>
      </c>
      <c r="J396" s="75"/>
      <c r="K396" s="70">
        <f>SUMIFS('Paradise Park'!$C:$C,'Paradise Park'!$A:$A,$A396)</f>
        <v>1</v>
      </c>
      <c r="L396" s="75"/>
      <c r="M396" s="70">
        <f>SUMIFS('Central LP'!$D:$D,'Central LP'!$B:$B,$A396)</f>
        <v>0</v>
      </c>
      <c r="N396" s="75"/>
      <c r="O396" s="71">
        <f t="shared" si="12"/>
        <v>3</v>
      </c>
      <c r="P396" s="71">
        <f t="shared" si="13"/>
        <v>0</v>
      </c>
    </row>
    <row r="397" spans="1:16">
      <c r="A397" s="69" t="s">
        <v>1532</v>
      </c>
      <c r="B397" s="69" t="s">
        <v>1581</v>
      </c>
      <c r="C397" s="69" t="s">
        <v>1622</v>
      </c>
      <c r="D397" s="74" t="s">
        <v>1596</v>
      </c>
      <c r="E397" s="70">
        <f>SUMIFS('K Village'!$D:$D,'K Village'!$B:$B,$A397)</f>
        <v>2</v>
      </c>
      <c r="F397" s="75"/>
      <c r="G397" s="70">
        <f>SUMIFS('Central CL (Department)'!$BO:$BO,'Central CL (Department)'!$A:$A,$A397)</f>
        <v>0</v>
      </c>
      <c r="H397" s="75"/>
      <c r="I397" s="70">
        <f>SUMIFS('Siam Discovery'!$C:$C,'Siam Discovery'!$A:$A,$A397)</f>
        <v>0</v>
      </c>
      <c r="J397" s="75"/>
      <c r="K397" s="70">
        <f>SUMIFS('Paradise Park'!$C:$C,'Paradise Park'!$A:$A,$A397)</f>
        <v>0</v>
      </c>
      <c r="L397" s="75"/>
      <c r="M397" s="70">
        <f>SUMIFS('Central LP'!$D:$D,'Central LP'!$B:$B,$A397)</f>
        <v>0</v>
      </c>
      <c r="N397" s="75"/>
      <c r="O397" s="71">
        <f t="shared" si="12"/>
        <v>2</v>
      </c>
      <c r="P397" s="71">
        <f t="shared" si="13"/>
        <v>0</v>
      </c>
    </row>
    <row r="398" spans="1:16">
      <c r="A398" s="69" t="s">
        <v>1071</v>
      </c>
      <c r="B398" s="69" t="s">
        <v>1581</v>
      </c>
      <c r="C398" s="69" t="s">
        <v>1640</v>
      </c>
      <c r="D398" s="74" t="s">
        <v>1588</v>
      </c>
      <c r="E398" s="70">
        <f>SUMIFS('K Village'!$D:$D,'K Village'!$B:$B,$A398)</f>
        <v>1</v>
      </c>
      <c r="F398" s="75"/>
      <c r="G398" s="70">
        <f>SUMIFS('Central CL (Department)'!$BO:$BO,'Central CL (Department)'!$A:$A,$A398)</f>
        <v>0</v>
      </c>
      <c r="H398" s="75"/>
      <c r="I398" s="70">
        <f>SUMIFS('Siam Discovery'!$C:$C,'Siam Discovery'!$A:$A,$A398)</f>
        <v>0</v>
      </c>
      <c r="J398" s="75"/>
      <c r="K398" s="70">
        <f>SUMIFS('Paradise Park'!$C:$C,'Paradise Park'!$A:$A,$A398)</f>
        <v>2</v>
      </c>
      <c r="L398" s="75"/>
      <c r="M398" s="70">
        <f>SUMIFS('Central LP'!$D:$D,'Central LP'!$B:$B,$A398)</f>
        <v>0</v>
      </c>
      <c r="N398" s="75"/>
      <c r="O398" s="71">
        <f t="shared" si="12"/>
        <v>3</v>
      </c>
      <c r="P398" s="71">
        <f t="shared" si="13"/>
        <v>0</v>
      </c>
    </row>
    <row r="399" spans="1:16">
      <c r="A399" s="69" t="s">
        <v>244</v>
      </c>
      <c r="B399" s="69" t="s">
        <v>1581</v>
      </c>
      <c r="C399" s="69" t="s">
        <v>1640</v>
      </c>
      <c r="D399" s="74" t="s">
        <v>1589</v>
      </c>
      <c r="E399" s="70">
        <f>SUMIFS('K Village'!$D:$D,'K Village'!$B:$B,$A399)</f>
        <v>1</v>
      </c>
      <c r="F399" s="75"/>
      <c r="G399" s="70">
        <f>SUMIFS('Central CL (Department)'!$BO:$BO,'Central CL (Department)'!$A:$A,$A399)</f>
        <v>1</v>
      </c>
      <c r="H399" s="75"/>
      <c r="I399" s="70">
        <f>SUMIFS('Siam Discovery'!$C:$C,'Siam Discovery'!$A:$A,$A399)</f>
        <v>0</v>
      </c>
      <c r="J399" s="75"/>
      <c r="K399" s="70">
        <f>SUMIFS('Paradise Park'!$C:$C,'Paradise Park'!$A:$A,$A399)</f>
        <v>2</v>
      </c>
      <c r="L399" s="75"/>
      <c r="M399" s="70">
        <f>SUMIFS('Central LP'!$D:$D,'Central LP'!$B:$B,$A399)</f>
        <v>1</v>
      </c>
      <c r="N399" s="75"/>
      <c r="O399" s="71">
        <f t="shared" si="12"/>
        <v>5</v>
      </c>
      <c r="P399" s="71">
        <f t="shared" si="13"/>
        <v>0</v>
      </c>
    </row>
    <row r="400" spans="1:16">
      <c r="A400" s="69" t="s">
        <v>246</v>
      </c>
      <c r="B400" s="69" t="s">
        <v>1581</v>
      </c>
      <c r="C400" s="69" t="s">
        <v>1640</v>
      </c>
      <c r="D400" s="74" t="s">
        <v>1590</v>
      </c>
      <c r="E400" s="70">
        <f>SUMIFS('K Village'!$D:$D,'K Village'!$B:$B,$A400)</f>
        <v>1</v>
      </c>
      <c r="F400" s="75"/>
      <c r="G400" s="70">
        <f>SUMIFS('Central CL (Department)'!$BO:$BO,'Central CL (Department)'!$A:$A,$A400)</f>
        <v>2</v>
      </c>
      <c r="H400" s="75"/>
      <c r="I400" s="70">
        <f>SUMIFS('Siam Discovery'!$C:$C,'Siam Discovery'!$A:$A,$A400)</f>
        <v>1</v>
      </c>
      <c r="J400" s="75"/>
      <c r="K400" s="70">
        <f>SUMIFS('Paradise Park'!$C:$C,'Paradise Park'!$A:$A,$A400)</f>
        <v>2</v>
      </c>
      <c r="L400" s="75"/>
      <c r="M400" s="70">
        <f>SUMIFS('Central LP'!$D:$D,'Central LP'!$B:$B,$A400)</f>
        <v>1</v>
      </c>
      <c r="N400" s="75"/>
      <c r="O400" s="71">
        <f t="shared" si="12"/>
        <v>7</v>
      </c>
      <c r="P400" s="71">
        <f t="shared" si="13"/>
        <v>0</v>
      </c>
    </row>
    <row r="401" spans="1:16">
      <c r="A401" s="69" t="s">
        <v>247</v>
      </c>
      <c r="B401" s="69" t="s">
        <v>1581</v>
      </c>
      <c r="C401" s="69" t="s">
        <v>1640</v>
      </c>
      <c r="D401" s="74" t="s">
        <v>1591</v>
      </c>
      <c r="E401" s="70">
        <f>SUMIFS('K Village'!$D:$D,'K Village'!$B:$B,$A401)</f>
        <v>1</v>
      </c>
      <c r="F401" s="75"/>
      <c r="G401" s="70">
        <f>SUMIFS('Central CL (Department)'!$BO:$BO,'Central CL (Department)'!$A:$A,$A401)</f>
        <v>1</v>
      </c>
      <c r="H401" s="75"/>
      <c r="I401" s="70">
        <f>SUMIFS('Siam Discovery'!$C:$C,'Siam Discovery'!$A:$A,$A401)</f>
        <v>1</v>
      </c>
      <c r="J401" s="75"/>
      <c r="K401" s="70">
        <f>SUMIFS('Paradise Park'!$C:$C,'Paradise Park'!$A:$A,$A401)</f>
        <v>3</v>
      </c>
      <c r="L401" s="75"/>
      <c r="M401" s="70">
        <f>SUMIFS('Central LP'!$D:$D,'Central LP'!$B:$B,$A401)</f>
        <v>1</v>
      </c>
      <c r="N401" s="75"/>
      <c r="O401" s="71">
        <f t="shared" si="12"/>
        <v>7</v>
      </c>
      <c r="P401" s="71">
        <f t="shared" si="13"/>
        <v>0</v>
      </c>
    </row>
    <row r="402" spans="1:16">
      <c r="A402" s="69" t="s">
        <v>248</v>
      </c>
      <c r="B402" s="69" t="s">
        <v>1581</v>
      </c>
      <c r="C402" s="69" t="s">
        <v>1640</v>
      </c>
      <c r="D402" s="74" t="s">
        <v>1592</v>
      </c>
      <c r="E402" s="70">
        <f>SUMIFS('K Village'!$D:$D,'K Village'!$B:$B,$A402)</f>
        <v>1</v>
      </c>
      <c r="F402" s="75"/>
      <c r="G402" s="70">
        <f>SUMIFS('Central CL (Department)'!$BO:$BO,'Central CL (Department)'!$A:$A,$A402)</f>
        <v>1</v>
      </c>
      <c r="H402" s="75"/>
      <c r="I402" s="70">
        <f>SUMIFS('Siam Discovery'!$C:$C,'Siam Discovery'!$A:$A,$A402)</f>
        <v>2</v>
      </c>
      <c r="J402" s="75"/>
      <c r="K402" s="70">
        <f>SUMIFS('Paradise Park'!$C:$C,'Paradise Park'!$A:$A,$A402)</f>
        <v>1</v>
      </c>
      <c r="L402" s="75"/>
      <c r="M402" s="70">
        <f>SUMIFS('Central LP'!$D:$D,'Central LP'!$B:$B,$A402)</f>
        <v>1</v>
      </c>
      <c r="N402" s="75"/>
      <c r="O402" s="71">
        <f t="shared" si="12"/>
        <v>6</v>
      </c>
      <c r="P402" s="71">
        <f t="shared" si="13"/>
        <v>0</v>
      </c>
    </row>
    <row r="403" spans="1:16">
      <c r="A403" s="69" t="s">
        <v>249</v>
      </c>
      <c r="B403" s="69" t="s">
        <v>1581</v>
      </c>
      <c r="C403" s="69" t="s">
        <v>1640</v>
      </c>
      <c r="D403" s="74" t="s">
        <v>1593</v>
      </c>
      <c r="E403" s="70">
        <f>SUMIFS('K Village'!$D:$D,'K Village'!$B:$B,$A403)</f>
        <v>1</v>
      </c>
      <c r="F403" s="75"/>
      <c r="G403" s="70">
        <f>SUMIFS('Central CL (Department)'!$BO:$BO,'Central CL (Department)'!$A:$A,$A403)</f>
        <v>1</v>
      </c>
      <c r="H403" s="75"/>
      <c r="I403" s="70">
        <f>SUMIFS('Siam Discovery'!$C:$C,'Siam Discovery'!$A:$A,$A403)</f>
        <v>0</v>
      </c>
      <c r="J403" s="75"/>
      <c r="K403" s="70">
        <f>SUMIFS('Paradise Park'!$C:$C,'Paradise Park'!$A:$A,$A403)</f>
        <v>0</v>
      </c>
      <c r="L403" s="75"/>
      <c r="M403" s="70">
        <f>SUMIFS('Central LP'!$D:$D,'Central LP'!$B:$B,$A403)</f>
        <v>1</v>
      </c>
      <c r="N403" s="75"/>
      <c r="O403" s="71">
        <f t="shared" si="12"/>
        <v>3</v>
      </c>
      <c r="P403" s="71">
        <f t="shared" si="13"/>
        <v>0</v>
      </c>
    </row>
    <row r="404" spans="1:16">
      <c r="A404" s="69" t="s">
        <v>1069</v>
      </c>
      <c r="B404" s="69" t="s">
        <v>1581</v>
      </c>
      <c r="C404" s="69" t="s">
        <v>1640</v>
      </c>
      <c r="D404" s="74" t="s">
        <v>1594</v>
      </c>
      <c r="E404" s="70">
        <f>SUMIFS('K Village'!$D:$D,'K Village'!$B:$B,$A404)</f>
        <v>1</v>
      </c>
      <c r="F404" s="75"/>
      <c r="G404" s="70">
        <f>SUMIFS('Central CL (Department)'!$BO:$BO,'Central CL (Department)'!$A:$A,$A404)</f>
        <v>0</v>
      </c>
      <c r="H404" s="75"/>
      <c r="I404" s="70">
        <f>SUMIFS('Siam Discovery'!$C:$C,'Siam Discovery'!$A:$A,$A404)</f>
        <v>0</v>
      </c>
      <c r="J404" s="75"/>
      <c r="K404" s="70">
        <f>SUMIFS('Paradise Park'!$C:$C,'Paradise Park'!$A:$A,$A404)</f>
        <v>1</v>
      </c>
      <c r="L404" s="75"/>
      <c r="M404" s="70">
        <f>SUMIFS('Central LP'!$D:$D,'Central LP'!$B:$B,$A404)</f>
        <v>0</v>
      </c>
      <c r="N404" s="75"/>
      <c r="O404" s="71">
        <f t="shared" si="12"/>
        <v>2</v>
      </c>
      <c r="P404" s="71">
        <f t="shared" si="13"/>
        <v>0</v>
      </c>
    </row>
    <row r="405" spans="1:16">
      <c r="A405" s="69" t="s">
        <v>1067</v>
      </c>
      <c r="B405" s="69" t="s">
        <v>1581</v>
      </c>
      <c r="C405" s="69" t="s">
        <v>1640</v>
      </c>
      <c r="D405" s="74" t="s">
        <v>1595</v>
      </c>
      <c r="E405" s="70">
        <f>SUMIFS('K Village'!$D:$D,'K Village'!$B:$B,$A405)</f>
        <v>1</v>
      </c>
      <c r="F405" s="75"/>
      <c r="G405" s="70">
        <f>SUMIFS('Central CL (Department)'!$BO:$BO,'Central CL (Department)'!$A:$A,$A405)</f>
        <v>0</v>
      </c>
      <c r="H405" s="75"/>
      <c r="I405" s="70">
        <f>SUMIFS('Siam Discovery'!$C:$C,'Siam Discovery'!$A:$A,$A405)</f>
        <v>0</v>
      </c>
      <c r="J405" s="75"/>
      <c r="K405" s="70">
        <f>SUMIFS('Paradise Park'!$C:$C,'Paradise Park'!$A:$A,$A405)</f>
        <v>1</v>
      </c>
      <c r="L405" s="75"/>
      <c r="M405" s="70">
        <f>SUMIFS('Central LP'!$D:$D,'Central LP'!$B:$B,$A405)</f>
        <v>0</v>
      </c>
      <c r="N405" s="75"/>
      <c r="O405" s="71">
        <f t="shared" si="12"/>
        <v>2</v>
      </c>
      <c r="P405" s="71">
        <f t="shared" si="13"/>
        <v>0</v>
      </c>
    </row>
    <row r="406" spans="1:16">
      <c r="A406" s="69" t="s">
        <v>739</v>
      </c>
      <c r="B406" s="69" t="s">
        <v>1582</v>
      </c>
      <c r="C406" s="69" t="s">
        <v>1622</v>
      </c>
      <c r="D406" s="74" t="s">
        <v>1642</v>
      </c>
      <c r="E406" s="70">
        <f>SUMIFS('K Village'!$D:$D,'K Village'!$B:$B,$A406)</f>
        <v>1</v>
      </c>
      <c r="F406" s="75"/>
      <c r="G406" s="70">
        <f>SUMIFS('Central CL (Department)'!$BO:$BO,'Central CL (Department)'!$A:$A,$A406)</f>
        <v>1</v>
      </c>
      <c r="H406" s="75"/>
      <c r="I406" s="70">
        <f>SUMIFS('Siam Discovery'!$C:$C,'Siam Discovery'!$A:$A,$A406)</f>
        <v>0</v>
      </c>
      <c r="J406" s="75"/>
      <c r="K406" s="70">
        <f>SUMIFS('Paradise Park'!$C:$C,'Paradise Park'!$A:$A,$A406)</f>
        <v>1</v>
      </c>
      <c r="L406" s="75"/>
      <c r="M406" s="70">
        <f>SUMIFS('Central LP'!$D:$D,'Central LP'!$B:$B,$A406)</f>
        <v>0</v>
      </c>
      <c r="N406" s="75"/>
      <c r="O406" s="71">
        <f t="shared" si="12"/>
        <v>3</v>
      </c>
      <c r="P406" s="71">
        <f t="shared" si="13"/>
        <v>0</v>
      </c>
    </row>
    <row r="407" spans="1:16">
      <c r="A407" s="69" t="s">
        <v>741</v>
      </c>
      <c r="B407" s="69" t="s">
        <v>1582</v>
      </c>
      <c r="C407" s="69" t="s">
        <v>1622</v>
      </c>
      <c r="D407" s="74" t="s">
        <v>1643</v>
      </c>
      <c r="E407" s="70">
        <f>SUMIFS('K Village'!$D:$D,'K Village'!$B:$B,$A407)</f>
        <v>1</v>
      </c>
      <c r="F407" s="75"/>
      <c r="G407" s="70">
        <f>SUMIFS('Central CL (Department)'!$BO:$BO,'Central CL (Department)'!$A:$A,$A407)</f>
        <v>1</v>
      </c>
      <c r="H407" s="75"/>
      <c r="I407" s="70">
        <f>SUMIFS('Siam Discovery'!$C:$C,'Siam Discovery'!$A:$A,$A407)</f>
        <v>0</v>
      </c>
      <c r="J407" s="75"/>
      <c r="K407" s="70">
        <f>SUMIFS('Paradise Park'!$C:$C,'Paradise Park'!$A:$A,$A407)</f>
        <v>1</v>
      </c>
      <c r="L407" s="75"/>
      <c r="M407" s="70">
        <f>SUMIFS('Central LP'!$D:$D,'Central LP'!$B:$B,$A407)</f>
        <v>0</v>
      </c>
      <c r="N407" s="75"/>
      <c r="O407" s="71">
        <f t="shared" si="12"/>
        <v>3</v>
      </c>
      <c r="P407" s="71">
        <f t="shared" si="13"/>
        <v>0</v>
      </c>
    </row>
    <row r="408" spans="1:16">
      <c r="A408" s="69" t="s">
        <v>743</v>
      </c>
      <c r="B408" s="69" t="s">
        <v>1582</v>
      </c>
      <c r="C408" s="69" t="s">
        <v>1622</v>
      </c>
      <c r="D408" s="74" t="s">
        <v>1644</v>
      </c>
      <c r="E408" s="70">
        <f>SUMIFS('K Village'!$D:$D,'K Village'!$B:$B,$A408)</f>
        <v>1</v>
      </c>
      <c r="F408" s="75"/>
      <c r="G408" s="70">
        <f>SUMIFS('Central CL (Department)'!$BO:$BO,'Central CL (Department)'!$A:$A,$A408)</f>
        <v>1</v>
      </c>
      <c r="H408" s="75"/>
      <c r="I408" s="70">
        <f>SUMIFS('Siam Discovery'!$C:$C,'Siam Discovery'!$A:$A,$A408)</f>
        <v>0</v>
      </c>
      <c r="J408" s="75"/>
      <c r="K408" s="70">
        <f>SUMIFS('Paradise Park'!$C:$C,'Paradise Park'!$A:$A,$A408)</f>
        <v>0</v>
      </c>
      <c r="L408" s="75"/>
      <c r="M408" s="70">
        <f>SUMIFS('Central LP'!$D:$D,'Central LP'!$B:$B,$A408)</f>
        <v>0</v>
      </c>
      <c r="N408" s="75"/>
      <c r="O408" s="71">
        <f t="shared" si="12"/>
        <v>2</v>
      </c>
      <c r="P408" s="71">
        <f t="shared" si="13"/>
        <v>0</v>
      </c>
    </row>
    <row r="409" spans="1:16">
      <c r="A409" s="69" t="s">
        <v>745</v>
      </c>
      <c r="B409" s="69" t="s">
        <v>1582</v>
      </c>
      <c r="C409" s="69" t="s">
        <v>1622</v>
      </c>
      <c r="D409" s="74" t="s">
        <v>1645</v>
      </c>
      <c r="E409" s="70">
        <f>SUMIFS('K Village'!$D:$D,'K Village'!$B:$B,$A409)</f>
        <v>1</v>
      </c>
      <c r="F409" s="75"/>
      <c r="G409" s="70">
        <f>SUMIFS('Central CL (Department)'!$BO:$BO,'Central CL (Department)'!$A:$A,$A409)</f>
        <v>1</v>
      </c>
      <c r="H409" s="75"/>
      <c r="I409" s="70">
        <f>SUMIFS('Siam Discovery'!$C:$C,'Siam Discovery'!$A:$A,$A409)</f>
        <v>0</v>
      </c>
      <c r="J409" s="75"/>
      <c r="K409" s="70">
        <f>SUMIFS('Paradise Park'!$C:$C,'Paradise Park'!$A:$A,$A409)</f>
        <v>1</v>
      </c>
      <c r="L409" s="75"/>
      <c r="M409" s="70">
        <f>SUMIFS('Central LP'!$D:$D,'Central LP'!$B:$B,$A409)</f>
        <v>0</v>
      </c>
      <c r="N409" s="75"/>
      <c r="O409" s="71">
        <f t="shared" si="12"/>
        <v>3</v>
      </c>
      <c r="P409" s="71">
        <f t="shared" si="13"/>
        <v>0</v>
      </c>
    </row>
    <row r="410" spans="1:16">
      <c r="A410" s="69" t="s">
        <v>747</v>
      </c>
      <c r="B410" s="69" t="s">
        <v>1582</v>
      </c>
      <c r="C410" s="69" t="s">
        <v>1622</v>
      </c>
      <c r="D410" s="74" t="s">
        <v>1646</v>
      </c>
      <c r="E410" s="70">
        <f>SUMIFS('K Village'!$D:$D,'K Village'!$B:$B,$A410)</f>
        <v>2</v>
      </c>
      <c r="F410" s="75"/>
      <c r="G410" s="70">
        <f>SUMIFS('Central CL (Department)'!$BO:$BO,'Central CL (Department)'!$A:$A,$A410)</f>
        <v>1</v>
      </c>
      <c r="H410" s="75"/>
      <c r="I410" s="70">
        <f>SUMIFS('Siam Discovery'!$C:$C,'Siam Discovery'!$A:$A,$A410)</f>
        <v>0</v>
      </c>
      <c r="J410" s="75"/>
      <c r="K410" s="70">
        <f>SUMIFS('Paradise Park'!$C:$C,'Paradise Park'!$A:$A,$A410)</f>
        <v>1</v>
      </c>
      <c r="L410" s="75"/>
      <c r="M410" s="70">
        <f>SUMIFS('Central LP'!$D:$D,'Central LP'!$B:$B,$A410)</f>
        <v>0</v>
      </c>
      <c r="N410" s="75"/>
      <c r="O410" s="71">
        <f t="shared" si="12"/>
        <v>4</v>
      </c>
      <c r="P410" s="71">
        <f t="shared" si="13"/>
        <v>0</v>
      </c>
    </row>
    <row r="411" spans="1:16">
      <c r="A411" s="69" t="s">
        <v>140</v>
      </c>
      <c r="B411" s="69" t="s">
        <v>1582</v>
      </c>
      <c r="C411" s="69" t="s">
        <v>1622</v>
      </c>
      <c r="D411" s="74" t="s">
        <v>1647</v>
      </c>
      <c r="E411" s="70">
        <f>SUMIFS('K Village'!$D:$D,'K Village'!$B:$B,$A411)</f>
        <v>1</v>
      </c>
      <c r="F411" s="75"/>
      <c r="G411" s="70">
        <f>SUMIFS('Central CL (Department)'!$BO:$BO,'Central CL (Department)'!$A:$A,$A411)</f>
        <v>1</v>
      </c>
      <c r="H411" s="75"/>
      <c r="I411" s="70">
        <f>SUMIFS('Siam Discovery'!$C:$C,'Siam Discovery'!$A:$A,$A411)</f>
        <v>1</v>
      </c>
      <c r="J411" s="75"/>
      <c r="K411" s="70">
        <f>SUMIFS('Paradise Park'!$C:$C,'Paradise Park'!$A:$A,$A411)</f>
        <v>2</v>
      </c>
      <c r="L411" s="75"/>
      <c r="M411" s="70">
        <f>SUMIFS('Central LP'!$D:$D,'Central LP'!$B:$B,$A411)</f>
        <v>0</v>
      </c>
      <c r="N411" s="75"/>
      <c r="O411" s="71">
        <f t="shared" si="12"/>
        <v>5</v>
      </c>
      <c r="P411" s="71">
        <f t="shared" si="13"/>
        <v>0</v>
      </c>
    </row>
    <row r="412" spans="1:16">
      <c r="A412" s="69" t="s">
        <v>142</v>
      </c>
      <c r="B412" s="69" t="s">
        <v>1582</v>
      </c>
      <c r="C412" s="69" t="s">
        <v>1622</v>
      </c>
      <c r="D412" s="74" t="s">
        <v>1648</v>
      </c>
      <c r="E412" s="70">
        <f>SUMIFS('K Village'!$D:$D,'K Village'!$B:$B,$A412)</f>
        <v>0</v>
      </c>
      <c r="F412" s="75"/>
      <c r="G412" s="70">
        <f>SUMIFS('Central CL (Department)'!$BO:$BO,'Central CL (Department)'!$A:$A,$A412)</f>
        <v>2</v>
      </c>
      <c r="H412" s="75"/>
      <c r="I412" s="70">
        <f>SUMIFS('Siam Discovery'!$C:$C,'Siam Discovery'!$A:$A,$A412)</f>
        <v>1</v>
      </c>
      <c r="J412" s="75"/>
      <c r="K412" s="70">
        <f>SUMIFS('Paradise Park'!$C:$C,'Paradise Park'!$A:$A,$A412)</f>
        <v>1</v>
      </c>
      <c r="L412" s="75"/>
      <c r="M412" s="70">
        <f>SUMIFS('Central LP'!$D:$D,'Central LP'!$B:$B,$A412)</f>
        <v>0</v>
      </c>
      <c r="N412" s="75"/>
      <c r="O412" s="71">
        <f t="shared" si="12"/>
        <v>4</v>
      </c>
      <c r="P412" s="71">
        <f t="shared" si="13"/>
        <v>0</v>
      </c>
    </row>
    <row r="413" spans="1:16">
      <c r="A413" s="69" t="s">
        <v>144</v>
      </c>
      <c r="B413" s="69" t="s">
        <v>1582</v>
      </c>
      <c r="C413" s="69" t="s">
        <v>1622</v>
      </c>
      <c r="D413" s="74" t="s">
        <v>1649</v>
      </c>
      <c r="E413" s="70">
        <f>SUMIFS('K Village'!$D:$D,'K Village'!$B:$B,$A413)</f>
        <v>1</v>
      </c>
      <c r="F413" s="75"/>
      <c r="G413" s="70">
        <f>SUMIFS('Central CL (Department)'!$BO:$BO,'Central CL (Department)'!$A:$A,$A413)</f>
        <v>2</v>
      </c>
      <c r="H413" s="75"/>
      <c r="I413" s="70">
        <f>SUMIFS('Siam Discovery'!$C:$C,'Siam Discovery'!$A:$A,$A413)</f>
        <v>2</v>
      </c>
      <c r="J413" s="75"/>
      <c r="K413" s="70">
        <f>SUMIFS('Paradise Park'!$C:$C,'Paradise Park'!$A:$A,$A413)</f>
        <v>2</v>
      </c>
      <c r="L413" s="75"/>
      <c r="M413" s="70">
        <f>SUMIFS('Central LP'!$D:$D,'Central LP'!$B:$B,$A413)</f>
        <v>0</v>
      </c>
      <c r="N413" s="75"/>
      <c r="O413" s="71">
        <f t="shared" si="12"/>
        <v>7</v>
      </c>
      <c r="P413" s="71">
        <f t="shared" si="13"/>
        <v>0</v>
      </c>
    </row>
    <row r="414" spans="1:16">
      <c r="A414" s="69" t="s">
        <v>146</v>
      </c>
      <c r="B414" s="69" t="s">
        <v>1582</v>
      </c>
      <c r="C414" s="69" t="s">
        <v>1622</v>
      </c>
      <c r="D414" s="74" t="s">
        <v>1650</v>
      </c>
      <c r="E414" s="70">
        <f>SUMIFS('K Village'!$D:$D,'K Village'!$B:$B,$A414)</f>
        <v>1</v>
      </c>
      <c r="F414" s="75"/>
      <c r="G414" s="70">
        <f>SUMIFS('Central CL (Department)'!$BO:$BO,'Central CL (Department)'!$A:$A,$A414)</f>
        <v>2</v>
      </c>
      <c r="H414" s="75"/>
      <c r="I414" s="70">
        <f>SUMIFS('Siam Discovery'!$C:$C,'Siam Discovery'!$A:$A,$A414)</f>
        <v>1</v>
      </c>
      <c r="J414" s="75"/>
      <c r="K414" s="70">
        <f>SUMIFS('Paradise Park'!$C:$C,'Paradise Park'!$A:$A,$A414)</f>
        <v>2</v>
      </c>
      <c r="L414" s="75"/>
      <c r="M414" s="70">
        <f>SUMIFS('Central LP'!$D:$D,'Central LP'!$B:$B,$A414)</f>
        <v>1</v>
      </c>
      <c r="N414" s="75"/>
      <c r="O414" s="71">
        <f t="shared" si="12"/>
        <v>7</v>
      </c>
      <c r="P414" s="71">
        <f t="shared" si="13"/>
        <v>0</v>
      </c>
    </row>
    <row r="415" spans="1:16">
      <c r="A415" s="69" t="s">
        <v>148</v>
      </c>
      <c r="B415" s="69" t="s">
        <v>1582</v>
      </c>
      <c r="C415" s="69" t="s">
        <v>1622</v>
      </c>
      <c r="D415" s="74" t="s">
        <v>1651</v>
      </c>
      <c r="E415" s="70">
        <f>SUMIFS('K Village'!$D:$D,'K Village'!$B:$B,$A415)</f>
        <v>0</v>
      </c>
      <c r="F415" s="75"/>
      <c r="G415" s="70">
        <f>SUMIFS('Central CL (Department)'!$BO:$BO,'Central CL (Department)'!$A:$A,$A415)</f>
        <v>2</v>
      </c>
      <c r="H415" s="75"/>
      <c r="I415" s="70">
        <f>SUMIFS('Siam Discovery'!$C:$C,'Siam Discovery'!$A:$A,$A415)</f>
        <v>0</v>
      </c>
      <c r="J415" s="75"/>
      <c r="K415" s="70">
        <f>SUMIFS('Paradise Park'!$C:$C,'Paradise Park'!$A:$A,$A415)</f>
        <v>1</v>
      </c>
      <c r="L415" s="75"/>
      <c r="M415" s="70">
        <f>SUMIFS('Central LP'!$D:$D,'Central LP'!$B:$B,$A415)</f>
        <v>1</v>
      </c>
      <c r="N415" s="75"/>
      <c r="O415" s="71">
        <f t="shared" si="12"/>
        <v>4</v>
      </c>
      <c r="P415" s="71">
        <f t="shared" si="13"/>
        <v>0</v>
      </c>
    </row>
    <row r="416" spans="1:16">
      <c r="A416" s="69" t="s">
        <v>751</v>
      </c>
      <c r="B416" s="69" t="s">
        <v>1582</v>
      </c>
      <c r="C416" s="69" t="s">
        <v>1622</v>
      </c>
      <c r="D416" s="74" t="s">
        <v>1652</v>
      </c>
      <c r="E416" s="70">
        <f>SUMIFS('K Village'!$D:$D,'K Village'!$B:$B,$A416)</f>
        <v>0</v>
      </c>
      <c r="F416" s="75"/>
      <c r="G416" s="70">
        <f>SUMIFS('Central CL (Department)'!$BO:$BO,'Central CL (Department)'!$A:$A,$A416)</f>
        <v>1</v>
      </c>
      <c r="H416" s="75"/>
      <c r="I416" s="70">
        <f>SUMIFS('Siam Discovery'!$C:$C,'Siam Discovery'!$A:$A,$A416)</f>
        <v>0</v>
      </c>
      <c r="J416" s="75"/>
      <c r="K416" s="70">
        <f>SUMIFS('Paradise Park'!$C:$C,'Paradise Park'!$A:$A,$A416)</f>
        <v>1</v>
      </c>
      <c r="L416" s="75"/>
      <c r="M416" s="70">
        <f>SUMIFS('Central LP'!$D:$D,'Central LP'!$B:$B,$A416)</f>
        <v>1</v>
      </c>
      <c r="N416" s="75"/>
      <c r="O416" s="71">
        <f t="shared" si="12"/>
        <v>3</v>
      </c>
      <c r="P416" s="71">
        <f t="shared" si="13"/>
        <v>0</v>
      </c>
    </row>
    <row r="417" spans="1:16">
      <c r="A417" s="69" t="s">
        <v>753</v>
      </c>
      <c r="B417" s="69" t="s">
        <v>1582</v>
      </c>
      <c r="C417" s="69" t="s">
        <v>1622</v>
      </c>
      <c r="D417" s="74" t="s">
        <v>1653</v>
      </c>
      <c r="E417" s="70">
        <f>SUMIFS('K Village'!$D:$D,'K Village'!$B:$B,$A417)</f>
        <v>1</v>
      </c>
      <c r="F417" s="75"/>
      <c r="G417" s="70">
        <f>SUMIFS('Central CL (Department)'!$BO:$BO,'Central CL (Department)'!$A:$A,$A417)</f>
        <v>1</v>
      </c>
      <c r="H417" s="75"/>
      <c r="I417" s="70">
        <f>SUMIFS('Siam Discovery'!$C:$C,'Siam Discovery'!$A:$A,$A417)</f>
        <v>0</v>
      </c>
      <c r="J417" s="75"/>
      <c r="K417" s="70">
        <f>SUMIFS('Paradise Park'!$C:$C,'Paradise Park'!$A:$A,$A417)</f>
        <v>1</v>
      </c>
      <c r="L417" s="75"/>
      <c r="M417" s="70">
        <f>SUMIFS('Central LP'!$D:$D,'Central LP'!$B:$B,$A417)</f>
        <v>0</v>
      </c>
      <c r="N417" s="75"/>
      <c r="O417" s="71">
        <f t="shared" si="12"/>
        <v>3</v>
      </c>
      <c r="P417" s="71">
        <f t="shared" si="13"/>
        <v>0</v>
      </c>
    </row>
    <row r="418" spans="1:16">
      <c r="A418" s="69" t="s">
        <v>1065</v>
      </c>
      <c r="B418" s="69" t="s">
        <v>1582</v>
      </c>
      <c r="C418" s="69" t="s">
        <v>1622</v>
      </c>
      <c r="D418" s="74" t="s">
        <v>1654</v>
      </c>
      <c r="E418" s="70">
        <f>SUMIFS('K Village'!$D:$D,'K Village'!$B:$B,$A418)</f>
        <v>1</v>
      </c>
      <c r="F418" s="75"/>
      <c r="G418" s="70">
        <f>SUMIFS('Central CL (Department)'!$BO:$BO,'Central CL (Department)'!$A:$A,$A418)</f>
        <v>0</v>
      </c>
      <c r="H418" s="75"/>
      <c r="I418" s="70">
        <f>SUMIFS('Siam Discovery'!$C:$C,'Siam Discovery'!$A:$A,$A418)</f>
        <v>0</v>
      </c>
      <c r="J418" s="75"/>
      <c r="K418" s="70">
        <f>SUMIFS('Paradise Park'!$C:$C,'Paradise Park'!$A:$A,$A418)</f>
        <v>1</v>
      </c>
      <c r="L418" s="75"/>
      <c r="M418" s="70">
        <f>SUMIFS('Central LP'!$D:$D,'Central LP'!$B:$B,$A418)</f>
        <v>0</v>
      </c>
      <c r="N418" s="75"/>
      <c r="O418" s="71">
        <f t="shared" si="12"/>
        <v>2</v>
      </c>
      <c r="P418" s="71">
        <f t="shared" si="13"/>
        <v>0</v>
      </c>
    </row>
    <row r="419" spans="1:16">
      <c r="A419" s="69" t="s">
        <v>150</v>
      </c>
      <c r="B419" s="69" t="s">
        <v>1582</v>
      </c>
      <c r="C419" s="69" t="s">
        <v>1631</v>
      </c>
      <c r="D419" s="74" t="s">
        <v>1646</v>
      </c>
      <c r="E419" s="70">
        <f>SUMIFS('K Village'!$D:$D,'K Village'!$B:$B,$A419)</f>
        <v>0</v>
      </c>
      <c r="F419" s="75"/>
      <c r="G419" s="70">
        <f>SUMIFS('Central CL (Department)'!$BO:$BO,'Central CL (Department)'!$A:$A,$A419)</f>
        <v>1</v>
      </c>
      <c r="H419" s="75"/>
      <c r="I419" s="70">
        <f>SUMIFS('Siam Discovery'!$C:$C,'Siam Discovery'!$A:$A,$A419)</f>
        <v>0</v>
      </c>
      <c r="J419" s="75"/>
      <c r="K419" s="70">
        <f>SUMIFS('Paradise Park'!$C:$C,'Paradise Park'!$A:$A,$A419)</f>
        <v>2</v>
      </c>
      <c r="L419" s="75"/>
      <c r="M419" s="70">
        <f>SUMIFS('Central LP'!$D:$D,'Central LP'!$B:$B,$A419)</f>
        <v>0</v>
      </c>
      <c r="N419" s="75"/>
      <c r="O419" s="71">
        <f t="shared" si="12"/>
        <v>3</v>
      </c>
      <c r="P419" s="71">
        <f t="shared" si="13"/>
        <v>0</v>
      </c>
    </row>
    <row r="420" spans="1:16">
      <c r="A420" s="69" t="s">
        <v>152</v>
      </c>
      <c r="B420" s="69" t="s">
        <v>1582</v>
      </c>
      <c r="C420" s="69" t="s">
        <v>1631</v>
      </c>
      <c r="D420" s="74" t="s">
        <v>1647</v>
      </c>
      <c r="E420" s="70">
        <f>SUMIFS('K Village'!$D:$D,'K Village'!$B:$B,$A420)</f>
        <v>1</v>
      </c>
      <c r="F420" s="75"/>
      <c r="G420" s="70">
        <f>SUMIFS('Central CL (Department)'!$BO:$BO,'Central CL (Department)'!$A:$A,$A420)</f>
        <v>1</v>
      </c>
      <c r="H420" s="75"/>
      <c r="I420" s="70">
        <f>SUMIFS('Siam Discovery'!$C:$C,'Siam Discovery'!$A:$A,$A420)</f>
        <v>0</v>
      </c>
      <c r="J420" s="75"/>
      <c r="K420" s="70">
        <f>SUMIFS('Paradise Park'!$C:$C,'Paradise Park'!$A:$A,$A420)</f>
        <v>2</v>
      </c>
      <c r="L420" s="75"/>
      <c r="M420" s="70">
        <f>SUMIFS('Central LP'!$D:$D,'Central LP'!$B:$B,$A420)</f>
        <v>1</v>
      </c>
      <c r="N420" s="75"/>
      <c r="O420" s="71">
        <f t="shared" si="12"/>
        <v>5</v>
      </c>
      <c r="P420" s="71">
        <f t="shared" si="13"/>
        <v>0</v>
      </c>
    </row>
    <row r="421" spans="1:16">
      <c r="A421" s="69" t="s">
        <v>154</v>
      </c>
      <c r="B421" s="69" t="s">
        <v>1582</v>
      </c>
      <c r="C421" s="69" t="s">
        <v>1631</v>
      </c>
      <c r="D421" s="74" t="s">
        <v>1648</v>
      </c>
      <c r="E421" s="70">
        <f>SUMIFS('K Village'!$D:$D,'K Village'!$B:$B,$A421)</f>
        <v>0</v>
      </c>
      <c r="F421" s="75"/>
      <c r="G421" s="70">
        <f>SUMIFS('Central CL (Department)'!$BO:$BO,'Central CL (Department)'!$A:$A,$A421)</f>
        <v>2</v>
      </c>
      <c r="H421" s="75"/>
      <c r="I421" s="70">
        <f>SUMIFS('Siam Discovery'!$C:$C,'Siam Discovery'!$A:$A,$A421)</f>
        <v>1</v>
      </c>
      <c r="J421" s="75"/>
      <c r="K421" s="70">
        <f>SUMIFS('Paradise Park'!$C:$C,'Paradise Park'!$A:$A,$A421)</f>
        <v>2</v>
      </c>
      <c r="L421" s="75"/>
      <c r="M421" s="70">
        <f>SUMIFS('Central LP'!$D:$D,'Central LP'!$B:$B,$A421)</f>
        <v>0</v>
      </c>
      <c r="N421" s="75"/>
      <c r="O421" s="71">
        <f t="shared" si="12"/>
        <v>5</v>
      </c>
      <c r="P421" s="71">
        <f t="shared" si="13"/>
        <v>0</v>
      </c>
    </row>
    <row r="422" spans="1:16">
      <c r="A422" s="69" t="s">
        <v>156</v>
      </c>
      <c r="B422" s="69" t="s">
        <v>1582</v>
      </c>
      <c r="C422" s="69" t="s">
        <v>1631</v>
      </c>
      <c r="D422" s="74" t="s">
        <v>1649</v>
      </c>
      <c r="E422" s="70">
        <f>SUMIFS('K Village'!$D:$D,'K Village'!$B:$B,$A422)</f>
        <v>0</v>
      </c>
      <c r="F422" s="75"/>
      <c r="G422" s="70">
        <f>SUMIFS('Central CL (Department)'!$BO:$BO,'Central CL (Department)'!$A:$A,$A422)</f>
        <v>2</v>
      </c>
      <c r="H422" s="75"/>
      <c r="I422" s="70">
        <f>SUMIFS('Siam Discovery'!$C:$C,'Siam Discovery'!$A:$A,$A422)</f>
        <v>1</v>
      </c>
      <c r="J422" s="75"/>
      <c r="K422" s="70">
        <f>SUMIFS('Paradise Park'!$C:$C,'Paradise Park'!$A:$A,$A422)</f>
        <v>2</v>
      </c>
      <c r="L422" s="75"/>
      <c r="M422" s="70">
        <f>SUMIFS('Central LP'!$D:$D,'Central LP'!$B:$B,$A422)</f>
        <v>1</v>
      </c>
      <c r="N422" s="75"/>
      <c r="O422" s="71">
        <f t="shared" si="12"/>
        <v>6</v>
      </c>
      <c r="P422" s="71">
        <f t="shared" si="13"/>
        <v>0</v>
      </c>
    </row>
    <row r="423" spans="1:16">
      <c r="A423" s="69" t="s">
        <v>158</v>
      </c>
      <c r="B423" s="69" t="s">
        <v>1582</v>
      </c>
      <c r="C423" s="69" t="s">
        <v>1631</v>
      </c>
      <c r="D423" s="74" t="s">
        <v>1650</v>
      </c>
      <c r="E423" s="70">
        <f>SUMIFS('K Village'!$D:$D,'K Village'!$B:$B,$A423)</f>
        <v>1</v>
      </c>
      <c r="F423" s="75"/>
      <c r="G423" s="70">
        <f>SUMIFS('Central CL (Department)'!$BO:$BO,'Central CL (Department)'!$A:$A,$A423)</f>
        <v>2</v>
      </c>
      <c r="H423" s="75"/>
      <c r="I423" s="70">
        <f>SUMIFS('Siam Discovery'!$C:$C,'Siam Discovery'!$A:$A,$A423)</f>
        <v>1</v>
      </c>
      <c r="J423" s="75"/>
      <c r="K423" s="70">
        <f>SUMIFS('Paradise Park'!$C:$C,'Paradise Park'!$A:$A,$A423)</f>
        <v>2</v>
      </c>
      <c r="L423" s="75"/>
      <c r="M423" s="70">
        <f>SUMIFS('Central LP'!$D:$D,'Central LP'!$B:$B,$A423)</f>
        <v>1</v>
      </c>
      <c r="N423" s="75"/>
      <c r="O423" s="71">
        <f t="shared" si="12"/>
        <v>7</v>
      </c>
      <c r="P423" s="71">
        <f t="shared" si="13"/>
        <v>0</v>
      </c>
    </row>
    <row r="424" spans="1:16">
      <c r="A424" s="69" t="s">
        <v>160</v>
      </c>
      <c r="B424" s="69" t="s">
        <v>1582</v>
      </c>
      <c r="C424" s="69" t="s">
        <v>1631</v>
      </c>
      <c r="D424" s="74" t="s">
        <v>1651</v>
      </c>
      <c r="E424" s="70">
        <f>SUMIFS('K Village'!$D:$D,'K Village'!$B:$B,$A424)</f>
        <v>1</v>
      </c>
      <c r="F424" s="75"/>
      <c r="G424" s="70">
        <f>SUMIFS('Central CL (Department)'!$BO:$BO,'Central CL (Department)'!$A:$A,$A424)</f>
        <v>1</v>
      </c>
      <c r="H424" s="75"/>
      <c r="I424" s="70">
        <f>SUMIFS('Siam Discovery'!$C:$C,'Siam Discovery'!$A:$A,$A424)</f>
        <v>0</v>
      </c>
      <c r="J424" s="75"/>
      <c r="K424" s="70">
        <f>SUMIFS('Paradise Park'!$C:$C,'Paradise Park'!$A:$A,$A424)</f>
        <v>1</v>
      </c>
      <c r="L424" s="75"/>
      <c r="M424" s="70">
        <f>SUMIFS('Central LP'!$D:$D,'Central LP'!$B:$B,$A424)</f>
        <v>1</v>
      </c>
      <c r="N424" s="75"/>
      <c r="O424" s="71">
        <f t="shared" si="12"/>
        <v>4</v>
      </c>
      <c r="P424" s="71">
        <f t="shared" si="13"/>
        <v>0</v>
      </c>
    </row>
    <row r="425" spans="1:16">
      <c r="A425" s="69" t="s">
        <v>761</v>
      </c>
      <c r="B425" s="69" t="s">
        <v>1582</v>
      </c>
      <c r="C425" s="69" t="s">
        <v>1631</v>
      </c>
      <c r="D425" s="74" t="s">
        <v>1652</v>
      </c>
      <c r="E425" s="70">
        <f>SUMIFS('K Village'!$D:$D,'K Village'!$B:$B,$A425)</f>
        <v>1</v>
      </c>
      <c r="F425" s="75"/>
      <c r="G425" s="70">
        <f>SUMIFS('Central CL (Department)'!$BO:$BO,'Central CL (Department)'!$A:$A,$A425)</f>
        <v>1</v>
      </c>
      <c r="H425" s="75"/>
      <c r="I425" s="70">
        <f>SUMIFS('Siam Discovery'!$C:$C,'Siam Discovery'!$A:$A,$A425)</f>
        <v>0</v>
      </c>
      <c r="J425" s="75"/>
      <c r="K425" s="70">
        <f>SUMIFS('Paradise Park'!$C:$C,'Paradise Park'!$A:$A,$A425)</f>
        <v>2</v>
      </c>
      <c r="L425" s="75"/>
      <c r="M425" s="70">
        <f>SUMIFS('Central LP'!$D:$D,'Central LP'!$B:$B,$A425)</f>
        <v>1</v>
      </c>
      <c r="N425" s="75"/>
      <c r="O425" s="71">
        <f t="shared" si="12"/>
        <v>5</v>
      </c>
      <c r="P425" s="71">
        <f t="shared" si="13"/>
        <v>0</v>
      </c>
    </row>
    <row r="426" spans="1:16">
      <c r="A426" s="69" t="s">
        <v>767</v>
      </c>
      <c r="B426" s="69" t="s">
        <v>1582</v>
      </c>
      <c r="C426" s="69" t="s">
        <v>1631</v>
      </c>
      <c r="D426" s="74" t="s">
        <v>1653</v>
      </c>
      <c r="E426" s="70">
        <f>SUMIFS('K Village'!$D:$D,'K Village'!$B:$B,$A426)</f>
        <v>1</v>
      </c>
      <c r="F426" s="75"/>
      <c r="G426" s="70">
        <f>SUMIFS('Central CL (Department)'!$BO:$BO,'Central CL (Department)'!$A:$A,$A426)</f>
        <v>1</v>
      </c>
      <c r="H426" s="75"/>
      <c r="I426" s="70">
        <f>SUMIFS('Siam Discovery'!$C:$C,'Siam Discovery'!$A:$A,$A426)</f>
        <v>0</v>
      </c>
      <c r="J426" s="75"/>
      <c r="K426" s="70">
        <f>SUMIFS('Paradise Park'!$C:$C,'Paradise Park'!$A:$A,$A426)</f>
        <v>0</v>
      </c>
      <c r="L426" s="75"/>
      <c r="M426" s="70">
        <f>SUMIFS('Central LP'!$D:$D,'Central LP'!$B:$B,$A426)</f>
        <v>0</v>
      </c>
      <c r="N426" s="75"/>
      <c r="O426" s="71">
        <f t="shared" si="12"/>
        <v>2</v>
      </c>
      <c r="P426" s="71">
        <f t="shared" si="13"/>
        <v>0</v>
      </c>
    </row>
    <row r="427" spans="1:16">
      <c r="A427" s="69" t="s">
        <v>807</v>
      </c>
      <c r="B427" s="69" t="s">
        <v>1583</v>
      </c>
      <c r="C427" s="69" t="s">
        <v>1625</v>
      </c>
      <c r="D427" s="74" t="s">
        <v>1598</v>
      </c>
      <c r="E427" s="70">
        <f>SUMIFS('K Village'!$D:$D,'K Village'!$B:$B,$A427)</f>
        <v>1</v>
      </c>
      <c r="F427" s="75"/>
      <c r="G427" s="70">
        <f>SUMIFS('Central CL (Department)'!$BO:$BO,'Central CL (Department)'!$A:$A,$A427)</f>
        <v>0</v>
      </c>
      <c r="H427" s="75"/>
      <c r="I427" s="70">
        <f>SUMIFS('Siam Discovery'!$C:$C,'Siam Discovery'!$A:$A,$A427)</f>
        <v>0</v>
      </c>
      <c r="J427" s="75"/>
      <c r="K427" s="70">
        <f>SUMIFS('Paradise Park'!$C:$C,'Paradise Park'!$A:$A,$A427)</f>
        <v>1</v>
      </c>
      <c r="L427" s="75"/>
      <c r="M427" s="70">
        <f>SUMIFS('Central LP'!$D:$D,'Central LP'!$B:$B,$A427)</f>
        <v>1</v>
      </c>
      <c r="N427" s="75"/>
      <c r="O427" s="71">
        <f t="shared" si="12"/>
        <v>3</v>
      </c>
      <c r="P427" s="71">
        <f t="shared" si="13"/>
        <v>0</v>
      </c>
    </row>
    <row r="428" spans="1:16">
      <c r="A428" s="69" t="s">
        <v>755</v>
      </c>
      <c r="B428" s="69" t="s">
        <v>1583</v>
      </c>
      <c r="C428" s="69" t="s">
        <v>1625</v>
      </c>
      <c r="D428" s="74" t="s">
        <v>1599</v>
      </c>
      <c r="E428" s="70">
        <f>SUMIFS('K Village'!$D:$D,'K Village'!$B:$B,$A428)</f>
        <v>1</v>
      </c>
      <c r="F428" s="75"/>
      <c r="G428" s="70">
        <f>SUMIFS('Central CL (Department)'!$BO:$BO,'Central CL (Department)'!$A:$A,$A428)</f>
        <v>1</v>
      </c>
      <c r="H428" s="75"/>
      <c r="I428" s="70">
        <f>SUMIFS('Siam Discovery'!$C:$C,'Siam Discovery'!$A:$A,$A428)</f>
        <v>2</v>
      </c>
      <c r="J428" s="75"/>
      <c r="K428" s="70">
        <f>SUMIFS('Paradise Park'!$C:$C,'Paradise Park'!$A:$A,$A428)</f>
        <v>0</v>
      </c>
      <c r="L428" s="75"/>
      <c r="M428" s="70">
        <f>SUMIFS('Central LP'!$D:$D,'Central LP'!$B:$B,$A428)</f>
        <v>1</v>
      </c>
      <c r="N428" s="75"/>
      <c r="O428" s="71">
        <f t="shared" si="12"/>
        <v>5</v>
      </c>
      <c r="P428" s="71">
        <f t="shared" si="13"/>
        <v>0</v>
      </c>
    </row>
    <row r="429" spans="1:16">
      <c r="A429" s="69" t="s">
        <v>757</v>
      </c>
      <c r="B429" s="69" t="s">
        <v>1583</v>
      </c>
      <c r="C429" s="69" t="s">
        <v>1625</v>
      </c>
      <c r="D429" s="74" t="s">
        <v>1600</v>
      </c>
      <c r="E429" s="70">
        <f>SUMIFS('K Village'!$D:$D,'K Village'!$B:$B,$A429)</f>
        <v>1</v>
      </c>
      <c r="F429" s="75"/>
      <c r="G429" s="70">
        <f>SUMIFS('Central CL (Department)'!$BO:$BO,'Central CL (Department)'!$A:$A,$A429)</f>
        <v>1</v>
      </c>
      <c r="H429" s="75"/>
      <c r="I429" s="70">
        <f>SUMIFS('Siam Discovery'!$C:$C,'Siam Discovery'!$A:$A,$A429)</f>
        <v>2</v>
      </c>
      <c r="J429" s="75"/>
      <c r="K429" s="70">
        <f>SUMIFS('Paradise Park'!$C:$C,'Paradise Park'!$A:$A,$A429)</f>
        <v>1</v>
      </c>
      <c r="L429" s="75"/>
      <c r="M429" s="70">
        <f>SUMIFS('Central LP'!$D:$D,'Central LP'!$B:$B,$A429)</f>
        <v>1</v>
      </c>
      <c r="N429" s="75"/>
      <c r="O429" s="71">
        <f t="shared" si="12"/>
        <v>6</v>
      </c>
      <c r="P429" s="71">
        <f t="shared" si="13"/>
        <v>0</v>
      </c>
    </row>
    <row r="430" spans="1:16">
      <c r="A430" s="69" t="s">
        <v>759</v>
      </c>
      <c r="B430" s="69" t="s">
        <v>1583</v>
      </c>
      <c r="C430" s="69" t="s">
        <v>1625</v>
      </c>
      <c r="D430" s="74" t="s">
        <v>1601</v>
      </c>
      <c r="E430" s="70">
        <f>SUMIFS('K Village'!$D:$D,'K Village'!$B:$B,$A430)</f>
        <v>0</v>
      </c>
      <c r="F430" s="75"/>
      <c r="G430" s="70">
        <f>SUMIFS('Central CL (Department)'!$BO:$BO,'Central CL (Department)'!$A:$A,$A430)</f>
        <v>2</v>
      </c>
      <c r="H430" s="75"/>
      <c r="I430" s="70">
        <f>SUMIFS('Siam Discovery'!$C:$C,'Siam Discovery'!$A:$A,$A430)</f>
        <v>2</v>
      </c>
      <c r="J430" s="75"/>
      <c r="K430" s="70">
        <f>SUMIFS('Paradise Park'!$C:$C,'Paradise Park'!$A:$A,$A430)</f>
        <v>2</v>
      </c>
      <c r="L430" s="75"/>
      <c r="M430" s="70">
        <f>SUMIFS('Central LP'!$D:$D,'Central LP'!$B:$B,$A430)</f>
        <v>0</v>
      </c>
      <c r="N430" s="75"/>
      <c r="O430" s="71">
        <f t="shared" si="12"/>
        <v>6</v>
      </c>
      <c r="P430" s="71">
        <f t="shared" si="13"/>
        <v>0</v>
      </c>
    </row>
    <row r="431" spans="1:16">
      <c r="A431" s="69" t="s">
        <v>763</v>
      </c>
      <c r="B431" s="69" t="s">
        <v>1583</v>
      </c>
      <c r="C431" s="69" t="s">
        <v>1625</v>
      </c>
      <c r="D431" s="74" t="s">
        <v>1602</v>
      </c>
      <c r="E431" s="70">
        <f>SUMIFS('K Village'!$D:$D,'K Village'!$B:$B,$A431)</f>
        <v>1</v>
      </c>
      <c r="F431" s="75"/>
      <c r="G431" s="70">
        <f>SUMIFS('Central CL (Department)'!$BO:$BO,'Central CL (Department)'!$A:$A,$A431)</f>
        <v>1</v>
      </c>
      <c r="H431" s="75"/>
      <c r="I431" s="70">
        <f>SUMIFS('Siam Discovery'!$C:$C,'Siam Discovery'!$A:$A,$A431)</f>
        <v>1</v>
      </c>
      <c r="J431" s="75"/>
      <c r="K431" s="70">
        <f>SUMIFS('Paradise Park'!$C:$C,'Paradise Park'!$A:$A,$A431)</f>
        <v>1</v>
      </c>
      <c r="L431" s="75"/>
      <c r="M431" s="70">
        <f>SUMIFS('Central LP'!$D:$D,'Central LP'!$B:$B,$A431)</f>
        <v>2</v>
      </c>
      <c r="N431" s="75"/>
      <c r="O431" s="71">
        <f t="shared" si="12"/>
        <v>6</v>
      </c>
      <c r="P431" s="71">
        <f t="shared" si="13"/>
        <v>0</v>
      </c>
    </row>
    <row r="432" spans="1:16">
      <c r="A432" s="69" t="s">
        <v>765</v>
      </c>
      <c r="B432" s="69" t="s">
        <v>1583</v>
      </c>
      <c r="C432" s="69" t="s">
        <v>1625</v>
      </c>
      <c r="D432" s="74" t="s">
        <v>1603</v>
      </c>
      <c r="E432" s="70">
        <f>SUMIFS('K Village'!$D:$D,'K Village'!$B:$B,$A432)</f>
        <v>1</v>
      </c>
      <c r="F432" s="75"/>
      <c r="G432" s="70">
        <f>SUMIFS('Central CL (Department)'!$BO:$BO,'Central CL (Department)'!$A:$A,$A432)</f>
        <v>0</v>
      </c>
      <c r="H432" s="75"/>
      <c r="I432" s="70">
        <f>SUMIFS('Siam Discovery'!$C:$C,'Siam Discovery'!$A:$A,$A432)</f>
        <v>0</v>
      </c>
      <c r="J432" s="75"/>
      <c r="K432" s="70">
        <f>SUMIFS('Paradise Park'!$C:$C,'Paradise Park'!$A:$A,$A432)</f>
        <v>1</v>
      </c>
      <c r="L432" s="75"/>
      <c r="M432" s="70">
        <f>SUMIFS('Central LP'!$D:$D,'Central LP'!$B:$B,$A432)</f>
        <v>1</v>
      </c>
      <c r="N432" s="75"/>
      <c r="O432" s="71">
        <f t="shared" si="12"/>
        <v>3</v>
      </c>
      <c r="P432" s="71">
        <f t="shared" si="13"/>
        <v>0</v>
      </c>
    </row>
    <row r="433" spans="1:16">
      <c r="A433" s="69" t="s">
        <v>769</v>
      </c>
      <c r="B433" s="69" t="s">
        <v>1583</v>
      </c>
      <c r="C433" s="69" t="s">
        <v>1627</v>
      </c>
      <c r="D433" s="74" t="s">
        <v>1588</v>
      </c>
      <c r="E433" s="70">
        <f>SUMIFS('K Village'!$D:$D,'K Village'!$B:$B,$A433)</f>
        <v>1</v>
      </c>
      <c r="F433" s="75"/>
      <c r="G433" s="70">
        <f>SUMIFS('Central CL (Department)'!$BO:$BO,'Central CL (Department)'!$A:$A,$A433)</f>
        <v>0</v>
      </c>
      <c r="H433" s="75"/>
      <c r="I433" s="70">
        <f>SUMIFS('Siam Discovery'!$C:$C,'Siam Discovery'!$A:$A,$A433)</f>
        <v>0</v>
      </c>
      <c r="J433" s="75"/>
      <c r="K433" s="70">
        <f>SUMIFS('Paradise Park'!$C:$C,'Paradise Park'!$A:$A,$A433)</f>
        <v>2</v>
      </c>
      <c r="L433" s="75"/>
      <c r="M433" s="70">
        <f>SUMIFS('Central LP'!$D:$D,'Central LP'!$B:$B,$A433)</f>
        <v>1</v>
      </c>
      <c r="N433" s="75"/>
      <c r="O433" s="71">
        <f t="shared" si="12"/>
        <v>4</v>
      </c>
      <c r="P433" s="71">
        <f t="shared" si="13"/>
        <v>0</v>
      </c>
    </row>
    <row r="434" spans="1:16">
      <c r="A434" s="69" t="s">
        <v>771</v>
      </c>
      <c r="B434" s="69" t="s">
        <v>1583</v>
      </c>
      <c r="C434" s="69" t="s">
        <v>1627</v>
      </c>
      <c r="D434" s="74" t="s">
        <v>1589</v>
      </c>
      <c r="E434" s="70">
        <f>SUMIFS('K Village'!$D:$D,'K Village'!$B:$B,$A434)</f>
        <v>1</v>
      </c>
      <c r="F434" s="75"/>
      <c r="G434" s="70">
        <f>SUMIFS('Central CL (Department)'!$BO:$BO,'Central CL (Department)'!$A:$A,$A434)</f>
        <v>0</v>
      </c>
      <c r="H434" s="75"/>
      <c r="I434" s="70">
        <f>SUMIFS('Siam Discovery'!$C:$C,'Siam Discovery'!$A:$A,$A434)</f>
        <v>0</v>
      </c>
      <c r="J434" s="75"/>
      <c r="K434" s="70">
        <f>SUMIFS('Paradise Park'!$C:$C,'Paradise Park'!$A:$A,$A434)</f>
        <v>1</v>
      </c>
      <c r="L434" s="75"/>
      <c r="M434" s="70">
        <f>SUMIFS('Central LP'!$D:$D,'Central LP'!$B:$B,$A434)</f>
        <v>1</v>
      </c>
      <c r="N434" s="75"/>
      <c r="O434" s="71">
        <f t="shared" si="12"/>
        <v>3</v>
      </c>
      <c r="P434" s="71">
        <f t="shared" si="13"/>
        <v>0</v>
      </c>
    </row>
    <row r="435" spans="1:16">
      <c r="A435" s="69" t="s">
        <v>775</v>
      </c>
      <c r="B435" s="69" t="s">
        <v>1583</v>
      </c>
      <c r="C435" s="69" t="s">
        <v>1627</v>
      </c>
      <c r="D435" s="74" t="s">
        <v>1590</v>
      </c>
      <c r="E435" s="70">
        <f>SUMIFS('K Village'!$D:$D,'K Village'!$B:$B,$A435)</f>
        <v>1</v>
      </c>
      <c r="F435" s="75"/>
      <c r="G435" s="70">
        <f>SUMIFS('Central CL (Department)'!$BO:$BO,'Central CL (Department)'!$A:$A,$A435)</f>
        <v>0</v>
      </c>
      <c r="H435" s="75"/>
      <c r="I435" s="70">
        <f>SUMIFS('Siam Discovery'!$C:$C,'Siam Discovery'!$A:$A,$A435)</f>
        <v>0</v>
      </c>
      <c r="J435" s="75"/>
      <c r="K435" s="70">
        <f>SUMIFS('Paradise Park'!$C:$C,'Paradise Park'!$A:$A,$A435)</f>
        <v>4</v>
      </c>
      <c r="L435" s="75"/>
      <c r="M435" s="70">
        <f>SUMIFS('Central LP'!$D:$D,'Central LP'!$B:$B,$A435)</f>
        <v>1</v>
      </c>
      <c r="N435" s="75"/>
      <c r="O435" s="71">
        <f t="shared" si="12"/>
        <v>6</v>
      </c>
      <c r="P435" s="71">
        <f t="shared" si="13"/>
        <v>0</v>
      </c>
    </row>
    <row r="436" spans="1:16">
      <c r="A436" s="69" t="s">
        <v>779</v>
      </c>
      <c r="B436" s="69" t="s">
        <v>1583</v>
      </c>
      <c r="C436" s="69" t="s">
        <v>1627</v>
      </c>
      <c r="D436" s="74" t="s">
        <v>1591</v>
      </c>
      <c r="E436" s="70">
        <f>SUMIFS('K Village'!$D:$D,'K Village'!$B:$B,$A436)</f>
        <v>0</v>
      </c>
      <c r="F436" s="75"/>
      <c r="G436" s="70">
        <f>SUMIFS('Central CL (Department)'!$BO:$BO,'Central CL (Department)'!$A:$A,$A436)</f>
        <v>0</v>
      </c>
      <c r="H436" s="75"/>
      <c r="I436" s="70">
        <f>SUMIFS('Siam Discovery'!$C:$C,'Siam Discovery'!$A:$A,$A436)</f>
        <v>0</v>
      </c>
      <c r="J436" s="75"/>
      <c r="K436" s="70">
        <f>SUMIFS('Paradise Park'!$C:$C,'Paradise Park'!$A:$A,$A436)</f>
        <v>4</v>
      </c>
      <c r="L436" s="75"/>
      <c r="M436" s="70">
        <f>SUMIFS('Central LP'!$D:$D,'Central LP'!$B:$B,$A436)</f>
        <v>1</v>
      </c>
      <c r="N436" s="75"/>
      <c r="O436" s="71">
        <f t="shared" si="12"/>
        <v>5</v>
      </c>
      <c r="P436" s="71">
        <f t="shared" si="13"/>
        <v>0</v>
      </c>
    </row>
    <row r="437" spans="1:16">
      <c r="A437" s="69" t="s">
        <v>781</v>
      </c>
      <c r="B437" s="69" t="s">
        <v>1583</v>
      </c>
      <c r="C437" s="69" t="s">
        <v>1627</v>
      </c>
      <c r="D437" s="74" t="s">
        <v>1592</v>
      </c>
      <c r="E437" s="70">
        <f>SUMIFS('K Village'!$D:$D,'K Village'!$B:$B,$A437)</f>
        <v>0</v>
      </c>
      <c r="F437" s="75"/>
      <c r="G437" s="70">
        <f>SUMIFS('Central CL (Department)'!$BO:$BO,'Central CL (Department)'!$A:$A,$A437)</f>
        <v>0</v>
      </c>
      <c r="H437" s="75"/>
      <c r="I437" s="70">
        <f>SUMIFS('Siam Discovery'!$C:$C,'Siam Discovery'!$A:$A,$A437)</f>
        <v>0</v>
      </c>
      <c r="J437" s="75"/>
      <c r="K437" s="70">
        <f>SUMIFS('Paradise Park'!$C:$C,'Paradise Park'!$A:$A,$A437)</f>
        <v>4</v>
      </c>
      <c r="L437" s="75"/>
      <c r="M437" s="70">
        <f>SUMIFS('Central LP'!$D:$D,'Central LP'!$B:$B,$A437)</f>
        <v>0</v>
      </c>
      <c r="N437" s="75"/>
      <c r="O437" s="71">
        <f t="shared" si="12"/>
        <v>4</v>
      </c>
      <c r="P437" s="71">
        <f t="shared" si="13"/>
        <v>0</v>
      </c>
    </row>
    <row r="438" spans="1:16">
      <c r="A438" s="69" t="s">
        <v>785</v>
      </c>
      <c r="B438" s="69" t="s">
        <v>1583</v>
      </c>
      <c r="C438" s="69" t="s">
        <v>1627</v>
      </c>
      <c r="D438" s="74" t="s">
        <v>1593</v>
      </c>
      <c r="E438" s="70">
        <f>SUMIFS('K Village'!$D:$D,'K Village'!$B:$B,$A438)</f>
        <v>1</v>
      </c>
      <c r="F438" s="75"/>
      <c r="G438" s="70">
        <f>SUMIFS('Central CL (Department)'!$BO:$BO,'Central CL (Department)'!$A:$A,$A438)</f>
        <v>0</v>
      </c>
      <c r="H438" s="75"/>
      <c r="I438" s="70">
        <f>SUMIFS('Siam Discovery'!$C:$C,'Siam Discovery'!$A:$A,$A438)</f>
        <v>0</v>
      </c>
      <c r="J438" s="75"/>
      <c r="K438" s="70">
        <f>SUMIFS('Paradise Park'!$C:$C,'Paradise Park'!$A:$A,$A438)</f>
        <v>0</v>
      </c>
      <c r="L438" s="75"/>
      <c r="M438" s="70">
        <f>SUMIFS('Central LP'!$D:$D,'Central LP'!$B:$B,$A438)</f>
        <v>1</v>
      </c>
      <c r="N438" s="75"/>
      <c r="O438" s="71">
        <f t="shared" si="12"/>
        <v>2</v>
      </c>
      <c r="P438" s="71">
        <f t="shared" si="13"/>
        <v>0</v>
      </c>
    </row>
    <row r="439" spans="1:16">
      <c r="A439" s="69" t="s">
        <v>1063</v>
      </c>
      <c r="B439" s="69" t="s">
        <v>1583</v>
      </c>
      <c r="C439" s="69" t="s">
        <v>1627</v>
      </c>
      <c r="D439" s="74" t="s">
        <v>1594</v>
      </c>
      <c r="E439" s="70">
        <f>SUMIFS('K Village'!$D:$D,'K Village'!$B:$B,$A439)</f>
        <v>1</v>
      </c>
      <c r="F439" s="75"/>
      <c r="G439" s="70">
        <f>SUMIFS('Central CL (Department)'!$BO:$BO,'Central CL (Department)'!$A:$A,$A439)</f>
        <v>0</v>
      </c>
      <c r="H439" s="75"/>
      <c r="I439" s="70">
        <f>SUMIFS('Siam Discovery'!$C:$C,'Siam Discovery'!$A:$A,$A439)</f>
        <v>0</v>
      </c>
      <c r="J439" s="75"/>
      <c r="K439" s="70">
        <f>SUMIFS('Paradise Park'!$C:$C,'Paradise Park'!$A:$A,$A439)</f>
        <v>1</v>
      </c>
      <c r="L439" s="75"/>
      <c r="M439" s="70">
        <f>SUMIFS('Central LP'!$D:$D,'Central LP'!$B:$B,$A439)</f>
        <v>0</v>
      </c>
      <c r="N439" s="75"/>
      <c r="O439" s="71">
        <f t="shared" si="12"/>
        <v>2</v>
      </c>
      <c r="P439" s="71">
        <f t="shared" si="13"/>
        <v>0</v>
      </c>
    </row>
    <row r="440" spans="1:16">
      <c r="A440" s="69" t="s">
        <v>1061</v>
      </c>
      <c r="B440" s="69" t="s">
        <v>1583</v>
      </c>
      <c r="C440" s="69" t="s">
        <v>1627</v>
      </c>
      <c r="D440" s="74" t="s">
        <v>1595</v>
      </c>
      <c r="E440" s="70">
        <f>SUMIFS('K Village'!$D:$D,'K Village'!$B:$B,$A440)</f>
        <v>1</v>
      </c>
      <c r="F440" s="75"/>
      <c r="G440" s="70">
        <f>SUMIFS('Central CL (Department)'!$BO:$BO,'Central CL (Department)'!$A:$A,$A440)</f>
        <v>0</v>
      </c>
      <c r="H440" s="75"/>
      <c r="I440" s="70">
        <f>SUMIFS('Siam Discovery'!$C:$C,'Siam Discovery'!$A:$A,$A440)</f>
        <v>0</v>
      </c>
      <c r="J440" s="75"/>
      <c r="K440" s="70">
        <f>SUMIFS('Paradise Park'!$C:$C,'Paradise Park'!$A:$A,$A440)</f>
        <v>1</v>
      </c>
      <c r="L440" s="75"/>
      <c r="M440" s="70">
        <f>SUMIFS('Central LP'!$D:$D,'Central LP'!$B:$B,$A440)</f>
        <v>0</v>
      </c>
      <c r="N440" s="75"/>
      <c r="O440" s="71">
        <f t="shared" si="12"/>
        <v>2</v>
      </c>
      <c r="P440" s="71">
        <f t="shared" si="13"/>
        <v>0</v>
      </c>
    </row>
    <row r="441" spans="1:16">
      <c r="A441" s="69" t="s">
        <v>787</v>
      </c>
      <c r="B441" s="69" t="s">
        <v>1583</v>
      </c>
      <c r="C441" s="69" t="s">
        <v>1613</v>
      </c>
      <c r="D441" s="74" t="s">
        <v>1588</v>
      </c>
      <c r="E441" s="70">
        <f>SUMIFS('K Village'!$D:$D,'K Village'!$B:$B,$A441)</f>
        <v>1</v>
      </c>
      <c r="F441" s="75"/>
      <c r="G441" s="70">
        <f>SUMIFS('Central CL (Department)'!$BO:$BO,'Central CL (Department)'!$A:$A,$A441)</f>
        <v>0</v>
      </c>
      <c r="H441" s="75"/>
      <c r="I441" s="70">
        <f>SUMIFS('Siam Discovery'!$C:$C,'Siam Discovery'!$A:$A,$A441)</f>
        <v>0</v>
      </c>
      <c r="J441" s="75"/>
      <c r="K441" s="70">
        <f>SUMIFS('Paradise Park'!$C:$C,'Paradise Park'!$A:$A,$A441)</f>
        <v>2</v>
      </c>
      <c r="L441" s="75"/>
      <c r="M441" s="70">
        <f>SUMIFS('Central LP'!$D:$D,'Central LP'!$B:$B,$A441)</f>
        <v>1</v>
      </c>
      <c r="N441" s="75"/>
      <c r="O441" s="71">
        <f t="shared" si="12"/>
        <v>4</v>
      </c>
      <c r="P441" s="71">
        <f t="shared" si="13"/>
        <v>0</v>
      </c>
    </row>
    <row r="442" spans="1:16">
      <c r="A442" s="69" t="s">
        <v>773</v>
      </c>
      <c r="B442" s="69" t="s">
        <v>1583</v>
      </c>
      <c r="C442" s="69" t="s">
        <v>1613</v>
      </c>
      <c r="D442" s="74" t="s">
        <v>1589</v>
      </c>
      <c r="E442" s="70">
        <f>SUMIFS('K Village'!$D:$D,'K Village'!$B:$B,$A442)</f>
        <v>0</v>
      </c>
      <c r="F442" s="75"/>
      <c r="G442" s="70">
        <f>SUMIFS('Central CL (Department)'!$BO:$BO,'Central CL (Department)'!$A:$A,$A442)</f>
        <v>1</v>
      </c>
      <c r="H442" s="75"/>
      <c r="I442" s="70">
        <f>SUMIFS('Siam Discovery'!$C:$C,'Siam Discovery'!$A:$A,$A442)</f>
        <v>0</v>
      </c>
      <c r="J442" s="75"/>
      <c r="K442" s="70">
        <f>SUMIFS('Paradise Park'!$C:$C,'Paradise Park'!$A:$A,$A442)</f>
        <v>2</v>
      </c>
      <c r="L442" s="75"/>
      <c r="M442" s="70">
        <f>SUMIFS('Central LP'!$D:$D,'Central LP'!$B:$B,$A442)</f>
        <v>1</v>
      </c>
      <c r="N442" s="75"/>
      <c r="O442" s="71">
        <f t="shared" si="12"/>
        <v>4</v>
      </c>
      <c r="P442" s="71">
        <f t="shared" si="13"/>
        <v>0</v>
      </c>
    </row>
    <row r="443" spans="1:16">
      <c r="A443" s="69" t="s">
        <v>777</v>
      </c>
      <c r="B443" s="69" t="s">
        <v>1583</v>
      </c>
      <c r="C443" s="69" t="s">
        <v>1613</v>
      </c>
      <c r="D443" s="74" t="s">
        <v>1590</v>
      </c>
      <c r="E443" s="70">
        <f>SUMIFS('K Village'!$D:$D,'K Village'!$B:$B,$A443)</f>
        <v>2</v>
      </c>
      <c r="F443" s="75"/>
      <c r="G443" s="70">
        <f>SUMIFS('Central CL (Department)'!$BO:$BO,'Central CL (Department)'!$A:$A,$A443)</f>
        <v>3</v>
      </c>
      <c r="H443" s="75"/>
      <c r="I443" s="70">
        <f>SUMIFS('Siam Discovery'!$C:$C,'Siam Discovery'!$A:$A,$A443)</f>
        <v>2</v>
      </c>
      <c r="J443" s="75"/>
      <c r="K443" s="70">
        <f>SUMIFS('Paradise Park'!$C:$C,'Paradise Park'!$A:$A,$A443)</f>
        <v>1</v>
      </c>
      <c r="L443" s="75"/>
      <c r="M443" s="70">
        <f>SUMIFS('Central LP'!$D:$D,'Central LP'!$B:$B,$A443)</f>
        <v>1</v>
      </c>
      <c r="N443" s="75"/>
      <c r="O443" s="71">
        <f t="shared" si="12"/>
        <v>9</v>
      </c>
      <c r="P443" s="71">
        <f t="shared" si="13"/>
        <v>0</v>
      </c>
    </row>
    <row r="444" spans="1:16">
      <c r="A444" s="69" t="s">
        <v>783</v>
      </c>
      <c r="B444" s="69" t="s">
        <v>1583</v>
      </c>
      <c r="C444" s="69" t="s">
        <v>1613</v>
      </c>
      <c r="D444" s="74" t="s">
        <v>1591</v>
      </c>
      <c r="E444" s="70">
        <f>SUMIFS('K Village'!$D:$D,'K Village'!$B:$B,$A444)</f>
        <v>2</v>
      </c>
      <c r="F444" s="75"/>
      <c r="G444" s="70">
        <f>SUMIFS('Central CL (Department)'!$BO:$BO,'Central CL (Department)'!$A:$A,$A444)</f>
        <v>1</v>
      </c>
      <c r="H444" s="75"/>
      <c r="I444" s="70">
        <f>SUMIFS('Siam Discovery'!$C:$C,'Siam Discovery'!$A:$A,$A444)</f>
        <v>2</v>
      </c>
      <c r="J444" s="75"/>
      <c r="K444" s="70">
        <f>SUMIFS('Paradise Park'!$C:$C,'Paradise Park'!$A:$A,$A444)</f>
        <v>1</v>
      </c>
      <c r="L444" s="75"/>
      <c r="M444" s="70">
        <f>SUMIFS('Central LP'!$D:$D,'Central LP'!$B:$B,$A444)</f>
        <v>2</v>
      </c>
      <c r="N444" s="75"/>
      <c r="O444" s="71">
        <f t="shared" si="12"/>
        <v>8</v>
      </c>
      <c r="P444" s="71">
        <f t="shared" si="13"/>
        <v>0</v>
      </c>
    </row>
    <row r="445" spans="1:16">
      <c r="A445" s="69" t="s">
        <v>789</v>
      </c>
      <c r="B445" s="69" t="s">
        <v>1583</v>
      </c>
      <c r="C445" s="69" t="s">
        <v>1613</v>
      </c>
      <c r="D445" s="74" t="s">
        <v>1592</v>
      </c>
      <c r="E445" s="70">
        <f>SUMIFS('K Village'!$D:$D,'K Village'!$B:$B,$A445)</f>
        <v>1</v>
      </c>
      <c r="F445" s="75"/>
      <c r="G445" s="70">
        <f>SUMIFS('Central CL (Department)'!$BO:$BO,'Central CL (Department)'!$A:$A,$A445)</f>
        <v>2</v>
      </c>
      <c r="H445" s="75"/>
      <c r="I445" s="70">
        <f>SUMIFS('Siam Discovery'!$C:$C,'Siam Discovery'!$A:$A,$A445)</f>
        <v>1</v>
      </c>
      <c r="J445" s="75"/>
      <c r="K445" s="70">
        <f>SUMIFS('Paradise Park'!$C:$C,'Paradise Park'!$A:$A,$A445)</f>
        <v>1</v>
      </c>
      <c r="L445" s="75"/>
      <c r="M445" s="70">
        <f>SUMIFS('Central LP'!$D:$D,'Central LP'!$B:$B,$A445)</f>
        <v>1</v>
      </c>
      <c r="N445" s="75"/>
      <c r="O445" s="71">
        <f t="shared" si="12"/>
        <v>6</v>
      </c>
      <c r="P445" s="71">
        <f t="shared" si="13"/>
        <v>0</v>
      </c>
    </row>
    <row r="446" spans="1:16">
      <c r="A446" s="69" t="s">
        <v>791</v>
      </c>
      <c r="B446" s="69" t="s">
        <v>1583</v>
      </c>
      <c r="C446" s="69" t="s">
        <v>1613</v>
      </c>
      <c r="D446" s="74" t="s">
        <v>1593</v>
      </c>
      <c r="E446" s="70">
        <f>SUMIFS('K Village'!$D:$D,'K Village'!$B:$B,$A446)</f>
        <v>1</v>
      </c>
      <c r="F446" s="75"/>
      <c r="G446" s="70">
        <f>SUMIFS('Central CL (Department)'!$BO:$BO,'Central CL (Department)'!$A:$A,$A446)</f>
        <v>1</v>
      </c>
      <c r="H446" s="75"/>
      <c r="I446" s="70">
        <f>SUMIFS('Siam Discovery'!$C:$C,'Siam Discovery'!$A:$A,$A446)</f>
        <v>0</v>
      </c>
      <c r="J446" s="75"/>
      <c r="K446" s="70">
        <f>SUMIFS('Paradise Park'!$C:$C,'Paradise Park'!$A:$A,$A446)</f>
        <v>0</v>
      </c>
      <c r="L446" s="75"/>
      <c r="M446" s="70">
        <f>SUMIFS('Central LP'!$D:$D,'Central LP'!$B:$B,$A446)</f>
        <v>0</v>
      </c>
      <c r="N446" s="75"/>
      <c r="O446" s="71">
        <f t="shared" si="12"/>
        <v>2</v>
      </c>
      <c r="P446" s="71">
        <f t="shared" si="13"/>
        <v>0</v>
      </c>
    </row>
    <row r="447" spans="1:16">
      <c r="A447" s="69" t="s">
        <v>795</v>
      </c>
      <c r="B447" s="69" t="s">
        <v>1583</v>
      </c>
      <c r="C447" s="69" t="s">
        <v>1613</v>
      </c>
      <c r="D447" s="74" t="s">
        <v>1594</v>
      </c>
      <c r="E447" s="70">
        <f>SUMIFS('K Village'!$D:$D,'K Village'!$B:$B,$A447)</f>
        <v>1</v>
      </c>
      <c r="F447" s="75"/>
      <c r="G447" s="70">
        <f>SUMIFS('Central CL (Department)'!$BO:$BO,'Central CL (Department)'!$A:$A,$A447)</f>
        <v>0</v>
      </c>
      <c r="H447" s="75"/>
      <c r="I447" s="70">
        <f>SUMIFS('Siam Discovery'!$C:$C,'Siam Discovery'!$A:$A,$A447)</f>
        <v>0</v>
      </c>
      <c r="J447" s="75"/>
      <c r="K447" s="70">
        <f>SUMIFS('Paradise Park'!$C:$C,'Paradise Park'!$A:$A,$A447)</f>
        <v>1</v>
      </c>
      <c r="L447" s="75"/>
      <c r="M447" s="70">
        <f>SUMIFS('Central LP'!$D:$D,'Central LP'!$B:$B,$A447)</f>
        <v>1</v>
      </c>
      <c r="N447" s="75"/>
      <c r="O447" s="71">
        <f t="shared" si="12"/>
        <v>3</v>
      </c>
      <c r="P447" s="71">
        <f t="shared" si="13"/>
        <v>0</v>
      </c>
    </row>
    <row r="448" spans="1:16">
      <c r="A448" s="69" t="s">
        <v>1059</v>
      </c>
      <c r="B448" s="69" t="s">
        <v>1583</v>
      </c>
      <c r="C448" s="69" t="s">
        <v>1613</v>
      </c>
      <c r="D448" s="74" t="s">
        <v>1595</v>
      </c>
      <c r="E448" s="70">
        <f>SUMIFS('K Village'!$D:$D,'K Village'!$B:$B,$A448)</f>
        <v>1</v>
      </c>
      <c r="F448" s="75"/>
      <c r="G448" s="70">
        <f>SUMIFS('Central CL (Department)'!$BO:$BO,'Central CL (Department)'!$A:$A,$A448)</f>
        <v>0</v>
      </c>
      <c r="H448" s="75"/>
      <c r="I448" s="70">
        <f>SUMIFS('Siam Discovery'!$C:$C,'Siam Discovery'!$A:$A,$A448)</f>
        <v>0</v>
      </c>
      <c r="J448" s="75"/>
      <c r="K448" s="70">
        <f>SUMIFS('Paradise Park'!$C:$C,'Paradise Park'!$A:$A,$A448)</f>
        <v>1</v>
      </c>
      <c r="L448" s="75"/>
      <c r="M448" s="70">
        <f>SUMIFS('Central LP'!$D:$D,'Central LP'!$B:$B,$A448)</f>
        <v>0</v>
      </c>
      <c r="N448" s="75"/>
      <c r="O448" s="71">
        <f t="shared" si="12"/>
        <v>2</v>
      </c>
      <c r="P448" s="71">
        <f t="shared" si="13"/>
        <v>0</v>
      </c>
    </row>
    <row r="449" spans="1:16">
      <c r="A449" s="69" t="s">
        <v>1057</v>
      </c>
      <c r="B449" s="69" t="s">
        <v>1583</v>
      </c>
      <c r="C449" s="69" t="s">
        <v>1613</v>
      </c>
      <c r="D449" s="74" t="s">
        <v>1598</v>
      </c>
      <c r="E449" s="70">
        <f>SUMIFS('K Village'!$D:$D,'K Village'!$B:$B,$A449)</f>
        <v>0</v>
      </c>
      <c r="F449" s="75"/>
      <c r="G449" s="70">
        <f>SUMIFS('Central CL (Department)'!$BO:$BO,'Central CL (Department)'!$A:$A,$A449)</f>
        <v>0</v>
      </c>
      <c r="H449" s="75"/>
      <c r="I449" s="70">
        <f>SUMIFS('Siam Discovery'!$C:$C,'Siam Discovery'!$A:$A,$A449)</f>
        <v>0</v>
      </c>
      <c r="J449" s="75"/>
      <c r="K449" s="70">
        <f>SUMIFS('Paradise Park'!$C:$C,'Paradise Park'!$A:$A,$A449)</f>
        <v>1</v>
      </c>
      <c r="L449" s="75"/>
      <c r="M449" s="70">
        <f>SUMIFS('Central LP'!$D:$D,'Central LP'!$B:$B,$A449)</f>
        <v>1</v>
      </c>
      <c r="N449" s="75"/>
      <c r="O449" s="71">
        <f t="shared" si="12"/>
        <v>2</v>
      </c>
      <c r="P449" s="71">
        <f t="shared" si="13"/>
        <v>0</v>
      </c>
    </row>
    <row r="450" spans="1:16">
      <c r="A450" s="69" t="s">
        <v>793</v>
      </c>
      <c r="B450" s="69" t="s">
        <v>1583</v>
      </c>
      <c r="C450" s="69" t="s">
        <v>1613</v>
      </c>
      <c r="D450" s="74" t="s">
        <v>1599</v>
      </c>
      <c r="E450" s="70">
        <f>SUMIFS('K Village'!$D:$D,'K Village'!$B:$B,$A450)</f>
        <v>1</v>
      </c>
      <c r="F450" s="75"/>
      <c r="G450" s="70">
        <f>SUMIFS('Central CL (Department)'!$BO:$BO,'Central CL (Department)'!$A:$A,$A450)</f>
        <v>1</v>
      </c>
      <c r="H450" s="75"/>
      <c r="I450" s="70">
        <f>SUMIFS('Siam Discovery'!$C:$C,'Siam Discovery'!$A:$A,$A450)</f>
        <v>1</v>
      </c>
      <c r="J450" s="75"/>
      <c r="K450" s="70">
        <f>SUMIFS('Paradise Park'!$C:$C,'Paradise Park'!$A:$A,$A450)</f>
        <v>1</v>
      </c>
      <c r="L450" s="75"/>
      <c r="M450" s="70">
        <f>SUMIFS('Central LP'!$D:$D,'Central LP'!$B:$B,$A450)</f>
        <v>1</v>
      </c>
      <c r="N450" s="75"/>
      <c r="O450" s="71">
        <f t="shared" si="12"/>
        <v>5</v>
      </c>
      <c r="P450" s="71">
        <f t="shared" si="13"/>
        <v>0</v>
      </c>
    </row>
    <row r="451" spans="1:16">
      <c r="A451" s="69" t="s">
        <v>796</v>
      </c>
      <c r="B451" s="69" t="s">
        <v>1583</v>
      </c>
      <c r="C451" s="69" t="s">
        <v>1613</v>
      </c>
      <c r="D451" s="74" t="s">
        <v>1600</v>
      </c>
      <c r="E451" s="70">
        <f>SUMIFS('K Village'!$D:$D,'K Village'!$B:$B,$A451)</f>
        <v>1</v>
      </c>
      <c r="F451" s="75"/>
      <c r="G451" s="70">
        <f>SUMIFS('Central CL (Department)'!$BO:$BO,'Central CL (Department)'!$A:$A,$A451)</f>
        <v>1</v>
      </c>
      <c r="H451" s="75"/>
      <c r="I451" s="70">
        <f>SUMIFS('Siam Discovery'!$C:$C,'Siam Discovery'!$A:$A,$A451)</f>
        <v>1</v>
      </c>
      <c r="J451" s="75"/>
      <c r="K451" s="70">
        <f>SUMIFS('Paradise Park'!$C:$C,'Paradise Park'!$A:$A,$A451)</f>
        <v>2</v>
      </c>
      <c r="L451" s="75"/>
      <c r="M451" s="70">
        <f>SUMIFS('Central LP'!$D:$D,'Central LP'!$B:$B,$A451)</f>
        <v>0</v>
      </c>
      <c r="N451" s="75"/>
      <c r="O451" s="71">
        <f t="shared" si="12"/>
        <v>5</v>
      </c>
      <c r="P451" s="71">
        <f t="shared" si="13"/>
        <v>0</v>
      </c>
    </row>
    <row r="452" spans="1:16">
      <c r="A452" s="69" t="s">
        <v>799</v>
      </c>
      <c r="B452" s="69" t="s">
        <v>1583</v>
      </c>
      <c r="C452" s="69" t="s">
        <v>1613</v>
      </c>
      <c r="D452" s="74" t="s">
        <v>1601</v>
      </c>
      <c r="E452" s="70">
        <f>SUMIFS('K Village'!$D:$D,'K Village'!$B:$B,$A452)</f>
        <v>1</v>
      </c>
      <c r="F452" s="75"/>
      <c r="G452" s="70">
        <f>SUMIFS('Central CL (Department)'!$BO:$BO,'Central CL (Department)'!$A:$A,$A452)</f>
        <v>1</v>
      </c>
      <c r="H452" s="75"/>
      <c r="I452" s="70">
        <f>SUMIFS('Siam Discovery'!$C:$C,'Siam Discovery'!$A:$A,$A452)</f>
        <v>1</v>
      </c>
      <c r="J452" s="75"/>
      <c r="K452" s="70">
        <f>SUMIFS('Paradise Park'!$C:$C,'Paradise Park'!$A:$A,$A452)</f>
        <v>2</v>
      </c>
      <c r="L452" s="75"/>
      <c r="M452" s="70">
        <f>SUMIFS('Central LP'!$D:$D,'Central LP'!$B:$B,$A452)</f>
        <v>3</v>
      </c>
      <c r="N452" s="75"/>
      <c r="O452" s="71">
        <f t="shared" si="12"/>
        <v>8</v>
      </c>
      <c r="P452" s="71">
        <f t="shared" si="13"/>
        <v>0</v>
      </c>
    </row>
    <row r="453" spans="1:16">
      <c r="A453" s="69" t="s">
        <v>801</v>
      </c>
      <c r="B453" s="69" t="s">
        <v>1583</v>
      </c>
      <c r="C453" s="69" t="s">
        <v>1613</v>
      </c>
      <c r="D453" s="74" t="s">
        <v>1602</v>
      </c>
      <c r="E453" s="70">
        <f>SUMIFS('K Village'!$D:$D,'K Village'!$B:$B,$A453)</f>
        <v>0</v>
      </c>
      <c r="F453" s="75"/>
      <c r="G453" s="70">
        <f>SUMIFS('Central CL (Department)'!$BO:$BO,'Central CL (Department)'!$A:$A,$A453)</f>
        <v>1</v>
      </c>
      <c r="H453" s="75"/>
      <c r="I453" s="70">
        <f>SUMIFS('Siam Discovery'!$C:$C,'Siam Discovery'!$A:$A,$A453)</f>
        <v>1</v>
      </c>
      <c r="J453" s="75"/>
      <c r="K453" s="70">
        <f>SUMIFS('Paradise Park'!$C:$C,'Paradise Park'!$A:$A,$A453)</f>
        <v>1</v>
      </c>
      <c r="L453" s="75"/>
      <c r="M453" s="70">
        <f>SUMIFS('Central LP'!$D:$D,'Central LP'!$B:$B,$A453)</f>
        <v>1</v>
      </c>
      <c r="N453" s="75"/>
      <c r="O453" s="71">
        <f t="shared" si="12"/>
        <v>4</v>
      </c>
      <c r="P453" s="71">
        <f t="shared" si="13"/>
        <v>0</v>
      </c>
    </row>
    <row r="454" spans="1:16">
      <c r="A454" s="69" t="s">
        <v>803</v>
      </c>
      <c r="B454" s="69" t="s">
        <v>1583</v>
      </c>
      <c r="C454" s="69" t="s">
        <v>1613</v>
      </c>
      <c r="D454" s="74" t="s">
        <v>1603</v>
      </c>
      <c r="E454" s="70">
        <f>SUMIFS('K Village'!$D:$D,'K Village'!$B:$B,$A454)</f>
        <v>1</v>
      </c>
      <c r="F454" s="75"/>
      <c r="G454" s="70">
        <f>SUMIFS('Central CL (Department)'!$BO:$BO,'Central CL (Department)'!$A:$A,$A454)</f>
        <v>0</v>
      </c>
      <c r="H454" s="75"/>
      <c r="I454" s="70">
        <f>SUMIFS('Siam Discovery'!$C:$C,'Siam Discovery'!$A:$A,$A454)</f>
        <v>0</v>
      </c>
      <c r="J454" s="75"/>
      <c r="K454" s="70">
        <f>SUMIFS('Paradise Park'!$C:$C,'Paradise Park'!$A:$A,$A454)</f>
        <v>2</v>
      </c>
      <c r="L454" s="75"/>
      <c r="M454" s="70">
        <f>SUMIFS('Central LP'!$D:$D,'Central LP'!$B:$B,$A454)</f>
        <v>1</v>
      </c>
      <c r="N454" s="75"/>
      <c r="O454" s="71">
        <f t="shared" ref="O454:O463" si="14">E454+G454+I454+K454+M454</f>
        <v>4</v>
      </c>
      <c r="P454" s="71">
        <f t="shared" ref="P454:P463" si="15">F454+H454+J454+L454+N454</f>
        <v>0</v>
      </c>
    </row>
    <row r="455" spans="1:16">
      <c r="A455" s="69" t="s">
        <v>1534</v>
      </c>
      <c r="B455" s="69" t="s">
        <v>1583</v>
      </c>
      <c r="C455" s="69" t="s">
        <v>1613</v>
      </c>
      <c r="D455" s="74" t="s">
        <v>1616</v>
      </c>
      <c r="E455" s="70">
        <f>SUMIFS('K Village'!$D:$D,'K Village'!$B:$B,$A455)</f>
        <v>1</v>
      </c>
      <c r="F455" s="75"/>
      <c r="G455" s="70">
        <f>SUMIFS('Central CL (Department)'!$BO:$BO,'Central CL (Department)'!$A:$A,$A455)</f>
        <v>0</v>
      </c>
      <c r="H455" s="75"/>
      <c r="I455" s="70">
        <f>SUMIFS('Siam Discovery'!$C:$C,'Siam Discovery'!$A:$A,$A455)</f>
        <v>0</v>
      </c>
      <c r="J455" s="75"/>
      <c r="K455" s="70">
        <f>SUMIFS('Paradise Park'!$C:$C,'Paradise Park'!$A:$A,$A455)</f>
        <v>0</v>
      </c>
      <c r="L455" s="75"/>
      <c r="M455" s="70">
        <f>SUMIFS('Central LP'!$D:$D,'Central LP'!$B:$B,$A455)</f>
        <v>1</v>
      </c>
      <c r="N455" s="75"/>
      <c r="O455" s="71">
        <f t="shared" si="14"/>
        <v>2</v>
      </c>
      <c r="P455" s="71">
        <f t="shared" si="15"/>
        <v>0</v>
      </c>
    </row>
    <row r="456" spans="1:16">
      <c r="A456" s="69" t="s">
        <v>805</v>
      </c>
      <c r="B456" s="69" t="s">
        <v>1584</v>
      </c>
      <c r="C456" s="69" t="s">
        <v>1622</v>
      </c>
      <c r="D456" s="74" t="s">
        <v>1588</v>
      </c>
      <c r="E456" s="70">
        <f>SUMIFS('K Village'!$D:$D,'K Village'!$B:$B,$A456)</f>
        <v>1</v>
      </c>
      <c r="F456" s="75"/>
      <c r="G456" s="70">
        <f>SUMIFS('Central CL (Department)'!$BO:$BO,'Central CL (Department)'!$A:$A,$A456)</f>
        <v>0</v>
      </c>
      <c r="H456" s="75"/>
      <c r="I456" s="70">
        <f>SUMIFS('Siam Discovery'!$C:$C,'Siam Discovery'!$A:$A,$A456)</f>
        <v>1</v>
      </c>
      <c r="J456" s="75"/>
      <c r="K456" s="70">
        <f>SUMIFS('Paradise Park'!$C:$C,'Paradise Park'!$A:$A,$A456)</f>
        <v>2</v>
      </c>
      <c r="L456" s="75"/>
      <c r="M456" s="70">
        <f>SUMIFS('Central LP'!$D:$D,'Central LP'!$B:$B,$A456)</f>
        <v>3</v>
      </c>
      <c r="N456" s="75"/>
      <c r="O456" s="71">
        <f t="shared" si="14"/>
        <v>7</v>
      </c>
      <c r="P456" s="71">
        <f t="shared" si="15"/>
        <v>0</v>
      </c>
    </row>
    <row r="457" spans="1:16">
      <c r="A457" s="69" t="s">
        <v>809</v>
      </c>
      <c r="B457" s="69" t="s">
        <v>1584</v>
      </c>
      <c r="C457" s="69" t="s">
        <v>1622</v>
      </c>
      <c r="D457" s="74" t="s">
        <v>1589</v>
      </c>
      <c r="E457" s="70">
        <f>SUMIFS('K Village'!$D:$D,'K Village'!$B:$B,$A457)</f>
        <v>1</v>
      </c>
      <c r="F457" s="75"/>
      <c r="G457" s="70">
        <f>SUMIFS('Central CL (Department)'!$BO:$BO,'Central CL (Department)'!$A:$A,$A457)</f>
        <v>1</v>
      </c>
      <c r="H457" s="75"/>
      <c r="I457" s="70">
        <f>SUMIFS('Siam Discovery'!$C:$C,'Siam Discovery'!$A:$A,$A457)</f>
        <v>1</v>
      </c>
      <c r="J457" s="75"/>
      <c r="K457" s="70">
        <f>SUMIFS('Paradise Park'!$C:$C,'Paradise Park'!$A:$A,$A457)</f>
        <v>0</v>
      </c>
      <c r="L457" s="75"/>
      <c r="M457" s="70">
        <f>SUMIFS('Central LP'!$D:$D,'Central LP'!$B:$B,$A457)</f>
        <v>1</v>
      </c>
      <c r="N457" s="75"/>
      <c r="O457" s="71">
        <f t="shared" si="14"/>
        <v>4</v>
      </c>
      <c r="P457" s="71">
        <f t="shared" si="15"/>
        <v>0</v>
      </c>
    </row>
    <row r="458" spans="1:16">
      <c r="A458" s="69" t="s">
        <v>811</v>
      </c>
      <c r="B458" s="69" t="s">
        <v>1584</v>
      </c>
      <c r="C458" s="69" t="s">
        <v>1622</v>
      </c>
      <c r="D458" s="74" t="s">
        <v>1590</v>
      </c>
      <c r="E458" s="70">
        <f>SUMIFS('K Village'!$D:$D,'K Village'!$B:$B,$A458)</f>
        <v>1</v>
      </c>
      <c r="F458" s="75"/>
      <c r="G458" s="70">
        <f>SUMIFS('Central CL (Department)'!$BO:$BO,'Central CL (Department)'!$A:$A,$A458)</f>
        <v>1</v>
      </c>
      <c r="H458" s="75"/>
      <c r="I458" s="70">
        <f>SUMIFS('Siam Discovery'!$C:$C,'Siam Discovery'!$A:$A,$A458)</f>
        <v>2</v>
      </c>
      <c r="J458" s="75"/>
      <c r="K458" s="70">
        <f>SUMIFS('Paradise Park'!$C:$C,'Paradise Park'!$A:$A,$A458)</f>
        <v>2</v>
      </c>
      <c r="L458" s="75"/>
      <c r="M458" s="70">
        <f>SUMIFS('Central LP'!$D:$D,'Central LP'!$B:$B,$A458)</f>
        <v>1</v>
      </c>
      <c r="N458" s="75"/>
      <c r="O458" s="71">
        <f t="shared" si="14"/>
        <v>7</v>
      </c>
      <c r="P458" s="71">
        <f t="shared" si="15"/>
        <v>0</v>
      </c>
    </row>
    <row r="459" spans="1:16">
      <c r="A459" s="69" t="s">
        <v>813</v>
      </c>
      <c r="B459" s="69" t="s">
        <v>1584</v>
      </c>
      <c r="C459" s="69" t="s">
        <v>1622</v>
      </c>
      <c r="D459" s="74" t="s">
        <v>1591</v>
      </c>
      <c r="E459" s="70">
        <f>SUMIFS('K Village'!$D:$D,'K Village'!$B:$B,$A459)</f>
        <v>1</v>
      </c>
      <c r="F459" s="75"/>
      <c r="G459" s="70">
        <f>SUMIFS('Central CL (Department)'!$BO:$BO,'Central CL (Department)'!$A:$A,$A459)</f>
        <v>1</v>
      </c>
      <c r="H459" s="75"/>
      <c r="I459" s="70">
        <f>SUMIFS('Siam Discovery'!$C:$C,'Siam Discovery'!$A:$A,$A459)</f>
        <v>1</v>
      </c>
      <c r="J459" s="75"/>
      <c r="K459" s="70">
        <f>SUMIFS('Paradise Park'!$C:$C,'Paradise Park'!$A:$A,$A459)</f>
        <v>1</v>
      </c>
      <c r="L459" s="75"/>
      <c r="M459" s="70">
        <f>SUMIFS('Central LP'!$D:$D,'Central LP'!$B:$B,$A459)</f>
        <v>1</v>
      </c>
      <c r="N459" s="75"/>
      <c r="O459" s="71">
        <f t="shared" si="14"/>
        <v>5</v>
      </c>
      <c r="P459" s="71">
        <f t="shared" si="15"/>
        <v>0</v>
      </c>
    </row>
    <row r="460" spans="1:16">
      <c r="A460" s="69" t="s">
        <v>815</v>
      </c>
      <c r="B460" s="69" t="s">
        <v>1584</v>
      </c>
      <c r="C460" s="69" t="s">
        <v>1622</v>
      </c>
      <c r="D460" s="74" t="s">
        <v>1592</v>
      </c>
      <c r="E460" s="70">
        <f>SUMIFS('K Village'!$D:$D,'K Village'!$B:$B,$A460)</f>
        <v>1</v>
      </c>
      <c r="F460" s="75"/>
      <c r="G460" s="70">
        <f>SUMIFS('Central CL (Department)'!$BO:$BO,'Central CL (Department)'!$A:$A,$A460)</f>
        <v>1</v>
      </c>
      <c r="H460" s="75"/>
      <c r="I460" s="70">
        <f>SUMIFS('Siam Discovery'!$C:$C,'Siam Discovery'!$A:$A,$A460)</f>
        <v>2</v>
      </c>
      <c r="J460" s="75"/>
      <c r="K460" s="70">
        <f>SUMIFS('Paradise Park'!$C:$C,'Paradise Park'!$A:$A,$A460)</f>
        <v>2</v>
      </c>
      <c r="L460" s="75"/>
      <c r="M460" s="70">
        <f>SUMIFS('Central LP'!$D:$D,'Central LP'!$B:$B,$A460)</f>
        <v>1</v>
      </c>
      <c r="N460" s="75"/>
      <c r="O460" s="71">
        <f t="shared" si="14"/>
        <v>7</v>
      </c>
      <c r="P460" s="71">
        <f t="shared" si="15"/>
        <v>0</v>
      </c>
    </row>
    <row r="461" spans="1:16">
      <c r="A461" s="69" t="s">
        <v>817</v>
      </c>
      <c r="B461" s="69" t="s">
        <v>1584</v>
      </c>
      <c r="C461" s="69" t="s">
        <v>1622</v>
      </c>
      <c r="D461" s="74" t="s">
        <v>1593</v>
      </c>
      <c r="E461" s="70">
        <f>SUMIFS('K Village'!$D:$D,'K Village'!$B:$B,$A461)</f>
        <v>1</v>
      </c>
      <c r="F461" s="75"/>
      <c r="G461" s="70">
        <f>SUMIFS('Central CL (Department)'!$BO:$BO,'Central CL (Department)'!$A:$A,$A461)</f>
        <v>0</v>
      </c>
      <c r="H461" s="75"/>
      <c r="I461" s="70">
        <f>SUMIFS('Siam Discovery'!$C:$C,'Siam Discovery'!$A:$A,$A461)</f>
        <v>0</v>
      </c>
      <c r="J461" s="75"/>
      <c r="K461" s="70">
        <f>SUMIFS('Paradise Park'!$C:$C,'Paradise Park'!$A:$A,$A461)</f>
        <v>1</v>
      </c>
      <c r="L461" s="75"/>
      <c r="M461" s="70">
        <f>SUMIFS('Central LP'!$D:$D,'Central LP'!$B:$B,$A461)</f>
        <v>1</v>
      </c>
      <c r="N461" s="75"/>
      <c r="O461" s="71">
        <f t="shared" si="14"/>
        <v>3</v>
      </c>
      <c r="P461" s="71">
        <f t="shared" si="15"/>
        <v>0</v>
      </c>
    </row>
    <row r="462" spans="1:16">
      <c r="A462" s="69" t="s">
        <v>819</v>
      </c>
      <c r="B462" s="69" t="s">
        <v>1584</v>
      </c>
      <c r="C462" s="69" t="s">
        <v>1622</v>
      </c>
      <c r="D462" s="74" t="s">
        <v>1594</v>
      </c>
      <c r="E462" s="70">
        <f>SUMIFS('K Village'!$D:$D,'K Village'!$B:$B,$A462)</f>
        <v>1</v>
      </c>
      <c r="F462" s="75"/>
      <c r="G462" s="70">
        <f>SUMIFS('Central CL (Department)'!$BO:$BO,'Central CL (Department)'!$A:$A,$A462)</f>
        <v>0</v>
      </c>
      <c r="H462" s="75"/>
      <c r="I462" s="70">
        <f>SUMIFS('Siam Discovery'!$C:$C,'Siam Discovery'!$A:$A,$A462)</f>
        <v>0</v>
      </c>
      <c r="J462" s="75"/>
      <c r="K462" s="70">
        <f>SUMIFS('Paradise Park'!$C:$C,'Paradise Park'!$A:$A,$A462)</f>
        <v>1</v>
      </c>
      <c r="L462" s="75"/>
      <c r="M462" s="70">
        <f>SUMIFS('Central LP'!$D:$D,'Central LP'!$B:$B,$A462)</f>
        <v>0</v>
      </c>
      <c r="N462" s="75"/>
      <c r="O462" s="71">
        <f t="shared" si="14"/>
        <v>2</v>
      </c>
      <c r="P462" s="71">
        <f t="shared" si="15"/>
        <v>0</v>
      </c>
    </row>
    <row r="463" spans="1:16">
      <c r="A463" s="69" t="s">
        <v>1055</v>
      </c>
      <c r="B463" s="69" t="s">
        <v>1584</v>
      </c>
      <c r="C463" s="69" t="s">
        <v>1622</v>
      </c>
      <c r="D463" s="74" t="s">
        <v>1595</v>
      </c>
      <c r="E463" s="70">
        <f>SUMIFS('K Village'!$D:$D,'K Village'!$B:$B,$A463)</f>
        <v>1</v>
      </c>
      <c r="F463" s="75"/>
      <c r="G463" s="70">
        <f>SUMIFS('Central CL (Department)'!$BO:$BO,'Central CL (Department)'!$A:$A,$A463)</f>
        <v>0</v>
      </c>
      <c r="H463" s="75"/>
      <c r="I463" s="70">
        <f>SUMIFS('Siam Discovery'!$C:$C,'Siam Discovery'!$A:$A,$A463)</f>
        <v>0</v>
      </c>
      <c r="J463" s="75"/>
      <c r="K463" s="70">
        <f>SUMIFS('Paradise Park'!$C:$C,'Paradise Park'!$A:$A,$A463)</f>
        <v>1</v>
      </c>
      <c r="L463" s="75"/>
      <c r="M463" s="70">
        <f>SUMIFS('Central LP'!$D:$D,'Central LP'!$B:$B,$A463)</f>
        <v>0</v>
      </c>
      <c r="N463" s="75"/>
      <c r="O463" s="71">
        <f t="shared" si="14"/>
        <v>2</v>
      </c>
      <c r="P463" s="71">
        <f t="shared" si="15"/>
        <v>0</v>
      </c>
    </row>
    <row r="464" spans="1:16">
      <c r="A464" s="72" t="s">
        <v>2</v>
      </c>
      <c r="B464" s="72"/>
      <c r="C464" s="72"/>
      <c r="D464" s="72"/>
      <c r="E464" s="73">
        <f t="shared" ref="E464:P464" si="16">SUM(E5:E463)</f>
        <v>435</v>
      </c>
      <c r="F464" s="73">
        <f t="shared" si="16"/>
        <v>0</v>
      </c>
      <c r="G464" s="73">
        <f t="shared" si="16"/>
        <v>258</v>
      </c>
      <c r="H464" s="73">
        <f t="shared" si="16"/>
        <v>0</v>
      </c>
      <c r="I464" s="73">
        <f t="shared" si="16"/>
        <v>259</v>
      </c>
      <c r="J464" s="73">
        <f t="shared" si="16"/>
        <v>0</v>
      </c>
      <c r="K464" s="73">
        <f t="shared" si="16"/>
        <v>577</v>
      </c>
      <c r="L464" s="73">
        <f t="shared" si="16"/>
        <v>0</v>
      </c>
      <c r="M464" s="73">
        <f t="shared" si="16"/>
        <v>344</v>
      </c>
      <c r="N464" s="73">
        <f t="shared" si="16"/>
        <v>0</v>
      </c>
      <c r="O464" s="73">
        <f t="shared" si="16"/>
        <v>1873</v>
      </c>
      <c r="P464" s="73">
        <f t="shared" si="16"/>
        <v>0</v>
      </c>
    </row>
  </sheetData>
  <autoFilter ref="A4:P463" xr:uid="{6EB6353E-A092-48EC-983C-EED71C72CA77}"/>
  <mergeCells count="10">
    <mergeCell ref="I3:J3"/>
    <mergeCell ref="K3:L3"/>
    <mergeCell ref="M3:N3"/>
    <mergeCell ref="O3:P3"/>
    <mergeCell ref="A3:A4"/>
    <mergeCell ref="B3:B4"/>
    <mergeCell ref="C3:C4"/>
    <mergeCell ref="D3:D4"/>
    <mergeCell ref="E3:F3"/>
    <mergeCell ref="G3:H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740E19-C0A0-4970-835D-9A2A7E2F122A}">
  <dimension ref="A1:D483"/>
  <sheetViews>
    <sheetView workbookViewId="0">
      <selection activeCell="J19" sqref="J19"/>
    </sheetView>
  </sheetViews>
  <sheetFormatPr defaultColWidth="8.453125" defaultRowHeight="14.5"/>
  <cols>
    <col min="1" max="1" width="3.81640625" bestFit="1" customWidth="1"/>
    <col min="2" max="2" width="20" customWidth="1"/>
    <col min="3" max="3" width="58.54296875" bestFit="1" customWidth="1"/>
    <col min="4" max="4" width="20" customWidth="1"/>
  </cols>
  <sheetData>
    <row r="1" spans="1:4" ht="15.5">
      <c r="A1" s="85" t="s">
        <v>1389</v>
      </c>
      <c r="B1" s="86"/>
      <c r="C1" s="86"/>
      <c r="D1" s="86"/>
    </row>
    <row r="2" spans="1:4" ht="15.5">
      <c r="A2" s="55" t="s">
        <v>1390</v>
      </c>
      <c r="B2" s="46" t="s">
        <v>0</v>
      </c>
      <c r="C2" s="46" t="s">
        <v>1</v>
      </c>
      <c r="D2" s="46" t="s">
        <v>4</v>
      </c>
    </row>
    <row r="3" spans="1:4" ht="15.5">
      <c r="A3" s="56">
        <v>1</v>
      </c>
      <c r="B3" s="57" t="s">
        <v>57</v>
      </c>
      <c r="C3" s="57" t="s">
        <v>58</v>
      </c>
      <c r="D3" s="61">
        <v>9</v>
      </c>
    </row>
    <row r="4" spans="1:4" ht="15.5">
      <c r="A4" s="56">
        <v>2</v>
      </c>
      <c r="B4" s="57" t="s">
        <v>59</v>
      </c>
      <c r="C4" s="57" t="s">
        <v>60</v>
      </c>
      <c r="D4" s="61">
        <v>15</v>
      </c>
    </row>
    <row r="5" spans="1:4" ht="15.5">
      <c r="A5" s="56">
        <v>3</v>
      </c>
      <c r="B5" s="57" t="s">
        <v>61</v>
      </c>
      <c r="C5" s="57" t="s">
        <v>62</v>
      </c>
      <c r="D5" s="61">
        <v>4</v>
      </c>
    </row>
    <row r="6" spans="1:4" ht="15.5">
      <c r="A6" s="56">
        <v>4</v>
      </c>
      <c r="B6" s="57" t="s">
        <v>851</v>
      </c>
      <c r="C6" s="57" t="s">
        <v>852</v>
      </c>
      <c r="D6" s="61">
        <v>5</v>
      </c>
    </row>
    <row r="7" spans="1:4" ht="15.5">
      <c r="A7" s="56">
        <v>5</v>
      </c>
      <c r="B7" s="57" t="s">
        <v>853</v>
      </c>
      <c r="C7" s="57" t="s">
        <v>855</v>
      </c>
      <c r="D7" s="61">
        <v>9</v>
      </c>
    </row>
    <row r="8" spans="1:4" ht="15.5">
      <c r="A8" s="56">
        <v>6</v>
      </c>
      <c r="B8" s="57" t="s">
        <v>977</v>
      </c>
      <c r="C8" s="57" t="s">
        <v>978</v>
      </c>
      <c r="D8" s="61">
        <v>9</v>
      </c>
    </row>
    <row r="9" spans="1:4" ht="15.5">
      <c r="A9" s="56">
        <v>7</v>
      </c>
      <c r="B9" s="57" t="s">
        <v>63</v>
      </c>
      <c r="C9" s="57" t="s">
        <v>64</v>
      </c>
      <c r="D9" s="61">
        <v>12</v>
      </c>
    </row>
    <row r="10" spans="1:4" ht="15.5">
      <c r="A10" s="56">
        <v>8</v>
      </c>
      <c r="B10" s="57" t="s">
        <v>65</v>
      </c>
      <c r="C10" s="57" t="s">
        <v>66</v>
      </c>
      <c r="D10" s="61">
        <v>16</v>
      </c>
    </row>
    <row r="11" spans="1:4" ht="15.5">
      <c r="A11" s="56">
        <v>9</v>
      </c>
      <c r="B11" s="57" t="s">
        <v>67</v>
      </c>
      <c r="C11" s="57" t="s">
        <v>68</v>
      </c>
      <c r="D11" s="61">
        <v>3</v>
      </c>
    </row>
    <row r="12" spans="1:4" ht="15.5">
      <c r="A12" s="56">
        <v>10</v>
      </c>
      <c r="B12" s="57" t="s">
        <v>1385</v>
      </c>
      <c r="C12" s="57" t="s">
        <v>1384</v>
      </c>
      <c r="D12" s="61">
        <v>4</v>
      </c>
    </row>
    <row r="13" spans="1:4" ht="15.5">
      <c r="A13" s="56">
        <v>11</v>
      </c>
      <c r="B13" s="57" t="s">
        <v>863</v>
      </c>
      <c r="C13" s="57" t="s">
        <v>864</v>
      </c>
      <c r="D13" s="61">
        <v>6</v>
      </c>
    </row>
    <row r="14" spans="1:4" ht="15.5">
      <c r="A14" s="56">
        <v>12</v>
      </c>
      <c r="B14" s="57" t="s">
        <v>867</v>
      </c>
      <c r="C14" s="57" t="s">
        <v>868</v>
      </c>
      <c r="D14" s="61">
        <v>6</v>
      </c>
    </row>
    <row r="15" spans="1:4" ht="15.5">
      <c r="A15" s="56">
        <v>13</v>
      </c>
      <c r="B15" s="57" t="s">
        <v>871</v>
      </c>
      <c r="C15" s="57" t="s">
        <v>872</v>
      </c>
      <c r="D15" s="61">
        <v>1</v>
      </c>
    </row>
    <row r="16" spans="1:4" ht="15.5">
      <c r="A16" s="56">
        <v>14</v>
      </c>
      <c r="B16" s="57" t="s">
        <v>873</v>
      </c>
      <c r="C16" s="57" t="s">
        <v>874</v>
      </c>
      <c r="D16" s="61">
        <v>5</v>
      </c>
    </row>
    <row r="17" spans="1:4" ht="15.5">
      <c r="A17" s="56">
        <v>15</v>
      </c>
      <c r="B17" s="57" t="s">
        <v>1391</v>
      </c>
      <c r="C17" s="57" t="s">
        <v>1392</v>
      </c>
      <c r="D17" s="61">
        <v>6</v>
      </c>
    </row>
    <row r="18" spans="1:4" ht="15.5">
      <c r="A18" s="56">
        <v>16</v>
      </c>
      <c r="B18" s="57" t="s">
        <v>1393</v>
      </c>
      <c r="C18" s="57" t="s">
        <v>1394</v>
      </c>
      <c r="D18" s="61">
        <v>1</v>
      </c>
    </row>
    <row r="19" spans="1:4" ht="15.5">
      <c r="A19" s="56">
        <v>17</v>
      </c>
      <c r="B19" s="57" t="s">
        <v>1395</v>
      </c>
      <c r="C19" s="57" t="s">
        <v>1396</v>
      </c>
      <c r="D19" s="61">
        <v>1</v>
      </c>
    </row>
    <row r="20" spans="1:4" ht="15.5">
      <c r="A20" s="56">
        <v>18</v>
      </c>
      <c r="B20" s="57" t="s">
        <v>1397</v>
      </c>
      <c r="C20" s="57" t="s">
        <v>1398</v>
      </c>
      <c r="D20" s="61">
        <v>7</v>
      </c>
    </row>
    <row r="21" spans="1:4" ht="15.5">
      <c r="A21" s="56">
        <v>19</v>
      </c>
      <c r="B21" s="57" t="s">
        <v>1399</v>
      </c>
      <c r="C21" s="57" t="s">
        <v>1400</v>
      </c>
      <c r="D21" s="61">
        <v>4</v>
      </c>
    </row>
    <row r="22" spans="1:4" ht="15.5">
      <c r="A22" s="56">
        <v>20</v>
      </c>
      <c r="B22" s="57" t="s">
        <v>1401</v>
      </c>
      <c r="C22" s="57" t="s">
        <v>1402</v>
      </c>
      <c r="D22" s="61">
        <v>2</v>
      </c>
    </row>
    <row r="23" spans="1:4" ht="15.5">
      <c r="A23" s="56">
        <v>21</v>
      </c>
      <c r="B23" s="57" t="s">
        <v>1403</v>
      </c>
      <c r="C23" s="57" t="s">
        <v>1404</v>
      </c>
      <c r="D23" s="61">
        <v>4</v>
      </c>
    </row>
    <row r="24" spans="1:4" ht="15.5">
      <c r="A24" s="56">
        <v>22</v>
      </c>
      <c r="B24" s="57" t="s">
        <v>1405</v>
      </c>
      <c r="C24" s="57" t="s">
        <v>1406</v>
      </c>
      <c r="D24" s="61">
        <v>5</v>
      </c>
    </row>
    <row r="25" spans="1:4" ht="15.5">
      <c r="A25" s="56">
        <v>23</v>
      </c>
      <c r="B25" s="57" t="s">
        <v>1407</v>
      </c>
      <c r="C25" s="57" t="s">
        <v>1408</v>
      </c>
      <c r="D25" s="61">
        <v>13</v>
      </c>
    </row>
    <row r="26" spans="1:4" ht="15.5">
      <c r="A26" s="56">
        <v>24</v>
      </c>
      <c r="B26" s="57" t="s">
        <v>1409</v>
      </c>
      <c r="C26" s="57" t="s">
        <v>1410</v>
      </c>
      <c r="D26" s="61">
        <v>6</v>
      </c>
    </row>
    <row r="27" spans="1:4" ht="15.5">
      <c r="A27" s="56">
        <v>25</v>
      </c>
      <c r="B27" s="57" t="s">
        <v>1411</v>
      </c>
      <c r="C27" s="57" t="s">
        <v>1412</v>
      </c>
      <c r="D27" s="61">
        <v>2</v>
      </c>
    </row>
    <row r="28" spans="1:4" ht="15.5">
      <c r="A28" s="56">
        <v>26</v>
      </c>
      <c r="B28" s="57" t="s">
        <v>1413</v>
      </c>
      <c r="C28" s="57" t="s">
        <v>1414</v>
      </c>
      <c r="D28" s="61">
        <v>9</v>
      </c>
    </row>
    <row r="29" spans="1:4" ht="15.5">
      <c r="A29" s="56">
        <v>27</v>
      </c>
      <c r="B29" s="57" t="s">
        <v>1415</v>
      </c>
      <c r="C29" s="57" t="s">
        <v>1416</v>
      </c>
      <c r="D29" s="61">
        <v>9</v>
      </c>
    </row>
    <row r="30" spans="1:4" ht="15.5">
      <c r="A30" s="56">
        <v>28</v>
      </c>
      <c r="B30" s="57" t="s">
        <v>1417</v>
      </c>
      <c r="C30" s="57" t="s">
        <v>1418</v>
      </c>
      <c r="D30" s="61">
        <v>7</v>
      </c>
    </row>
    <row r="31" spans="1:4" ht="15.5">
      <c r="A31" s="56">
        <v>29</v>
      </c>
      <c r="B31" s="57" t="s">
        <v>1419</v>
      </c>
      <c r="C31" s="57" t="s">
        <v>1420</v>
      </c>
      <c r="D31" s="61">
        <v>10</v>
      </c>
    </row>
    <row r="32" spans="1:4" ht="15.5">
      <c r="A32" s="56">
        <v>30</v>
      </c>
      <c r="B32" s="57" t="s">
        <v>1421</v>
      </c>
      <c r="C32" s="57" t="s">
        <v>1422</v>
      </c>
      <c r="D32" s="61">
        <v>6</v>
      </c>
    </row>
    <row r="33" spans="1:4" ht="15.5">
      <c r="A33" s="56">
        <v>31</v>
      </c>
      <c r="B33" s="57" t="s">
        <v>1423</v>
      </c>
      <c r="C33" s="57" t="s">
        <v>1424</v>
      </c>
      <c r="D33" s="61">
        <v>9</v>
      </c>
    </row>
    <row r="34" spans="1:4" ht="15.5">
      <c r="A34" s="56">
        <v>32</v>
      </c>
      <c r="B34" s="57" t="s">
        <v>1425</v>
      </c>
      <c r="C34" s="57" t="s">
        <v>1426</v>
      </c>
      <c r="D34" s="61">
        <v>7</v>
      </c>
    </row>
    <row r="35" spans="1:4" ht="15.5">
      <c r="A35" s="56">
        <v>33</v>
      </c>
      <c r="B35" s="57" t="s">
        <v>1427</v>
      </c>
      <c r="C35" s="57" t="s">
        <v>1428</v>
      </c>
      <c r="D35" s="61">
        <v>9</v>
      </c>
    </row>
    <row r="36" spans="1:4" ht="15.5">
      <c r="A36" s="56">
        <v>34</v>
      </c>
      <c r="B36" s="57" t="s">
        <v>1429</v>
      </c>
      <c r="C36" s="57" t="s">
        <v>1430</v>
      </c>
      <c r="D36" s="61">
        <v>4</v>
      </c>
    </row>
    <row r="37" spans="1:4" ht="15.5">
      <c r="A37" s="56">
        <v>35</v>
      </c>
      <c r="B37" s="57" t="s">
        <v>1431</v>
      </c>
      <c r="C37" s="57" t="s">
        <v>1432</v>
      </c>
      <c r="D37" s="61">
        <v>6</v>
      </c>
    </row>
    <row r="38" spans="1:4" ht="15.5">
      <c r="A38" s="56">
        <v>36</v>
      </c>
      <c r="B38" s="57" t="s">
        <v>1433</v>
      </c>
      <c r="C38" s="57" t="s">
        <v>1434</v>
      </c>
      <c r="D38" s="61">
        <v>8</v>
      </c>
    </row>
    <row r="39" spans="1:4" ht="15.5">
      <c r="A39" s="56">
        <v>37</v>
      </c>
      <c r="B39" s="57" t="s">
        <v>1435</v>
      </c>
      <c r="C39" s="57" t="s">
        <v>1436</v>
      </c>
      <c r="D39" s="61">
        <v>9</v>
      </c>
    </row>
    <row r="40" spans="1:4" ht="15.5">
      <c r="A40" s="56">
        <v>38</v>
      </c>
      <c r="B40" s="57" t="s">
        <v>1437</v>
      </c>
      <c r="C40" s="57" t="s">
        <v>1438</v>
      </c>
      <c r="D40" s="61">
        <v>7</v>
      </c>
    </row>
    <row r="41" spans="1:4" ht="15.5">
      <c r="A41" s="56">
        <v>39</v>
      </c>
      <c r="B41" s="57" t="s">
        <v>1439</v>
      </c>
      <c r="C41" s="57" t="s">
        <v>1440</v>
      </c>
      <c r="D41" s="61">
        <v>10</v>
      </c>
    </row>
    <row r="42" spans="1:4" ht="15.5">
      <c r="A42" s="56">
        <v>40</v>
      </c>
      <c r="B42" s="57" t="s">
        <v>1441</v>
      </c>
      <c r="C42" s="57" t="s">
        <v>1442</v>
      </c>
      <c r="D42" s="61">
        <v>9</v>
      </c>
    </row>
    <row r="43" spans="1:4" ht="15.5">
      <c r="A43" s="56">
        <v>41</v>
      </c>
      <c r="B43" s="57" t="s">
        <v>1443</v>
      </c>
      <c r="C43" s="57" t="s">
        <v>1444</v>
      </c>
      <c r="D43" s="61">
        <v>14</v>
      </c>
    </row>
    <row r="44" spans="1:4" ht="15.5">
      <c r="A44" s="56">
        <v>42</v>
      </c>
      <c r="B44" s="57" t="s">
        <v>1445</v>
      </c>
      <c r="C44" s="57" t="s">
        <v>1446</v>
      </c>
      <c r="D44" s="61">
        <v>9</v>
      </c>
    </row>
    <row r="45" spans="1:4" ht="15.5">
      <c r="A45" s="56">
        <v>43</v>
      </c>
      <c r="B45" s="57" t="s">
        <v>1447</v>
      </c>
      <c r="C45" s="57" t="s">
        <v>1448</v>
      </c>
      <c r="D45" s="61">
        <v>10</v>
      </c>
    </row>
    <row r="46" spans="1:4" ht="15.5">
      <c r="A46" s="56">
        <v>44</v>
      </c>
      <c r="B46" s="57" t="s">
        <v>1449</v>
      </c>
      <c r="C46" s="57" t="s">
        <v>1450</v>
      </c>
      <c r="D46" s="61">
        <v>10</v>
      </c>
    </row>
    <row r="47" spans="1:4" ht="15.5">
      <c r="A47" s="56">
        <v>45</v>
      </c>
      <c r="B47" s="57" t="s">
        <v>1451</v>
      </c>
      <c r="C47" s="57" t="s">
        <v>1452</v>
      </c>
      <c r="D47" s="61">
        <v>13</v>
      </c>
    </row>
    <row r="48" spans="1:4" ht="15.5">
      <c r="A48" s="56">
        <v>46</v>
      </c>
      <c r="B48" s="57" t="s">
        <v>1453</v>
      </c>
      <c r="C48" s="57" t="s">
        <v>1454</v>
      </c>
      <c r="D48" s="61">
        <v>9</v>
      </c>
    </row>
    <row r="49" spans="1:4" ht="15.5">
      <c r="A49" s="56">
        <v>47</v>
      </c>
      <c r="B49" s="57" t="s">
        <v>1455</v>
      </c>
      <c r="C49" s="57" t="s">
        <v>1456</v>
      </c>
      <c r="D49" s="61">
        <v>12</v>
      </c>
    </row>
    <row r="50" spans="1:4" ht="15.5">
      <c r="A50" s="56">
        <v>48</v>
      </c>
      <c r="B50" s="57" t="s">
        <v>1457</v>
      </c>
      <c r="C50" s="57" t="s">
        <v>1458</v>
      </c>
      <c r="D50" s="61">
        <v>5</v>
      </c>
    </row>
    <row r="51" spans="1:4" ht="15.5">
      <c r="A51" s="56">
        <v>49</v>
      </c>
      <c r="B51" s="57" t="s">
        <v>1459</v>
      </c>
      <c r="C51" s="57" t="s">
        <v>1460</v>
      </c>
      <c r="D51" s="61">
        <v>8</v>
      </c>
    </row>
    <row r="52" spans="1:4" ht="15.5">
      <c r="A52" s="56">
        <v>50</v>
      </c>
      <c r="B52" s="57" t="s">
        <v>999</v>
      </c>
      <c r="C52" s="57" t="s">
        <v>1000</v>
      </c>
      <c r="D52" s="61">
        <v>4</v>
      </c>
    </row>
    <row r="53" spans="1:4" ht="15.5">
      <c r="A53" s="56">
        <v>51</v>
      </c>
      <c r="B53" s="57" t="s">
        <v>1009</v>
      </c>
      <c r="C53" s="57" t="s">
        <v>1010</v>
      </c>
      <c r="D53" s="61">
        <v>5</v>
      </c>
    </row>
    <row r="54" spans="1:4" ht="15.5">
      <c r="A54" s="56">
        <v>52</v>
      </c>
      <c r="B54" s="57" t="s">
        <v>1007</v>
      </c>
      <c r="C54" s="57" t="s">
        <v>1008</v>
      </c>
      <c r="D54" s="61">
        <v>7</v>
      </c>
    </row>
    <row r="55" spans="1:4" ht="15.5">
      <c r="A55" s="56">
        <v>53</v>
      </c>
      <c r="B55" s="57" t="s">
        <v>1005</v>
      </c>
      <c r="C55" s="57" t="s">
        <v>1006</v>
      </c>
      <c r="D55" s="61">
        <v>9</v>
      </c>
    </row>
    <row r="56" spans="1:4" ht="15.5">
      <c r="A56" s="56">
        <v>54</v>
      </c>
      <c r="B56" s="57" t="s">
        <v>1001</v>
      </c>
      <c r="C56" s="57" t="s">
        <v>1002</v>
      </c>
      <c r="D56" s="61">
        <v>11</v>
      </c>
    </row>
    <row r="57" spans="1:4" ht="15.5">
      <c r="A57" s="56">
        <v>55</v>
      </c>
      <c r="B57" s="57" t="s">
        <v>1003</v>
      </c>
      <c r="C57" s="57" t="s">
        <v>1004</v>
      </c>
      <c r="D57" s="61">
        <v>8</v>
      </c>
    </row>
    <row r="58" spans="1:4" ht="15.5">
      <c r="A58" s="56">
        <v>56</v>
      </c>
      <c r="B58" s="57" t="s">
        <v>1461</v>
      </c>
      <c r="C58" s="57" t="s">
        <v>1462</v>
      </c>
      <c r="D58" s="61">
        <v>7</v>
      </c>
    </row>
    <row r="59" spans="1:4" ht="15.5">
      <c r="A59" s="56">
        <v>57</v>
      </c>
      <c r="B59" s="57" t="s">
        <v>1023</v>
      </c>
      <c r="C59" s="57" t="s">
        <v>1024</v>
      </c>
      <c r="D59" s="61">
        <v>5</v>
      </c>
    </row>
    <row r="60" spans="1:4" ht="15.5">
      <c r="A60" s="56">
        <v>58</v>
      </c>
      <c r="B60" s="57" t="s">
        <v>1027</v>
      </c>
      <c r="C60" s="57" t="s">
        <v>1028</v>
      </c>
      <c r="D60" s="61">
        <v>4</v>
      </c>
    </row>
    <row r="61" spans="1:4" ht="15.5">
      <c r="A61" s="56">
        <v>59</v>
      </c>
      <c r="B61" s="57" t="s">
        <v>1025</v>
      </c>
      <c r="C61" s="57" t="s">
        <v>1026</v>
      </c>
      <c r="D61" s="61">
        <v>5</v>
      </c>
    </row>
    <row r="62" spans="1:4" ht="15.5">
      <c r="A62" s="56">
        <v>60</v>
      </c>
      <c r="B62" s="57" t="s">
        <v>1019</v>
      </c>
      <c r="C62" s="57" t="s">
        <v>1020</v>
      </c>
      <c r="D62" s="61">
        <v>11</v>
      </c>
    </row>
    <row r="63" spans="1:4" ht="15.5">
      <c r="A63" s="56">
        <v>61</v>
      </c>
      <c r="B63" s="57" t="s">
        <v>1463</v>
      </c>
      <c r="C63" s="57" t="s">
        <v>1464</v>
      </c>
      <c r="D63" s="61">
        <v>3</v>
      </c>
    </row>
    <row r="64" spans="1:4" ht="15.5">
      <c r="A64" s="56">
        <v>62</v>
      </c>
      <c r="B64" s="57" t="s">
        <v>1017</v>
      </c>
      <c r="C64" s="57" t="s">
        <v>1018</v>
      </c>
      <c r="D64" s="61">
        <v>6</v>
      </c>
    </row>
    <row r="65" spans="1:4" ht="15.5">
      <c r="A65" s="56">
        <v>63</v>
      </c>
      <c r="B65" s="57" t="s">
        <v>1021</v>
      </c>
      <c r="C65" s="57" t="s">
        <v>1022</v>
      </c>
      <c r="D65" s="61">
        <v>6</v>
      </c>
    </row>
    <row r="66" spans="1:4" ht="15.5">
      <c r="A66" s="56">
        <v>64</v>
      </c>
      <c r="B66" s="57" t="s">
        <v>1465</v>
      </c>
      <c r="C66" s="57" t="s">
        <v>1466</v>
      </c>
      <c r="D66" s="61">
        <v>6</v>
      </c>
    </row>
    <row r="67" spans="1:4" ht="15.5">
      <c r="A67" s="56">
        <v>65</v>
      </c>
      <c r="B67" s="57" t="s">
        <v>1467</v>
      </c>
      <c r="C67" s="57" t="s">
        <v>1468</v>
      </c>
      <c r="D67" s="61">
        <v>3</v>
      </c>
    </row>
    <row r="68" spans="1:4" ht="15.5">
      <c r="A68" s="56">
        <v>66</v>
      </c>
      <c r="B68" s="57" t="s">
        <v>1469</v>
      </c>
      <c r="C68" s="57" t="s">
        <v>1470</v>
      </c>
      <c r="D68" s="61">
        <v>1</v>
      </c>
    </row>
    <row r="69" spans="1:4" ht="15.5">
      <c r="A69" s="56">
        <v>67</v>
      </c>
      <c r="B69" s="57" t="s">
        <v>1471</v>
      </c>
      <c r="C69" s="57" t="s">
        <v>1472</v>
      </c>
      <c r="D69" s="61">
        <v>1</v>
      </c>
    </row>
    <row r="70" spans="1:4" ht="15.5">
      <c r="A70" s="56">
        <v>68</v>
      </c>
      <c r="B70" s="57" t="s">
        <v>1473</v>
      </c>
      <c r="C70" s="57" t="s">
        <v>1474</v>
      </c>
      <c r="D70" s="61">
        <v>2</v>
      </c>
    </row>
    <row r="71" spans="1:4" ht="15.5">
      <c r="A71" s="56">
        <v>69</v>
      </c>
      <c r="B71" s="57" t="s">
        <v>1475</v>
      </c>
      <c r="C71" s="57" t="s">
        <v>1476</v>
      </c>
      <c r="D71" s="61">
        <v>1</v>
      </c>
    </row>
    <row r="72" spans="1:4" ht="15.5">
      <c r="A72" s="56">
        <v>70</v>
      </c>
      <c r="B72" s="57" t="s">
        <v>1477</v>
      </c>
      <c r="C72" s="57" t="s">
        <v>1478</v>
      </c>
      <c r="D72" s="61">
        <v>1</v>
      </c>
    </row>
    <row r="73" spans="1:4" ht="15.5">
      <c r="A73" s="56">
        <v>71</v>
      </c>
      <c r="B73" s="57" t="s">
        <v>1479</v>
      </c>
      <c r="C73" s="57" t="s">
        <v>1480</v>
      </c>
      <c r="D73" s="61">
        <v>1</v>
      </c>
    </row>
    <row r="74" spans="1:4" ht="15.5">
      <c r="A74" s="56">
        <v>72</v>
      </c>
      <c r="B74" s="57" t="s">
        <v>1481</v>
      </c>
      <c r="C74" s="57" t="s">
        <v>1482</v>
      </c>
      <c r="D74" s="61">
        <v>1</v>
      </c>
    </row>
    <row r="75" spans="1:4" ht="15.5">
      <c r="A75" s="56">
        <v>73</v>
      </c>
      <c r="B75" s="57" t="s">
        <v>1483</v>
      </c>
      <c r="C75" s="57" t="s">
        <v>1484</v>
      </c>
      <c r="D75" s="61">
        <v>1</v>
      </c>
    </row>
    <row r="76" spans="1:4" ht="15.5">
      <c r="A76" s="56">
        <v>74</v>
      </c>
      <c r="B76" s="57" t="s">
        <v>1485</v>
      </c>
      <c r="C76" s="57" t="s">
        <v>1486</v>
      </c>
      <c r="D76" s="61">
        <v>1</v>
      </c>
    </row>
    <row r="77" spans="1:4" ht="15.5">
      <c r="A77" s="56">
        <v>75</v>
      </c>
      <c r="B77" s="57" t="s">
        <v>1487</v>
      </c>
      <c r="C77" s="57" t="s">
        <v>1488</v>
      </c>
      <c r="D77" s="61">
        <v>1</v>
      </c>
    </row>
    <row r="78" spans="1:4" ht="15.5">
      <c r="A78" s="56">
        <v>76</v>
      </c>
      <c r="B78" s="57" t="s">
        <v>1489</v>
      </c>
      <c r="C78" s="57" t="s">
        <v>1490</v>
      </c>
      <c r="D78" s="61">
        <v>1</v>
      </c>
    </row>
    <row r="79" spans="1:4" ht="15.5">
      <c r="A79" s="56">
        <v>77</v>
      </c>
      <c r="B79" s="57" t="s">
        <v>1491</v>
      </c>
      <c r="C79" s="57" t="s">
        <v>1492</v>
      </c>
      <c r="D79" s="61">
        <v>1</v>
      </c>
    </row>
    <row r="80" spans="1:4" ht="15.5">
      <c r="A80" s="56">
        <v>78</v>
      </c>
      <c r="B80" s="57" t="s">
        <v>1493</v>
      </c>
      <c r="C80" s="57" t="s">
        <v>1494</v>
      </c>
      <c r="D80" s="61">
        <v>1</v>
      </c>
    </row>
    <row r="81" spans="1:4" ht="15.5">
      <c r="A81" s="56">
        <v>79</v>
      </c>
      <c r="B81" s="57" t="s">
        <v>1495</v>
      </c>
      <c r="C81" s="57" t="s">
        <v>1496</v>
      </c>
      <c r="D81" s="61">
        <v>1</v>
      </c>
    </row>
    <row r="82" spans="1:4" ht="15.5">
      <c r="A82" s="56">
        <v>80</v>
      </c>
      <c r="B82" s="57" t="s">
        <v>71</v>
      </c>
      <c r="C82" s="57" t="s">
        <v>72</v>
      </c>
      <c r="D82" s="61">
        <v>3</v>
      </c>
    </row>
    <row r="83" spans="1:4" ht="15.5">
      <c r="A83" s="56">
        <v>81</v>
      </c>
      <c r="B83" s="57" t="s">
        <v>75</v>
      </c>
      <c r="C83" s="57" t="s">
        <v>76</v>
      </c>
      <c r="D83" s="61">
        <v>10</v>
      </c>
    </row>
    <row r="84" spans="1:4" ht="15.5">
      <c r="A84" s="56">
        <v>82</v>
      </c>
      <c r="B84" s="57" t="s">
        <v>79</v>
      </c>
      <c r="C84" s="57" t="s">
        <v>80</v>
      </c>
      <c r="D84" s="61">
        <v>5</v>
      </c>
    </row>
    <row r="85" spans="1:4" ht="15.5">
      <c r="A85" s="56">
        <v>83</v>
      </c>
      <c r="B85" s="57" t="s">
        <v>83</v>
      </c>
      <c r="C85" s="57" t="s">
        <v>84</v>
      </c>
      <c r="D85" s="61">
        <v>4</v>
      </c>
    </row>
    <row r="86" spans="1:4" ht="15.5">
      <c r="A86" s="56">
        <v>84</v>
      </c>
      <c r="B86" s="57" t="s">
        <v>87</v>
      </c>
      <c r="C86" s="57" t="s">
        <v>88</v>
      </c>
      <c r="D86" s="61">
        <v>4</v>
      </c>
    </row>
    <row r="87" spans="1:4" ht="15.5">
      <c r="A87" s="56">
        <v>85</v>
      </c>
      <c r="B87" s="57" t="s">
        <v>90</v>
      </c>
      <c r="C87" s="57" t="s">
        <v>92</v>
      </c>
      <c r="D87" s="61">
        <v>4</v>
      </c>
    </row>
    <row r="88" spans="1:4" ht="15.5">
      <c r="A88" s="56">
        <v>86</v>
      </c>
      <c r="B88" s="57" t="s">
        <v>99</v>
      </c>
      <c r="C88" s="57" t="s">
        <v>100</v>
      </c>
      <c r="D88" s="61">
        <v>5</v>
      </c>
    </row>
    <row r="89" spans="1:4" ht="15.5">
      <c r="A89" s="56">
        <v>87</v>
      </c>
      <c r="B89" s="57" t="s">
        <v>1331</v>
      </c>
      <c r="C89" s="57" t="s">
        <v>1330</v>
      </c>
      <c r="D89" s="61">
        <v>2</v>
      </c>
    </row>
    <row r="90" spans="1:4" ht="15.5">
      <c r="A90" s="56">
        <v>88</v>
      </c>
      <c r="B90" s="57" t="s">
        <v>1329</v>
      </c>
      <c r="C90" s="57" t="s">
        <v>1328</v>
      </c>
      <c r="D90" s="61">
        <v>1</v>
      </c>
    </row>
    <row r="91" spans="1:4" ht="15.5">
      <c r="A91" s="56">
        <v>89</v>
      </c>
      <c r="B91" s="57" t="s">
        <v>1327</v>
      </c>
      <c r="C91" s="57" t="s">
        <v>1326</v>
      </c>
      <c r="D91" s="61">
        <v>2</v>
      </c>
    </row>
    <row r="92" spans="1:4" ht="15.5">
      <c r="A92" s="56">
        <v>90</v>
      </c>
      <c r="B92" s="57" t="s">
        <v>278</v>
      </c>
      <c r="C92" s="57" t="s">
        <v>279</v>
      </c>
      <c r="D92" s="61">
        <v>4</v>
      </c>
    </row>
    <row r="93" spans="1:4" ht="15.5">
      <c r="A93" s="56">
        <v>91</v>
      </c>
      <c r="B93" s="57" t="s">
        <v>280</v>
      </c>
      <c r="C93" s="57" t="s">
        <v>281</v>
      </c>
      <c r="D93" s="61">
        <v>1</v>
      </c>
    </row>
    <row r="94" spans="1:4" ht="15.5">
      <c r="A94" s="56">
        <v>92</v>
      </c>
      <c r="B94" s="57" t="s">
        <v>164</v>
      </c>
      <c r="C94" s="57" t="s">
        <v>165</v>
      </c>
      <c r="D94" s="61">
        <v>2</v>
      </c>
    </row>
    <row r="95" spans="1:4" ht="15.5">
      <c r="A95" s="56">
        <v>93</v>
      </c>
      <c r="B95" s="57" t="s">
        <v>166</v>
      </c>
      <c r="C95" s="57" t="s">
        <v>167</v>
      </c>
      <c r="D95" s="61">
        <v>2</v>
      </c>
    </row>
    <row r="96" spans="1:4" ht="15.5">
      <c r="A96" s="56">
        <v>94</v>
      </c>
      <c r="B96" s="57" t="s">
        <v>130</v>
      </c>
      <c r="C96" s="57" t="s">
        <v>131</v>
      </c>
      <c r="D96" s="61">
        <v>2</v>
      </c>
    </row>
    <row r="97" spans="1:4" ht="15.5">
      <c r="A97" s="56">
        <v>95</v>
      </c>
      <c r="B97" s="57" t="s">
        <v>132</v>
      </c>
      <c r="C97" s="57" t="s">
        <v>133</v>
      </c>
      <c r="D97" s="61">
        <v>2</v>
      </c>
    </row>
    <row r="98" spans="1:4" ht="15.5">
      <c r="A98" s="56">
        <v>96</v>
      </c>
      <c r="B98" s="57" t="s">
        <v>168</v>
      </c>
      <c r="C98" s="57" t="s">
        <v>169</v>
      </c>
      <c r="D98" s="61">
        <v>1</v>
      </c>
    </row>
    <row r="99" spans="1:4" ht="15.5">
      <c r="A99" s="56">
        <v>97</v>
      </c>
      <c r="B99" s="57" t="s">
        <v>255</v>
      </c>
      <c r="C99" s="57" t="s">
        <v>256</v>
      </c>
      <c r="D99" s="61">
        <v>2</v>
      </c>
    </row>
    <row r="100" spans="1:4" ht="15.5">
      <c r="A100" s="56">
        <v>98</v>
      </c>
      <c r="B100" s="57" t="s">
        <v>257</v>
      </c>
      <c r="C100" s="57" t="s">
        <v>258</v>
      </c>
      <c r="D100" s="61">
        <v>2</v>
      </c>
    </row>
    <row r="101" spans="1:4" ht="15.5">
      <c r="A101" s="56">
        <v>99</v>
      </c>
      <c r="B101" s="57" t="s">
        <v>170</v>
      </c>
      <c r="C101" s="57" t="s">
        <v>171</v>
      </c>
      <c r="D101" s="61">
        <v>3</v>
      </c>
    </row>
    <row r="102" spans="1:4" ht="15.5">
      <c r="A102" s="56">
        <v>100</v>
      </c>
      <c r="B102" s="57" t="s">
        <v>172</v>
      </c>
      <c r="C102" s="57" t="s">
        <v>173</v>
      </c>
      <c r="D102" s="61">
        <v>3</v>
      </c>
    </row>
    <row r="103" spans="1:4" ht="15.5">
      <c r="A103" s="56">
        <v>101</v>
      </c>
      <c r="B103" s="57" t="s">
        <v>174</v>
      </c>
      <c r="C103" s="57" t="s">
        <v>175</v>
      </c>
      <c r="D103" s="61">
        <v>2</v>
      </c>
    </row>
    <row r="104" spans="1:4" ht="15.5">
      <c r="A104" s="56">
        <v>102</v>
      </c>
      <c r="B104" s="57" t="s">
        <v>983</v>
      </c>
      <c r="C104" s="57" t="s">
        <v>984</v>
      </c>
      <c r="D104" s="61">
        <v>4</v>
      </c>
    </row>
    <row r="105" spans="1:4" ht="15.5">
      <c r="A105" s="56">
        <v>103</v>
      </c>
      <c r="B105" s="57" t="s">
        <v>985</v>
      </c>
      <c r="C105" s="57" t="s">
        <v>986</v>
      </c>
      <c r="D105" s="61">
        <v>4</v>
      </c>
    </row>
    <row r="106" spans="1:4" ht="15.5">
      <c r="A106" s="56">
        <v>104</v>
      </c>
      <c r="B106" s="57" t="s">
        <v>987</v>
      </c>
      <c r="C106" s="57" t="s">
        <v>988</v>
      </c>
      <c r="D106" s="61">
        <v>4</v>
      </c>
    </row>
    <row r="107" spans="1:4" ht="15.5">
      <c r="A107" s="56">
        <v>105</v>
      </c>
      <c r="B107" s="57" t="s">
        <v>989</v>
      </c>
      <c r="C107" s="57" t="s">
        <v>990</v>
      </c>
      <c r="D107" s="61">
        <v>4</v>
      </c>
    </row>
    <row r="108" spans="1:4" ht="15.5">
      <c r="A108" s="56">
        <v>106</v>
      </c>
      <c r="B108" s="57" t="s">
        <v>991</v>
      </c>
      <c r="C108" s="57" t="s">
        <v>992</v>
      </c>
      <c r="D108" s="61">
        <v>4</v>
      </c>
    </row>
    <row r="109" spans="1:4" ht="15.5">
      <c r="A109" s="56">
        <v>107</v>
      </c>
      <c r="B109" s="57" t="s">
        <v>993</v>
      </c>
      <c r="C109" s="57" t="s">
        <v>994</v>
      </c>
      <c r="D109" s="61">
        <v>1</v>
      </c>
    </row>
    <row r="110" spans="1:4" ht="15.5">
      <c r="A110" s="56">
        <v>108</v>
      </c>
      <c r="B110" s="57" t="s">
        <v>995</v>
      </c>
      <c r="C110" s="57" t="s">
        <v>996</v>
      </c>
      <c r="D110" s="61">
        <v>2</v>
      </c>
    </row>
    <row r="111" spans="1:4" ht="15.5">
      <c r="A111" s="56">
        <v>109</v>
      </c>
      <c r="B111" s="57" t="s">
        <v>997</v>
      </c>
      <c r="C111" s="57" t="s">
        <v>998</v>
      </c>
      <c r="D111" s="61">
        <v>3</v>
      </c>
    </row>
    <row r="112" spans="1:4" ht="15.5">
      <c r="A112" s="56">
        <v>110</v>
      </c>
      <c r="B112" s="57" t="s">
        <v>1325</v>
      </c>
      <c r="C112" s="57" t="s">
        <v>1324</v>
      </c>
      <c r="D112" s="61">
        <v>2</v>
      </c>
    </row>
    <row r="113" spans="1:4" ht="15.5">
      <c r="A113" s="56">
        <v>111</v>
      </c>
      <c r="B113" s="57" t="s">
        <v>1323</v>
      </c>
      <c r="C113" s="57" t="s">
        <v>1322</v>
      </c>
      <c r="D113" s="61">
        <v>2</v>
      </c>
    </row>
    <row r="114" spans="1:4" ht="15.5">
      <c r="A114" s="56">
        <v>112</v>
      </c>
      <c r="B114" s="57" t="s">
        <v>1321</v>
      </c>
      <c r="C114" s="57" t="s">
        <v>1320</v>
      </c>
      <c r="D114" s="61">
        <v>2</v>
      </c>
    </row>
    <row r="115" spans="1:4" ht="15.5">
      <c r="A115" s="56">
        <v>113</v>
      </c>
      <c r="B115" s="57" t="s">
        <v>1319</v>
      </c>
      <c r="C115" s="57" t="s">
        <v>1318</v>
      </c>
      <c r="D115" s="61">
        <v>2</v>
      </c>
    </row>
    <row r="116" spans="1:4" ht="15.5">
      <c r="A116" s="56">
        <v>114</v>
      </c>
      <c r="B116" s="57" t="s">
        <v>1317</v>
      </c>
      <c r="C116" s="57" t="s">
        <v>1497</v>
      </c>
      <c r="D116" s="61">
        <v>2</v>
      </c>
    </row>
    <row r="117" spans="1:4" ht="15.5">
      <c r="A117" s="56">
        <v>115</v>
      </c>
      <c r="B117" s="57" t="s">
        <v>1315</v>
      </c>
      <c r="C117" s="57" t="s">
        <v>1498</v>
      </c>
      <c r="D117" s="61">
        <v>2</v>
      </c>
    </row>
    <row r="118" spans="1:4" ht="15.5">
      <c r="A118" s="56">
        <v>116</v>
      </c>
      <c r="B118" s="57" t="s">
        <v>1313</v>
      </c>
      <c r="C118" s="57" t="s">
        <v>1497</v>
      </c>
      <c r="D118" s="61">
        <v>2</v>
      </c>
    </row>
    <row r="119" spans="1:4" ht="15.5">
      <c r="A119" s="56">
        <v>117</v>
      </c>
      <c r="B119" s="57" t="s">
        <v>1311</v>
      </c>
      <c r="C119" s="57" t="s">
        <v>1497</v>
      </c>
      <c r="D119" s="61">
        <v>2</v>
      </c>
    </row>
    <row r="120" spans="1:4" ht="15.5">
      <c r="A120" s="56">
        <v>118</v>
      </c>
      <c r="B120" s="57" t="s">
        <v>1309</v>
      </c>
      <c r="C120" s="57" t="s">
        <v>1499</v>
      </c>
      <c r="D120" s="61">
        <v>2</v>
      </c>
    </row>
    <row r="121" spans="1:4" ht="15.5">
      <c r="A121" s="56">
        <v>119</v>
      </c>
      <c r="B121" s="57" t="s">
        <v>1307</v>
      </c>
      <c r="C121" s="57" t="s">
        <v>1499</v>
      </c>
      <c r="D121" s="61">
        <v>2</v>
      </c>
    </row>
    <row r="122" spans="1:4" ht="15.5">
      <c r="A122" s="56">
        <v>120</v>
      </c>
      <c r="B122" s="57" t="s">
        <v>1305</v>
      </c>
      <c r="C122" s="57" t="s">
        <v>1499</v>
      </c>
      <c r="D122" s="61">
        <v>2</v>
      </c>
    </row>
    <row r="123" spans="1:4" ht="15.5">
      <c r="A123" s="56">
        <v>121</v>
      </c>
      <c r="B123" s="57" t="s">
        <v>1303</v>
      </c>
      <c r="C123" s="57" t="s">
        <v>1499</v>
      </c>
      <c r="D123" s="61">
        <v>2</v>
      </c>
    </row>
    <row r="124" spans="1:4" ht="15.5">
      <c r="A124" s="56">
        <v>122</v>
      </c>
      <c r="B124" s="57" t="s">
        <v>1301</v>
      </c>
      <c r="C124" s="57" t="s">
        <v>1300</v>
      </c>
      <c r="D124" s="61">
        <v>1</v>
      </c>
    </row>
    <row r="125" spans="1:4" ht="15.5">
      <c r="A125" s="56">
        <v>123</v>
      </c>
      <c r="B125" s="57" t="s">
        <v>1299</v>
      </c>
      <c r="C125" s="57" t="s">
        <v>1298</v>
      </c>
      <c r="D125" s="61">
        <v>1</v>
      </c>
    </row>
    <row r="126" spans="1:4" ht="15.5">
      <c r="A126" s="56">
        <v>124</v>
      </c>
      <c r="B126" s="57" t="s">
        <v>1297</v>
      </c>
      <c r="C126" s="57" t="s">
        <v>1296</v>
      </c>
      <c r="D126" s="61">
        <v>1</v>
      </c>
    </row>
    <row r="127" spans="1:4" ht="15.5">
      <c r="A127" s="56">
        <v>125</v>
      </c>
      <c r="B127" s="57" t="s">
        <v>1295</v>
      </c>
      <c r="C127" s="57" t="s">
        <v>1294</v>
      </c>
      <c r="D127" s="61">
        <v>1</v>
      </c>
    </row>
    <row r="128" spans="1:4" ht="15.5">
      <c r="A128" s="56">
        <v>126</v>
      </c>
      <c r="B128" s="57" t="s">
        <v>1293</v>
      </c>
      <c r="C128" s="57" t="s">
        <v>1292</v>
      </c>
      <c r="D128" s="61">
        <v>1</v>
      </c>
    </row>
    <row r="129" spans="1:4" ht="15.5">
      <c r="A129" s="56">
        <v>127</v>
      </c>
      <c r="B129" s="57" t="s">
        <v>1291</v>
      </c>
      <c r="C129" s="57" t="s">
        <v>1290</v>
      </c>
      <c r="D129" s="61">
        <v>1</v>
      </c>
    </row>
    <row r="130" spans="1:4" ht="15.5">
      <c r="A130" s="56">
        <v>128</v>
      </c>
      <c r="B130" s="57" t="s">
        <v>1285</v>
      </c>
      <c r="C130" s="57" t="s">
        <v>1284</v>
      </c>
      <c r="D130" s="61">
        <v>1</v>
      </c>
    </row>
    <row r="131" spans="1:4" ht="15.5">
      <c r="A131" s="56">
        <v>129</v>
      </c>
      <c r="B131" s="57" t="s">
        <v>1283</v>
      </c>
      <c r="C131" s="57" t="s">
        <v>1282</v>
      </c>
      <c r="D131" s="61">
        <v>1</v>
      </c>
    </row>
    <row r="132" spans="1:4" ht="15.5">
      <c r="A132" s="56">
        <v>130</v>
      </c>
      <c r="B132" s="57" t="s">
        <v>1281</v>
      </c>
      <c r="C132" s="57" t="s">
        <v>1280</v>
      </c>
      <c r="D132" s="61">
        <v>1</v>
      </c>
    </row>
    <row r="133" spans="1:4" ht="15.5">
      <c r="A133" s="56">
        <v>131</v>
      </c>
      <c r="B133" s="57" t="s">
        <v>1279</v>
      </c>
      <c r="C133" s="57" t="s">
        <v>1278</v>
      </c>
      <c r="D133" s="61">
        <v>1</v>
      </c>
    </row>
    <row r="134" spans="1:4" ht="15.5">
      <c r="A134" s="56">
        <v>132</v>
      </c>
      <c r="B134" s="57" t="s">
        <v>1277</v>
      </c>
      <c r="C134" s="57" t="s">
        <v>1276</v>
      </c>
      <c r="D134" s="61">
        <v>1</v>
      </c>
    </row>
    <row r="135" spans="1:4" ht="15.5">
      <c r="A135" s="56">
        <v>133</v>
      </c>
      <c r="B135" s="57" t="s">
        <v>1273</v>
      </c>
      <c r="C135" s="57" t="s">
        <v>1272</v>
      </c>
      <c r="D135" s="61">
        <v>1</v>
      </c>
    </row>
    <row r="136" spans="1:4" ht="15.5">
      <c r="A136" s="56">
        <v>134</v>
      </c>
      <c r="B136" s="57" t="s">
        <v>1271</v>
      </c>
      <c r="C136" s="57" t="s">
        <v>1270</v>
      </c>
      <c r="D136" s="61">
        <v>1</v>
      </c>
    </row>
    <row r="137" spans="1:4" ht="15.5">
      <c r="A137" s="56">
        <v>135</v>
      </c>
      <c r="B137" s="57" t="s">
        <v>1269</v>
      </c>
      <c r="C137" s="57" t="s">
        <v>1268</v>
      </c>
      <c r="D137" s="61">
        <v>1</v>
      </c>
    </row>
    <row r="138" spans="1:4" ht="15.5">
      <c r="A138" s="56">
        <v>136</v>
      </c>
      <c r="B138" s="57" t="s">
        <v>1265</v>
      </c>
      <c r="C138" s="57" t="s">
        <v>1264</v>
      </c>
      <c r="D138" s="61">
        <v>1</v>
      </c>
    </row>
    <row r="139" spans="1:4" ht="15.5">
      <c r="A139" s="56">
        <v>137</v>
      </c>
      <c r="B139" s="57" t="s">
        <v>1263</v>
      </c>
      <c r="C139" s="57" t="s">
        <v>1262</v>
      </c>
      <c r="D139" s="61">
        <v>1</v>
      </c>
    </row>
    <row r="140" spans="1:4" ht="15.5">
      <c r="A140" s="56">
        <v>138</v>
      </c>
      <c r="B140" s="57" t="s">
        <v>1261</v>
      </c>
      <c r="C140" s="57" t="s">
        <v>1260</v>
      </c>
      <c r="D140" s="61">
        <v>1</v>
      </c>
    </row>
    <row r="141" spans="1:4" ht="15.5">
      <c r="A141" s="56">
        <v>139</v>
      </c>
      <c r="B141" s="57" t="s">
        <v>1259</v>
      </c>
      <c r="C141" s="57" t="s">
        <v>1500</v>
      </c>
      <c r="D141" s="61">
        <v>2</v>
      </c>
    </row>
    <row r="142" spans="1:4" ht="15.5">
      <c r="A142" s="56">
        <v>140</v>
      </c>
      <c r="B142" s="57" t="s">
        <v>1257</v>
      </c>
      <c r="C142" s="57" t="s">
        <v>1500</v>
      </c>
      <c r="D142" s="61">
        <v>2</v>
      </c>
    </row>
    <row r="143" spans="1:4" ht="15.5">
      <c r="A143" s="56">
        <v>141</v>
      </c>
      <c r="B143" s="57" t="s">
        <v>1255</v>
      </c>
      <c r="C143" s="57" t="s">
        <v>1254</v>
      </c>
      <c r="D143" s="61">
        <v>1</v>
      </c>
    </row>
    <row r="144" spans="1:4" ht="15.5">
      <c r="A144" s="56">
        <v>142</v>
      </c>
      <c r="B144" s="57" t="s">
        <v>1253</v>
      </c>
      <c r="C144" s="57" t="s">
        <v>1252</v>
      </c>
      <c r="D144" s="61">
        <v>2</v>
      </c>
    </row>
    <row r="145" spans="1:4" ht="15.5">
      <c r="A145" s="56">
        <v>143</v>
      </c>
      <c r="B145" s="57" t="s">
        <v>1251</v>
      </c>
      <c r="C145" s="57" t="s">
        <v>1250</v>
      </c>
      <c r="D145" s="61">
        <v>2</v>
      </c>
    </row>
    <row r="146" spans="1:4" ht="15.5">
      <c r="A146" s="56">
        <v>144</v>
      </c>
      <c r="B146" s="57" t="s">
        <v>1249</v>
      </c>
      <c r="C146" s="57" t="s">
        <v>1248</v>
      </c>
      <c r="D146" s="61">
        <v>2</v>
      </c>
    </row>
    <row r="147" spans="1:4" ht="15.5">
      <c r="A147" s="56">
        <v>145</v>
      </c>
      <c r="B147" s="57" t="s">
        <v>1247</v>
      </c>
      <c r="C147" s="57" t="s">
        <v>1246</v>
      </c>
      <c r="D147" s="61">
        <v>2</v>
      </c>
    </row>
    <row r="148" spans="1:4" ht="15.5">
      <c r="A148" s="56">
        <v>146</v>
      </c>
      <c r="B148" s="57" t="s">
        <v>1245</v>
      </c>
      <c r="C148" s="57" t="s">
        <v>1244</v>
      </c>
      <c r="D148" s="61">
        <v>2</v>
      </c>
    </row>
    <row r="149" spans="1:4" ht="15.5">
      <c r="A149" s="56">
        <v>147</v>
      </c>
      <c r="B149" s="57" t="s">
        <v>1243</v>
      </c>
      <c r="C149" s="57" t="s">
        <v>1242</v>
      </c>
      <c r="D149" s="61">
        <v>1</v>
      </c>
    </row>
    <row r="150" spans="1:4" ht="15.5">
      <c r="A150" s="56">
        <v>148</v>
      </c>
      <c r="B150" s="57" t="s">
        <v>1241</v>
      </c>
      <c r="C150" s="57" t="s">
        <v>1240</v>
      </c>
      <c r="D150" s="61">
        <v>1</v>
      </c>
    </row>
    <row r="151" spans="1:4" ht="15.5">
      <c r="A151" s="56">
        <v>149</v>
      </c>
      <c r="B151" s="57" t="s">
        <v>1239</v>
      </c>
      <c r="C151" s="57" t="s">
        <v>1238</v>
      </c>
      <c r="D151" s="61">
        <v>1</v>
      </c>
    </row>
    <row r="152" spans="1:4" ht="15.5">
      <c r="A152" s="56">
        <v>150</v>
      </c>
      <c r="B152" s="57" t="s">
        <v>1237</v>
      </c>
      <c r="C152" s="57" t="s">
        <v>1236</v>
      </c>
      <c r="D152" s="61">
        <v>1</v>
      </c>
    </row>
    <row r="153" spans="1:4" ht="15.5">
      <c r="A153" s="56">
        <v>151</v>
      </c>
      <c r="B153" s="57" t="s">
        <v>1235</v>
      </c>
      <c r="C153" s="57" t="s">
        <v>1234</v>
      </c>
      <c r="D153" s="61">
        <v>1</v>
      </c>
    </row>
    <row r="154" spans="1:4" ht="15.5">
      <c r="A154" s="56">
        <v>152</v>
      </c>
      <c r="B154" s="57" t="s">
        <v>1233</v>
      </c>
      <c r="C154" s="57" t="s">
        <v>1232</v>
      </c>
      <c r="D154" s="61">
        <v>1</v>
      </c>
    </row>
    <row r="155" spans="1:4" ht="15.5">
      <c r="A155" s="56">
        <v>153</v>
      </c>
      <c r="B155" s="57" t="s">
        <v>1231</v>
      </c>
      <c r="C155" s="57" t="s">
        <v>1230</v>
      </c>
      <c r="D155" s="61">
        <v>2</v>
      </c>
    </row>
    <row r="156" spans="1:4" ht="15.5">
      <c r="A156" s="56">
        <v>154</v>
      </c>
      <c r="B156" s="57" t="s">
        <v>1229</v>
      </c>
      <c r="C156" s="57" t="s">
        <v>1228</v>
      </c>
      <c r="D156" s="61">
        <v>1</v>
      </c>
    </row>
    <row r="157" spans="1:4" ht="15.5">
      <c r="A157" s="56">
        <v>155</v>
      </c>
      <c r="B157" s="57" t="s">
        <v>1227</v>
      </c>
      <c r="C157" s="57" t="s">
        <v>1226</v>
      </c>
      <c r="D157" s="61">
        <v>2</v>
      </c>
    </row>
    <row r="158" spans="1:4" ht="15.5">
      <c r="A158" s="56">
        <v>156</v>
      </c>
      <c r="B158" s="57" t="s">
        <v>1225</v>
      </c>
      <c r="C158" s="57" t="s">
        <v>1224</v>
      </c>
      <c r="D158" s="61">
        <v>2</v>
      </c>
    </row>
    <row r="159" spans="1:4" ht="15.5">
      <c r="A159" s="56">
        <v>157</v>
      </c>
      <c r="B159" s="57" t="s">
        <v>1223</v>
      </c>
      <c r="C159" s="57" t="s">
        <v>1222</v>
      </c>
      <c r="D159" s="61">
        <v>2</v>
      </c>
    </row>
    <row r="160" spans="1:4" ht="15.5">
      <c r="A160" s="56">
        <v>158</v>
      </c>
      <c r="B160" s="57" t="s">
        <v>1221</v>
      </c>
      <c r="C160" s="57" t="s">
        <v>1220</v>
      </c>
      <c r="D160" s="61">
        <v>2</v>
      </c>
    </row>
    <row r="161" spans="1:4" ht="15.5">
      <c r="A161" s="56">
        <v>159</v>
      </c>
      <c r="B161" s="57" t="s">
        <v>1219</v>
      </c>
      <c r="C161" s="57" t="s">
        <v>1218</v>
      </c>
      <c r="D161" s="61">
        <v>1</v>
      </c>
    </row>
    <row r="162" spans="1:4" ht="15.5">
      <c r="A162" s="56">
        <v>160</v>
      </c>
      <c r="B162" s="57" t="s">
        <v>1217</v>
      </c>
      <c r="C162" s="57" t="s">
        <v>1216</v>
      </c>
      <c r="D162" s="61">
        <v>2</v>
      </c>
    </row>
    <row r="163" spans="1:4" ht="15.5">
      <c r="A163" s="56">
        <v>161</v>
      </c>
      <c r="B163" s="57" t="s">
        <v>1215</v>
      </c>
      <c r="C163" s="57" t="s">
        <v>1214</v>
      </c>
      <c r="D163" s="61">
        <v>2</v>
      </c>
    </row>
    <row r="164" spans="1:4" ht="15.5">
      <c r="A164" s="56">
        <v>162</v>
      </c>
      <c r="B164" s="57" t="s">
        <v>1213</v>
      </c>
      <c r="C164" s="57" t="s">
        <v>1212</v>
      </c>
      <c r="D164" s="61">
        <v>2</v>
      </c>
    </row>
    <row r="165" spans="1:4" ht="15.5">
      <c r="A165" s="56">
        <v>163</v>
      </c>
      <c r="B165" s="57" t="s">
        <v>1211</v>
      </c>
      <c r="C165" s="57" t="s">
        <v>1210</v>
      </c>
      <c r="D165" s="61">
        <v>2</v>
      </c>
    </row>
    <row r="166" spans="1:4" ht="15.5">
      <c r="A166" s="56">
        <v>164</v>
      </c>
      <c r="B166" s="57" t="s">
        <v>1209</v>
      </c>
      <c r="C166" s="57" t="s">
        <v>1208</v>
      </c>
      <c r="D166" s="61">
        <v>2</v>
      </c>
    </row>
    <row r="167" spans="1:4" ht="15.5">
      <c r="A167" s="56">
        <v>165</v>
      </c>
      <c r="B167" s="57" t="s">
        <v>1207</v>
      </c>
      <c r="C167" s="57" t="s">
        <v>1206</v>
      </c>
      <c r="D167" s="61">
        <v>2</v>
      </c>
    </row>
    <row r="168" spans="1:4" ht="15.5">
      <c r="A168" s="56">
        <v>166</v>
      </c>
      <c r="B168" s="57" t="s">
        <v>1205</v>
      </c>
      <c r="C168" s="57" t="s">
        <v>1204</v>
      </c>
      <c r="D168" s="61">
        <v>2</v>
      </c>
    </row>
    <row r="169" spans="1:4" ht="15.5">
      <c r="A169" s="56">
        <v>167</v>
      </c>
      <c r="B169" s="57" t="s">
        <v>1203</v>
      </c>
      <c r="C169" s="57" t="s">
        <v>1202</v>
      </c>
      <c r="D169" s="61">
        <v>2</v>
      </c>
    </row>
    <row r="170" spans="1:4" ht="15.5">
      <c r="A170" s="56">
        <v>168</v>
      </c>
      <c r="B170" s="57" t="s">
        <v>393</v>
      </c>
      <c r="C170" s="57" t="s">
        <v>394</v>
      </c>
      <c r="D170" s="61">
        <v>1</v>
      </c>
    </row>
    <row r="171" spans="1:4" ht="15.5">
      <c r="A171" s="56">
        <v>169</v>
      </c>
      <c r="B171" s="57" t="s">
        <v>208</v>
      </c>
      <c r="C171" s="57" t="s">
        <v>209</v>
      </c>
      <c r="D171" s="61">
        <v>2</v>
      </c>
    </row>
    <row r="172" spans="1:4" ht="15.5">
      <c r="A172" s="56">
        <v>170</v>
      </c>
      <c r="B172" s="57" t="s">
        <v>210</v>
      </c>
      <c r="C172" s="57" t="s">
        <v>211</v>
      </c>
      <c r="D172" s="61">
        <v>2</v>
      </c>
    </row>
    <row r="173" spans="1:4" ht="15.5">
      <c r="A173" s="56">
        <v>171</v>
      </c>
      <c r="B173" s="57" t="s">
        <v>212</v>
      </c>
      <c r="C173" s="57" t="s">
        <v>213</v>
      </c>
      <c r="D173" s="61">
        <v>2</v>
      </c>
    </row>
    <row r="174" spans="1:4" ht="15.5">
      <c r="A174" s="56">
        <v>172</v>
      </c>
      <c r="B174" s="57" t="s">
        <v>214</v>
      </c>
      <c r="C174" s="57" t="s">
        <v>215</v>
      </c>
      <c r="D174" s="61">
        <v>2</v>
      </c>
    </row>
    <row r="175" spans="1:4" ht="15.5">
      <c r="A175" s="56">
        <v>173</v>
      </c>
      <c r="B175" s="57" t="s">
        <v>395</v>
      </c>
      <c r="C175" s="57" t="s">
        <v>396</v>
      </c>
      <c r="D175" s="61">
        <v>3</v>
      </c>
    </row>
    <row r="176" spans="1:4" ht="15.5">
      <c r="A176" s="56">
        <v>174</v>
      </c>
      <c r="B176" s="57" t="s">
        <v>1564</v>
      </c>
      <c r="C176" s="57" t="s">
        <v>1565</v>
      </c>
      <c r="D176" s="61">
        <v>1</v>
      </c>
    </row>
    <row r="177" spans="1:4" ht="15.5">
      <c r="A177" s="56">
        <v>175</v>
      </c>
      <c r="B177" s="57" t="s">
        <v>1501</v>
      </c>
      <c r="C177" s="57" t="s">
        <v>1502</v>
      </c>
      <c r="D177" s="61">
        <v>1</v>
      </c>
    </row>
    <row r="178" spans="1:4" ht="15.5">
      <c r="A178" s="56">
        <v>176</v>
      </c>
      <c r="B178" s="57" t="s">
        <v>1199</v>
      </c>
      <c r="C178" s="57" t="s">
        <v>1198</v>
      </c>
      <c r="D178" s="61">
        <v>1</v>
      </c>
    </row>
    <row r="179" spans="1:4" ht="15.5">
      <c r="A179" s="56">
        <v>177</v>
      </c>
      <c r="B179" s="57" t="s">
        <v>190</v>
      </c>
      <c r="C179" s="57" t="s">
        <v>191</v>
      </c>
      <c r="D179" s="61">
        <v>2</v>
      </c>
    </row>
    <row r="180" spans="1:4" ht="15.5">
      <c r="A180" s="56">
        <v>178</v>
      </c>
      <c r="B180" s="57" t="s">
        <v>192</v>
      </c>
      <c r="C180" s="57" t="s">
        <v>193</v>
      </c>
      <c r="D180" s="61">
        <v>1</v>
      </c>
    </row>
    <row r="181" spans="1:4" ht="15.5">
      <c r="A181" s="56">
        <v>179</v>
      </c>
      <c r="B181" s="57" t="s">
        <v>194</v>
      </c>
      <c r="C181" s="57" t="s">
        <v>195</v>
      </c>
      <c r="D181" s="61">
        <v>2</v>
      </c>
    </row>
    <row r="182" spans="1:4" ht="15.5">
      <c r="A182" s="56">
        <v>180</v>
      </c>
      <c r="B182" s="57" t="s">
        <v>196</v>
      </c>
      <c r="C182" s="57" t="s">
        <v>197</v>
      </c>
      <c r="D182" s="61">
        <v>1</v>
      </c>
    </row>
    <row r="183" spans="1:4" ht="15.5">
      <c r="A183" s="56">
        <v>181</v>
      </c>
      <c r="B183" s="57" t="s">
        <v>198</v>
      </c>
      <c r="C183" s="57" t="s">
        <v>199</v>
      </c>
      <c r="D183" s="61">
        <v>1</v>
      </c>
    </row>
    <row r="184" spans="1:4" ht="15.5">
      <c r="A184" s="56">
        <v>182</v>
      </c>
      <c r="B184" s="57" t="s">
        <v>1197</v>
      </c>
      <c r="C184" s="57" t="s">
        <v>1196</v>
      </c>
      <c r="D184" s="61">
        <v>1</v>
      </c>
    </row>
    <row r="185" spans="1:4" ht="15.5">
      <c r="A185" s="56">
        <v>183</v>
      </c>
      <c r="B185" s="57" t="s">
        <v>1195</v>
      </c>
      <c r="C185" s="57" t="s">
        <v>1194</v>
      </c>
      <c r="D185" s="61">
        <v>1</v>
      </c>
    </row>
    <row r="186" spans="1:4" ht="15.5">
      <c r="A186" s="56">
        <v>184</v>
      </c>
      <c r="B186" s="57" t="s">
        <v>1503</v>
      </c>
      <c r="C186" s="57" t="s">
        <v>1504</v>
      </c>
      <c r="D186" s="61">
        <v>1</v>
      </c>
    </row>
    <row r="187" spans="1:4" ht="15.5">
      <c r="A187" s="56">
        <v>185</v>
      </c>
      <c r="B187" s="57" t="s">
        <v>1048</v>
      </c>
      <c r="C187" s="57" t="s">
        <v>1047</v>
      </c>
      <c r="D187" s="61">
        <v>1</v>
      </c>
    </row>
    <row r="188" spans="1:4" ht="15.5">
      <c r="A188" s="56">
        <v>186</v>
      </c>
      <c r="B188" s="57" t="s">
        <v>1046</v>
      </c>
      <c r="C188" s="57" t="s">
        <v>1045</v>
      </c>
      <c r="D188" s="61">
        <v>1</v>
      </c>
    </row>
    <row r="189" spans="1:4" ht="15.5">
      <c r="A189" s="56">
        <v>187</v>
      </c>
      <c r="B189" s="57" t="s">
        <v>1044</v>
      </c>
      <c r="C189" s="57" t="s">
        <v>1043</v>
      </c>
      <c r="D189" s="61">
        <v>1</v>
      </c>
    </row>
    <row r="190" spans="1:4" ht="15.5">
      <c r="A190" s="56">
        <v>188</v>
      </c>
      <c r="B190" s="57" t="s">
        <v>1042</v>
      </c>
      <c r="C190" s="57" t="s">
        <v>1041</v>
      </c>
      <c r="D190" s="61">
        <v>1</v>
      </c>
    </row>
    <row r="191" spans="1:4" ht="15.5">
      <c r="A191" s="56">
        <v>189</v>
      </c>
      <c r="B191" s="57" t="s">
        <v>1040</v>
      </c>
      <c r="C191" s="57" t="s">
        <v>1039</v>
      </c>
      <c r="D191" s="61">
        <v>1</v>
      </c>
    </row>
    <row r="192" spans="1:4" ht="15.5">
      <c r="A192" s="56">
        <v>190</v>
      </c>
      <c r="B192" s="57" t="s">
        <v>1038</v>
      </c>
      <c r="C192" s="57" t="s">
        <v>1037</v>
      </c>
      <c r="D192" s="61">
        <v>1</v>
      </c>
    </row>
    <row r="193" spans="1:4" ht="15.5">
      <c r="A193" s="56">
        <v>191</v>
      </c>
      <c r="B193" s="57" t="s">
        <v>1193</v>
      </c>
      <c r="C193" s="57" t="s">
        <v>1192</v>
      </c>
      <c r="D193" s="61">
        <v>1</v>
      </c>
    </row>
    <row r="194" spans="1:4" ht="15.5">
      <c r="A194" s="56">
        <v>192</v>
      </c>
      <c r="B194" s="57" t="s">
        <v>1191</v>
      </c>
      <c r="C194" s="57" t="s">
        <v>1190</v>
      </c>
      <c r="D194" s="61">
        <v>1</v>
      </c>
    </row>
    <row r="195" spans="1:4" ht="15.5">
      <c r="A195" s="56">
        <v>193</v>
      </c>
      <c r="B195" s="57" t="s">
        <v>405</v>
      </c>
      <c r="C195" s="57" t="s">
        <v>406</v>
      </c>
      <c r="D195" s="61">
        <v>0</v>
      </c>
    </row>
    <row r="196" spans="1:4" ht="15.5">
      <c r="A196" s="56">
        <v>194</v>
      </c>
      <c r="B196" s="57" t="s">
        <v>407</v>
      </c>
      <c r="C196" s="57" t="s">
        <v>408</v>
      </c>
      <c r="D196" s="61">
        <v>2</v>
      </c>
    </row>
    <row r="197" spans="1:4" ht="15.5">
      <c r="A197" s="56">
        <v>195</v>
      </c>
      <c r="B197" s="57" t="s">
        <v>409</v>
      </c>
      <c r="C197" s="57" t="s">
        <v>410</v>
      </c>
      <c r="D197" s="61">
        <v>2</v>
      </c>
    </row>
    <row r="198" spans="1:4" ht="15.5">
      <c r="A198" s="56">
        <v>196</v>
      </c>
      <c r="B198" s="57" t="s">
        <v>411</v>
      </c>
      <c r="C198" s="57" t="s">
        <v>412</v>
      </c>
      <c r="D198" s="61">
        <v>2</v>
      </c>
    </row>
    <row r="199" spans="1:4" ht="15.5">
      <c r="A199" s="56">
        <v>197</v>
      </c>
      <c r="B199" s="57" t="s">
        <v>1189</v>
      </c>
      <c r="C199" s="57" t="s">
        <v>1188</v>
      </c>
      <c r="D199" s="61">
        <v>1</v>
      </c>
    </row>
    <row r="200" spans="1:4" ht="15.5">
      <c r="A200" s="56">
        <v>198</v>
      </c>
      <c r="B200" s="57" t="s">
        <v>590</v>
      </c>
      <c r="C200" s="57" t="s">
        <v>591</v>
      </c>
      <c r="D200" s="61">
        <v>2</v>
      </c>
    </row>
    <row r="201" spans="1:4" ht="15.5">
      <c r="A201" s="56">
        <v>199</v>
      </c>
      <c r="B201" s="57" t="s">
        <v>594</v>
      </c>
      <c r="C201" s="57" t="s">
        <v>595</v>
      </c>
      <c r="D201" s="61">
        <v>1</v>
      </c>
    </row>
    <row r="202" spans="1:4" ht="15.5">
      <c r="A202" s="56">
        <v>200</v>
      </c>
      <c r="B202" s="57" t="s">
        <v>598</v>
      </c>
      <c r="C202" s="57" t="s">
        <v>599</v>
      </c>
      <c r="D202" s="61">
        <v>2</v>
      </c>
    </row>
    <row r="203" spans="1:4" ht="15.5">
      <c r="A203" s="56">
        <v>201</v>
      </c>
      <c r="B203" s="57" t="s">
        <v>600</v>
      </c>
      <c r="C203" s="57" t="s">
        <v>601</v>
      </c>
      <c r="D203" s="61">
        <v>1</v>
      </c>
    </row>
    <row r="204" spans="1:4" ht="15.5">
      <c r="A204" s="56">
        <v>202</v>
      </c>
      <c r="B204" s="57" t="s">
        <v>604</v>
      </c>
      <c r="C204" s="57" t="s">
        <v>605</v>
      </c>
      <c r="D204" s="61">
        <v>2</v>
      </c>
    </row>
    <row r="205" spans="1:4" ht="15.5">
      <c r="A205" s="56">
        <v>203</v>
      </c>
      <c r="B205" s="57" t="s">
        <v>1185</v>
      </c>
      <c r="C205" s="57" t="s">
        <v>1184</v>
      </c>
      <c r="D205" s="61">
        <v>2</v>
      </c>
    </row>
    <row r="206" spans="1:4" ht="15.5">
      <c r="A206" s="56">
        <v>204</v>
      </c>
      <c r="B206" s="57" t="s">
        <v>178</v>
      </c>
      <c r="C206" s="57" t="s">
        <v>179</v>
      </c>
      <c r="D206" s="61">
        <v>2</v>
      </c>
    </row>
    <row r="207" spans="1:4" ht="15.5">
      <c r="A207" s="56">
        <v>205</v>
      </c>
      <c r="B207" s="57" t="s">
        <v>182</v>
      </c>
      <c r="C207" s="57" t="s">
        <v>183</v>
      </c>
      <c r="D207" s="61">
        <v>2</v>
      </c>
    </row>
    <row r="208" spans="1:4" ht="15.5">
      <c r="A208" s="56">
        <v>206</v>
      </c>
      <c r="B208" s="57" t="s">
        <v>186</v>
      </c>
      <c r="C208" s="57" t="s">
        <v>187</v>
      </c>
      <c r="D208" s="61">
        <v>2</v>
      </c>
    </row>
    <row r="209" spans="1:4" ht="15.5">
      <c r="A209" s="56">
        <v>207</v>
      </c>
      <c r="B209" s="57" t="s">
        <v>188</v>
      </c>
      <c r="C209" s="57" t="s">
        <v>189</v>
      </c>
      <c r="D209" s="61">
        <v>1</v>
      </c>
    </row>
    <row r="210" spans="1:4" ht="15.5">
      <c r="A210" s="56">
        <v>208</v>
      </c>
      <c r="B210" s="57" t="s">
        <v>1183</v>
      </c>
      <c r="C210" s="57" t="s">
        <v>1182</v>
      </c>
      <c r="D210" s="61">
        <v>1</v>
      </c>
    </row>
    <row r="211" spans="1:4" ht="15.5">
      <c r="A211" s="56">
        <v>209</v>
      </c>
      <c r="B211" s="57" t="s">
        <v>1505</v>
      </c>
      <c r="C211" s="57" t="s">
        <v>1506</v>
      </c>
      <c r="D211" s="61">
        <v>2</v>
      </c>
    </row>
    <row r="212" spans="1:4" ht="15.5">
      <c r="A212" s="56">
        <v>210</v>
      </c>
      <c r="B212" s="57" t="s">
        <v>1507</v>
      </c>
      <c r="C212" s="57" t="s">
        <v>1508</v>
      </c>
      <c r="D212" s="61">
        <v>2</v>
      </c>
    </row>
    <row r="213" spans="1:4" ht="15.5">
      <c r="A213" s="56">
        <v>211</v>
      </c>
      <c r="B213" s="57" t="s">
        <v>1181</v>
      </c>
      <c r="C213" s="57" t="s">
        <v>1180</v>
      </c>
      <c r="D213" s="61">
        <v>3</v>
      </c>
    </row>
    <row r="214" spans="1:4" ht="15.5">
      <c r="A214" s="56">
        <v>212</v>
      </c>
      <c r="B214" s="57" t="s">
        <v>1179</v>
      </c>
      <c r="C214" s="57" t="s">
        <v>1178</v>
      </c>
      <c r="D214" s="61">
        <v>1</v>
      </c>
    </row>
    <row r="215" spans="1:4" ht="15.5">
      <c r="A215" s="56">
        <v>213</v>
      </c>
      <c r="B215" s="57" t="s">
        <v>1177</v>
      </c>
      <c r="C215" s="57" t="s">
        <v>1176</v>
      </c>
      <c r="D215" s="61">
        <v>1</v>
      </c>
    </row>
    <row r="216" spans="1:4" ht="15.5">
      <c r="A216" s="56">
        <v>214</v>
      </c>
      <c r="B216" s="57" t="s">
        <v>1175</v>
      </c>
      <c r="C216" s="57" t="s">
        <v>1174</v>
      </c>
      <c r="D216" s="61">
        <v>2</v>
      </c>
    </row>
    <row r="217" spans="1:4" ht="15.5">
      <c r="A217" s="56">
        <v>215</v>
      </c>
      <c r="B217" s="57" t="s">
        <v>1173</v>
      </c>
      <c r="C217" s="57" t="s">
        <v>1172</v>
      </c>
      <c r="D217" s="61">
        <v>1</v>
      </c>
    </row>
    <row r="218" spans="1:4" ht="15.5">
      <c r="A218" s="56">
        <v>216</v>
      </c>
      <c r="B218" s="57" t="s">
        <v>1171</v>
      </c>
      <c r="C218" s="57" t="s">
        <v>1170</v>
      </c>
      <c r="D218" s="61">
        <v>1</v>
      </c>
    </row>
    <row r="219" spans="1:4" ht="15.5">
      <c r="A219" s="56">
        <v>217</v>
      </c>
      <c r="B219" s="57" t="s">
        <v>618</v>
      </c>
      <c r="C219" s="57" t="s">
        <v>619</v>
      </c>
      <c r="D219" s="61">
        <v>2</v>
      </c>
    </row>
    <row r="220" spans="1:4" ht="15.5">
      <c r="A220" s="56">
        <v>218</v>
      </c>
      <c r="B220" s="57" t="s">
        <v>620</v>
      </c>
      <c r="C220" s="57" t="s">
        <v>621</v>
      </c>
      <c r="D220" s="61">
        <v>2</v>
      </c>
    </row>
    <row r="221" spans="1:4" ht="15.5">
      <c r="A221" s="56">
        <v>219</v>
      </c>
      <c r="B221" s="57" t="s">
        <v>624</v>
      </c>
      <c r="C221" s="57" t="s">
        <v>625</v>
      </c>
      <c r="D221" s="61">
        <v>2</v>
      </c>
    </row>
    <row r="222" spans="1:4" ht="15.5">
      <c r="A222" s="56">
        <v>220</v>
      </c>
      <c r="B222" s="57" t="s">
        <v>626</v>
      </c>
      <c r="C222" s="57" t="s">
        <v>627</v>
      </c>
      <c r="D222" s="61">
        <v>2</v>
      </c>
    </row>
    <row r="223" spans="1:4" ht="15.5">
      <c r="A223" s="56">
        <v>221</v>
      </c>
      <c r="B223" s="57" t="s">
        <v>1167</v>
      </c>
      <c r="C223" s="57" t="s">
        <v>1166</v>
      </c>
      <c r="D223" s="61">
        <v>2</v>
      </c>
    </row>
    <row r="224" spans="1:4" ht="15.5">
      <c r="A224" s="56">
        <v>222</v>
      </c>
      <c r="B224" s="57" t="s">
        <v>216</v>
      </c>
      <c r="C224" s="57" t="s">
        <v>217</v>
      </c>
      <c r="D224" s="61">
        <v>1</v>
      </c>
    </row>
    <row r="225" spans="1:4" ht="15.5">
      <c r="A225" s="56">
        <v>223</v>
      </c>
      <c r="B225" s="57" t="s">
        <v>218</v>
      </c>
      <c r="C225" s="57" t="s">
        <v>219</v>
      </c>
      <c r="D225" s="61">
        <v>1</v>
      </c>
    </row>
    <row r="226" spans="1:4" ht="15.5">
      <c r="A226" s="56">
        <v>224</v>
      </c>
      <c r="B226" s="57" t="s">
        <v>220</v>
      </c>
      <c r="C226" s="57" t="s">
        <v>221</v>
      </c>
      <c r="D226" s="61">
        <v>2</v>
      </c>
    </row>
    <row r="227" spans="1:4" ht="15.5">
      <c r="A227" s="56">
        <v>225</v>
      </c>
      <c r="B227" s="57" t="s">
        <v>259</v>
      </c>
      <c r="C227" s="57" t="s">
        <v>260</v>
      </c>
      <c r="D227" s="61">
        <v>2</v>
      </c>
    </row>
    <row r="228" spans="1:4" ht="15.5">
      <c r="A228" s="56">
        <v>226</v>
      </c>
      <c r="B228" s="57" t="s">
        <v>222</v>
      </c>
      <c r="C228" s="57" t="s">
        <v>223</v>
      </c>
      <c r="D228" s="61">
        <v>2</v>
      </c>
    </row>
    <row r="229" spans="1:4" ht="15.5">
      <c r="A229" s="56">
        <v>227</v>
      </c>
      <c r="B229" s="57" t="s">
        <v>261</v>
      </c>
      <c r="C229" s="57" t="s">
        <v>262</v>
      </c>
      <c r="D229" s="61">
        <v>1</v>
      </c>
    </row>
    <row r="230" spans="1:4" ht="15.5">
      <c r="A230" s="56">
        <v>228</v>
      </c>
      <c r="B230" s="57" t="s">
        <v>263</v>
      </c>
      <c r="C230" s="57" t="s">
        <v>264</v>
      </c>
      <c r="D230" s="61">
        <v>2</v>
      </c>
    </row>
    <row r="231" spans="1:4" ht="15.5">
      <c r="A231" s="56">
        <v>229</v>
      </c>
      <c r="B231" s="57" t="s">
        <v>265</v>
      </c>
      <c r="C231" s="57" t="s">
        <v>266</v>
      </c>
      <c r="D231" s="61">
        <v>1</v>
      </c>
    </row>
    <row r="232" spans="1:4" ht="15.5">
      <c r="A232" s="56">
        <v>230</v>
      </c>
      <c r="B232" s="57" t="s">
        <v>224</v>
      </c>
      <c r="C232" s="57" t="s">
        <v>225</v>
      </c>
      <c r="D232" s="61">
        <v>1</v>
      </c>
    </row>
    <row r="233" spans="1:4" ht="15.5">
      <c r="A233" s="56">
        <v>231</v>
      </c>
      <c r="B233" s="57" t="s">
        <v>1165</v>
      </c>
      <c r="C233" s="57" t="s">
        <v>1164</v>
      </c>
      <c r="D233" s="61">
        <v>2</v>
      </c>
    </row>
    <row r="234" spans="1:4" ht="15.5">
      <c r="A234" s="56">
        <v>232</v>
      </c>
      <c r="B234" s="57" t="s">
        <v>413</v>
      </c>
      <c r="C234" s="57" t="s">
        <v>414</v>
      </c>
      <c r="D234" s="61">
        <v>2</v>
      </c>
    </row>
    <row r="235" spans="1:4" ht="15.5">
      <c r="A235" s="56">
        <v>233</v>
      </c>
      <c r="B235" s="57" t="s">
        <v>415</v>
      </c>
      <c r="C235" s="57" t="s">
        <v>416</v>
      </c>
      <c r="D235" s="61">
        <v>2</v>
      </c>
    </row>
    <row r="236" spans="1:4" ht="15.5">
      <c r="A236" s="56">
        <v>234</v>
      </c>
      <c r="B236" s="57" t="s">
        <v>417</v>
      </c>
      <c r="C236" s="57" t="s">
        <v>418</v>
      </c>
      <c r="D236" s="61">
        <v>2</v>
      </c>
    </row>
    <row r="237" spans="1:4" ht="15.5">
      <c r="A237" s="56">
        <v>235</v>
      </c>
      <c r="B237" s="57" t="s">
        <v>419</v>
      </c>
      <c r="C237" s="57" t="s">
        <v>420</v>
      </c>
      <c r="D237" s="61">
        <v>1</v>
      </c>
    </row>
    <row r="238" spans="1:4" ht="15.5">
      <c r="A238" s="56">
        <v>236</v>
      </c>
      <c r="B238" s="57" t="s">
        <v>1036</v>
      </c>
      <c r="C238" s="57" t="s">
        <v>1035</v>
      </c>
      <c r="D238" s="61">
        <v>2</v>
      </c>
    </row>
    <row r="239" spans="1:4" ht="15.5">
      <c r="A239" s="56">
        <v>237</v>
      </c>
      <c r="B239" s="57" t="s">
        <v>1163</v>
      </c>
      <c r="C239" s="57" t="s">
        <v>1162</v>
      </c>
      <c r="D239" s="61">
        <v>1</v>
      </c>
    </row>
    <row r="240" spans="1:4" ht="15.5">
      <c r="A240" s="56">
        <v>238</v>
      </c>
      <c r="B240" s="57" t="s">
        <v>1161</v>
      </c>
      <c r="C240" s="57" t="s">
        <v>1160</v>
      </c>
      <c r="D240" s="61">
        <v>1</v>
      </c>
    </row>
    <row r="241" spans="1:4" ht="15.5">
      <c r="A241" s="56">
        <v>239</v>
      </c>
      <c r="B241" s="57" t="s">
        <v>421</v>
      </c>
      <c r="C241" s="57" t="s">
        <v>422</v>
      </c>
      <c r="D241" s="61">
        <v>1</v>
      </c>
    </row>
    <row r="242" spans="1:4" ht="15.5">
      <c r="A242" s="56">
        <v>240</v>
      </c>
      <c r="B242" s="57" t="s">
        <v>423</v>
      </c>
      <c r="C242" s="57" t="s">
        <v>424</v>
      </c>
      <c r="D242" s="61">
        <v>2</v>
      </c>
    </row>
    <row r="243" spans="1:4" ht="15.5">
      <c r="A243" s="56">
        <v>241</v>
      </c>
      <c r="B243" s="57" t="s">
        <v>425</v>
      </c>
      <c r="C243" s="57" t="s">
        <v>426</v>
      </c>
      <c r="D243" s="61">
        <v>1</v>
      </c>
    </row>
    <row r="244" spans="1:4" ht="15.5">
      <c r="A244" s="56">
        <v>242</v>
      </c>
      <c r="B244" s="57" t="s">
        <v>427</v>
      </c>
      <c r="C244" s="57" t="s">
        <v>428</v>
      </c>
      <c r="D244" s="61">
        <v>2</v>
      </c>
    </row>
    <row r="245" spans="1:4" ht="15.5">
      <c r="A245" s="56">
        <v>243</v>
      </c>
      <c r="B245" s="57" t="s">
        <v>429</v>
      </c>
      <c r="C245" s="57" t="s">
        <v>430</v>
      </c>
      <c r="D245" s="61">
        <v>4</v>
      </c>
    </row>
    <row r="246" spans="1:4" ht="15.5">
      <c r="A246" s="56">
        <v>244</v>
      </c>
      <c r="B246" s="57" t="s">
        <v>431</v>
      </c>
      <c r="C246" s="57" t="s">
        <v>432</v>
      </c>
      <c r="D246" s="61">
        <v>1</v>
      </c>
    </row>
    <row r="247" spans="1:4" ht="15.5">
      <c r="A247" s="56">
        <v>245</v>
      </c>
      <c r="B247" s="57" t="s">
        <v>1159</v>
      </c>
      <c r="C247" s="57" t="s">
        <v>1158</v>
      </c>
      <c r="D247" s="61">
        <v>1</v>
      </c>
    </row>
    <row r="248" spans="1:4" ht="15.5">
      <c r="A248" s="56">
        <v>246</v>
      </c>
      <c r="B248" s="57" t="s">
        <v>1157</v>
      </c>
      <c r="C248" s="57" t="s">
        <v>1156</v>
      </c>
      <c r="D248" s="61">
        <v>1</v>
      </c>
    </row>
    <row r="249" spans="1:4" ht="15.5">
      <c r="A249" s="56">
        <v>247</v>
      </c>
      <c r="B249" s="57" t="s">
        <v>1155</v>
      </c>
      <c r="C249" s="57" t="s">
        <v>1563</v>
      </c>
      <c r="D249" s="61">
        <v>1</v>
      </c>
    </row>
    <row r="250" spans="1:4" ht="15.5">
      <c r="A250" s="56">
        <v>248</v>
      </c>
      <c r="B250" s="57" t="s">
        <v>433</v>
      </c>
      <c r="C250" s="57" t="s">
        <v>1509</v>
      </c>
      <c r="D250" s="61">
        <v>2</v>
      </c>
    </row>
    <row r="251" spans="1:4" ht="15.5">
      <c r="A251" s="56">
        <v>249</v>
      </c>
      <c r="B251" s="57" t="s">
        <v>434</v>
      </c>
      <c r="C251" s="57" t="s">
        <v>1510</v>
      </c>
      <c r="D251" s="61">
        <v>2</v>
      </c>
    </row>
    <row r="252" spans="1:4" ht="15.5">
      <c r="A252" s="56">
        <v>250</v>
      </c>
      <c r="B252" s="57" t="s">
        <v>251</v>
      </c>
      <c r="C252" s="57" t="s">
        <v>1511</v>
      </c>
      <c r="D252" s="61">
        <v>2</v>
      </c>
    </row>
    <row r="253" spans="1:4" ht="15.5">
      <c r="A253" s="56">
        <v>251</v>
      </c>
      <c r="B253" s="57" t="s">
        <v>252</v>
      </c>
      <c r="C253" s="57" t="s">
        <v>1512</v>
      </c>
      <c r="D253" s="61">
        <v>3</v>
      </c>
    </row>
    <row r="254" spans="1:4" ht="15.5">
      <c r="A254" s="56">
        <v>252</v>
      </c>
      <c r="B254" s="57" t="s">
        <v>254</v>
      </c>
      <c r="C254" s="57" t="s">
        <v>1513</v>
      </c>
      <c r="D254" s="61">
        <v>2</v>
      </c>
    </row>
    <row r="255" spans="1:4" ht="15.5">
      <c r="A255" s="56">
        <v>253</v>
      </c>
      <c r="B255" s="57" t="s">
        <v>1514</v>
      </c>
      <c r="C255" s="57" t="s">
        <v>1515</v>
      </c>
      <c r="D255" s="61">
        <v>1</v>
      </c>
    </row>
    <row r="256" spans="1:4" ht="15.5">
      <c r="A256" s="56">
        <v>254</v>
      </c>
      <c r="B256" s="57" t="s">
        <v>465</v>
      </c>
      <c r="C256" s="57" t="s">
        <v>466</v>
      </c>
      <c r="D256" s="61">
        <v>3</v>
      </c>
    </row>
    <row r="257" spans="1:4" ht="15.5">
      <c r="A257" s="56">
        <v>255</v>
      </c>
      <c r="B257" s="57" t="s">
        <v>1153</v>
      </c>
      <c r="C257" s="57" t="s">
        <v>1152</v>
      </c>
      <c r="D257" s="61">
        <v>3</v>
      </c>
    </row>
    <row r="258" spans="1:4" ht="15.5">
      <c r="A258" s="56">
        <v>256</v>
      </c>
      <c r="B258" s="57" t="s">
        <v>1151</v>
      </c>
      <c r="C258" s="57" t="s">
        <v>1150</v>
      </c>
      <c r="D258" s="61">
        <v>1</v>
      </c>
    </row>
    <row r="259" spans="1:4" ht="15.5">
      <c r="A259" s="56">
        <v>257</v>
      </c>
      <c r="B259" s="57" t="s">
        <v>1516</v>
      </c>
      <c r="C259" s="57" t="s">
        <v>1517</v>
      </c>
      <c r="D259" s="61">
        <v>2</v>
      </c>
    </row>
    <row r="260" spans="1:4" ht="15.5">
      <c r="A260" s="56">
        <v>258</v>
      </c>
      <c r="B260" s="57" t="s">
        <v>1147</v>
      </c>
      <c r="C260" s="57" t="s">
        <v>1146</v>
      </c>
      <c r="D260" s="61">
        <v>6</v>
      </c>
    </row>
    <row r="261" spans="1:4" ht="15.5">
      <c r="A261" s="56">
        <v>259</v>
      </c>
      <c r="B261" s="57" t="s">
        <v>437</v>
      </c>
      <c r="C261" s="57" t="s">
        <v>438</v>
      </c>
      <c r="D261" s="61">
        <v>2</v>
      </c>
    </row>
    <row r="262" spans="1:4" ht="15.5">
      <c r="A262" s="56">
        <v>260</v>
      </c>
      <c r="B262" s="57" t="s">
        <v>439</v>
      </c>
      <c r="C262" s="57" t="s">
        <v>440</v>
      </c>
      <c r="D262" s="61">
        <v>2</v>
      </c>
    </row>
    <row r="263" spans="1:4" ht="15.5">
      <c r="A263" s="56">
        <v>261</v>
      </c>
      <c r="B263" s="57" t="s">
        <v>441</v>
      </c>
      <c r="C263" s="57" t="s">
        <v>442</v>
      </c>
      <c r="D263" s="61">
        <v>1</v>
      </c>
    </row>
    <row r="264" spans="1:4" ht="15.5">
      <c r="A264" s="56">
        <v>262</v>
      </c>
      <c r="B264" s="57" t="s">
        <v>443</v>
      </c>
      <c r="C264" s="57" t="s">
        <v>444</v>
      </c>
      <c r="D264" s="61">
        <v>2</v>
      </c>
    </row>
    <row r="265" spans="1:4" ht="15.5">
      <c r="A265" s="56">
        <v>263</v>
      </c>
      <c r="B265" s="57" t="s">
        <v>447</v>
      </c>
      <c r="C265" s="57" t="s">
        <v>448</v>
      </c>
      <c r="D265" s="61">
        <v>1</v>
      </c>
    </row>
    <row r="266" spans="1:4" ht="15.5">
      <c r="A266" s="56">
        <v>264</v>
      </c>
      <c r="B266" s="57" t="s">
        <v>449</v>
      </c>
      <c r="C266" s="57" t="s">
        <v>450</v>
      </c>
      <c r="D266" s="61">
        <v>2</v>
      </c>
    </row>
    <row r="267" spans="1:4" ht="15.5">
      <c r="A267" s="56">
        <v>265</v>
      </c>
      <c r="B267" s="57" t="s">
        <v>451</v>
      </c>
      <c r="C267" s="57" t="s">
        <v>452</v>
      </c>
      <c r="D267" s="61">
        <v>2</v>
      </c>
    </row>
    <row r="268" spans="1:4" ht="15.5">
      <c r="A268" s="56">
        <v>266</v>
      </c>
      <c r="B268" s="57" t="s">
        <v>453</v>
      </c>
      <c r="C268" s="57" t="s">
        <v>454</v>
      </c>
      <c r="D268" s="61">
        <v>2</v>
      </c>
    </row>
    <row r="269" spans="1:4" ht="15.5">
      <c r="A269" s="56">
        <v>267</v>
      </c>
      <c r="B269" s="57" t="s">
        <v>457</v>
      </c>
      <c r="C269" s="57" t="s">
        <v>458</v>
      </c>
      <c r="D269" s="61">
        <v>2</v>
      </c>
    </row>
    <row r="270" spans="1:4" ht="15.5">
      <c r="A270" s="56">
        <v>268</v>
      </c>
      <c r="B270" s="57" t="s">
        <v>1143</v>
      </c>
      <c r="C270" s="57" t="s">
        <v>1142</v>
      </c>
      <c r="D270" s="61">
        <v>1</v>
      </c>
    </row>
    <row r="271" spans="1:4" ht="15.5">
      <c r="A271" s="56">
        <v>269</v>
      </c>
      <c r="B271" s="57" t="s">
        <v>1141</v>
      </c>
      <c r="C271" s="57" t="s">
        <v>1140</v>
      </c>
      <c r="D271" s="61">
        <v>1</v>
      </c>
    </row>
    <row r="272" spans="1:4" ht="15.5">
      <c r="A272" s="56">
        <v>270</v>
      </c>
      <c r="B272" s="57" t="s">
        <v>1137</v>
      </c>
      <c r="C272" s="57" t="s">
        <v>1136</v>
      </c>
      <c r="D272" s="61">
        <v>5</v>
      </c>
    </row>
    <row r="273" spans="1:4" ht="15.5">
      <c r="A273" s="56">
        <v>271</v>
      </c>
      <c r="B273" s="57" t="s">
        <v>1135</v>
      </c>
      <c r="C273" s="57" t="s">
        <v>479</v>
      </c>
      <c r="D273" s="61">
        <v>2</v>
      </c>
    </row>
    <row r="274" spans="1:4" ht="15.5">
      <c r="A274" s="56">
        <v>272</v>
      </c>
      <c r="B274" s="57" t="s">
        <v>1134</v>
      </c>
      <c r="C274" s="57" t="s">
        <v>1133</v>
      </c>
      <c r="D274" s="61">
        <v>2</v>
      </c>
    </row>
    <row r="275" spans="1:4" ht="15.5">
      <c r="A275" s="56">
        <v>273</v>
      </c>
      <c r="B275" s="57" t="s">
        <v>1132</v>
      </c>
      <c r="C275" s="57" t="s">
        <v>1131</v>
      </c>
      <c r="D275" s="61">
        <v>1</v>
      </c>
    </row>
    <row r="276" spans="1:4" ht="15.5">
      <c r="A276" s="56">
        <v>274</v>
      </c>
      <c r="B276" s="57" t="s">
        <v>1130</v>
      </c>
      <c r="C276" s="57" t="s">
        <v>1129</v>
      </c>
      <c r="D276" s="61">
        <v>1</v>
      </c>
    </row>
    <row r="277" spans="1:4" ht="15.5">
      <c r="A277" s="56">
        <v>275</v>
      </c>
      <c r="B277" s="57" t="s">
        <v>467</v>
      </c>
      <c r="C277" s="57" t="s">
        <v>468</v>
      </c>
      <c r="D277" s="61">
        <v>1</v>
      </c>
    </row>
    <row r="278" spans="1:4" ht="15.5">
      <c r="A278" s="56">
        <v>276</v>
      </c>
      <c r="B278" s="57" t="s">
        <v>469</v>
      </c>
      <c r="C278" s="57" t="s">
        <v>470</v>
      </c>
      <c r="D278" s="61">
        <v>2</v>
      </c>
    </row>
    <row r="279" spans="1:4" ht="15.5">
      <c r="A279" s="56">
        <v>277</v>
      </c>
      <c r="B279" s="57" t="s">
        <v>471</v>
      </c>
      <c r="C279" s="57" t="s">
        <v>472</v>
      </c>
      <c r="D279" s="61">
        <v>2</v>
      </c>
    </row>
    <row r="280" spans="1:4" ht="15.5">
      <c r="A280" s="56">
        <v>278</v>
      </c>
      <c r="B280" s="57" t="s">
        <v>473</v>
      </c>
      <c r="C280" s="57" t="s">
        <v>474</v>
      </c>
      <c r="D280" s="61">
        <v>3</v>
      </c>
    </row>
    <row r="281" spans="1:4" ht="15.5">
      <c r="A281" s="56">
        <v>279</v>
      </c>
      <c r="B281" s="57" t="s">
        <v>475</v>
      </c>
      <c r="C281" s="57" t="s">
        <v>476</v>
      </c>
      <c r="D281" s="61">
        <v>1</v>
      </c>
    </row>
    <row r="282" spans="1:4" ht="15.5">
      <c r="A282" s="56">
        <v>280</v>
      </c>
      <c r="B282" s="57" t="s">
        <v>1128</v>
      </c>
      <c r="C282" s="57" t="s">
        <v>1127</v>
      </c>
      <c r="D282" s="61">
        <v>2</v>
      </c>
    </row>
    <row r="283" spans="1:4" ht="15.5">
      <c r="A283" s="56">
        <v>281</v>
      </c>
      <c r="B283" s="57" t="s">
        <v>33</v>
      </c>
      <c r="C283" s="57" t="s">
        <v>34</v>
      </c>
      <c r="D283" s="61">
        <v>1</v>
      </c>
    </row>
    <row r="284" spans="1:4" ht="15.5">
      <c r="A284" s="56">
        <v>282</v>
      </c>
      <c r="B284" s="57" t="s">
        <v>35</v>
      </c>
      <c r="C284" s="57" t="s">
        <v>36</v>
      </c>
      <c r="D284" s="61">
        <v>1</v>
      </c>
    </row>
    <row r="285" spans="1:4" ht="15.5">
      <c r="A285" s="56">
        <v>283</v>
      </c>
      <c r="B285" s="57" t="s">
        <v>37</v>
      </c>
      <c r="C285" s="57" t="s">
        <v>38</v>
      </c>
      <c r="D285" s="61">
        <v>2</v>
      </c>
    </row>
    <row r="286" spans="1:4" ht="15.5">
      <c r="A286" s="56">
        <v>284</v>
      </c>
      <c r="B286" s="57" t="s">
        <v>39</v>
      </c>
      <c r="C286" s="57" t="s">
        <v>40</v>
      </c>
      <c r="D286" s="61">
        <v>1</v>
      </c>
    </row>
    <row r="287" spans="1:4" ht="15.5">
      <c r="A287" s="56">
        <v>285</v>
      </c>
      <c r="B287" s="57" t="s">
        <v>43</v>
      </c>
      <c r="C287" s="57" t="s">
        <v>44</v>
      </c>
      <c r="D287" s="61">
        <v>1</v>
      </c>
    </row>
    <row r="288" spans="1:4" ht="15.5">
      <c r="A288" s="56">
        <v>286</v>
      </c>
      <c r="B288" s="57" t="s">
        <v>1518</v>
      </c>
      <c r="C288" s="57" t="s">
        <v>1519</v>
      </c>
      <c r="D288" s="61">
        <v>2</v>
      </c>
    </row>
    <row r="289" spans="1:4" ht="15.5">
      <c r="A289" s="56">
        <v>287</v>
      </c>
      <c r="B289" s="57" t="s">
        <v>288</v>
      </c>
      <c r="C289" s="57" t="s">
        <v>289</v>
      </c>
      <c r="D289" s="61">
        <v>2</v>
      </c>
    </row>
    <row r="290" spans="1:4" ht="15.5">
      <c r="A290" s="56">
        <v>288</v>
      </c>
      <c r="B290" s="57" t="s">
        <v>232</v>
      </c>
      <c r="C290" s="57" t="s">
        <v>233</v>
      </c>
      <c r="D290" s="61">
        <v>3</v>
      </c>
    </row>
    <row r="291" spans="1:4" ht="15.5">
      <c r="A291" s="56">
        <v>289</v>
      </c>
      <c r="B291" s="57" t="s">
        <v>234</v>
      </c>
      <c r="C291" s="57" t="s">
        <v>235</v>
      </c>
      <c r="D291" s="61">
        <v>2</v>
      </c>
    </row>
    <row r="292" spans="1:4" ht="15.5">
      <c r="A292" s="56">
        <v>290</v>
      </c>
      <c r="B292" s="57" t="s">
        <v>236</v>
      </c>
      <c r="C292" s="57" t="s">
        <v>237</v>
      </c>
      <c r="D292" s="61">
        <v>2</v>
      </c>
    </row>
    <row r="293" spans="1:4" ht="15.5">
      <c r="A293" s="56">
        <v>291</v>
      </c>
      <c r="B293" s="57" t="s">
        <v>238</v>
      </c>
      <c r="C293" s="57" t="s">
        <v>239</v>
      </c>
      <c r="D293" s="61">
        <v>2</v>
      </c>
    </row>
    <row r="294" spans="1:4" ht="15.5">
      <c r="A294" s="56">
        <v>292</v>
      </c>
      <c r="B294" s="57" t="s">
        <v>240</v>
      </c>
      <c r="C294" s="57" t="s">
        <v>241</v>
      </c>
      <c r="D294" s="61">
        <v>1</v>
      </c>
    </row>
    <row r="295" spans="1:4" ht="15.5">
      <c r="A295" s="56">
        <v>293</v>
      </c>
      <c r="B295" s="57" t="s">
        <v>242</v>
      </c>
      <c r="C295" s="57" t="s">
        <v>243</v>
      </c>
      <c r="D295" s="61">
        <v>2</v>
      </c>
    </row>
    <row r="296" spans="1:4" ht="15.5">
      <c r="A296" s="56">
        <v>294</v>
      </c>
      <c r="B296" s="57" t="s">
        <v>290</v>
      </c>
      <c r="C296" s="57" t="s">
        <v>291</v>
      </c>
      <c r="D296" s="61">
        <v>2</v>
      </c>
    </row>
    <row r="297" spans="1:4" ht="15.5">
      <c r="A297" s="56">
        <v>295</v>
      </c>
      <c r="B297" s="57" t="s">
        <v>1124</v>
      </c>
      <c r="C297" s="57" t="s">
        <v>1123</v>
      </c>
      <c r="D297" s="61">
        <v>1</v>
      </c>
    </row>
    <row r="298" spans="1:4" ht="15.5">
      <c r="A298" s="56">
        <v>296</v>
      </c>
      <c r="B298" s="57" t="s">
        <v>674</v>
      </c>
      <c r="C298" s="57" t="s">
        <v>675</v>
      </c>
      <c r="D298" s="61">
        <v>2</v>
      </c>
    </row>
    <row r="299" spans="1:4" ht="15.5">
      <c r="A299" s="56">
        <v>297</v>
      </c>
      <c r="B299" s="57" t="s">
        <v>294</v>
      </c>
      <c r="C299" s="57" t="s">
        <v>295</v>
      </c>
      <c r="D299" s="61">
        <v>2</v>
      </c>
    </row>
    <row r="300" spans="1:4" ht="15.5">
      <c r="A300" s="56">
        <v>298</v>
      </c>
      <c r="B300" s="57" t="s">
        <v>296</v>
      </c>
      <c r="C300" s="57" t="s">
        <v>297</v>
      </c>
      <c r="D300" s="61">
        <v>3</v>
      </c>
    </row>
    <row r="301" spans="1:4" ht="15.5">
      <c r="A301" s="56">
        <v>299</v>
      </c>
      <c r="B301" s="57" t="s">
        <v>298</v>
      </c>
      <c r="C301" s="57" t="s">
        <v>299</v>
      </c>
      <c r="D301" s="61">
        <v>2</v>
      </c>
    </row>
    <row r="302" spans="1:4" ht="15.5">
      <c r="A302" s="56">
        <v>300</v>
      </c>
      <c r="B302" s="57" t="s">
        <v>300</v>
      </c>
      <c r="C302" s="57" t="s">
        <v>301</v>
      </c>
      <c r="D302" s="61">
        <v>1</v>
      </c>
    </row>
    <row r="303" spans="1:4" ht="15.5">
      <c r="A303" s="56">
        <v>301</v>
      </c>
      <c r="B303" s="57" t="s">
        <v>302</v>
      </c>
      <c r="C303" s="57" t="s">
        <v>303</v>
      </c>
      <c r="D303" s="61">
        <v>2</v>
      </c>
    </row>
    <row r="304" spans="1:4" ht="15.5">
      <c r="A304" s="56">
        <v>302</v>
      </c>
      <c r="B304" s="57" t="s">
        <v>1122</v>
      </c>
      <c r="C304" s="57" t="s">
        <v>1121</v>
      </c>
      <c r="D304" s="61">
        <v>2</v>
      </c>
    </row>
    <row r="305" spans="1:4" ht="15.5">
      <c r="A305" s="56">
        <v>303</v>
      </c>
      <c r="B305" s="57" t="s">
        <v>1120</v>
      </c>
      <c r="C305" s="57" t="s">
        <v>1119</v>
      </c>
      <c r="D305" s="61">
        <v>1</v>
      </c>
    </row>
    <row r="306" spans="1:4" ht="15.5">
      <c r="A306" s="56">
        <v>304</v>
      </c>
      <c r="B306" s="57" t="s">
        <v>480</v>
      </c>
      <c r="C306" s="57" t="s">
        <v>481</v>
      </c>
      <c r="D306" s="61">
        <v>2</v>
      </c>
    </row>
    <row r="307" spans="1:4" ht="15.5">
      <c r="A307" s="56">
        <v>305</v>
      </c>
      <c r="B307" s="57" t="s">
        <v>304</v>
      </c>
      <c r="C307" s="57" t="s">
        <v>305</v>
      </c>
      <c r="D307" s="61">
        <v>3</v>
      </c>
    </row>
    <row r="308" spans="1:4" ht="15.5">
      <c r="A308" s="56">
        <v>306</v>
      </c>
      <c r="B308" s="57" t="s">
        <v>306</v>
      </c>
      <c r="C308" s="57" t="s">
        <v>307</v>
      </c>
      <c r="D308" s="61">
        <v>2</v>
      </c>
    </row>
    <row r="309" spans="1:4" ht="15.5">
      <c r="A309" s="56">
        <v>307</v>
      </c>
      <c r="B309" s="57" t="s">
        <v>308</v>
      </c>
      <c r="C309" s="57" t="s">
        <v>309</v>
      </c>
      <c r="D309" s="61">
        <v>2</v>
      </c>
    </row>
    <row r="310" spans="1:4" ht="15.5">
      <c r="A310" s="56">
        <v>308</v>
      </c>
      <c r="B310" s="57" t="s">
        <v>310</v>
      </c>
      <c r="C310" s="57" t="s">
        <v>311</v>
      </c>
      <c r="D310" s="61">
        <v>3</v>
      </c>
    </row>
    <row r="311" spans="1:4" ht="15.5">
      <c r="A311" s="56">
        <v>309</v>
      </c>
      <c r="B311" s="57" t="s">
        <v>1118</v>
      </c>
      <c r="C311" s="57" t="s">
        <v>1117</v>
      </c>
      <c r="D311" s="61">
        <v>1</v>
      </c>
    </row>
    <row r="312" spans="1:4" ht="15.5">
      <c r="A312" s="56">
        <v>310</v>
      </c>
      <c r="B312" s="57" t="s">
        <v>1116</v>
      </c>
      <c r="C312" s="57" t="s">
        <v>1115</v>
      </c>
      <c r="D312" s="61">
        <v>1</v>
      </c>
    </row>
    <row r="313" spans="1:4" ht="15.5">
      <c r="A313" s="56">
        <v>311</v>
      </c>
      <c r="B313" s="57" t="s">
        <v>1114</v>
      </c>
      <c r="C313" s="57" t="s">
        <v>1113</v>
      </c>
      <c r="D313" s="61">
        <v>2</v>
      </c>
    </row>
    <row r="314" spans="1:4" ht="15.5">
      <c r="A314" s="56">
        <v>312</v>
      </c>
      <c r="B314" s="57" t="s">
        <v>312</v>
      </c>
      <c r="C314" s="57" t="s">
        <v>313</v>
      </c>
      <c r="D314" s="61">
        <v>3</v>
      </c>
    </row>
    <row r="315" spans="1:4" ht="15.5">
      <c r="A315" s="56">
        <v>313</v>
      </c>
      <c r="B315" s="57" t="s">
        <v>314</v>
      </c>
      <c r="C315" s="57" t="s">
        <v>315</v>
      </c>
      <c r="D315" s="61">
        <v>2</v>
      </c>
    </row>
    <row r="316" spans="1:4" ht="15.5">
      <c r="A316" s="56">
        <v>314</v>
      </c>
      <c r="B316" s="57" t="s">
        <v>316</v>
      </c>
      <c r="C316" s="57" t="s">
        <v>317</v>
      </c>
      <c r="D316" s="61">
        <v>2</v>
      </c>
    </row>
    <row r="317" spans="1:4" ht="15.5">
      <c r="A317" s="56">
        <v>315</v>
      </c>
      <c r="B317" s="57" t="s">
        <v>318</v>
      </c>
      <c r="C317" s="57" t="s">
        <v>319</v>
      </c>
      <c r="D317" s="61">
        <v>2</v>
      </c>
    </row>
    <row r="318" spans="1:4" ht="15.5">
      <c r="A318" s="56">
        <v>316</v>
      </c>
      <c r="B318" s="57" t="s">
        <v>1034</v>
      </c>
      <c r="C318" s="57" t="s">
        <v>1033</v>
      </c>
      <c r="D318" s="61">
        <v>2</v>
      </c>
    </row>
    <row r="319" spans="1:4" ht="15.5">
      <c r="A319" s="56">
        <v>317</v>
      </c>
      <c r="B319" s="57" t="s">
        <v>1520</v>
      </c>
      <c r="C319" s="57" t="s">
        <v>1521</v>
      </c>
      <c r="D319" s="61">
        <v>2</v>
      </c>
    </row>
    <row r="320" spans="1:4" ht="15.5">
      <c r="A320" s="56">
        <v>318</v>
      </c>
      <c r="B320" s="57" t="s">
        <v>320</v>
      </c>
      <c r="C320" s="57" t="s">
        <v>321</v>
      </c>
      <c r="D320" s="61">
        <v>2</v>
      </c>
    </row>
    <row r="321" spans="1:4" ht="15.5">
      <c r="A321" s="56">
        <v>319</v>
      </c>
      <c r="B321" s="57" t="s">
        <v>322</v>
      </c>
      <c r="C321" s="57" t="s">
        <v>323</v>
      </c>
      <c r="D321" s="61">
        <v>2</v>
      </c>
    </row>
    <row r="322" spans="1:4" ht="15.5">
      <c r="A322" s="56">
        <v>320</v>
      </c>
      <c r="B322" s="57" t="s">
        <v>324</v>
      </c>
      <c r="C322" s="57" t="s">
        <v>325</v>
      </c>
      <c r="D322" s="61">
        <v>2</v>
      </c>
    </row>
    <row r="323" spans="1:4" ht="15.5">
      <c r="A323" s="56">
        <v>321</v>
      </c>
      <c r="B323" s="57" t="s">
        <v>326</v>
      </c>
      <c r="C323" s="57" t="s">
        <v>327</v>
      </c>
      <c r="D323" s="61">
        <v>2</v>
      </c>
    </row>
    <row r="324" spans="1:4" ht="15.5">
      <c r="A324" s="56">
        <v>322</v>
      </c>
      <c r="B324" s="57" t="s">
        <v>1112</v>
      </c>
      <c r="C324" s="57" t="s">
        <v>1111</v>
      </c>
      <c r="D324" s="61">
        <v>1</v>
      </c>
    </row>
    <row r="325" spans="1:4" ht="15.5">
      <c r="A325" s="56">
        <v>323</v>
      </c>
      <c r="B325" s="57" t="s">
        <v>1108</v>
      </c>
      <c r="C325" s="57" t="s">
        <v>1107</v>
      </c>
      <c r="D325" s="61">
        <v>2</v>
      </c>
    </row>
    <row r="326" spans="1:4" ht="15.5">
      <c r="A326" s="56">
        <v>324</v>
      </c>
      <c r="B326" s="57" t="s">
        <v>1106</v>
      </c>
      <c r="C326" s="57" t="s">
        <v>1105</v>
      </c>
      <c r="D326" s="61">
        <v>1</v>
      </c>
    </row>
    <row r="327" spans="1:4" ht="15.5">
      <c r="A327" s="56">
        <v>325</v>
      </c>
      <c r="B327" s="57" t="s">
        <v>1104</v>
      </c>
      <c r="C327" s="57" t="s">
        <v>1103</v>
      </c>
      <c r="D327" s="61">
        <v>2</v>
      </c>
    </row>
    <row r="328" spans="1:4" ht="15.5">
      <c r="A328" s="56">
        <v>326</v>
      </c>
      <c r="B328" s="57" t="s">
        <v>1102</v>
      </c>
      <c r="C328" s="57" t="s">
        <v>1101</v>
      </c>
      <c r="D328" s="61">
        <v>3</v>
      </c>
    </row>
    <row r="329" spans="1:4" ht="15.5">
      <c r="A329" s="56">
        <v>327</v>
      </c>
      <c r="B329" s="57" t="s">
        <v>1100</v>
      </c>
      <c r="C329" s="57" t="s">
        <v>1099</v>
      </c>
      <c r="D329" s="61">
        <v>2</v>
      </c>
    </row>
    <row r="330" spans="1:4" ht="15.5">
      <c r="A330" s="56">
        <v>328</v>
      </c>
      <c r="B330" s="57" t="s">
        <v>14</v>
      </c>
      <c r="C330" s="57" t="s">
        <v>1522</v>
      </c>
      <c r="D330" s="61">
        <v>4</v>
      </c>
    </row>
    <row r="331" spans="1:4" ht="15.5">
      <c r="A331" s="56">
        <v>329</v>
      </c>
      <c r="B331" s="57" t="s">
        <v>15</v>
      </c>
      <c r="C331" s="57" t="s">
        <v>1523</v>
      </c>
      <c r="D331" s="61">
        <v>5</v>
      </c>
    </row>
    <row r="332" spans="1:4" ht="15.5">
      <c r="A332" s="56">
        <v>330</v>
      </c>
      <c r="B332" s="57" t="s">
        <v>18</v>
      </c>
      <c r="C332" s="57" t="s">
        <v>1524</v>
      </c>
      <c r="D332" s="61">
        <v>7</v>
      </c>
    </row>
    <row r="333" spans="1:4" ht="15.5">
      <c r="A333" s="56">
        <v>331</v>
      </c>
      <c r="B333" s="57" t="s">
        <v>560</v>
      </c>
      <c r="C333" s="57" t="s">
        <v>561</v>
      </c>
      <c r="D333" s="61">
        <v>0</v>
      </c>
    </row>
    <row r="334" spans="1:4" ht="15.5">
      <c r="A334" s="56">
        <v>332</v>
      </c>
      <c r="B334" s="57" t="s">
        <v>562</v>
      </c>
      <c r="C334" s="57" t="s">
        <v>563</v>
      </c>
      <c r="D334" s="61">
        <v>1</v>
      </c>
    </row>
    <row r="335" spans="1:4" ht="15.5">
      <c r="A335" s="56">
        <v>333</v>
      </c>
      <c r="B335" s="57" t="s">
        <v>564</v>
      </c>
      <c r="C335" s="57" t="s">
        <v>565</v>
      </c>
      <c r="D335" s="61">
        <v>2</v>
      </c>
    </row>
    <row r="336" spans="1:4" ht="15.5">
      <c r="A336" s="56">
        <v>334</v>
      </c>
      <c r="B336" s="57" t="s">
        <v>566</v>
      </c>
      <c r="C336" s="57" t="s">
        <v>567</v>
      </c>
      <c r="D336" s="61">
        <v>2</v>
      </c>
    </row>
    <row r="337" spans="1:4" ht="15.5">
      <c r="A337" s="56">
        <v>335</v>
      </c>
      <c r="B337" s="57" t="s">
        <v>568</v>
      </c>
      <c r="C337" s="57" t="s">
        <v>569</v>
      </c>
      <c r="D337" s="61">
        <v>2</v>
      </c>
    </row>
    <row r="338" spans="1:4" ht="15.5">
      <c r="A338" s="56">
        <v>336</v>
      </c>
      <c r="B338" s="57" t="s">
        <v>570</v>
      </c>
      <c r="C338" s="57" t="s">
        <v>571</v>
      </c>
      <c r="D338" s="61">
        <v>1</v>
      </c>
    </row>
    <row r="339" spans="1:4" ht="15.5">
      <c r="A339" s="56">
        <v>337</v>
      </c>
      <c r="B339" s="57" t="s">
        <v>572</v>
      </c>
      <c r="C339" s="57" t="s">
        <v>573</v>
      </c>
      <c r="D339" s="61">
        <v>1</v>
      </c>
    </row>
    <row r="340" spans="1:4" ht="15.5">
      <c r="A340" s="56">
        <v>338</v>
      </c>
      <c r="B340" s="57" t="s">
        <v>574</v>
      </c>
      <c r="C340" s="57" t="s">
        <v>575</v>
      </c>
      <c r="D340" s="61">
        <v>2</v>
      </c>
    </row>
    <row r="341" spans="1:4" ht="15.5">
      <c r="A341" s="56">
        <v>339</v>
      </c>
      <c r="B341" s="57" t="s">
        <v>576</v>
      </c>
      <c r="C341" s="57" t="s">
        <v>577</v>
      </c>
      <c r="D341" s="61">
        <v>2</v>
      </c>
    </row>
    <row r="342" spans="1:4" ht="15.5">
      <c r="A342" s="56">
        <v>340</v>
      </c>
      <c r="B342" s="57" t="s">
        <v>580</v>
      </c>
      <c r="C342" s="57" t="s">
        <v>581</v>
      </c>
      <c r="D342" s="61">
        <v>1</v>
      </c>
    </row>
    <row r="343" spans="1:4" ht="15.5">
      <c r="A343" s="56">
        <v>341</v>
      </c>
      <c r="B343" s="57" t="s">
        <v>584</v>
      </c>
      <c r="C343" s="57" t="s">
        <v>585</v>
      </c>
      <c r="D343" s="61">
        <v>1</v>
      </c>
    </row>
    <row r="344" spans="1:4" ht="15.5">
      <c r="A344" s="56">
        <v>342</v>
      </c>
      <c r="B344" s="57" t="s">
        <v>586</v>
      </c>
      <c r="C344" s="57" t="s">
        <v>587</v>
      </c>
      <c r="D344" s="61">
        <v>1</v>
      </c>
    </row>
    <row r="345" spans="1:4" ht="15.5">
      <c r="A345" s="56">
        <v>343</v>
      </c>
      <c r="B345" s="57" t="s">
        <v>1525</v>
      </c>
      <c r="C345" s="57" t="s">
        <v>1526</v>
      </c>
      <c r="D345" s="61">
        <v>2</v>
      </c>
    </row>
    <row r="346" spans="1:4" ht="15.5">
      <c r="A346" s="56">
        <v>344</v>
      </c>
      <c r="B346" s="57" t="s">
        <v>1527</v>
      </c>
      <c r="C346" s="57" t="s">
        <v>1528</v>
      </c>
      <c r="D346" s="61">
        <v>1</v>
      </c>
    </row>
    <row r="347" spans="1:4" ht="15.5">
      <c r="A347" s="56">
        <v>345</v>
      </c>
      <c r="B347" s="57" t="s">
        <v>592</v>
      </c>
      <c r="C347" s="57" t="s">
        <v>593</v>
      </c>
      <c r="D347" s="61">
        <v>2</v>
      </c>
    </row>
    <row r="348" spans="1:4" ht="15.5">
      <c r="A348" s="56">
        <v>346</v>
      </c>
      <c r="B348" s="57" t="s">
        <v>596</v>
      </c>
      <c r="C348" s="57" t="s">
        <v>597</v>
      </c>
      <c r="D348" s="61">
        <v>2</v>
      </c>
    </row>
    <row r="349" spans="1:4" ht="15.5">
      <c r="A349" s="56">
        <v>347</v>
      </c>
      <c r="B349" s="57" t="s">
        <v>602</v>
      </c>
      <c r="C349" s="57" t="s">
        <v>603</v>
      </c>
      <c r="D349" s="61">
        <v>3</v>
      </c>
    </row>
    <row r="350" spans="1:4" ht="15.5">
      <c r="A350" s="56">
        <v>348</v>
      </c>
      <c r="B350" s="57" t="s">
        <v>606</v>
      </c>
      <c r="C350" s="57" t="s">
        <v>607</v>
      </c>
      <c r="D350" s="61">
        <v>1</v>
      </c>
    </row>
    <row r="351" spans="1:4" ht="15.5">
      <c r="A351" s="56">
        <v>349</v>
      </c>
      <c r="B351" s="57" t="s">
        <v>292</v>
      </c>
      <c r="C351" s="57" t="s">
        <v>293</v>
      </c>
      <c r="D351" s="61">
        <v>1</v>
      </c>
    </row>
    <row r="352" spans="1:4" ht="15.5">
      <c r="A352" s="56">
        <v>350</v>
      </c>
      <c r="B352" s="57" t="s">
        <v>608</v>
      </c>
      <c r="C352" s="57" t="s">
        <v>609</v>
      </c>
      <c r="D352" s="61">
        <v>1</v>
      </c>
    </row>
    <row r="353" spans="1:4" ht="15.5">
      <c r="A353" s="56">
        <v>351</v>
      </c>
      <c r="B353" s="57" t="s">
        <v>610</v>
      </c>
      <c r="C353" s="57" t="s">
        <v>611</v>
      </c>
      <c r="D353" s="61">
        <v>2</v>
      </c>
    </row>
    <row r="354" spans="1:4" ht="15.5">
      <c r="A354" s="56">
        <v>352</v>
      </c>
      <c r="B354" s="57" t="s">
        <v>612</v>
      </c>
      <c r="C354" s="57" t="s">
        <v>613</v>
      </c>
      <c r="D354" s="61">
        <v>2</v>
      </c>
    </row>
    <row r="355" spans="1:4" ht="15.5">
      <c r="A355" s="56">
        <v>353</v>
      </c>
      <c r="B355" s="57" t="s">
        <v>614</v>
      </c>
      <c r="C355" s="57" t="s">
        <v>615</v>
      </c>
      <c r="D355" s="61">
        <v>2</v>
      </c>
    </row>
    <row r="356" spans="1:4" ht="15.5">
      <c r="A356" s="56">
        <v>354</v>
      </c>
      <c r="B356" s="57" t="s">
        <v>616</v>
      </c>
      <c r="C356" s="57" t="s">
        <v>617</v>
      </c>
      <c r="D356" s="61">
        <v>1</v>
      </c>
    </row>
    <row r="357" spans="1:4" ht="15.5">
      <c r="A357" s="56">
        <v>355</v>
      </c>
      <c r="B357" s="57" t="s">
        <v>622</v>
      </c>
      <c r="C357" s="57" t="s">
        <v>623</v>
      </c>
      <c r="D357" s="61">
        <v>1</v>
      </c>
    </row>
    <row r="358" spans="1:4" ht="15.5">
      <c r="A358" s="56">
        <v>356</v>
      </c>
      <c r="B358" s="57" t="s">
        <v>1529</v>
      </c>
      <c r="C358" s="57" t="s">
        <v>1089</v>
      </c>
      <c r="D358" s="61">
        <v>1</v>
      </c>
    </row>
    <row r="359" spans="1:4" ht="15.5">
      <c r="A359" s="56">
        <v>357</v>
      </c>
      <c r="B359" s="57" t="s">
        <v>628</v>
      </c>
      <c r="C359" s="57" t="s">
        <v>629</v>
      </c>
      <c r="D359" s="61">
        <v>1</v>
      </c>
    </row>
    <row r="360" spans="1:4" ht="15.5">
      <c r="A360" s="56">
        <v>358</v>
      </c>
      <c r="B360" s="57" t="s">
        <v>632</v>
      </c>
      <c r="C360" s="57" t="s">
        <v>633</v>
      </c>
      <c r="D360" s="61">
        <v>2</v>
      </c>
    </row>
    <row r="361" spans="1:4" ht="15.5">
      <c r="A361" s="56">
        <v>359</v>
      </c>
      <c r="B361" s="57" t="s">
        <v>634</v>
      </c>
      <c r="C361" s="57" t="s">
        <v>635</v>
      </c>
      <c r="D361" s="61">
        <v>2</v>
      </c>
    </row>
    <row r="362" spans="1:4" ht="15.5">
      <c r="A362" s="56">
        <v>360</v>
      </c>
      <c r="B362" s="57" t="s">
        <v>636</v>
      </c>
      <c r="C362" s="57" t="s">
        <v>637</v>
      </c>
      <c r="D362" s="61">
        <v>2</v>
      </c>
    </row>
    <row r="363" spans="1:4" ht="15.5">
      <c r="A363" s="56">
        <v>361</v>
      </c>
      <c r="B363" s="57" t="s">
        <v>638</v>
      </c>
      <c r="C363" s="57" t="s">
        <v>639</v>
      </c>
      <c r="D363" s="61">
        <v>2</v>
      </c>
    </row>
    <row r="364" spans="1:4" ht="15.5">
      <c r="A364" s="56">
        <v>362</v>
      </c>
      <c r="B364" s="57" t="s">
        <v>1530</v>
      </c>
      <c r="C364" s="57" t="s">
        <v>1531</v>
      </c>
      <c r="D364" s="61">
        <v>1</v>
      </c>
    </row>
    <row r="365" spans="1:4" ht="15.5">
      <c r="A365" s="56">
        <v>363</v>
      </c>
      <c r="B365" s="57" t="s">
        <v>727</v>
      </c>
      <c r="C365" s="57" t="s">
        <v>645</v>
      </c>
      <c r="D365" s="61">
        <v>2</v>
      </c>
    </row>
    <row r="366" spans="1:4" ht="15.5">
      <c r="A366" s="56">
        <v>364</v>
      </c>
      <c r="B366" s="57" t="s">
        <v>730</v>
      </c>
      <c r="C366" s="57" t="s">
        <v>647</v>
      </c>
      <c r="D366" s="61">
        <v>2</v>
      </c>
    </row>
    <row r="367" spans="1:4" ht="15.5">
      <c r="A367" s="56">
        <v>365</v>
      </c>
      <c r="B367" s="57" t="s">
        <v>731</v>
      </c>
      <c r="C367" s="57" t="s">
        <v>649</v>
      </c>
      <c r="D367" s="61">
        <v>1</v>
      </c>
    </row>
    <row r="368" spans="1:4" ht="15.5">
      <c r="A368" s="56">
        <v>366</v>
      </c>
      <c r="B368" s="57" t="s">
        <v>734</v>
      </c>
      <c r="C368" s="57" t="s">
        <v>651</v>
      </c>
      <c r="D368" s="61">
        <v>1</v>
      </c>
    </row>
    <row r="369" spans="1:4" ht="15.5">
      <c r="A369" s="56">
        <v>367</v>
      </c>
      <c r="B369" s="57" t="s">
        <v>1083</v>
      </c>
      <c r="C369" s="57" t="s">
        <v>1082</v>
      </c>
      <c r="D369" s="61">
        <v>1</v>
      </c>
    </row>
    <row r="370" spans="1:4" ht="15.5">
      <c r="A370" s="56">
        <v>368</v>
      </c>
      <c r="B370" s="57" t="s">
        <v>1081</v>
      </c>
      <c r="C370" s="57" t="s">
        <v>1080</v>
      </c>
      <c r="D370" s="61">
        <v>1</v>
      </c>
    </row>
    <row r="371" spans="1:4" ht="15.5">
      <c r="A371" s="56">
        <v>369</v>
      </c>
      <c r="B371" s="57" t="s">
        <v>652</v>
      </c>
      <c r="C371" s="57" t="s">
        <v>653</v>
      </c>
      <c r="D371" s="61">
        <v>1</v>
      </c>
    </row>
    <row r="372" spans="1:4" ht="15.5">
      <c r="A372" s="56">
        <v>370</v>
      </c>
      <c r="B372" s="57" t="s">
        <v>654</v>
      </c>
      <c r="C372" s="57" t="s">
        <v>655</v>
      </c>
      <c r="D372" s="61">
        <v>3</v>
      </c>
    </row>
    <row r="373" spans="1:4" ht="15.5">
      <c r="A373" s="56">
        <v>371</v>
      </c>
      <c r="B373" s="57" t="s">
        <v>656</v>
      </c>
      <c r="C373" s="57" t="s">
        <v>657</v>
      </c>
      <c r="D373" s="61">
        <v>2</v>
      </c>
    </row>
    <row r="374" spans="1:4" ht="15.5">
      <c r="A374" s="56">
        <v>372</v>
      </c>
      <c r="B374" s="57" t="s">
        <v>658</v>
      </c>
      <c r="C374" s="57" t="s">
        <v>659</v>
      </c>
      <c r="D374" s="61">
        <v>2</v>
      </c>
    </row>
    <row r="375" spans="1:4" ht="15.5">
      <c r="A375" s="56">
        <v>373</v>
      </c>
      <c r="B375" s="57" t="s">
        <v>660</v>
      </c>
      <c r="C375" s="57" t="s">
        <v>661</v>
      </c>
      <c r="D375" s="61">
        <v>1</v>
      </c>
    </row>
    <row r="376" spans="1:4" ht="15.5">
      <c r="A376" s="56">
        <v>374</v>
      </c>
      <c r="B376" s="57" t="s">
        <v>662</v>
      </c>
      <c r="C376" s="57" t="s">
        <v>663</v>
      </c>
      <c r="D376" s="61">
        <v>2</v>
      </c>
    </row>
    <row r="377" spans="1:4" ht="15.5">
      <c r="A377" s="56">
        <v>375</v>
      </c>
      <c r="B377" s="57" t="s">
        <v>664</v>
      </c>
      <c r="C377" s="57" t="s">
        <v>665</v>
      </c>
      <c r="D377" s="61">
        <v>1</v>
      </c>
    </row>
    <row r="378" spans="1:4" ht="15.5">
      <c r="A378" s="56">
        <v>376</v>
      </c>
      <c r="B378" s="57" t="s">
        <v>668</v>
      </c>
      <c r="C378" s="57" t="s">
        <v>669</v>
      </c>
      <c r="D378" s="61">
        <v>2</v>
      </c>
    </row>
    <row r="379" spans="1:4" ht="15.5">
      <c r="A379" s="56">
        <v>377</v>
      </c>
      <c r="B379" s="57" t="s">
        <v>670</v>
      </c>
      <c r="C379" s="57" t="s">
        <v>671</v>
      </c>
      <c r="D379" s="61">
        <v>1</v>
      </c>
    </row>
    <row r="380" spans="1:4" ht="15.5">
      <c r="A380" s="56">
        <v>378</v>
      </c>
      <c r="B380" s="57" t="s">
        <v>672</v>
      </c>
      <c r="C380" s="57" t="s">
        <v>673</v>
      </c>
      <c r="D380" s="61">
        <v>2</v>
      </c>
    </row>
    <row r="381" spans="1:4" ht="15.5">
      <c r="A381" s="56">
        <v>379</v>
      </c>
      <c r="B381" s="57" t="s">
        <v>676</v>
      </c>
      <c r="C381" s="57" t="s">
        <v>677</v>
      </c>
      <c r="D381" s="61">
        <v>1</v>
      </c>
    </row>
    <row r="382" spans="1:4" ht="15.5">
      <c r="A382" s="56">
        <v>380</v>
      </c>
      <c r="B382" s="57" t="s">
        <v>680</v>
      </c>
      <c r="C382" s="57" t="s">
        <v>681</v>
      </c>
      <c r="D382" s="61">
        <v>1</v>
      </c>
    </row>
    <row r="383" spans="1:4" ht="15.5">
      <c r="A383" s="56">
        <v>381</v>
      </c>
      <c r="B383" s="57" t="s">
        <v>735</v>
      </c>
      <c r="C383" s="57" t="s">
        <v>736</v>
      </c>
      <c r="D383" s="61">
        <v>2</v>
      </c>
    </row>
    <row r="384" spans="1:4" ht="15.5">
      <c r="A384" s="56">
        <v>382</v>
      </c>
      <c r="B384" s="57" t="s">
        <v>737</v>
      </c>
      <c r="C384" s="57" t="s">
        <v>738</v>
      </c>
      <c r="D384" s="61">
        <v>2</v>
      </c>
    </row>
    <row r="385" spans="1:4" ht="15.5">
      <c r="A385" s="56">
        <v>383</v>
      </c>
      <c r="B385" s="57" t="s">
        <v>692</v>
      </c>
      <c r="C385" s="57" t="s">
        <v>693</v>
      </c>
      <c r="D385" s="61">
        <v>1</v>
      </c>
    </row>
    <row r="386" spans="1:4" ht="15.5">
      <c r="A386" s="56">
        <v>384</v>
      </c>
      <c r="B386" s="57" t="s">
        <v>696</v>
      </c>
      <c r="C386" s="57" t="s">
        <v>697</v>
      </c>
      <c r="D386" s="61">
        <v>2</v>
      </c>
    </row>
    <row r="387" spans="1:4" ht="15.5">
      <c r="A387" s="56">
        <v>385</v>
      </c>
      <c r="B387" s="57" t="s">
        <v>698</v>
      </c>
      <c r="C387" s="57" t="s">
        <v>699</v>
      </c>
      <c r="D387" s="61">
        <v>1</v>
      </c>
    </row>
    <row r="388" spans="1:4" ht="15.5">
      <c r="A388" s="56">
        <v>386</v>
      </c>
      <c r="B388" s="57" t="s">
        <v>1030</v>
      </c>
      <c r="C388" s="57" t="s">
        <v>1029</v>
      </c>
      <c r="D388" s="61">
        <v>1</v>
      </c>
    </row>
    <row r="389" spans="1:4" ht="15.5">
      <c r="A389" s="56">
        <v>387</v>
      </c>
      <c r="B389" s="57" t="s">
        <v>702</v>
      </c>
      <c r="C389" s="57" t="s">
        <v>703</v>
      </c>
      <c r="D389" s="61">
        <v>2</v>
      </c>
    </row>
    <row r="390" spans="1:4" ht="15.5">
      <c r="A390" s="56">
        <v>388</v>
      </c>
      <c r="B390" s="57" t="s">
        <v>1077</v>
      </c>
      <c r="C390" s="57" t="s">
        <v>1076</v>
      </c>
      <c r="D390" s="61">
        <v>1</v>
      </c>
    </row>
    <row r="391" spans="1:4" ht="15.5">
      <c r="A391" s="56">
        <v>389</v>
      </c>
      <c r="B391" s="57" t="s">
        <v>714</v>
      </c>
      <c r="C391" s="57" t="s">
        <v>715</v>
      </c>
      <c r="D391" s="61">
        <v>1</v>
      </c>
    </row>
    <row r="392" spans="1:4" ht="15.5">
      <c r="A392" s="56">
        <v>390</v>
      </c>
      <c r="B392" s="57" t="s">
        <v>716</v>
      </c>
      <c r="C392" s="57" t="s">
        <v>717</v>
      </c>
      <c r="D392" s="61">
        <v>1</v>
      </c>
    </row>
    <row r="393" spans="1:4" ht="15.5">
      <c r="A393" s="56">
        <v>391</v>
      </c>
      <c r="B393" s="57" t="s">
        <v>720</v>
      </c>
      <c r="C393" s="57" t="s">
        <v>721</v>
      </c>
      <c r="D393" s="61">
        <v>1</v>
      </c>
    </row>
    <row r="394" spans="1:4" ht="15.5">
      <c r="A394" s="56">
        <v>392</v>
      </c>
      <c r="B394" s="57" t="s">
        <v>722</v>
      </c>
      <c r="C394" s="57" t="s">
        <v>723</v>
      </c>
      <c r="D394" s="61">
        <v>1</v>
      </c>
    </row>
    <row r="395" spans="1:4" ht="15.5">
      <c r="A395" s="56">
        <v>393</v>
      </c>
      <c r="B395" s="57" t="s">
        <v>728</v>
      </c>
      <c r="C395" s="57" t="s">
        <v>729</v>
      </c>
      <c r="D395" s="61">
        <v>1</v>
      </c>
    </row>
    <row r="396" spans="1:4" ht="15.5">
      <c r="A396" s="56">
        <v>394</v>
      </c>
      <c r="B396" s="57" t="s">
        <v>1073</v>
      </c>
      <c r="C396" s="57" t="s">
        <v>1072</v>
      </c>
      <c r="D396" s="61">
        <v>1</v>
      </c>
    </row>
    <row r="397" spans="1:4" ht="15.5">
      <c r="A397" s="56">
        <v>395</v>
      </c>
      <c r="B397" s="57" t="s">
        <v>732</v>
      </c>
      <c r="C397" s="57" t="s">
        <v>733</v>
      </c>
      <c r="D397" s="61">
        <v>2</v>
      </c>
    </row>
    <row r="398" spans="1:4" ht="15.5">
      <c r="A398" s="56">
        <v>396</v>
      </c>
      <c r="B398" s="57" t="s">
        <v>103</v>
      </c>
      <c r="C398" s="57" t="s">
        <v>104</v>
      </c>
      <c r="D398" s="61">
        <v>2</v>
      </c>
    </row>
    <row r="399" spans="1:4" ht="15.5">
      <c r="A399" s="56">
        <v>397</v>
      </c>
      <c r="B399" s="57" t="s">
        <v>105</v>
      </c>
      <c r="C399" s="57" t="s">
        <v>106</v>
      </c>
      <c r="D399" s="61">
        <v>2</v>
      </c>
    </row>
    <row r="400" spans="1:4" ht="15.5">
      <c r="A400" s="56">
        <v>398</v>
      </c>
      <c r="B400" s="57" t="s">
        <v>107</v>
      </c>
      <c r="C400" s="57" t="s">
        <v>108</v>
      </c>
      <c r="D400" s="61">
        <v>2</v>
      </c>
    </row>
    <row r="401" spans="1:4" ht="15.5">
      <c r="A401" s="56">
        <v>399</v>
      </c>
      <c r="B401" s="57" t="s">
        <v>109</v>
      </c>
      <c r="C401" s="57" t="s">
        <v>110</v>
      </c>
      <c r="D401" s="61">
        <v>2</v>
      </c>
    </row>
    <row r="402" spans="1:4" ht="15.5">
      <c r="A402" s="56">
        <v>400</v>
      </c>
      <c r="B402" s="57" t="s">
        <v>111</v>
      </c>
      <c r="C402" s="57" t="s">
        <v>112</v>
      </c>
      <c r="D402" s="61">
        <v>1</v>
      </c>
    </row>
    <row r="403" spans="1:4" ht="15.5">
      <c r="A403" s="56">
        <v>401</v>
      </c>
      <c r="B403" s="57" t="s">
        <v>113</v>
      </c>
      <c r="C403" s="57" t="s">
        <v>114</v>
      </c>
      <c r="D403" s="61">
        <v>1</v>
      </c>
    </row>
    <row r="404" spans="1:4" ht="15.5">
      <c r="A404" s="56">
        <v>402</v>
      </c>
      <c r="B404" s="57" t="s">
        <v>749</v>
      </c>
      <c r="C404" s="57" t="s">
        <v>750</v>
      </c>
      <c r="D404" s="61">
        <v>2</v>
      </c>
    </row>
    <row r="405" spans="1:4" ht="15.5">
      <c r="A405" s="56">
        <v>403</v>
      </c>
      <c r="B405" s="57" t="s">
        <v>1532</v>
      </c>
      <c r="C405" s="57" t="s">
        <v>1533</v>
      </c>
      <c r="D405" s="61">
        <v>2</v>
      </c>
    </row>
    <row r="406" spans="1:4" ht="15.5">
      <c r="A406" s="56">
        <v>404</v>
      </c>
      <c r="B406" s="57" t="s">
        <v>1071</v>
      </c>
      <c r="C406" s="57" t="s">
        <v>1070</v>
      </c>
      <c r="D406" s="61">
        <v>1</v>
      </c>
    </row>
    <row r="407" spans="1:4" ht="15.5">
      <c r="A407" s="56">
        <v>405</v>
      </c>
      <c r="B407" s="57" t="s">
        <v>244</v>
      </c>
      <c r="C407" s="57" t="s">
        <v>245</v>
      </c>
      <c r="D407" s="61">
        <v>1</v>
      </c>
    </row>
    <row r="408" spans="1:4" ht="15.5">
      <c r="A408" s="56">
        <v>406</v>
      </c>
      <c r="B408" s="57" t="s">
        <v>246</v>
      </c>
      <c r="C408" s="57" t="s">
        <v>115</v>
      </c>
      <c r="D408" s="61">
        <v>1</v>
      </c>
    </row>
    <row r="409" spans="1:4" ht="15.5">
      <c r="A409" s="56">
        <v>407</v>
      </c>
      <c r="B409" s="57" t="s">
        <v>247</v>
      </c>
      <c r="C409" s="57" t="s">
        <v>116</v>
      </c>
      <c r="D409" s="61">
        <v>1</v>
      </c>
    </row>
    <row r="410" spans="1:4" ht="15.5">
      <c r="A410" s="56">
        <v>408</v>
      </c>
      <c r="B410" s="57" t="s">
        <v>248</v>
      </c>
      <c r="C410" s="57" t="s">
        <v>117</v>
      </c>
      <c r="D410" s="61">
        <v>1</v>
      </c>
    </row>
    <row r="411" spans="1:4" ht="15.5">
      <c r="A411" s="56">
        <v>409</v>
      </c>
      <c r="B411" s="57" t="s">
        <v>249</v>
      </c>
      <c r="C411" s="57" t="s">
        <v>250</v>
      </c>
      <c r="D411" s="61">
        <v>1</v>
      </c>
    </row>
    <row r="412" spans="1:4" ht="15.5">
      <c r="A412" s="56">
        <v>410</v>
      </c>
      <c r="B412" s="57" t="s">
        <v>1069</v>
      </c>
      <c r="C412" s="57" t="s">
        <v>1068</v>
      </c>
      <c r="D412" s="61">
        <v>1</v>
      </c>
    </row>
    <row r="413" spans="1:4" ht="15.5">
      <c r="A413" s="56">
        <v>411</v>
      </c>
      <c r="B413" s="57" t="s">
        <v>1067</v>
      </c>
      <c r="C413" s="57" t="s">
        <v>1066</v>
      </c>
      <c r="D413" s="61">
        <v>1</v>
      </c>
    </row>
    <row r="414" spans="1:4" ht="15.5">
      <c r="A414" s="56">
        <v>412</v>
      </c>
      <c r="B414" s="57" t="s">
        <v>739</v>
      </c>
      <c r="C414" s="57" t="s">
        <v>740</v>
      </c>
      <c r="D414" s="61">
        <v>1</v>
      </c>
    </row>
    <row r="415" spans="1:4" ht="15.5">
      <c r="A415" s="56">
        <v>413</v>
      </c>
      <c r="B415" s="57" t="s">
        <v>741</v>
      </c>
      <c r="C415" s="57" t="s">
        <v>742</v>
      </c>
      <c r="D415" s="61">
        <v>1</v>
      </c>
    </row>
    <row r="416" spans="1:4" ht="15.5">
      <c r="A416" s="56">
        <v>414</v>
      </c>
      <c r="B416" s="57" t="s">
        <v>743</v>
      </c>
      <c r="C416" s="57" t="s">
        <v>744</v>
      </c>
      <c r="D416" s="61">
        <v>1</v>
      </c>
    </row>
    <row r="417" spans="1:4" ht="15.5">
      <c r="A417" s="56">
        <v>415</v>
      </c>
      <c r="B417" s="57" t="s">
        <v>745</v>
      </c>
      <c r="C417" s="57" t="s">
        <v>746</v>
      </c>
      <c r="D417" s="61">
        <v>1</v>
      </c>
    </row>
    <row r="418" spans="1:4" ht="15.5">
      <c r="A418" s="56">
        <v>416</v>
      </c>
      <c r="B418" s="57" t="s">
        <v>747</v>
      </c>
      <c r="C418" s="57" t="s">
        <v>748</v>
      </c>
      <c r="D418" s="61">
        <v>2</v>
      </c>
    </row>
    <row r="419" spans="1:4" ht="15.5">
      <c r="A419" s="56">
        <v>417</v>
      </c>
      <c r="B419" s="57" t="s">
        <v>140</v>
      </c>
      <c r="C419" s="57" t="s">
        <v>141</v>
      </c>
      <c r="D419" s="61">
        <v>1</v>
      </c>
    </row>
    <row r="420" spans="1:4" ht="15.5">
      <c r="A420" s="56">
        <v>418</v>
      </c>
      <c r="B420" s="57" t="s">
        <v>144</v>
      </c>
      <c r="C420" s="57" t="s">
        <v>145</v>
      </c>
      <c r="D420" s="61">
        <v>1</v>
      </c>
    </row>
    <row r="421" spans="1:4" ht="15.5">
      <c r="A421" s="56">
        <v>419</v>
      </c>
      <c r="B421" s="57" t="s">
        <v>146</v>
      </c>
      <c r="C421" s="57" t="s">
        <v>147</v>
      </c>
      <c r="D421" s="61">
        <v>1</v>
      </c>
    </row>
    <row r="422" spans="1:4" ht="15.5">
      <c r="A422" s="56">
        <v>420</v>
      </c>
      <c r="B422" s="57" t="s">
        <v>753</v>
      </c>
      <c r="C422" s="57" t="s">
        <v>754</v>
      </c>
      <c r="D422" s="61">
        <v>1</v>
      </c>
    </row>
    <row r="423" spans="1:4" ht="15.5">
      <c r="A423" s="56">
        <v>421</v>
      </c>
      <c r="B423" s="57" t="s">
        <v>1065</v>
      </c>
      <c r="C423" s="57" t="s">
        <v>1064</v>
      </c>
      <c r="D423" s="61">
        <v>1</v>
      </c>
    </row>
    <row r="424" spans="1:4" ht="15.5">
      <c r="A424" s="56">
        <v>422</v>
      </c>
      <c r="B424" s="57" t="s">
        <v>152</v>
      </c>
      <c r="C424" s="57" t="s">
        <v>153</v>
      </c>
      <c r="D424" s="61">
        <v>1</v>
      </c>
    </row>
    <row r="425" spans="1:4" ht="15.5">
      <c r="A425" s="56">
        <v>423</v>
      </c>
      <c r="B425" s="57" t="s">
        <v>158</v>
      </c>
      <c r="C425" s="57" t="s">
        <v>159</v>
      </c>
      <c r="D425" s="61">
        <v>1</v>
      </c>
    </row>
    <row r="426" spans="1:4" ht="15.5">
      <c r="A426" s="56">
        <v>424</v>
      </c>
      <c r="B426" s="57" t="s">
        <v>160</v>
      </c>
      <c r="C426" s="57" t="s">
        <v>161</v>
      </c>
      <c r="D426" s="61">
        <v>1</v>
      </c>
    </row>
    <row r="427" spans="1:4" ht="15.5">
      <c r="A427" s="56">
        <v>425</v>
      </c>
      <c r="B427" s="57" t="s">
        <v>761</v>
      </c>
      <c r="C427" s="57" t="s">
        <v>762</v>
      </c>
      <c r="D427" s="61">
        <v>1</v>
      </c>
    </row>
    <row r="428" spans="1:4" ht="15.5">
      <c r="A428" s="56">
        <v>426</v>
      </c>
      <c r="B428" s="57" t="s">
        <v>767</v>
      </c>
      <c r="C428" s="57" t="s">
        <v>768</v>
      </c>
      <c r="D428" s="61">
        <v>1</v>
      </c>
    </row>
    <row r="429" spans="1:4" ht="15.5">
      <c r="A429" s="56">
        <v>427</v>
      </c>
      <c r="B429" s="57" t="s">
        <v>807</v>
      </c>
      <c r="C429" s="57" t="s">
        <v>808</v>
      </c>
      <c r="D429" s="61">
        <v>1</v>
      </c>
    </row>
    <row r="430" spans="1:4" ht="15.5">
      <c r="A430" s="56">
        <v>428</v>
      </c>
      <c r="B430" s="57" t="s">
        <v>755</v>
      </c>
      <c r="C430" s="57" t="s">
        <v>756</v>
      </c>
      <c r="D430" s="61">
        <v>1</v>
      </c>
    </row>
    <row r="431" spans="1:4" ht="15.5">
      <c r="A431" s="56">
        <v>429</v>
      </c>
      <c r="B431" s="57" t="s">
        <v>757</v>
      </c>
      <c r="C431" s="57" t="s">
        <v>758</v>
      </c>
      <c r="D431" s="61">
        <v>1</v>
      </c>
    </row>
    <row r="432" spans="1:4" ht="15.5">
      <c r="A432" s="56">
        <v>430</v>
      </c>
      <c r="B432" s="57" t="s">
        <v>763</v>
      </c>
      <c r="C432" s="57" t="s">
        <v>764</v>
      </c>
      <c r="D432" s="61">
        <v>1</v>
      </c>
    </row>
    <row r="433" spans="1:4" ht="15.5">
      <c r="A433" s="56">
        <v>431</v>
      </c>
      <c r="B433" s="57" t="s">
        <v>765</v>
      </c>
      <c r="C433" s="57" t="s">
        <v>766</v>
      </c>
      <c r="D433" s="61">
        <v>1</v>
      </c>
    </row>
    <row r="434" spans="1:4" ht="15.5">
      <c r="A434" s="56">
        <v>432</v>
      </c>
      <c r="B434" s="57" t="s">
        <v>769</v>
      </c>
      <c r="C434" s="57" t="s">
        <v>770</v>
      </c>
      <c r="D434" s="61">
        <v>1</v>
      </c>
    </row>
    <row r="435" spans="1:4" ht="15.5">
      <c r="A435" s="56">
        <v>433</v>
      </c>
      <c r="B435" s="57" t="s">
        <v>771</v>
      </c>
      <c r="C435" s="57" t="s">
        <v>772</v>
      </c>
      <c r="D435" s="61">
        <v>1</v>
      </c>
    </row>
    <row r="436" spans="1:4" ht="15.5">
      <c r="A436" s="56">
        <v>434</v>
      </c>
      <c r="B436" s="57" t="s">
        <v>775</v>
      </c>
      <c r="C436" s="57" t="s">
        <v>776</v>
      </c>
      <c r="D436" s="61">
        <v>1</v>
      </c>
    </row>
    <row r="437" spans="1:4" ht="15.5">
      <c r="A437" s="56">
        <v>435</v>
      </c>
      <c r="B437" s="57" t="s">
        <v>785</v>
      </c>
      <c r="C437" s="57" t="s">
        <v>786</v>
      </c>
      <c r="D437" s="61">
        <v>1</v>
      </c>
    </row>
    <row r="438" spans="1:4" ht="15.5">
      <c r="A438" s="56">
        <v>436</v>
      </c>
      <c r="B438" s="57" t="s">
        <v>1063</v>
      </c>
      <c r="C438" s="57" t="s">
        <v>1062</v>
      </c>
      <c r="D438" s="61">
        <v>1</v>
      </c>
    </row>
    <row r="439" spans="1:4" ht="15.5">
      <c r="A439" s="56">
        <v>437</v>
      </c>
      <c r="B439" s="57" t="s">
        <v>1061</v>
      </c>
      <c r="C439" s="57" t="s">
        <v>1060</v>
      </c>
      <c r="D439" s="61">
        <v>1</v>
      </c>
    </row>
    <row r="440" spans="1:4" ht="15.5">
      <c r="A440" s="56">
        <v>438</v>
      </c>
      <c r="B440" s="57" t="s">
        <v>787</v>
      </c>
      <c r="C440" s="57" t="s">
        <v>788</v>
      </c>
      <c r="D440" s="61">
        <v>1</v>
      </c>
    </row>
    <row r="441" spans="1:4" ht="15.5">
      <c r="A441" s="56">
        <v>439</v>
      </c>
      <c r="B441" s="57" t="s">
        <v>777</v>
      </c>
      <c r="C441" s="57" t="s">
        <v>778</v>
      </c>
      <c r="D441" s="61">
        <v>2</v>
      </c>
    </row>
    <row r="442" spans="1:4" ht="15.5">
      <c r="A442" s="56">
        <v>440</v>
      </c>
      <c r="B442" s="57" t="s">
        <v>783</v>
      </c>
      <c r="C442" s="57" t="s">
        <v>784</v>
      </c>
      <c r="D442" s="61">
        <v>2</v>
      </c>
    </row>
    <row r="443" spans="1:4" ht="15.5">
      <c r="A443" s="56">
        <v>441</v>
      </c>
      <c r="B443" s="57" t="s">
        <v>789</v>
      </c>
      <c r="C443" s="57" t="s">
        <v>790</v>
      </c>
      <c r="D443" s="61">
        <v>1</v>
      </c>
    </row>
    <row r="444" spans="1:4" ht="15.5">
      <c r="A444" s="56">
        <v>442</v>
      </c>
      <c r="B444" s="57" t="s">
        <v>791</v>
      </c>
      <c r="C444" s="57" t="s">
        <v>792</v>
      </c>
      <c r="D444" s="61">
        <v>1</v>
      </c>
    </row>
    <row r="445" spans="1:4" ht="15.5">
      <c r="A445" s="56">
        <v>443</v>
      </c>
      <c r="B445" s="57" t="s">
        <v>795</v>
      </c>
      <c r="C445" s="57" t="s">
        <v>797</v>
      </c>
      <c r="D445" s="61">
        <v>1</v>
      </c>
    </row>
    <row r="446" spans="1:4" ht="15.5">
      <c r="A446" s="56">
        <v>444</v>
      </c>
      <c r="B446" s="57" t="s">
        <v>1059</v>
      </c>
      <c r="C446" s="57" t="s">
        <v>1058</v>
      </c>
      <c r="D446" s="61">
        <v>1</v>
      </c>
    </row>
    <row r="447" spans="1:4" ht="15.5">
      <c r="A447" s="56">
        <v>445</v>
      </c>
      <c r="B447" s="57" t="s">
        <v>793</v>
      </c>
      <c r="C447" s="57" t="s">
        <v>794</v>
      </c>
      <c r="D447" s="61">
        <v>1</v>
      </c>
    </row>
    <row r="448" spans="1:4" ht="15.5">
      <c r="A448" s="56">
        <v>446</v>
      </c>
      <c r="B448" s="57" t="s">
        <v>796</v>
      </c>
      <c r="C448" s="57" t="s">
        <v>798</v>
      </c>
      <c r="D448" s="61">
        <v>1</v>
      </c>
    </row>
    <row r="449" spans="1:4" ht="15.5">
      <c r="A449" s="56">
        <v>447</v>
      </c>
      <c r="B449" s="57" t="s">
        <v>799</v>
      </c>
      <c r="C449" s="57" t="s">
        <v>800</v>
      </c>
      <c r="D449" s="61">
        <v>1</v>
      </c>
    </row>
    <row r="450" spans="1:4" ht="15.5">
      <c r="A450" s="56">
        <v>448</v>
      </c>
      <c r="B450" s="57" t="s">
        <v>803</v>
      </c>
      <c r="C450" s="57" t="s">
        <v>804</v>
      </c>
      <c r="D450" s="61">
        <v>1</v>
      </c>
    </row>
    <row r="451" spans="1:4" ht="15.5">
      <c r="A451" s="56">
        <v>449</v>
      </c>
      <c r="B451" s="57" t="s">
        <v>1534</v>
      </c>
      <c r="C451" s="57" t="s">
        <v>1535</v>
      </c>
      <c r="D451" s="61">
        <v>1</v>
      </c>
    </row>
    <row r="452" spans="1:4" ht="15.5">
      <c r="A452" s="56">
        <v>450</v>
      </c>
      <c r="B452" s="57" t="s">
        <v>336</v>
      </c>
      <c r="C452" s="57" t="s">
        <v>337</v>
      </c>
      <c r="D452" s="61">
        <v>2</v>
      </c>
    </row>
    <row r="453" spans="1:4" ht="15.5">
      <c r="A453" s="56">
        <v>451</v>
      </c>
      <c r="B453" s="57" t="s">
        <v>338</v>
      </c>
      <c r="C453" s="57" t="s">
        <v>339</v>
      </c>
      <c r="D453" s="61">
        <v>12</v>
      </c>
    </row>
    <row r="454" spans="1:4" ht="15.5">
      <c r="A454" s="56">
        <v>452</v>
      </c>
      <c r="B454" s="57" t="s">
        <v>340</v>
      </c>
      <c r="C454" s="57" t="s">
        <v>341</v>
      </c>
      <c r="D454" s="61">
        <v>9</v>
      </c>
    </row>
    <row r="455" spans="1:4" ht="15.5">
      <c r="A455" s="56">
        <v>453</v>
      </c>
      <c r="B455" s="57" t="s">
        <v>881</v>
      </c>
      <c r="C455" s="57" t="s">
        <v>883</v>
      </c>
      <c r="D455" s="61">
        <v>5</v>
      </c>
    </row>
    <row r="456" spans="1:4" ht="15.5">
      <c r="A456" s="56">
        <v>454</v>
      </c>
      <c r="B456" s="57" t="s">
        <v>901</v>
      </c>
      <c r="C456" s="57" t="s">
        <v>902</v>
      </c>
      <c r="D456" s="61">
        <v>11</v>
      </c>
    </row>
    <row r="457" spans="1:4" ht="15.5">
      <c r="A457" s="56">
        <v>455</v>
      </c>
      <c r="B457" s="57" t="s">
        <v>897</v>
      </c>
      <c r="C457" s="57" t="s">
        <v>898</v>
      </c>
      <c r="D457" s="61">
        <v>10</v>
      </c>
    </row>
    <row r="458" spans="1:4" ht="15.5">
      <c r="A458" s="56">
        <v>456</v>
      </c>
      <c r="B458" s="57" t="s">
        <v>895</v>
      </c>
      <c r="C458" s="57" t="s">
        <v>896</v>
      </c>
      <c r="D458" s="61">
        <v>11</v>
      </c>
    </row>
    <row r="459" spans="1:4" ht="15.5">
      <c r="A459" s="56">
        <v>457</v>
      </c>
      <c r="B459" s="57" t="s">
        <v>905</v>
      </c>
      <c r="C459" s="57" t="s">
        <v>906</v>
      </c>
      <c r="D459" s="61">
        <v>7</v>
      </c>
    </row>
    <row r="460" spans="1:4" ht="15.5">
      <c r="A460" s="56">
        <v>458</v>
      </c>
      <c r="B460" s="57" t="s">
        <v>332</v>
      </c>
      <c r="C460" s="57" t="s">
        <v>333</v>
      </c>
      <c r="D460" s="61">
        <v>4</v>
      </c>
    </row>
    <row r="461" spans="1:4" ht="15.5">
      <c r="A461" s="56">
        <v>459</v>
      </c>
      <c r="B461" s="57" t="s">
        <v>334</v>
      </c>
      <c r="C461" s="57" t="s">
        <v>335</v>
      </c>
      <c r="D461" s="61">
        <v>5</v>
      </c>
    </row>
    <row r="462" spans="1:4" ht="15.5">
      <c r="A462" s="56">
        <v>460</v>
      </c>
      <c r="B462" s="57" t="s">
        <v>885</v>
      </c>
      <c r="C462" s="57" t="s">
        <v>886</v>
      </c>
      <c r="D462" s="61">
        <v>2</v>
      </c>
    </row>
    <row r="463" spans="1:4" ht="15.5">
      <c r="A463" s="56">
        <v>461</v>
      </c>
      <c r="B463" s="57" t="s">
        <v>891</v>
      </c>
      <c r="C463" s="57" t="s">
        <v>892</v>
      </c>
      <c r="D463" s="61">
        <v>5</v>
      </c>
    </row>
    <row r="464" spans="1:4" ht="15.5">
      <c r="A464" s="56">
        <v>462</v>
      </c>
      <c r="B464" s="57" t="s">
        <v>328</v>
      </c>
      <c r="C464" s="57" t="s">
        <v>329</v>
      </c>
      <c r="D464" s="61">
        <v>5</v>
      </c>
    </row>
    <row r="465" spans="1:4" ht="15.5">
      <c r="A465" s="56">
        <v>463</v>
      </c>
      <c r="B465" s="57" t="s">
        <v>330</v>
      </c>
      <c r="C465" s="57" t="s">
        <v>331</v>
      </c>
      <c r="D465" s="61">
        <v>7</v>
      </c>
    </row>
    <row r="466" spans="1:4" ht="15.5">
      <c r="A466" s="56">
        <v>464</v>
      </c>
      <c r="B466" s="57" t="s">
        <v>907</v>
      </c>
      <c r="C466" s="57" t="s">
        <v>908</v>
      </c>
      <c r="D466" s="61">
        <v>4</v>
      </c>
    </row>
    <row r="467" spans="1:4" ht="15.5">
      <c r="A467" s="56">
        <v>465</v>
      </c>
      <c r="B467" s="57" t="s">
        <v>913</v>
      </c>
      <c r="C467" s="57" t="s">
        <v>914</v>
      </c>
      <c r="D467" s="61">
        <v>8</v>
      </c>
    </row>
    <row r="468" spans="1:4" ht="15.5">
      <c r="A468" s="56">
        <v>466</v>
      </c>
      <c r="B468" s="57" t="s">
        <v>929</v>
      </c>
      <c r="C468" s="57" t="s">
        <v>930</v>
      </c>
      <c r="D468" s="61">
        <v>6</v>
      </c>
    </row>
    <row r="469" spans="1:4" ht="15.5">
      <c r="A469" s="56">
        <v>467</v>
      </c>
      <c r="B469" s="57" t="s">
        <v>925</v>
      </c>
      <c r="C469" s="57" t="s">
        <v>926</v>
      </c>
      <c r="D469" s="61">
        <v>7</v>
      </c>
    </row>
    <row r="470" spans="1:4" ht="15.5">
      <c r="A470" s="56">
        <v>468</v>
      </c>
      <c r="B470" s="57" t="s">
        <v>917</v>
      </c>
      <c r="C470" s="57" t="s">
        <v>918</v>
      </c>
      <c r="D470" s="61">
        <v>3</v>
      </c>
    </row>
    <row r="471" spans="1:4" ht="15.5">
      <c r="A471" s="56">
        <v>469</v>
      </c>
      <c r="B471" s="57" t="s">
        <v>932</v>
      </c>
      <c r="C471" s="57" t="s">
        <v>933</v>
      </c>
      <c r="D471" s="61">
        <v>1</v>
      </c>
    </row>
    <row r="472" spans="1:4" ht="15.5">
      <c r="A472" s="56">
        <v>470</v>
      </c>
      <c r="B472" s="57" t="s">
        <v>943</v>
      </c>
      <c r="C472" s="57" t="s">
        <v>944</v>
      </c>
      <c r="D472" s="61">
        <v>4</v>
      </c>
    </row>
    <row r="473" spans="1:4" ht="15.5">
      <c r="A473" s="56">
        <v>471</v>
      </c>
      <c r="B473" s="57" t="s">
        <v>939</v>
      </c>
      <c r="C473" s="57" t="s">
        <v>940</v>
      </c>
      <c r="D473" s="61">
        <v>5</v>
      </c>
    </row>
    <row r="474" spans="1:4" ht="15.5">
      <c r="A474" s="56">
        <v>472</v>
      </c>
      <c r="B474" s="57" t="s">
        <v>935</v>
      </c>
      <c r="C474" s="57" t="s">
        <v>936</v>
      </c>
      <c r="D474" s="61">
        <v>5</v>
      </c>
    </row>
    <row r="475" spans="1:4" ht="15.5">
      <c r="A475" s="56">
        <v>473</v>
      </c>
      <c r="B475" s="57" t="s">
        <v>947</v>
      </c>
      <c r="C475" s="57" t="s">
        <v>948</v>
      </c>
      <c r="D475" s="61">
        <v>8</v>
      </c>
    </row>
    <row r="476" spans="1:4" ht="15.5">
      <c r="A476" s="56">
        <v>474</v>
      </c>
      <c r="B476" s="57" t="s">
        <v>805</v>
      </c>
      <c r="C476" s="57" t="s">
        <v>806</v>
      </c>
      <c r="D476" s="61">
        <v>1</v>
      </c>
    </row>
    <row r="477" spans="1:4" ht="15.5">
      <c r="A477" s="56">
        <v>475</v>
      </c>
      <c r="B477" s="57" t="s">
        <v>809</v>
      </c>
      <c r="C477" s="57" t="s">
        <v>810</v>
      </c>
      <c r="D477" s="61">
        <v>1</v>
      </c>
    </row>
    <row r="478" spans="1:4" ht="15.5">
      <c r="A478" s="56">
        <v>476</v>
      </c>
      <c r="B478" s="57" t="s">
        <v>811</v>
      </c>
      <c r="C478" s="57" t="s">
        <v>812</v>
      </c>
      <c r="D478" s="61">
        <v>1</v>
      </c>
    </row>
    <row r="479" spans="1:4" ht="15.5">
      <c r="A479" s="56">
        <v>477</v>
      </c>
      <c r="B479" s="57" t="s">
        <v>813</v>
      </c>
      <c r="C479" s="57" t="s">
        <v>814</v>
      </c>
      <c r="D479" s="61">
        <v>1</v>
      </c>
    </row>
    <row r="480" spans="1:4" ht="15.5">
      <c r="A480" s="56">
        <v>478</v>
      </c>
      <c r="B480" s="57" t="s">
        <v>815</v>
      </c>
      <c r="C480" s="57" t="s">
        <v>816</v>
      </c>
      <c r="D480" s="61">
        <v>1</v>
      </c>
    </row>
    <row r="481" spans="1:4" ht="15.5">
      <c r="A481" s="56">
        <v>479</v>
      </c>
      <c r="B481" s="57" t="s">
        <v>817</v>
      </c>
      <c r="C481" s="57" t="s">
        <v>818</v>
      </c>
      <c r="D481" s="61">
        <v>1</v>
      </c>
    </row>
    <row r="482" spans="1:4" ht="15.5">
      <c r="A482" s="56">
        <v>480</v>
      </c>
      <c r="B482" s="57" t="s">
        <v>819</v>
      </c>
      <c r="C482" s="57" t="s">
        <v>820</v>
      </c>
      <c r="D482" s="61">
        <v>1</v>
      </c>
    </row>
    <row r="483" spans="1:4" ht="15.5">
      <c r="A483" s="56">
        <v>481</v>
      </c>
      <c r="B483" s="57" t="s">
        <v>1055</v>
      </c>
      <c r="C483" s="57" t="s">
        <v>1054</v>
      </c>
      <c r="D483" s="61">
        <v>1</v>
      </c>
    </row>
  </sheetData>
  <mergeCells count="1">
    <mergeCell ref="A1:D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ACCD5C-7395-4EA2-A9B8-28505A9A2C78}">
  <dimension ref="A1:C466"/>
  <sheetViews>
    <sheetView workbookViewId="0">
      <selection sqref="A1:C1"/>
    </sheetView>
  </sheetViews>
  <sheetFormatPr defaultColWidth="8.453125" defaultRowHeight="14.5"/>
  <cols>
    <col min="1" max="3" width="20" style="49" customWidth="1"/>
    <col min="4" max="16384" width="8.453125" style="49"/>
  </cols>
  <sheetData>
    <row r="1" spans="1:3" ht="18.5">
      <c r="A1" s="87" t="s">
        <v>1386</v>
      </c>
      <c r="B1" s="87"/>
      <c r="C1" s="87"/>
    </row>
    <row r="2" spans="1:3">
      <c r="A2" s="46" t="s">
        <v>0</v>
      </c>
      <c r="B2" s="46" t="s">
        <v>1</v>
      </c>
      <c r="C2" s="46" t="s">
        <v>4</v>
      </c>
    </row>
    <row r="3" spans="1:3" ht="15.5">
      <c r="A3" s="52" t="s">
        <v>59</v>
      </c>
      <c r="B3" s="52" t="s">
        <v>60</v>
      </c>
      <c r="C3" s="65">
        <v>3</v>
      </c>
    </row>
    <row r="4" spans="1:3" ht="15.5">
      <c r="A4" s="52" t="s">
        <v>851</v>
      </c>
      <c r="B4" s="52" t="s">
        <v>852</v>
      </c>
      <c r="C4" s="65">
        <v>8</v>
      </c>
    </row>
    <row r="5" spans="1:3" ht="15.5">
      <c r="A5" s="52" t="s">
        <v>853</v>
      </c>
      <c r="B5" s="52" t="s">
        <v>855</v>
      </c>
      <c r="C5" s="65">
        <v>5</v>
      </c>
    </row>
    <row r="6" spans="1:3" ht="15.5">
      <c r="A6" s="52" t="s">
        <v>977</v>
      </c>
      <c r="B6" s="52" t="s">
        <v>978</v>
      </c>
      <c r="C6" s="65">
        <v>1</v>
      </c>
    </row>
    <row r="7" spans="1:3" ht="15.5">
      <c r="A7" s="52" t="s">
        <v>63</v>
      </c>
      <c r="B7" s="52" t="s">
        <v>64</v>
      </c>
      <c r="C7" s="65">
        <v>2</v>
      </c>
    </row>
    <row r="8" spans="1:3" ht="15.5">
      <c r="A8" s="52" t="s">
        <v>65</v>
      </c>
      <c r="B8" s="52" t="s">
        <v>66</v>
      </c>
      <c r="C8" s="65">
        <v>7</v>
      </c>
    </row>
    <row r="9" spans="1:3" ht="15.5">
      <c r="A9" s="52" t="s">
        <v>1385</v>
      </c>
      <c r="B9" s="52" t="s">
        <v>1384</v>
      </c>
      <c r="C9" s="65">
        <v>1</v>
      </c>
    </row>
    <row r="10" spans="1:3" ht="15.5">
      <c r="A10" s="52" t="s">
        <v>863</v>
      </c>
      <c r="B10" s="52" t="s">
        <v>864</v>
      </c>
      <c r="C10" s="65">
        <v>6</v>
      </c>
    </row>
    <row r="11" spans="1:3" ht="15.5">
      <c r="A11" s="52" t="s">
        <v>867</v>
      </c>
      <c r="B11" s="52" t="s">
        <v>868</v>
      </c>
      <c r="C11" s="65">
        <v>3</v>
      </c>
    </row>
    <row r="12" spans="1:3" ht="15.5">
      <c r="A12" s="52" t="s">
        <v>871</v>
      </c>
      <c r="B12" s="52" t="s">
        <v>872</v>
      </c>
      <c r="C12" s="65">
        <v>7</v>
      </c>
    </row>
    <row r="13" spans="1:3" ht="15.5">
      <c r="A13" s="52" t="s">
        <v>873</v>
      </c>
      <c r="B13" s="52" t="s">
        <v>874</v>
      </c>
      <c r="C13" s="65">
        <v>7</v>
      </c>
    </row>
    <row r="14" spans="1:3" ht="15.5">
      <c r="A14" s="52" t="s">
        <v>1383</v>
      </c>
      <c r="B14" s="52" t="s">
        <v>1382</v>
      </c>
      <c r="C14" s="65">
        <v>2</v>
      </c>
    </row>
    <row r="15" spans="1:3" ht="15.5">
      <c r="A15" s="52" t="s">
        <v>1381</v>
      </c>
      <c r="B15" s="52" t="s">
        <v>1380</v>
      </c>
      <c r="C15" s="65">
        <v>2</v>
      </c>
    </row>
    <row r="16" spans="1:3" ht="15.5">
      <c r="A16" s="52" t="s">
        <v>1379</v>
      </c>
      <c r="B16" s="52" t="s">
        <v>1378</v>
      </c>
      <c r="C16" s="65">
        <v>1</v>
      </c>
    </row>
    <row r="17" spans="1:3" ht="15.5">
      <c r="A17" s="52" t="s">
        <v>1377</v>
      </c>
      <c r="B17" s="52" t="s">
        <v>1376</v>
      </c>
      <c r="C17" s="65">
        <v>1</v>
      </c>
    </row>
    <row r="18" spans="1:3" ht="15.5">
      <c r="A18" s="52" t="s">
        <v>1375</v>
      </c>
      <c r="B18" s="52" t="s">
        <v>1374</v>
      </c>
      <c r="C18" s="65">
        <v>1</v>
      </c>
    </row>
    <row r="19" spans="1:3" ht="15.5">
      <c r="A19" s="52" t="s">
        <v>1373</v>
      </c>
      <c r="B19" s="52" t="s">
        <v>1372</v>
      </c>
      <c r="C19" s="65">
        <v>1</v>
      </c>
    </row>
    <row r="20" spans="1:3" ht="15.5">
      <c r="A20" s="52" t="s">
        <v>1371</v>
      </c>
      <c r="B20" s="52" t="s">
        <v>1370</v>
      </c>
      <c r="C20" s="65">
        <v>1</v>
      </c>
    </row>
    <row r="21" spans="1:3" ht="15.5">
      <c r="A21" s="52" t="s">
        <v>1369</v>
      </c>
      <c r="B21" s="52" t="s">
        <v>1368</v>
      </c>
      <c r="C21" s="65">
        <v>1</v>
      </c>
    </row>
    <row r="22" spans="1:3" ht="15.5">
      <c r="A22" s="52" t="s">
        <v>1367</v>
      </c>
      <c r="B22" s="52" t="s">
        <v>1366</v>
      </c>
      <c r="C22" s="65">
        <v>1</v>
      </c>
    </row>
    <row r="23" spans="1:3" ht="15.5">
      <c r="A23" s="52" t="s">
        <v>1365</v>
      </c>
      <c r="B23" s="52" t="s">
        <v>1364</v>
      </c>
      <c r="C23" s="65">
        <v>1</v>
      </c>
    </row>
    <row r="24" spans="1:3" ht="15.5">
      <c r="A24" s="52" t="s">
        <v>1363</v>
      </c>
      <c r="B24" s="52" t="s">
        <v>1362</v>
      </c>
      <c r="C24" s="65">
        <v>1</v>
      </c>
    </row>
    <row r="25" spans="1:3" ht="15.5">
      <c r="A25" s="52" t="s">
        <v>1361</v>
      </c>
      <c r="B25" s="52" t="s">
        <v>1360</v>
      </c>
      <c r="C25" s="65">
        <v>1</v>
      </c>
    </row>
    <row r="26" spans="1:3" ht="15.5">
      <c r="A26" s="52" t="s">
        <v>1359</v>
      </c>
      <c r="B26" s="52" t="s">
        <v>1358</v>
      </c>
      <c r="C26" s="65">
        <v>1</v>
      </c>
    </row>
    <row r="27" spans="1:3" ht="15.5">
      <c r="A27" s="52" t="s">
        <v>1357</v>
      </c>
      <c r="B27" s="52" t="s">
        <v>1356</v>
      </c>
      <c r="C27" s="65">
        <v>1</v>
      </c>
    </row>
    <row r="28" spans="1:3" ht="15.5">
      <c r="A28" s="52" t="s">
        <v>1355</v>
      </c>
      <c r="B28" s="52" t="s">
        <v>1354</v>
      </c>
      <c r="C28" s="65">
        <v>1</v>
      </c>
    </row>
    <row r="29" spans="1:3" ht="15.5">
      <c r="A29" s="52" t="s">
        <v>1353</v>
      </c>
      <c r="B29" s="52" t="s">
        <v>1352</v>
      </c>
      <c r="C29" s="65">
        <v>1</v>
      </c>
    </row>
    <row r="30" spans="1:3" ht="15.5">
      <c r="A30" s="52" t="s">
        <v>1351</v>
      </c>
      <c r="B30" s="52" t="s">
        <v>1350</v>
      </c>
      <c r="C30" s="65">
        <v>1</v>
      </c>
    </row>
    <row r="31" spans="1:3" ht="15.5">
      <c r="A31" s="52" t="s">
        <v>1349</v>
      </c>
      <c r="B31" s="52" t="s">
        <v>1348</v>
      </c>
      <c r="C31" s="65">
        <v>1</v>
      </c>
    </row>
    <row r="32" spans="1:3" ht="15.5">
      <c r="A32" s="52" t="s">
        <v>1347</v>
      </c>
      <c r="B32" s="52" t="s">
        <v>1346</v>
      </c>
      <c r="C32" s="65">
        <v>1</v>
      </c>
    </row>
    <row r="33" spans="1:3" ht="15.5">
      <c r="A33" s="52" t="s">
        <v>1345</v>
      </c>
      <c r="B33" s="52" t="s">
        <v>1344</v>
      </c>
      <c r="C33" s="65">
        <v>1</v>
      </c>
    </row>
    <row r="34" spans="1:3" ht="15.5">
      <c r="A34" s="52" t="s">
        <v>1343</v>
      </c>
      <c r="B34" s="52" t="s">
        <v>1342</v>
      </c>
      <c r="C34" s="65">
        <v>1</v>
      </c>
    </row>
    <row r="35" spans="1:3" ht="15.5">
      <c r="A35" s="52" t="s">
        <v>1341</v>
      </c>
      <c r="B35" s="52" t="s">
        <v>1340</v>
      </c>
      <c r="C35" s="65">
        <v>1</v>
      </c>
    </row>
    <row r="36" spans="1:3" ht="15.5">
      <c r="A36" s="52" t="s">
        <v>1339</v>
      </c>
      <c r="B36" s="52" t="s">
        <v>1338</v>
      </c>
      <c r="C36" s="65">
        <v>1</v>
      </c>
    </row>
    <row r="37" spans="1:3" ht="15.5">
      <c r="A37" s="52" t="s">
        <v>1337</v>
      </c>
      <c r="B37" s="52" t="s">
        <v>1336</v>
      </c>
      <c r="C37" s="65">
        <v>1</v>
      </c>
    </row>
    <row r="38" spans="1:3" ht="15.5">
      <c r="A38" s="52" t="s">
        <v>1335</v>
      </c>
      <c r="B38" s="52" t="s">
        <v>1334</v>
      </c>
      <c r="C38" s="65">
        <v>1</v>
      </c>
    </row>
    <row r="39" spans="1:3" ht="15.5">
      <c r="A39" s="52" t="s">
        <v>1333</v>
      </c>
      <c r="B39" s="52" t="s">
        <v>1332</v>
      </c>
      <c r="C39" s="65">
        <v>1</v>
      </c>
    </row>
    <row r="40" spans="1:3" ht="15.5">
      <c r="A40" s="52" t="s">
        <v>71</v>
      </c>
      <c r="B40" s="52" t="s">
        <v>72</v>
      </c>
      <c r="C40" s="65">
        <v>5</v>
      </c>
    </row>
    <row r="41" spans="1:3" ht="15.5">
      <c r="A41" s="52" t="s">
        <v>75</v>
      </c>
      <c r="B41" s="52" t="s">
        <v>76</v>
      </c>
      <c r="C41" s="65">
        <v>10</v>
      </c>
    </row>
    <row r="42" spans="1:3" ht="15.5">
      <c r="A42" s="52" t="s">
        <v>79</v>
      </c>
      <c r="B42" s="52" t="s">
        <v>80</v>
      </c>
      <c r="C42" s="65">
        <v>1</v>
      </c>
    </row>
    <row r="43" spans="1:3" ht="15.5">
      <c r="A43" s="52" t="s">
        <v>83</v>
      </c>
      <c r="B43" s="52" t="s">
        <v>84</v>
      </c>
      <c r="C43" s="65">
        <v>4</v>
      </c>
    </row>
    <row r="44" spans="1:3" ht="15.5">
      <c r="A44" s="52" t="s">
        <v>87</v>
      </c>
      <c r="B44" s="52" t="s">
        <v>88</v>
      </c>
      <c r="C44" s="65">
        <v>2</v>
      </c>
    </row>
    <row r="45" spans="1:3" ht="15.5">
      <c r="A45" s="52" t="s">
        <v>90</v>
      </c>
      <c r="B45" s="52" t="s">
        <v>92</v>
      </c>
      <c r="C45" s="65">
        <v>3</v>
      </c>
    </row>
    <row r="46" spans="1:3" ht="15.5">
      <c r="A46" s="52" t="s">
        <v>97</v>
      </c>
      <c r="B46" s="52" t="s">
        <v>98</v>
      </c>
      <c r="C46" s="65">
        <v>3</v>
      </c>
    </row>
    <row r="47" spans="1:3" ht="15.5">
      <c r="A47" s="52" t="s">
        <v>99</v>
      </c>
      <c r="B47" s="52" t="s">
        <v>100</v>
      </c>
      <c r="C47" s="65">
        <v>1</v>
      </c>
    </row>
    <row r="48" spans="1:3" ht="15.5">
      <c r="A48" s="52" t="s">
        <v>1331</v>
      </c>
      <c r="B48" s="52" t="s">
        <v>1330</v>
      </c>
      <c r="C48" s="65">
        <v>2</v>
      </c>
    </row>
    <row r="49" spans="1:3" ht="15.5">
      <c r="A49" s="52" t="s">
        <v>1329</v>
      </c>
      <c r="B49" s="52" t="s">
        <v>1328</v>
      </c>
      <c r="C49" s="65">
        <v>2</v>
      </c>
    </row>
    <row r="50" spans="1:3" ht="15.5">
      <c r="A50" s="52" t="s">
        <v>1327</v>
      </c>
      <c r="B50" s="52" t="s">
        <v>1326</v>
      </c>
      <c r="C50" s="65">
        <v>1</v>
      </c>
    </row>
    <row r="51" spans="1:3" ht="15.5">
      <c r="A51" s="52" t="s">
        <v>981</v>
      </c>
      <c r="B51" s="52" t="s">
        <v>982</v>
      </c>
      <c r="C51" s="65">
        <v>2</v>
      </c>
    </row>
    <row r="52" spans="1:3" ht="15.5">
      <c r="A52" s="52" t="s">
        <v>278</v>
      </c>
      <c r="B52" s="52" t="s">
        <v>279</v>
      </c>
      <c r="C52" s="65">
        <v>1</v>
      </c>
    </row>
    <row r="53" spans="1:3" ht="15.5">
      <c r="A53" s="52" t="s">
        <v>162</v>
      </c>
      <c r="B53" s="52" t="s">
        <v>163</v>
      </c>
      <c r="C53" s="65">
        <v>2</v>
      </c>
    </row>
    <row r="54" spans="1:3" ht="15.5">
      <c r="A54" s="52" t="s">
        <v>164</v>
      </c>
      <c r="B54" s="52" t="s">
        <v>165</v>
      </c>
      <c r="C54" s="65">
        <v>7</v>
      </c>
    </row>
    <row r="55" spans="1:3" ht="15.5">
      <c r="A55" s="52" t="s">
        <v>166</v>
      </c>
      <c r="B55" s="52" t="s">
        <v>167</v>
      </c>
      <c r="C55" s="65">
        <v>2</v>
      </c>
    </row>
    <row r="56" spans="1:3" ht="15.5">
      <c r="A56" s="52" t="s">
        <v>130</v>
      </c>
      <c r="B56" s="52" t="s">
        <v>131</v>
      </c>
      <c r="C56" s="65">
        <v>7</v>
      </c>
    </row>
    <row r="57" spans="1:3" ht="15.5">
      <c r="A57" s="52" t="s">
        <v>132</v>
      </c>
      <c r="B57" s="52" t="s">
        <v>133</v>
      </c>
      <c r="C57" s="65">
        <v>2</v>
      </c>
    </row>
    <row r="58" spans="1:3" ht="15.5">
      <c r="A58" s="52" t="s">
        <v>168</v>
      </c>
      <c r="B58" s="52" t="s">
        <v>169</v>
      </c>
      <c r="C58" s="65">
        <v>1</v>
      </c>
    </row>
    <row r="59" spans="1:3" ht="15.5">
      <c r="A59" s="52" t="s">
        <v>282</v>
      </c>
      <c r="B59" s="52" t="s">
        <v>283</v>
      </c>
      <c r="C59" s="65">
        <v>3</v>
      </c>
    </row>
    <row r="60" spans="1:3" ht="15.5">
      <c r="A60" s="52" t="s">
        <v>255</v>
      </c>
      <c r="B60" s="52" t="s">
        <v>256</v>
      </c>
      <c r="C60" s="65">
        <v>1</v>
      </c>
    </row>
    <row r="61" spans="1:3" ht="15.5">
      <c r="A61" s="52" t="s">
        <v>257</v>
      </c>
      <c r="B61" s="52" t="s">
        <v>258</v>
      </c>
      <c r="C61" s="65">
        <v>2</v>
      </c>
    </row>
    <row r="62" spans="1:3" ht="15.5">
      <c r="A62" s="52" t="s">
        <v>172</v>
      </c>
      <c r="B62" s="52" t="s">
        <v>173</v>
      </c>
      <c r="C62" s="65">
        <v>3</v>
      </c>
    </row>
    <row r="63" spans="1:3" ht="15.5">
      <c r="A63" s="52" t="s">
        <v>174</v>
      </c>
      <c r="B63" s="52" t="s">
        <v>175</v>
      </c>
      <c r="C63" s="65">
        <v>1</v>
      </c>
    </row>
    <row r="64" spans="1:3" ht="15.5">
      <c r="A64" s="52" t="s">
        <v>983</v>
      </c>
      <c r="B64" s="52" t="s">
        <v>984</v>
      </c>
      <c r="C64" s="65">
        <v>1</v>
      </c>
    </row>
    <row r="65" spans="1:3" ht="15.5">
      <c r="A65" s="52" t="s">
        <v>985</v>
      </c>
      <c r="B65" s="52" t="s">
        <v>986</v>
      </c>
      <c r="C65" s="65">
        <v>2</v>
      </c>
    </row>
    <row r="66" spans="1:3" ht="15.5">
      <c r="A66" s="52" t="s">
        <v>987</v>
      </c>
      <c r="B66" s="52" t="s">
        <v>988</v>
      </c>
      <c r="C66" s="65">
        <v>3</v>
      </c>
    </row>
    <row r="67" spans="1:3" ht="15.5">
      <c r="A67" s="52" t="s">
        <v>989</v>
      </c>
      <c r="B67" s="52" t="s">
        <v>990</v>
      </c>
      <c r="C67" s="65">
        <v>2</v>
      </c>
    </row>
    <row r="68" spans="1:3" ht="15.5">
      <c r="A68" s="52" t="s">
        <v>991</v>
      </c>
      <c r="B68" s="52" t="s">
        <v>992</v>
      </c>
      <c r="C68" s="65">
        <v>2</v>
      </c>
    </row>
    <row r="69" spans="1:3" ht="15.5">
      <c r="A69" s="52" t="s">
        <v>995</v>
      </c>
      <c r="B69" s="52" t="s">
        <v>996</v>
      </c>
      <c r="C69" s="65">
        <v>2</v>
      </c>
    </row>
    <row r="70" spans="1:3" ht="15.5">
      <c r="A70" s="52" t="s">
        <v>997</v>
      </c>
      <c r="B70" s="52" t="s">
        <v>998</v>
      </c>
      <c r="C70" s="65">
        <v>2</v>
      </c>
    </row>
    <row r="71" spans="1:3" ht="15.5">
      <c r="A71" s="52" t="s">
        <v>1325</v>
      </c>
      <c r="B71" s="52" t="s">
        <v>1324</v>
      </c>
      <c r="C71" s="65">
        <v>3</v>
      </c>
    </row>
    <row r="72" spans="1:3" ht="15.5">
      <c r="A72" s="52" t="s">
        <v>1323</v>
      </c>
      <c r="B72" s="52" t="s">
        <v>1322</v>
      </c>
      <c r="C72" s="65">
        <v>4</v>
      </c>
    </row>
    <row r="73" spans="1:3" ht="15.5">
      <c r="A73" s="52" t="s">
        <v>1321</v>
      </c>
      <c r="B73" s="52" t="s">
        <v>1320</v>
      </c>
      <c r="C73" s="65">
        <v>2</v>
      </c>
    </row>
    <row r="74" spans="1:3" ht="15.5">
      <c r="A74" s="52" t="s">
        <v>1319</v>
      </c>
      <c r="B74" s="52" t="s">
        <v>1318</v>
      </c>
      <c r="C74" s="65">
        <v>3</v>
      </c>
    </row>
    <row r="75" spans="1:3" ht="15.5">
      <c r="A75" s="52" t="s">
        <v>1317</v>
      </c>
      <c r="B75" s="52" t="s">
        <v>1316</v>
      </c>
      <c r="C75" s="65">
        <v>2</v>
      </c>
    </row>
    <row r="76" spans="1:3" ht="15.5">
      <c r="A76" s="52" t="s">
        <v>1315</v>
      </c>
      <c r="B76" s="52" t="s">
        <v>1314</v>
      </c>
      <c r="C76" s="65">
        <v>2</v>
      </c>
    </row>
    <row r="77" spans="1:3" ht="15.5">
      <c r="A77" s="52" t="s">
        <v>1313</v>
      </c>
      <c r="B77" s="52" t="s">
        <v>1312</v>
      </c>
      <c r="C77" s="65">
        <v>3</v>
      </c>
    </row>
    <row r="78" spans="1:3" ht="15.5">
      <c r="A78" s="52" t="s">
        <v>1311</v>
      </c>
      <c r="B78" s="52" t="s">
        <v>1310</v>
      </c>
      <c r="C78" s="65">
        <v>3</v>
      </c>
    </row>
    <row r="79" spans="1:3" ht="15.5">
      <c r="A79" s="52" t="s">
        <v>1309</v>
      </c>
      <c r="B79" s="52" t="s">
        <v>1308</v>
      </c>
      <c r="C79" s="65">
        <v>3</v>
      </c>
    </row>
    <row r="80" spans="1:3" ht="15.5">
      <c r="A80" s="52" t="s">
        <v>1307</v>
      </c>
      <c r="B80" s="52" t="s">
        <v>1306</v>
      </c>
      <c r="C80" s="65">
        <v>3</v>
      </c>
    </row>
    <row r="81" spans="1:3" ht="15.5">
      <c r="A81" s="52" t="s">
        <v>1305</v>
      </c>
      <c r="B81" s="52" t="s">
        <v>1304</v>
      </c>
      <c r="C81" s="65">
        <v>3</v>
      </c>
    </row>
    <row r="82" spans="1:3" ht="15.5">
      <c r="A82" s="52" t="s">
        <v>1303</v>
      </c>
      <c r="B82" s="52" t="s">
        <v>1302</v>
      </c>
      <c r="C82" s="65">
        <v>3</v>
      </c>
    </row>
    <row r="83" spans="1:3" ht="15.5">
      <c r="A83" s="52" t="s">
        <v>1301</v>
      </c>
      <c r="B83" s="52" t="s">
        <v>1300</v>
      </c>
      <c r="C83" s="65">
        <v>1</v>
      </c>
    </row>
    <row r="84" spans="1:3" ht="15.5">
      <c r="A84" s="52" t="s">
        <v>1299</v>
      </c>
      <c r="B84" s="52" t="s">
        <v>1298</v>
      </c>
      <c r="C84" s="65">
        <v>3</v>
      </c>
    </row>
    <row r="85" spans="1:3" ht="15.5">
      <c r="A85" s="52" t="s">
        <v>1297</v>
      </c>
      <c r="B85" s="52" t="s">
        <v>1296</v>
      </c>
      <c r="C85" s="65">
        <v>3</v>
      </c>
    </row>
    <row r="86" spans="1:3" ht="15.5">
      <c r="A86" s="52" t="s">
        <v>1295</v>
      </c>
      <c r="B86" s="52" t="s">
        <v>1294</v>
      </c>
      <c r="C86" s="65">
        <v>3</v>
      </c>
    </row>
    <row r="87" spans="1:3" ht="15.5">
      <c r="A87" s="52" t="s">
        <v>1293</v>
      </c>
      <c r="B87" s="52" t="s">
        <v>1292</v>
      </c>
      <c r="C87" s="65">
        <v>3</v>
      </c>
    </row>
    <row r="88" spans="1:3" ht="15.5">
      <c r="A88" s="52" t="s">
        <v>1291</v>
      </c>
      <c r="B88" s="52" t="s">
        <v>1290</v>
      </c>
      <c r="C88" s="65">
        <v>3</v>
      </c>
    </row>
    <row r="89" spans="1:3" ht="15.5">
      <c r="A89" s="52" t="s">
        <v>1289</v>
      </c>
      <c r="B89" s="52" t="s">
        <v>1288</v>
      </c>
      <c r="C89" s="65">
        <v>3</v>
      </c>
    </row>
    <row r="90" spans="1:3" ht="15.5">
      <c r="A90" s="52" t="s">
        <v>1287</v>
      </c>
      <c r="B90" s="52" t="s">
        <v>1286</v>
      </c>
      <c r="C90" s="65">
        <v>3</v>
      </c>
    </row>
    <row r="91" spans="1:3" ht="15.5">
      <c r="A91" s="52" t="s">
        <v>1285</v>
      </c>
      <c r="B91" s="52" t="s">
        <v>1284</v>
      </c>
      <c r="C91" s="65">
        <v>3</v>
      </c>
    </row>
    <row r="92" spans="1:3" ht="15.5">
      <c r="A92" s="52" t="s">
        <v>1283</v>
      </c>
      <c r="B92" s="52" t="s">
        <v>1282</v>
      </c>
      <c r="C92" s="65">
        <v>2</v>
      </c>
    </row>
    <row r="93" spans="1:3" ht="15.5">
      <c r="A93" s="52" t="s">
        <v>1281</v>
      </c>
      <c r="B93" s="52" t="s">
        <v>1280</v>
      </c>
      <c r="C93" s="65">
        <v>1</v>
      </c>
    </row>
    <row r="94" spans="1:3" ht="15.5">
      <c r="A94" s="52" t="s">
        <v>1279</v>
      </c>
      <c r="B94" s="52" t="s">
        <v>1278</v>
      </c>
      <c r="C94" s="65">
        <v>3</v>
      </c>
    </row>
    <row r="95" spans="1:3" ht="15.5">
      <c r="A95" s="52" t="s">
        <v>1277</v>
      </c>
      <c r="B95" s="52" t="s">
        <v>1276</v>
      </c>
      <c r="C95" s="65">
        <v>2</v>
      </c>
    </row>
    <row r="96" spans="1:3" ht="15.5">
      <c r="A96" s="52" t="s">
        <v>1275</v>
      </c>
      <c r="B96" s="52" t="s">
        <v>1274</v>
      </c>
      <c r="C96" s="65">
        <v>3</v>
      </c>
    </row>
    <row r="97" spans="1:3" ht="15.5">
      <c r="A97" s="52" t="s">
        <v>1273</v>
      </c>
      <c r="B97" s="52" t="s">
        <v>1272</v>
      </c>
      <c r="C97" s="65">
        <v>3</v>
      </c>
    </row>
    <row r="98" spans="1:3" ht="15.5">
      <c r="A98" s="52" t="s">
        <v>1271</v>
      </c>
      <c r="B98" s="52" t="s">
        <v>1270</v>
      </c>
      <c r="C98" s="65">
        <v>3</v>
      </c>
    </row>
    <row r="99" spans="1:3" ht="15.5">
      <c r="A99" s="52" t="s">
        <v>1269</v>
      </c>
      <c r="B99" s="52" t="s">
        <v>1268</v>
      </c>
      <c r="C99" s="65">
        <v>3</v>
      </c>
    </row>
    <row r="100" spans="1:3" ht="15.5">
      <c r="A100" s="52" t="s">
        <v>1267</v>
      </c>
      <c r="B100" s="52" t="s">
        <v>1266</v>
      </c>
      <c r="C100" s="65">
        <v>3</v>
      </c>
    </row>
    <row r="101" spans="1:3" ht="15.5">
      <c r="A101" s="52" t="s">
        <v>1265</v>
      </c>
      <c r="B101" s="52" t="s">
        <v>1264</v>
      </c>
      <c r="C101" s="65">
        <v>3</v>
      </c>
    </row>
    <row r="102" spans="1:3" ht="15.5">
      <c r="A102" s="52" t="s">
        <v>1263</v>
      </c>
      <c r="B102" s="52" t="s">
        <v>1262</v>
      </c>
      <c r="C102" s="65">
        <v>3</v>
      </c>
    </row>
    <row r="103" spans="1:3" ht="15.5">
      <c r="A103" s="52" t="s">
        <v>1261</v>
      </c>
      <c r="B103" s="52" t="s">
        <v>1260</v>
      </c>
      <c r="C103" s="65">
        <v>3</v>
      </c>
    </row>
    <row r="104" spans="1:3" ht="15.5">
      <c r="A104" s="52" t="s">
        <v>1259</v>
      </c>
      <c r="B104" s="52" t="s">
        <v>1258</v>
      </c>
      <c r="C104" s="65">
        <v>3</v>
      </c>
    </row>
    <row r="105" spans="1:3" ht="15.5">
      <c r="A105" s="52" t="s">
        <v>1257</v>
      </c>
      <c r="B105" s="52" t="s">
        <v>1256</v>
      </c>
      <c r="C105" s="65">
        <v>3</v>
      </c>
    </row>
    <row r="106" spans="1:3" ht="15.5">
      <c r="A106" s="52" t="s">
        <v>1255</v>
      </c>
      <c r="B106" s="52" t="s">
        <v>1254</v>
      </c>
      <c r="C106" s="65">
        <v>2</v>
      </c>
    </row>
    <row r="107" spans="1:3" ht="15.5">
      <c r="A107" s="52" t="s">
        <v>1253</v>
      </c>
      <c r="B107" s="52" t="s">
        <v>1252</v>
      </c>
      <c r="C107" s="65">
        <v>3</v>
      </c>
    </row>
    <row r="108" spans="1:3" ht="15.5">
      <c r="A108" s="52" t="s">
        <v>1251</v>
      </c>
      <c r="B108" s="52" t="s">
        <v>1250</v>
      </c>
      <c r="C108" s="65">
        <v>2</v>
      </c>
    </row>
    <row r="109" spans="1:3" ht="15.5">
      <c r="A109" s="52" t="s">
        <v>1249</v>
      </c>
      <c r="B109" s="52" t="s">
        <v>1248</v>
      </c>
      <c r="C109" s="65">
        <v>2</v>
      </c>
    </row>
    <row r="110" spans="1:3" ht="15.5">
      <c r="A110" s="52" t="s">
        <v>1247</v>
      </c>
      <c r="B110" s="52" t="s">
        <v>1246</v>
      </c>
      <c r="C110" s="65">
        <v>3</v>
      </c>
    </row>
    <row r="111" spans="1:3" ht="15.5">
      <c r="A111" s="52" t="s">
        <v>1245</v>
      </c>
      <c r="B111" s="52" t="s">
        <v>1244</v>
      </c>
      <c r="C111" s="65">
        <v>2</v>
      </c>
    </row>
    <row r="112" spans="1:3" ht="15.5">
      <c r="A112" s="52" t="s">
        <v>1243</v>
      </c>
      <c r="B112" s="52" t="s">
        <v>1242</v>
      </c>
      <c r="C112" s="65">
        <v>1</v>
      </c>
    </row>
    <row r="113" spans="1:3" ht="15.5">
      <c r="A113" s="52" t="s">
        <v>1241</v>
      </c>
      <c r="B113" s="52" t="s">
        <v>1240</v>
      </c>
      <c r="C113" s="65">
        <v>1</v>
      </c>
    </row>
    <row r="114" spans="1:3" ht="15.5">
      <c r="A114" s="52" t="s">
        <v>1239</v>
      </c>
      <c r="B114" s="52" t="s">
        <v>1238</v>
      </c>
      <c r="C114" s="65">
        <v>1</v>
      </c>
    </row>
    <row r="115" spans="1:3" ht="15.5">
      <c r="A115" s="52" t="s">
        <v>1237</v>
      </c>
      <c r="B115" s="52" t="s">
        <v>1236</v>
      </c>
      <c r="C115" s="65">
        <v>1</v>
      </c>
    </row>
    <row r="116" spans="1:3" ht="15.5">
      <c r="A116" s="52" t="s">
        <v>1235</v>
      </c>
      <c r="B116" s="52" t="s">
        <v>1234</v>
      </c>
      <c r="C116" s="65">
        <v>1</v>
      </c>
    </row>
    <row r="117" spans="1:3" ht="15.5">
      <c r="A117" s="52" t="s">
        <v>1233</v>
      </c>
      <c r="B117" s="52" t="s">
        <v>1232</v>
      </c>
      <c r="C117" s="65">
        <v>1</v>
      </c>
    </row>
    <row r="118" spans="1:3" ht="15.5">
      <c r="A118" s="52" t="s">
        <v>1231</v>
      </c>
      <c r="B118" s="52" t="s">
        <v>1230</v>
      </c>
      <c r="C118" s="65">
        <v>2</v>
      </c>
    </row>
    <row r="119" spans="1:3" ht="15.5">
      <c r="A119" s="52" t="s">
        <v>1229</v>
      </c>
      <c r="B119" s="52" t="s">
        <v>1228</v>
      </c>
      <c r="C119" s="65">
        <v>2</v>
      </c>
    </row>
    <row r="120" spans="1:3" ht="15.5">
      <c r="A120" s="52" t="s">
        <v>1227</v>
      </c>
      <c r="B120" s="52" t="s">
        <v>1226</v>
      </c>
      <c r="C120" s="65">
        <v>1</v>
      </c>
    </row>
    <row r="121" spans="1:3" ht="15.5">
      <c r="A121" s="52" t="s">
        <v>1225</v>
      </c>
      <c r="B121" s="52" t="s">
        <v>1224</v>
      </c>
      <c r="C121" s="65">
        <v>2</v>
      </c>
    </row>
    <row r="122" spans="1:3" ht="15.5">
      <c r="A122" s="52" t="s">
        <v>1223</v>
      </c>
      <c r="B122" s="52" t="s">
        <v>1222</v>
      </c>
      <c r="C122" s="65">
        <v>2</v>
      </c>
    </row>
    <row r="123" spans="1:3" ht="15.5">
      <c r="A123" s="52" t="s">
        <v>1221</v>
      </c>
      <c r="B123" s="52" t="s">
        <v>1220</v>
      </c>
      <c r="C123" s="65">
        <v>1</v>
      </c>
    </row>
    <row r="124" spans="1:3" ht="15.5">
      <c r="A124" s="52" t="s">
        <v>1219</v>
      </c>
      <c r="B124" s="52" t="s">
        <v>1218</v>
      </c>
      <c r="C124" s="65">
        <v>2</v>
      </c>
    </row>
    <row r="125" spans="1:3" ht="15.5">
      <c r="A125" s="52" t="s">
        <v>1217</v>
      </c>
      <c r="B125" s="52" t="s">
        <v>1216</v>
      </c>
      <c r="C125" s="65">
        <v>2</v>
      </c>
    </row>
    <row r="126" spans="1:3" ht="15.5">
      <c r="A126" s="52" t="s">
        <v>1215</v>
      </c>
      <c r="B126" s="52" t="s">
        <v>1214</v>
      </c>
      <c r="C126" s="65">
        <v>2</v>
      </c>
    </row>
    <row r="127" spans="1:3" ht="15.5">
      <c r="A127" s="52" t="s">
        <v>1213</v>
      </c>
      <c r="B127" s="52" t="s">
        <v>1212</v>
      </c>
      <c r="C127" s="65">
        <v>2</v>
      </c>
    </row>
    <row r="128" spans="1:3" ht="15.5">
      <c r="A128" s="52" t="s">
        <v>1211</v>
      </c>
      <c r="B128" s="52" t="s">
        <v>1210</v>
      </c>
      <c r="C128" s="65">
        <v>2</v>
      </c>
    </row>
    <row r="129" spans="1:3" ht="15.5">
      <c r="A129" s="52" t="s">
        <v>1209</v>
      </c>
      <c r="B129" s="52" t="s">
        <v>1208</v>
      </c>
      <c r="C129" s="65">
        <v>1</v>
      </c>
    </row>
    <row r="130" spans="1:3" ht="15.5">
      <c r="A130" s="52" t="s">
        <v>1207</v>
      </c>
      <c r="B130" s="52" t="s">
        <v>1206</v>
      </c>
      <c r="C130" s="65">
        <v>2</v>
      </c>
    </row>
    <row r="131" spans="1:3" ht="15.5">
      <c r="A131" s="52" t="s">
        <v>1205</v>
      </c>
      <c r="B131" s="52" t="s">
        <v>1204</v>
      </c>
      <c r="C131" s="65">
        <v>7</v>
      </c>
    </row>
    <row r="132" spans="1:3" ht="15.5">
      <c r="A132" s="52" t="s">
        <v>1203</v>
      </c>
      <c r="B132" s="52" t="s">
        <v>1202</v>
      </c>
      <c r="C132" s="65">
        <v>1</v>
      </c>
    </row>
    <row r="133" spans="1:3" ht="15.5">
      <c r="A133" s="52" t="s">
        <v>77</v>
      </c>
      <c r="B133" s="52" t="s">
        <v>78</v>
      </c>
      <c r="C133" s="65">
        <v>1</v>
      </c>
    </row>
    <row r="134" spans="1:3" ht="15.5">
      <c r="A134" s="52" t="s">
        <v>81</v>
      </c>
      <c r="B134" s="52" t="s">
        <v>82</v>
      </c>
      <c r="C134" s="65">
        <v>1</v>
      </c>
    </row>
    <row r="135" spans="1:3" ht="15.5">
      <c r="A135" s="52" t="s">
        <v>85</v>
      </c>
      <c r="B135" s="52" t="s">
        <v>86</v>
      </c>
      <c r="C135" s="65">
        <v>1</v>
      </c>
    </row>
    <row r="136" spans="1:3" ht="15.5">
      <c r="A136" s="52" t="s">
        <v>93</v>
      </c>
      <c r="B136" s="52" t="s">
        <v>94</v>
      </c>
      <c r="C136" s="65">
        <v>2</v>
      </c>
    </row>
    <row r="137" spans="1:3" ht="15.5">
      <c r="A137" s="52" t="s">
        <v>95</v>
      </c>
      <c r="B137" s="52" t="s">
        <v>96</v>
      </c>
      <c r="C137" s="65">
        <v>3</v>
      </c>
    </row>
    <row r="138" spans="1:3" ht="15.5">
      <c r="A138" s="52" t="s">
        <v>1201</v>
      </c>
      <c r="B138" s="52" t="s">
        <v>1200</v>
      </c>
      <c r="C138" s="65">
        <v>1</v>
      </c>
    </row>
    <row r="139" spans="1:3" ht="15.5">
      <c r="A139" s="52" t="s">
        <v>393</v>
      </c>
      <c r="B139" s="52" t="s">
        <v>394</v>
      </c>
      <c r="C139" s="65">
        <v>2</v>
      </c>
    </row>
    <row r="140" spans="1:3" ht="15.5">
      <c r="A140" s="52" t="s">
        <v>208</v>
      </c>
      <c r="B140" s="52" t="s">
        <v>209</v>
      </c>
      <c r="C140" s="65">
        <v>2</v>
      </c>
    </row>
    <row r="141" spans="1:3" ht="15.5">
      <c r="A141" s="52" t="s">
        <v>210</v>
      </c>
      <c r="B141" s="52" t="s">
        <v>211</v>
      </c>
      <c r="C141" s="65">
        <v>3</v>
      </c>
    </row>
    <row r="142" spans="1:3" ht="15.5">
      <c r="A142" s="52" t="s">
        <v>395</v>
      </c>
      <c r="B142" s="52" t="s">
        <v>396</v>
      </c>
      <c r="C142" s="65">
        <v>2</v>
      </c>
    </row>
    <row r="143" spans="1:3" ht="15.5">
      <c r="A143" s="52" t="s">
        <v>1199</v>
      </c>
      <c r="B143" s="52" t="s">
        <v>1198</v>
      </c>
      <c r="C143" s="65">
        <v>2</v>
      </c>
    </row>
    <row r="144" spans="1:3" ht="15.5">
      <c r="A144" s="52" t="s">
        <v>190</v>
      </c>
      <c r="B144" s="52" t="s">
        <v>191</v>
      </c>
      <c r="C144" s="65">
        <v>4</v>
      </c>
    </row>
    <row r="145" spans="1:3" ht="15.5">
      <c r="A145" s="52" t="s">
        <v>192</v>
      </c>
      <c r="B145" s="52" t="s">
        <v>193</v>
      </c>
      <c r="C145" s="65">
        <v>2</v>
      </c>
    </row>
    <row r="146" spans="1:3" ht="15.5">
      <c r="A146" s="52" t="s">
        <v>194</v>
      </c>
      <c r="B146" s="52" t="s">
        <v>195</v>
      </c>
      <c r="C146" s="65">
        <v>3</v>
      </c>
    </row>
    <row r="147" spans="1:3" ht="15.5">
      <c r="A147" s="52" t="s">
        <v>196</v>
      </c>
      <c r="B147" s="52" t="s">
        <v>197</v>
      </c>
      <c r="C147" s="65">
        <v>2</v>
      </c>
    </row>
    <row r="148" spans="1:3" ht="15.5">
      <c r="A148" s="52" t="s">
        <v>198</v>
      </c>
      <c r="B148" s="52" t="s">
        <v>199</v>
      </c>
      <c r="C148" s="65">
        <v>1</v>
      </c>
    </row>
    <row r="149" spans="1:3" ht="15.5">
      <c r="A149" s="52" t="s">
        <v>1197</v>
      </c>
      <c r="B149" s="52" t="s">
        <v>1196</v>
      </c>
      <c r="C149" s="65">
        <v>2</v>
      </c>
    </row>
    <row r="150" spans="1:3" ht="15.5">
      <c r="A150" s="52" t="s">
        <v>1195</v>
      </c>
      <c r="B150" s="52" t="s">
        <v>1194</v>
      </c>
      <c r="C150" s="65">
        <v>2</v>
      </c>
    </row>
    <row r="151" spans="1:3" ht="15.5">
      <c r="A151" s="52" t="s">
        <v>1046</v>
      </c>
      <c r="B151" s="52" t="s">
        <v>1045</v>
      </c>
      <c r="C151" s="65">
        <v>4</v>
      </c>
    </row>
    <row r="152" spans="1:3" ht="15.5">
      <c r="A152" s="52" t="s">
        <v>1044</v>
      </c>
      <c r="B152" s="52" t="s">
        <v>1043</v>
      </c>
      <c r="C152" s="65">
        <v>4</v>
      </c>
    </row>
    <row r="153" spans="1:3" ht="15.5">
      <c r="A153" s="52" t="s">
        <v>1042</v>
      </c>
      <c r="B153" s="52" t="s">
        <v>1041</v>
      </c>
      <c r="C153" s="65">
        <v>3</v>
      </c>
    </row>
    <row r="154" spans="1:3" ht="15.5">
      <c r="A154" s="52" t="s">
        <v>1040</v>
      </c>
      <c r="B154" s="52" t="s">
        <v>1039</v>
      </c>
      <c r="C154" s="65">
        <v>3</v>
      </c>
    </row>
    <row r="155" spans="1:3" ht="15.5">
      <c r="A155" s="52" t="s">
        <v>1038</v>
      </c>
      <c r="B155" s="52" t="s">
        <v>1037</v>
      </c>
      <c r="C155" s="65">
        <v>2</v>
      </c>
    </row>
    <row r="156" spans="1:3" ht="15.5">
      <c r="A156" s="52" t="s">
        <v>1193</v>
      </c>
      <c r="B156" s="52" t="s">
        <v>1192</v>
      </c>
      <c r="C156" s="65">
        <v>2</v>
      </c>
    </row>
    <row r="157" spans="1:3" ht="15.5">
      <c r="A157" s="52" t="s">
        <v>1191</v>
      </c>
      <c r="B157" s="52" t="s">
        <v>1190</v>
      </c>
      <c r="C157" s="65">
        <v>1</v>
      </c>
    </row>
    <row r="158" spans="1:3" ht="15.5">
      <c r="A158" s="52" t="s">
        <v>405</v>
      </c>
      <c r="B158" s="52" t="s">
        <v>406</v>
      </c>
      <c r="C158" s="65">
        <v>1</v>
      </c>
    </row>
    <row r="159" spans="1:3" ht="15.5">
      <c r="A159" s="52" t="s">
        <v>407</v>
      </c>
      <c r="B159" s="52" t="s">
        <v>408</v>
      </c>
      <c r="C159" s="65">
        <v>5</v>
      </c>
    </row>
    <row r="160" spans="1:3" ht="15.5">
      <c r="A160" s="52" t="s">
        <v>409</v>
      </c>
      <c r="B160" s="52" t="s">
        <v>410</v>
      </c>
      <c r="C160" s="65">
        <v>4</v>
      </c>
    </row>
    <row r="161" spans="1:3" ht="15.5">
      <c r="A161" s="52" t="s">
        <v>411</v>
      </c>
      <c r="B161" s="52" t="s">
        <v>412</v>
      </c>
      <c r="C161" s="65">
        <v>3</v>
      </c>
    </row>
    <row r="162" spans="1:3" ht="15.5">
      <c r="A162" s="52" t="s">
        <v>1189</v>
      </c>
      <c r="B162" s="52" t="s">
        <v>1188</v>
      </c>
      <c r="C162" s="65">
        <v>2</v>
      </c>
    </row>
    <row r="163" spans="1:3" ht="15.5">
      <c r="A163" s="52" t="s">
        <v>1187</v>
      </c>
      <c r="B163" s="52" t="s">
        <v>1186</v>
      </c>
      <c r="C163" s="65">
        <v>3</v>
      </c>
    </row>
    <row r="164" spans="1:3" ht="15.5">
      <c r="A164" s="52" t="s">
        <v>590</v>
      </c>
      <c r="B164" s="52" t="s">
        <v>591</v>
      </c>
      <c r="C164" s="65">
        <v>3</v>
      </c>
    </row>
    <row r="165" spans="1:3" ht="15.5">
      <c r="A165" s="52" t="s">
        <v>594</v>
      </c>
      <c r="B165" s="52" t="s">
        <v>595</v>
      </c>
      <c r="C165" s="65">
        <v>5</v>
      </c>
    </row>
    <row r="166" spans="1:3" ht="15.5">
      <c r="A166" s="52" t="s">
        <v>598</v>
      </c>
      <c r="B166" s="52" t="s">
        <v>599</v>
      </c>
      <c r="C166" s="65">
        <v>1</v>
      </c>
    </row>
    <row r="167" spans="1:3" ht="15.5">
      <c r="A167" s="52" t="s">
        <v>600</v>
      </c>
      <c r="B167" s="52" t="s">
        <v>601</v>
      </c>
      <c r="C167" s="65">
        <v>2</v>
      </c>
    </row>
    <row r="168" spans="1:3" ht="15.5">
      <c r="A168" s="52" t="s">
        <v>604</v>
      </c>
      <c r="B168" s="52" t="s">
        <v>605</v>
      </c>
      <c r="C168" s="65">
        <v>1</v>
      </c>
    </row>
    <row r="169" spans="1:3" ht="15.5">
      <c r="A169" s="52" t="s">
        <v>1185</v>
      </c>
      <c r="B169" s="52" t="s">
        <v>1184</v>
      </c>
      <c r="C169" s="65">
        <v>1</v>
      </c>
    </row>
    <row r="170" spans="1:3" ht="15.5">
      <c r="A170" s="52" t="s">
        <v>178</v>
      </c>
      <c r="B170" s="52" t="s">
        <v>179</v>
      </c>
      <c r="C170" s="65">
        <v>3</v>
      </c>
    </row>
    <row r="171" spans="1:3" ht="15.5">
      <c r="A171" s="52" t="s">
        <v>180</v>
      </c>
      <c r="B171" s="52" t="s">
        <v>181</v>
      </c>
      <c r="C171" s="65">
        <v>4</v>
      </c>
    </row>
    <row r="172" spans="1:3" ht="15.5">
      <c r="A172" s="52" t="s">
        <v>182</v>
      </c>
      <c r="B172" s="52" t="s">
        <v>183</v>
      </c>
      <c r="C172" s="65">
        <v>2</v>
      </c>
    </row>
    <row r="173" spans="1:3" ht="15.5">
      <c r="A173" s="52" t="s">
        <v>188</v>
      </c>
      <c r="B173" s="52" t="s">
        <v>189</v>
      </c>
      <c r="C173" s="65">
        <v>3</v>
      </c>
    </row>
    <row r="174" spans="1:3" ht="15.5">
      <c r="A174" s="52" t="s">
        <v>1183</v>
      </c>
      <c r="B174" s="52" t="s">
        <v>1182</v>
      </c>
      <c r="C174" s="65">
        <v>1</v>
      </c>
    </row>
    <row r="175" spans="1:3" ht="15.5">
      <c r="A175" s="52" t="s">
        <v>1181</v>
      </c>
      <c r="B175" s="52" t="s">
        <v>1180</v>
      </c>
      <c r="C175" s="65">
        <v>1</v>
      </c>
    </row>
    <row r="176" spans="1:3" ht="15.5">
      <c r="A176" s="52" t="s">
        <v>1179</v>
      </c>
      <c r="B176" s="52" t="s">
        <v>1178</v>
      </c>
      <c r="C176" s="65">
        <v>2</v>
      </c>
    </row>
    <row r="177" spans="1:3" ht="15.5">
      <c r="A177" s="52" t="s">
        <v>1177</v>
      </c>
      <c r="B177" s="52" t="s">
        <v>1176</v>
      </c>
      <c r="C177" s="65">
        <v>2</v>
      </c>
    </row>
    <row r="178" spans="1:3" ht="15.5">
      <c r="A178" s="52" t="s">
        <v>1175</v>
      </c>
      <c r="B178" s="52" t="s">
        <v>1174</v>
      </c>
      <c r="C178" s="65">
        <v>2</v>
      </c>
    </row>
    <row r="179" spans="1:3" ht="15.5">
      <c r="A179" s="52" t="s">
        <v>1173</v>
      </c>
      <c r="B179" s="52" t="s">
        <v>1172</v>
      </c>
      <c r="C179" s="65">
        <v>1</v>
      </c>
    </row>
    <row r="180" spans="1:3" ht="15.5">
      <c r="A180" s="52" t="s">
        <v>1171</v>
      </c>
      <c r="B180" s="52" t="s">
        <v>1170</v>
      </c>
      <c r="C180" s="65">
        <v>2</v>
      </c>
    </row>
    <row r="181" spans="1:3" ht="15.5">
      <c r="A181" s="52" t="s">
        <v>1169</v>
      </c>
      <c r="B181" s="52" t="s">
        <v>1168</v>
      </c>
      <c r="C181" s="65">
        <v>1</v>
      </c>
    </row>
    <row r="182" spans="1:3" ht="15.5">
      <c r="A182" s="52" t="s">
        <v>618</v>
      </c>
      <c r="B182" s="52" t="s">
        <v>619</v>
      </c>
      <c r="C182" s="65">
        <v>2</v>
      </c>
    </row>
    <row r="183" spans="1:3" ht="15.5">
      <c r="A183" s="52" t="s">
        <v>620</v>
      </c>
      <c r="B183" s="52" t="s">
        <v>621</v>
      </c>
      <c r="C183" s="65">
        <v>4</v>
      </c>
    </row>
    <row r="184" spans="1:3" ht="15.5">
      <c r="A184" s="52" t="s">
        <v>624</v>
      </c>
      <c r="B184" s="52" t="s">
        <v>625</v>
      </c>
      <c r="C184" s="65">
        <v>3</v>
      </c>
    </row>
    <row r="185" spans="1:3" ht="15.5">
      <c r="A185" s="52" t="s">
        <v>626</v>
      </c>
      <c r="B185" s="52" t="s">
        <v>627</v>
      </c>
      <c r="C185" s="65">
        <v>2</v>
      </c>
    </row>
    <row r="186" spans="1:3" ht="15.5">
      <c r="A186" s="52" t="s">
        <v>1167</v>
      </c>
      <c r="B186" s="52" t="s">
        <v>1166</v>
      </c>
      <c r="C186" s="65">
        <v>2</v>
      </c>
    </row>
    <row r="187" spans="1:3" ht="15.5">
      <c r="A187" s="52" t="s">
        <v>216</v>
      </c>
      <c r="B187" s="52" t="s">
        <v>217</v>
      </c>
      <c r="C187" s="65">
        <v>2</v>
      </c>
    </row>
    <row r="188" spans="1:3" ht="15.5">
      <c r="A188" s="52" t="s">
        <v>218</v>
      </c>
      <c r="B188" s="52" t="s">
        <v>219</v>
      </c>
      <c r="C188" s="65">
        <v>2</v>
      </c>
    </row>
    <row r="189" spans="1:3" ht="15.5">
      <c r="A189" s="52" t="s">
        <v>220</v>
      </c>
      <c r="B189" s="52" t="s">
        <v>221</v>
      </c>
      <c r="C189" s="65">
        <v>2</v>
      </c>
    </row>
    <row r="190" spans="1:3" ht="15.5">
      <c r="A190" s="52" t="s">
        <v>259</v>
      </c>
      <c r="B190" s="52" t="s">
        <v>260</v>
      </c>
      <c r="C190" s="65">
        <v>4</v>
      </c>
    </row>
    <row r="191" spans="1:3" ht="15.5">
      <c r="A191" s="52" t="s">
        <v>222</v>
      </c>
      <c r="B191" s="52" t="s">
        <v>223</v>
      </c>
      <c r="C191" s="65">
        <v>4</v>
      </c>
    </row>
    <row r="192" spans="1:3" ht="15.5">
      <c r="A192" s="52" t="s">
        <v>261</v>
      </c>
      <c r="B192" s="52" t="s">
        <v>262</v>
      </c>
      <c r="C192" s="65">
        <v>4</v>
      </c>
    </row>
    <row r="193" spans="1:3" ht="15.5">
      <c r="A193" s="52" t="s">
        <v>263</v>
      </c>
      <c r="B193" s="52" t="s">
        <v>264</v>
      </c>
      <c r="C193" s="65">
        <v>2</v>
      </c>
    </row>
    <row r="194" spans="1:3" ht="15.5">
      <c r="A194" s="52" t="s">
        <v>265</v>
      </c>
      <c r="B194" s="52" t="s">
        <v>266</v>
      </c>
      <c r="C194" s="65">
        <v>2</v>
      </c>
    </row>
    <row r="195" spans="1:3" ht="15.5">
      <c r="A195" s="52" t="s">
        <v>224</v>
      </c>
      <c r="B195" s="52" t="s">
        <v>225</v>
      </c>
      <c r="C195" s="65">
        <v>2</v>
      </c>
    </row>
    <row r="196" spans="1:3" ht="15.5">
      <c r="A196" s="52" t="s">
        <v>1165</v>
      </c>
      <c r="B196" s="52" t="s">
        <v>1164</v>
      </c>
      <c r="C196" s="65">
        <v>1</v>
      </c>
    </row>
    <row r="197" spans="1:3" ht="15.5">
      <c r="A197" s="52" t="s">
        <v>413</v>
      </c>
      <c r="B197" s="52" t="s">
        <v>414</v>
      </c>
      <c r="C197" s="65">
        <v>1</v>
      </c>
    </row>
    <row r="198" spans="1:3" ht="15.5">
      <c r="A198" s="52" t="s">
        <v>415</v>
      </c>
      <c r="B198" s="52" t="s">
        <v>416</v>
      </c>
      <c r="C198" s="65">
        <v>1</v>
      </c>
    </row>
    <row r="199" spans="1:3" ht="15.5">
      <c r="A199" s="52" t="s">
        <v>417</v>
      </c>
      <c r="B199" s="52" t="s">
        <v>418</v>
      </c>
      <c r="C199" s="65">
        <v>2</v>
      </c>
    </row>
    <row r="200" spans="1:3" ht="15.5">
      <c r="A200" s="52" t="s">
        <v>419</v>
      </c>
      <c r="B200" s="52" t="s">
        <v>420</v>
      </c>
      <c r="C200" s="65">
        <v>2</v>
      </c>
    </row>
    <row r="201" spans="1:3" ht="15.5">
      <c r="A201" s="52" t="s">
        <v>1036</v>
      </c>
      <c r="B201" s="52" t="s">
        <v>1035</v>
      </c>
      <c r="C201" s="65">
        <v>2</v>
      </c>
    </row>
    <row r="202" spans="1:3" ht="15.5">
      <c r="A202" s="52" t="s">
        <v>1163</v>
      </c>
      <c r="B202" s="52" t="s">
        <v>1162</v>
      </c>
      <c r="C202" s="65">
        <v>1</v>
      </c>
    </row>
    <row r="203" spans="1:3" ht="15.5">
      <c r="A203" s="52" t="s">
        <v>1161</v>
      </c>
      <c r="B203" s="52" t="s">
        <v>1160</v>
      </c>
      <c r="C203" s="65">
        <v>1</v>
      </c>
    </row>
    <row r="204" spans="1:3" ht="15.5">
      <c r="A204" s="52" t="s">
        <v>421</v>
      </c>
      <c r="B204" s="52" t="s">
        <v>422</v>
      </c>
      <c r="C204" s="65">
        <v>1</v>
      </c>
    </row>
    <row r="205" spans="1:3" ht="15.5">
      <c r="A205" s="52" t="s">
        <v>423</v>
      </c>
      <c r="B205" s="52" t="s">
        <v>424</v>
      </c>
      <c r="C205" s="65">
        <v>3</v>
      </c>
    </row>
    <row r="206" spans="1:3" ht="15.5">
      <c r="A206" s="52" t="s">
        <v>425</v>
      </c>
      <c r="B206" s="52" t="s">
        <v>426</v>
      </c>
      <c r="C206" s="65">
        <v>6</v>
      </c>
    </row>
    <row r="207" spans="1:3" ht="15.5">
      <c r="A207" s="52" t="s">
        <v>427</v>
      </c>
      <c r="B207" s="52" t="s">
        <v>428</v>
      </c>
      <c r="C207" s="65">
        <v>6</v>
      </c>
    </row>
    <row r="208" spans="1:3" ht="15.5">
      <c r="A208" s="52" t="s">
        <v>429</v>
      </c>
      <c r="B208" s="52" t="s">
        <v>430</v>
      </c>
      <c r="C208" s="65">
        <v>4</v>
      </c>
    </row>
    <row r="209" spans="1:3" ht="15.5">
      <c r="A209" s="52" t="s">
        <v>431</v>
      </c>
      <c r="B209" s="52" t="s">
        <v>432</v>
      </c>
      <c r="C209" s="65">
        <v>2</v>
      </c>
    </row>
    <row r="210" spans="1:3" ht="15.5">
      <c r="A210" s="52" t="s">
        <v>1159</v>
      </c>
      <c r="B210" s="52" t="s">
        <v>1158</v>
      </c>
      <c r="C210" s="65">
        <v>2</v>
      </c>
    </row>
    <row r="211" spans="1:3" ht="15.5">
      <c r="A211" s="52" t="s">
        <v>1157</v>
      </c>
      <c r="B211" s="52" t="s">
        <v>1156</v>
      </c>
      <c r="C211" s="65">
        <v>2</v>
      </c>
    </row>
    <row r="212" spans="1:3" ht="15.5">
      <c r="A212" s="52" t="s">
        <v>284</v>
      </c>
      <c r="B212" s="52" t="s">
        <v>285</v>
      </c>
      <c r="C212" s="65">
        <v>1</v>
      </c>
    </row>
    <row r="213" spans="1:3" ht="15.5">
      <c r="A213" s="52" t="s">
        <v>16</v>
      </c>
      <c r="B213" s="52" t="s">
        <v>17</v>
      </c>
      <c r="C213" s="65">
        <v>1</v>
      </c>
    </row>
    <row r="214" spans="1:3" ht="15.5">
      <c r="A214" s="52" t="s">
        <v>21</v>
      </c>
      <c r="B214" s="52" t="s">
        <v>22</v>
      </c>
      <c r="C214" s="65">
        <v>4</v>
      </c>
    </row>
    <row r="215" spans="1:3" ht="15.5">
      <c r="A215" s="52" t="s">
        <v>23</v>
      </c>
      <c r="B215" s="52" t="s">
        <v>24</v>
      </c>
      <c r="C215" s="65">
        <v>1</v>
      </c>
    </row>
    <row r="216" spans="1:3" ht="15.5">
      <c r="A216" s="52" t="s">
        <v>27</v>
      </c>
      <c r="B216" s="52" t="s">
        <v>28</v>
      </c>
      <c r="C216" s="65">
        <v>2</v>
      </c>
    </row>
    <row r="217" spans="1:3" ht="15.5">
      <c r="A217" s="52" t="s">
        <v>29</v>
      </c>
      <c r="B217" s="52" t="s">
        <v>30</v>
      </c>
      <c r="C217" s="65">
        <v>1</v>
      </c>
    </row>
    <row r="218" spans="1:3" ht="15.5">
      <c r="A218" s="52" t="s">
        <v>1155</v>
      </c>
      <c r="B218" s="52" t="s">
        <v>285</v>
      </c>
      <c r="C218" s="65">
        <v>2</v>
      </c>
    </row>
    <row r="219" spans="1:3" ht="15.5">
      <c r="A219" s="52" t="s">
        <v>433</v>
      </c>
      <c r="B219" s="52" t="s">
        <v>17</v>
      </c>
      <c r="C219" s="65">
        <v>3</v>
      </c>
    </row>
    <row r="220" spans="1:3" ht="15.5">
      <c r="A220" s="52" t="s">
        <v>434</v>
      </c>
      <c r="B220" s="52" t="s">
        <v>20</v>
      </c>
      <c r="C220" s="65">
        <v>3</v>
      </c>
    </row>
    <row r="221" spans="1:3" ht="15.5">
      <c r="A221" s="52" t="s">
        <v>252</v>
      </c>
      <c r="B221" s="52" t="s">
        <v>24</v>
      </c>
      <c r="C221" s="65">
        <v>2</v>
      </c>
    </row>
    <row r="222" spans="1:3" ht="15.5">
      <c r="A222" s="52" t="s">
        <v>253</v>
      </c>
      <c r="B222" s="52" t="s">
        <v>26</v>
      </c>
      <c r="C222" s="65">
        <v>4</v>
      </c>
    </row>
    <row r="223" spans="1:3" ht="15.5">
      <c r="A223" s="52" t="s">
        <v>254</v>
      </c>
      <c r="B223" s="52" t="s">
        <v>28</v>
      </c>
      <c r="C223" s="65">
        <v>2</v>
      </c>
    </row>
    <row r="224" spans="1:3" ht="15.5">
      <c r="A224" s="52" t="s">
        <v>1154</v>
      </c>
      <c r="B224" s="52" t="s">
        <v>30</v>
      </c>
      <c r="C224" s="65">
        <v>1</v>
      </c>
    </row>
    <row r="225" spans="1:3" ht="15.5">
      <c r="A225" s="52" t="s">
        <v>463</v>
      </c>
      <c r="B225" s="52" t="s">
        <v>464</v>
      </c>
      <c r="C225" s="65">
        <v>3</v>
      </c>
    </row>
    <row r="226" spans="1:3" ht="15.5">
      <c r="A226" s="52" t="s">
        <v>465</v>
      </c>
      <c r="B226" s="52" t="s">
        <v>466</v>
      </c>
      <c r="C226" s="65">
        <v>1</v>
      </c>
    </row>
    <row r="227" spans="1:3" ht="15.5">
      <c r="A227" s="52" t="s">
        <v>1153</v>
      </c>
      <c r="B227" s="52" t="s">
        <v>1152</v>
      </c>
      <c r="C227" s="65">
        <v>2</v>
      </c>
    </row>
    <row r="228" spans="1:3" ht="15.5">
      <c r="A228" s="52" t="s">
        <v>1151</v>
      </c>
      <c r="B228" s="52" t="s">
        <v>1150</v>
      </c>
      <c r="C228" s="65">
        <v>1</v>
      </c>
    </row>
    <row r="229" spans="1:3" ht="15.5">
      <c r="A229" s="52" t="s">
        <v>1149</v>
      </c>
      <c r="B229" s="52" t="s">
        <v>1148</v>
      </c>
      <c r="C229" s="65">
        <v>1</v>
      </c>
    </row>
    <row r="230" spans="1:3" ht="15.5">
      <c r="A230" s="52" t="s">
        <v>1147</v>
      </c>
      <c r="B230" s="52" t="s">
        <v>1146</v>
      </c>
      <c r="C230" s="65">
        <v>1</v>
      </c>
    </row>
    <row r="231" spans="1:3" ht="15.5">
      <c r="A231" s="52" t="s">
        <v>435</v>
      </c>
      <c r="B231" s="52" t="s">
        <v>436</v>
      </c>
      <c r="C231" s="65">
        <v>5</v>
      </c>
    </row>
    <row r="232" spans="1:3" ht="15.5">
      <c r="A232" s="52" t="s">
        <v>437</v>
      </c>
      <c r="B232" s="52" t="s">
        <v>438</v>
      </c>
      <c r="C232" s="65">
        <v>2</v>
      </c>
    </row>
    <row r="233" spans="1:3" ht="15.5">
      <c r="A233" s="52" t="s">
        <v>439</v>
      </c>
      <c r="B233" s="52" t="s">
        <v>440</v>
      </c>
      <c r="C233" s="65">
        <v>2</v>
      </c>
    </row>
    <row r="234" spans="1:3" ht="15.5">
      <c r="A234" s="52" t="s">
        <v>441</v>
      </c>
      <c r="B234" s="52" t="s">
        <v>442</v>
      </c>
      <c r="C234" s="65">
        <v>3</v>
      </c>
    </row>
    <row r="235" spans="1:3" ht="15.5">
      <c r="A235" s="52" t="s">
        <v>443</v>
      </c>
      <c r="B235" s="52" t="s">
        <v>444</v>
      </c>
      <c r="C235" s="65">
        <v>2</v>
      </c>
    </row>
    <row r="236" spans="1:3" ht="15.5">
      <c r="A236" s="52" t="s">
        <v>1145</v>
      </c>
      <c r="B236" s="52" t="s">
        <v>1144</v>
      </c>
      <c r="C236" s="65">
        <v>1</v>
      </c>
    </row>
    <row r="237" spans="1:3" ht="15.5">
      <c r="A237" s="52" t="s">
        <v>447</v>
      </c>
      <c r="B237" s="52" t="s">
        <v>448</v>
      </c>
      <c r="C237" s="65">
        <v>4</v>
      </c>
    </row>
    <row r="238" spans="1:3" ht="15.5">
      <c r="A238" s="52" t="s">
        <v>449</v>
      </c>
      <c r="B238" s="52" t="s">
        <v>450</v>
      </c>
      <c r="C238" s="65">
        <v>3</v>
      </c>
    </row>
    <row r="239" spans="1:3" ht="15.5">
      <c r="A239" s="52" t="s">
        <v>451</v>
      </c>
      <c r="B239" s="52" t="s">
        <v>452</v>
      </c>
      <c r="C239" s="65">
        <v>2</v>
      </c>
    </row>
    <row r="240" spans="1:3" ht="15.5">
      <c r="A240" s="52" t="s">
        <v>453</v>
      </c>
      <c r="B240" s="52" t="s">
        <v>454</v>
      </c>
      <c r="C240" s="65">
        <v>4</v>
      </c>
    </row>
    <row r="241" spans="1:3" ht="15.5">
      <c r="A241" s="52" t="s">
        <v>455</v>
      </c>
      <c r="B241" s="52" t="s">
        <v>456</v>
      </c>
      <c r="C241" s="65">
        <v>1</v>
      </c>
    </row>
    <row r="242" spans="1:3" ht="15.5">
      <c r="A242" s="52" t="s">
        <v>457</v>
      </c>
      <c r="B242" s="52" t="s">
        <v>458</v>
      </c>
      <c r="C242" s="65">
        <v>3</v>
      </c>
    </row>
    <row r="243" spans="1:3" ht="15.5">
      <c r="A243" s="52" t="s">
        <v>1143</v>
      </c>
      <c r="B243" s="52" t="s">
        <v>1142</v>
      </c>
      <c r="C243" s="65">
        <v>2</v>
      </c>
    </row>
    <row r="244" spans="1:3" ht="15.5">
      <c r="A244" s="52" t="s">
        <v>1141</v>
      </c>
      <c r="B244" s="52" t="s">
        <v>1140</v>
      </c>
      <c r="C244" s="65">
        <v>2</v>
      </c>
    </row>
    <row r="245" spans="1:3" ht="15.5">
      <c r="A245" s="52" t="s">
        <v>1139</v>
      </c>
      <c r="B245" s="52" t="s">
        <v>1138</v>
      </c>
      <c r="C245" s="65">
        <v>1</v>
      </c>
    </row>
    <row r="246" spans="1:3" ht="15.5">
      <c r="A246" s="52" t="s">
        <v>1137</v>
      </c>
      <c r="B246" s="52" t="s">
        <v>1136</v>
      </c>
      <c r="C246" s="65">
        <v>0</v>
      </c>
    </row>
    <row r="247" spans="1:3" ht="15.5">
      <c r="A247" s="52" t="s">
        <v>1135</v>
      </c>
      <c r="B247" s="52" t="s">
        <v>479</v>
      </c>
      <c r="C247" s="65">
        <v>3</v>
      </c>
    </row>
    <row r="248" spans="1:3" ht="15.5">
      <c r="A248" s="52" t="s">
        <v>1134</v>
      </c>
      <c r="B248" s="52" t="s">
        <v>1133</v>
      </c>
      <c r="C248" s="65">
        <v>2</v>
      </c>
    </row>
    <row r="249" spans="1:3" ht="15.5">
      <c r="A249" s="52" t="s">
        <v>1132</v>
      </c>
      <c r="B249" s="52" t="s">
        <v>1131</v>
      </c>
      <c r="C249" s="65">
        <v>2</v>
      </c>
    </row>
    <row r="250" spans="1:3" ht="15.5">
      <c r="A250" s="52" t="s">
        <v>1130</v>
      </c>
      <c r="B250" s="52" t="s">
        <v>1129</v>
      </c>
      <c r="C250" s="65">
        <v>2</v>
      </c>
    </row>
    <row r="251" spans="1:3" ht="15.5">
      <c r="A251" s="52" t="s">
        <v>469</v>
      </c>
      <c r="B251" s="52" t="s">
        <v>470</v>
      </c>
      <c r="C251" s="65">
        <v>2</v>
      </c>
    </row>
    <row r="252" spans="1:3" ht="15.5">
      <c r="A252" s="52" t="s">
        <v>471</v>
      </c>
      <c r="B252" s="52" t="s">
        <v>472</v>
      </c>
      <c r="C252" s="65">
        <v>4</v>
      </c>
    </row>
    <row r="253" spans="1:3" ht="15.5">
      <c r="A253" s="52" t="s">
        <v>473</v>
      </c>
      <c r="B253" s="52" t="s">
        <v>474</v>
      </c>
      <c r="C253" s="65">
        <v>4</v>
      </c>
    </row>
    <row r="254" spans="1:3" ht="15.5">
      <c r="A254" s="52" t="s">
        <v>475</v>
      </c>
      <c r="B254" s="52" t="s">
        <v>476</v>
      </c>
      <c r="C254" s="65">
        <v>2</v>
      </c>
    </row>
    <row r="255" spans="1:3" ht="15.5">
      <c r="A255" s="52" t="s">
        <v>477</v>
      </c>
      <c r="B255" s="52" t="s">
        <v>478</v>
      </c>
      <c r="C255" s="65">
        <v>2</v>
      </c>
    </row>
    <row r="256" spans="1:3" ht="15.5">
      <c r="A256" s="52" t="s">
        <v>1128</v>
      </c>
      <c r="B256" s="52" t="s">
        <v>1127</v>
      </c>
      <c r="C256" s="65">
        <v>1</v>
      </c>
    </row>
    <row r="257" spans="1:3" ht="15.5">
      <c r="A257" s="52" t="s">
        <v>33</v>
      </c>
      <c r="B257" s="52" t="s">
        <v>34</v>
      </c>
      <c r="C257" s="65">
        <v>3</v>
      </c>
    </row>
    <row r="258" spans="1:3" ht="15.5">
      <c r="A258" s="52" t="s">
        <v>35</v>
      </c>
      <c r="B258" s="52" t="s">
        <v>36</v>
      </c>
      <c r="C258" s="65">
        <v>2</v>
      </c>
    </row>
    <row r="259" spans="1:3" ht="15.5">
      <c r="A259" s="52" t="s">
        <v>37</v>
      </c>
      <c r="B259" s="52" t="s">
        <v>38</v>
      </c>
      <c r="C259" s="65">
        <v>5</v>
      </c>
    </row>
    <row r="260" spans="1:3" ht="15.5">
      <c r="A260" s="52" t="s">
        <v>39</v>
      </c>
      <c r="B260" s="52" t="s">
        <v>40</v>
      </c>
      <c r="C260" s="65">
        <v>2</v>
      </c>
    </row>
    <row r="261" spans="1:3" ht="15.5">
      <c r="A261" s="52" t="s">
        <v>41</v>
      </c>
      <c r="B261" s="52" t="s">
        <v>42</v>
      </c>
      <c r="C261" s="65">
        <v>1</v>
      </c>
    </row>
    <row r="262" spans="1:3" ht="15.5">
      <c r="A262" s="52" t="s">
        <v>43</v>
      </c>
      <c r="B262" s="52" t="s">
        <v>44</v>
      </c>
      <c r="C262" s="65">
        <v>1</v>
      </c>
    </row>
    <row r="263" spans="1:3" ht="15.5">
      <c r="A263" s="52" t="s">
        <v>288</v>
      </c>
      <c r="B263" s="52" t="s">
        <v>289</v>
      </c>
      <c r="C263" s="65">
        <v>2</v>
      </c>
    </row>
    <row r="264" spans="1:3" ht="15.5">
      <c r="A264" s="52" t="s">
        <v>232</v>
      </c>
      <c r="B264" s="52" t="s">
        <v>233</v>
      </c>
      <c r="C264" s="65">
        <v>2</v>
      </c>
    </row>
    <row r="265" spans="1:3" ht="15.5">
      <c r="A265" s="52" t="s">
        <v>234</v>
      </c>
      <c r="B265" s="52" t="s">
        <v>235</v>
      </c>
      <c r="C265" s="65">
        <v>2</v>
      </c>
    </row>
    <row r="266" spans="1:3" ht="15.5">
      <c r="A266" s="52" t="s">
        <v>236</v>
      </c>
      <c r="B266" s="52" t="s">
        <v>237</v>
      </c>
      <c r="C266" s="65">
        <v>3</v>
      </c>
    </row>
    <row r="267" spans="1:3" ht="15.5">
      <c r="A267" s="52" t="s">
        <v>238</v>
      </c>
      <c r="B267" s="52" t="s">
        <v>239</v>
      </c>
      <c r="C267" s="65">
        <v>1</v>
      </c>
    </row>
    <row r="268" spans="1:3" ht="15.5">
      <c r="A268" s="52" t="s">
        <v>240</v>
      </c>
      <c r="B268" s="52" t="s">
        <v>241</v>
      </c>
      <c r="C268" s="65">
        <v>3</v>
      </c>
    </row>
    <row r="269" spans="1:3" ht="15.5">
      <c r="A269" s="52" t="s">
        <v>242</v>
      </c>
      <c r="B269" s="52" t="s">
        <v>243</v>
      </c>
      <c r="C269" s="65">
        <v>1</v>
      </c>
    </row>
    <row r="270" spans="1:3" ht="15.5">
      <c r="A270" s="52" t="s">
        <v>1126</v>
      </c>
      <c r="B270" s="52" t="s">
        <v>1125</v>
      </c>
      <c r="C270" s="65">
        <v>1</v>
      </c>
    </row>
    <row r="271" spans="1:3" ht="15.5">
      <c r="A271" s="52" t="s">
        <v>1124</v>
      </c>
      <c r="B271" s="52" t="s">
        <v>1123</v>
      </c>
      <c r="C271" s="65">
        <v>1</v>
      </c>
    </row>
    <row r="272" spans="1:3" ht="15.5">
      <c r="A272" s="52" t="s">
        <v>674</v>
      </c>
      <c r="B272" s="52" t="s">
        <v>675</v>
      </c>
      <c r="C272" s="65">
        <v>2</v>
      </c>
    </row>
    <row r="273" spans="1:3" ht="15.5">
      <c r="A273" s="52" t="s">
        <v>294</v>
      </c>
      <c r="B273" s="52" t="s">
        <v>295</v>
      </c>
      <c r="C273" s="65">
        <v>3</v>
      </c>
    </row>
    <row r="274" spans="1:3" ht="15.5">
      <c r="A274" s="52" t="s">
        <v>296</v>
      </c>
      <c r="B274" s="52" t="s">
        <v>297</v>
      </c>
      <c r="C274" s="65">
        <v>3</v>
      </c>
    </row>
    <row r="275" spans="1:3" ht="15.5">
      <c r="A275" s="52" t="s">
        <v>298</v>
      </c>
      <c r="B275" s="52" t="s">
        <v>299</v>
      </c>
      <c r="C275" s="65">
        <v>2</v>
      </c>
    </row>
    <row r="276" spans="1:3" ht="15.5">
      <c r="A276" s="52" t="s">
        <v>300</v>
      </c>
      <c r="B276" s="52" t="s">
        <v>301</v>
      </c>
      <c r="C276" s="65">
        <v>2</v>
      </c>
    </row>
    <row r="277" spans="1:3" ht="15.5">
      <c r="A277" s="52" t="s">
        <v>302</v>
      </c>
      <c r="B277" s="52" t="s">
        <v>303</v>
      </c>
      <c r="C277" s="65">
        <v>1</v>
      </c>
    </row>
    <row r="278" spans="1:3" ht="15.5">
      <c r="A278" s="52" t="s">
        <v>1122</v>
      </c>
      <c r="B278" s="52" t="s">
        <v>1121</v>
      </c>
      <c r="C278" s="65">
        <v>1</v>
      </c>
    </row>
    <row r="279" spans="1:3" ht="15.5">
      <c r="A279" s="52" t="s">
        <v>1120</v>
      </c>
      <c r="B279" s="52" t="s">
        <v>1119</v>
      </c>
      <c r="C279" s="65">
        <v>1</v>
      </c>
    </row>
    <row r="280" spans="1:3" ht="15.5">
      <c r="A280" s="52" t="s">
        <v>480</v>
      </c>
      <c r="B280" s="52" t="s">
        <v>481</v>
      </c>
      <c r="C280" s="65">
        <v>2</v>
      </c>
    </row>
    <row r="281" spans="1:3" ht="15.5">
      <c r="A281" s="52" t="s">
        <v>304</v>
      </c>
      <c r="B281" s="52" t="s">
        <v>305</v>
      </c>
      <c r="C281" s="65">
        <v>2</v>
      </c>
    </row>
    <row r="282" spans="1:3" ht="15.5">
      <c r="A282" s="52" t="s">
        <v>306</v>
      </c>
      <c r="B282" s="52" t="s">
        <v>307</v>
      </c>
      <c r="C282" s="65">
        <v>3</v>
      </c>
    </row>
    <row r="283" spans="1:3" ht="15.5">
      <c r="A283" s="52" t="s">
        <v>308</v>
      </c>
      <c r="B283" s="52" t="s">
        <v>309</v>
      </c>
      <c r="C283" s="65">
        <v>4</v>
      </c>
    </row>
    <row r="284" spans="1:3" ht="15.5">
      <c r="A284" s="52" t="s">
        <v>310</v>
      </c>
      <c r="B284" s="52" t="s">
        <v>311</v>
      </c>
      <c r="C284" s="65">
        <v>3</v>
      </c>
    </row>
    <row r="285" spans="1:3" ht="15.5">
      <c r="A285" s="52" t="s">
        <v>1118</v>
      </c>
      <c r="B285" s="52" t="s">
        <v>1117</v>
      </c>
      <c r="C285" s="65">
        <v>2</v>
      </c>
    </row>
    <row r="286" spans="1:3" ht="15.5">
      <c r="A286" s="52" t="s">
        <v>1116</v>
      </c>
      <c r="B286" s="52" t="s">
        <v>1115</v>
      </c>
      <c r="C286" s="65">
        <v>2</v>
      </c>
    </row>
    <row r="287" spans="1:3" ht="15.5">
      <c r="A287" s="52" t="s">
        <v>1114</v>
      </c>
      <c r="B287" s="52" t="s">
        <v>1113</v>
      </c>
      <c r="C287" s="65">
        <v>1</v>
      </c>
    </row>
    <row r="288" spans="1:3" ht="15.5">
      <c r="A288" s="52" t="s">
        <v>312</v>
      </c>
      <c r="B288" s="52" t="s">
        <v>313</v>
      </c>
      <c r="C288" s="65">
        <v>2</v>
      </c>
    </row>
    <row r="289" spans="1:3" ht="15.5">
      <c r="A289" s="52" t="s">
        <v>314</v>
      </c>
      <c r="B289" s="52" t="s">
        <v>315</v>
      </c>
      <c r="C289" s="65">
        <v>4</v>
      </c>
    </row>
    <row r="290" spans="1:3" ht="15.5">
      <c r="A290" s="52" t="s">
        <v>316</v>
      </c>
      <c r="B290" s="52" t="s">
        <v>317</v>
      </c>
      <c r="C290" s="65">
        <v>3</v>
      </c>
    </row>
    <row r="291" spans="1:3" ht="15.5">
      <c r="A291" s="52" t="s">
        <v>318</v>
      </c>
      <c r="B291" s="52" t="s">
        <v>319</v>
      </c>
      <c r="C291" s="65">
        <v>2</v>
      </c>
    </row>
    <row r="292" spans="1:3" ht="15.5">
      <c r="A292" s="52" t="s">
        <v>320</v>
      </c>
      <c r="B292" s="52" t="s">
        <v>321</v>
      </c>
      <c r="C292" s="65">
        <v>3</v>
      </c>
    </row>
    <row r="293" spans="1:3" ht="15.5">
      <c r="A293" s="52" t="s">
        <v>322</v>
      </c>
      <c r="B293" s="52" t="s">
        <v>323</v>
      </c>
      <c r="C293" s="65">
        <v>3</v>
      </c>
    </row>
    <row r="294" spans="1:3" ht="15.5">
      <c r="A294" s="52" t="s">
        <v>324</v>
      </c>
      <c r="B294" s="52" t="s">
        <v>325</v>
      </c>
      <c r="C294" s="65">
        <v>2</v>
      </c>
    </row>
    <row r="295" spans="1:3" ht="15.5">
      <c r="A295" s="52" t="s">
        <v>326</v>
      </c>
      <c r="B295" s="52" t="s">
        <v>327</v>
      </c>
      <c r="C295" s="65">
        <v>2</v>
      </c>
    </row>
    <row r="296" spans="1:3" ht="15.5">
      <c r="A296" s="52" t="s">
        <v>1112</v>
      </c>
      <c r="B296" s="52" t="s">
        <v>1111</v>
      </c>
      <c r="C296" s="65">
        <v>1</v>
      </c>
    </row>
    <row r="297" spans="1:3" ht="15.5">
      <c r="A297" s="52" t="s">
        <v>1110</v>
      </c>
      <c r="B297" s="52" t="s">
        <v>1109</v>
      </c>
      <c r="C297" s="65">
        <v>1</v>
      </c>
    </row>
    <row r="298" spans="1:3" ht="15.5">
      <c r="A298" s="52" t="s">
        <v>1108</v>
      </c>
      <c r="B298" s="52" t="s">
        <v>1107</v>
      </c>
      <c r="C298" s="65">
        <v>3</v>
      </c>
    </row>
    <row r="299" spans="1:3" ht="15.5">
      <c r="A299" s="52" t="s">
        <v>1106</v>
      </c>
      <c r="B299" s="52" t="s">
        <v>1105</v>
      </c>
      <c r="C299" s="65">
        <v>2</v>
      </c>
    </row>
    <row r="300" spans="1:3" ht="15.5">
      <c r="A300" s="52" t="s">
        <v>1104</v>
      </c>
      <c r="B300" s="52" t="s">
        <v>1103</v>
      </c>
      <c r="C300" s="65">
        <v>2</v>
      </c>
    </row>
    <row r="301" spans="1:3" ht="15.5">
      <c r="A301" s="52" t="s">
        <v>1102</v>
      </c>
      <c r="B301" s="52" t="s">
        <v>1101</v>
      </c>
      <c r="C301" s="65">
        <v>3</v>
      </c>
    </row>
    <row r="302" spans="1:3" ht="15.5">
      <c r="A302" s="52" t="s">
        <v>1100</v>
      </c>
      <c r="B302" s="52" t="s">
        <v>1099</v>
      </c>
      <c r="C302" s="65">
        <v>3</v>
      </c>
    </row>
    <row r="303" spans="1:3" ht="15.5">
      <c r="A303" s="52" t="s">
        <v>1098</v>
      </c>
      <c r="B303" s="52" t="s">
        <v>1097</v>
      </c>
      <c r="C303" s="65">
        <v>1</v>
      </c>
    </row>
    <row r="304" spans="1:3" ht="15.5">
      <c r="A304" s="52" t="s">
        <v>502</v>
      </c>
      <c r="B304" s="52" t="s">
        <v>503</v>
      </c>
      <c r="C304" s="65">
        <v>1</v>
      </c>
    </row>
    <row r="305" spans="1:3" ht="15.5">
      <c r="A305" s="52" t="s">
        <v>506</v>
      </c>
      <c r="B305" s="52" t="s">
        <v>507</v>
      </c>
      <c r="C305" s="65">
        <v>1</v>
      </c>
    </row>
    <row r="306" spans="1:3" ht="15.5">
      <c r="A306" s="52" t="s">
        <v>1096</v>
      </c>
      <c r="B306" s="52" t="s">
        <v>1095</v>
      </c>
      <c r="C306" s="65">
        <v>1</v>
      </c>
    </row>
    <row r="307" spans="1:3" ht="15.5">
      <c r="A307" s="52" t="s">
        <v>1094</v>
      </c>
      <c r="B307" s="52" t="s">
        <v>1093</v>
      </c>
      <c r="C307" s="65">
        <v>1</v>
      </c>
    </row>
    <row r="308" spans="1:3" ht="15.5">
      <c r="A308" s="52" t="s">
        <v>122</v>
      </c>
      <c r="B308" s="52" t="s">
        <v>123</v>
      </c>
      <c r="C308" s="65">
        <v>1</v>
      </c>
    </row>
    <row r="309" spans="1:3" ht="15.5">
      <c r="A309" s="52" t="s">
        <v>124</v>
      </c>
      <c r="B309" s="52" t="s">
        <v>125</v>
      </c>
      <c r="C309" s="65">
        <v>1</v>
      </c>
    </row>
    <row r="310" spans="1:3" ht="15.5">
      <c r="A310" s="52" t="s">
        <v>522</v>
      </c>
      <c r="B310" s="52" t="s">
        <v>523</v>
      </c>
      <c r="C310" s="65">
        <v>1</v>
      </c>
    </row>
    <row r="311" spans="1:3" ht="15.5">
      <c r="A311" s="52" t="s">
        <v>524</v>
      </c>
      <c r="B311" s="52" t="s">
        <v>525</v>
      </c>
      <c r="C311" s="65">
        <v>1</v>
      </c>
    </row>
    <row r="312" spans="1:3" ht="15.5">
      <c r="A312" s="52" t="s">
        <v>526</v>
      </c>
      <c r="B312" s="52" t="s">
        <v>527</v>
      </c>
      <c r="C312" s="65">
        <v>1</v>
      </c>
    </row>
    <row r="313" spans="1:3" ht="15.5">
      <c r="A313" s="52" t="s">
        <v>528</v>
      </c>
      <c r="B313" s="52" t="s">
        <v>529</v>
      </c>
      <c r="C313" s="65">
        <v>1</v>
      </c>
    </row>
    <row r="314" spans="1:3" ht="15.5">
      <c r="A314" s="52" t="s">
        <v>530</v>
      </c>
      <c r="B314" s="52" t="s">
        <v>531</v>
      </c>
      <c r="C314" s="65">
        <v>1</v>
      </c>
    </row>
    <row r="315" spans="1:3" ht="15.5">
      <c r="A315" s="52" t="s">
        <v>562</v>
      </c>
      <c r="B315" s="52" t="s">
        <v>563</v>
      </c>
      <c r="C315" s="65">
        <v>1</v>
      </c>
    </row>
    <row r="316" spans="1:3" ht="15.5">
      <c r="A316" s="52" t="s">
        <v>566</v>
      </c>
      <c r="B316" s="52" t="s">
        <v>567</v>
      </c>
      <c r="C316" s="65">
        <v>2</v>
      </c>
    </row>
    <row r="317" spans="1:3" ht="15.5">
      <c r="A317" s="52" t="s">
        <v>568</v>
      </c>
      <c r="B317" s="52" t="s">
        <v>569</v>
      </c>
      <c r="C317" s="65">
        <v>1</v>
      </c>
    </row>
    <row r="318" spans="1:3" ht="15.5">
      <c r="A318" s="52" t="s">
        <v>572</v>
      </c>
      <c r="B318" s="52" t="s">
        <v>573</v>
      </c>
      <c r="C318" s="65">
        <v>1</v>
      </c>
    </row>
    <row r="319" spans="1:3" ht="15.5">
      <c r="A319" s="52" t="s">
        <v>574</v>
      </c>
      <c r="B319" s="52" t="s">
        <v>575</v>
      </c>
      <c r="C319" s="65">
        <v>2</v>
      </c>
    </row>
    <row r="320" spans="1:3" ht="15.5">
      <c r="A320" s="52" t="s">
        <v>576</v>
      </c>
      <c r="B320" s="52" t="s">
        <v>577</v>
      </c>
      <c r="C320" s="65">
        <v>1</v>
      </c>
    </row>
    <row r="321" spans="1:3" ht="15.5">
      <c r="A321" s="52" t="s">
        <v>586</v>
      </c>
      <c r="B321" s="52" t="s">
        <v>587</v>
      </c>
      <c r="C321" s="65">
        <v>1</v>
      </c>
    </row>
    <row r="322" spans="1:3" ht="15.5">
      <c r="A322" s="52" t="s">
        <v>1092</v>
      </c>
      <c r="B322" s="52" t="s">
        <v>1091</v>
      </c>
      <c r="C322" s="65">
        <v>1</v>
      </c>
    </row>
    <row r="323" spans="1:3" ht="15.5">
      <c r="A323" s="52" t="s">
        <v>606</v>
      </c>
      <c r="B323" s="52" t="s">
        <v>607</v>
      </c>
      <c r="C323" s="65">
        <v>1</v>
      </c>
    </row>
    <row r="324" spans="1:3" ht="15.5">
      <c r="A324" s="52" t="s">
        <v>292</v>
      </c>
      <c r="B324" s="52" t="s">
        <v>293</v>
      </c>
      <c r="C324" s="65">
        <v>1</v>
      </c>
    </row>
    <row r="325" spans="1:3" ht="15.5">
      <c r="A325" s="52" t="s">
        <v>608</v>
      </c>
      <c r="B325" s="52" t="s">
        <v>609</v>
      </c>
      <c r="C325" s="65">
        <v>1</v>
      </c>
    </row>
    <row r="326" spans="1:3" ht="15.5">
      <c r="A326" s="52" t="s">
        <v>610</v>
      </c>
      <c r="B326" s="52" t="s">
        <v>611</v>
      </c>
      <c r="C326" s="65">
        <v>1</v>
      </c>
    </row>
    <row r="327" spans="1:3" ht="15.5">
      <c r="A327" s="52" t="s">
        <v>612</v>
      </c>
      <c r="B327" s="52" t="s">
        <v>613</v>
      </c>
      <c r="C327" s="65">
        <v>1</v>
      </c>
    </row>
    <row r="328" spans="1:3" ht="15.5">
      <c r="A328" s="52" t="s">
        <v>622</v>
      </c>
      <c r="B328" s="52" t="s">
        <v>623</v>
      </c>
      <c r="C328" s="65">
        <v>1</v>
      </c>
    </row>
    <row r="329" spans="1:3" ht="15.5">
      <c r="A329" s="52" t="s">
        <v>1090</v>
      </c>
      <c r="B329" s="52" t="s">
        <v>1089</v>
      </c>
      <c r="C329" s="65">
        <v>1</v>
      </c>
    </row>
    <row r="330" spans="1:3" ht="15.5">
      <c r="A330" s="52" t="s">
        <v>1088</v>
      </c>
      <c r="B330" s="52" t="s">
        <v>629</v>
      </c>
      <c r="C330" s="65">
        <v>1</v>
      </c>
    </row>
    <row r="331" spans="1:3" ht="15.5">
      <c r="A331" s="52" t="s">
        <v>1087</v>
      </c>
      <c r="B331" s="52" t="s">
        <v>631</v>
      </c>
      <c r="C331" s="65">
        <v>2</v>
      </c>
    </row>
    <row r="332" spans="1:3" ht="15.5">
      <c r="A332" s="52" t="s">
        <v>1086</v>
      </c>
      <c r="B332" s="52" t="s">
        <v>633</v>
      </c>
      <c r="C332" s="65">
        <v>2</v>
      </c>
    </row>
    <row r="333" spans="1:3" ht="15.5">
      <c r="A333" s="52" t="s">
        <v>1085</v>
      </c>
      <c r="B333" s="52" t="s">
        <v>635</v>
      </c>
      <c r="C333" s="65">
        <v>1</v>
      </c>
    </row>
    <row r="334" spans="1:3" ht="15.5">
      <c r="A334" s="52" t="s">
        <v>1084</v>
      </c>
      <c r="B334" s="52" t="s">
        <v>637</v>
      </c>
      <c r="C334" s="65">
        <v>2</v>
      </c>
    </row>
    <row r="335" spans="1:3" ht="15.5">
      <c r="A335" s="52" t="s">
        <v>726</v>
      </c>
      <c r="B335" s="52" t="s">
        <v>643</v>
      </c>
      <c r="C335" s="65">
        <v>1</v>
      </c>
    </row>
    <row r="336" spans="1:3" ht="15.5">
      <c r="A336" s="52" t="s">
        <v>727</v>
      </c>
      <c r="B336" s="52" t="s">
        <v>645</v>
      </c>
      <c r="C336" s="65">
        <v>2</v>
      </c>
    </row>
    <row r="337" spans="1:3" ht="15.5">
      <c r="A337" s="52" t="s">
        <v>730</v>
      </c>
      <c r="B337" s="52" t="s">
        <v>647</v>
      </c>
      <c r="C337" s="65">
        <v>1</v>
      </c>
    </row>
    <row r="338" spans="1:3" ht="15.5">
      <c r="A338" s="52" t="s">
        <v>731</v>
      </c>
      <c r="B338" s="52" t="s">
        <v>649</v>
      </c>
      <c r="C338" s="65">
        <v>2</v>
      </c>
    </row>
    <row r="339" spans="1:3" ht="15.5">
      <c r="A339" s="52" t="s">
        <v>734</v>
      </c>
      <c r="B339" s="52" t="s">
        <v>651</v>
      </c>
      <c r="C339" s="65">
        <v>2</v>
      </c>
    </row>
    <row r="340" spans="1:3" ht="15.5">
      <c r="A340" s="52" t="s">
        <v>1083</v>
      </c>
      <c r="B340" s="52" t="s">
        <v>1082</v>
      </c>
      <c r="C340" s="65">
        <v>1</v>
      </c>
    </row>
    <row r="341" spans="1:3" ht="15.5">
      <c r="A341" s="52" t="s">
        <v>1081</v>
      </c>
      <c r="B341" s="52" t="s">
        <v>1080</v>
      </c>
      <c r="C341" s="65">
        <v>1</v>
      </c>
    </row>
    <row r="342" spans="1:3" ht="15.5">
      <c r="A342" s="52" t="s">
        <v>652</v>
      </c>
      <c r="B342" s="52" t="s">
        <v>653</v>
      </c>
      <c r="C342" s="65">
        <v>1</v>
      </c>
    </row>
    <row r="343" spans="1:3" ht="15.5">
      <c r="A343" s="52" t="s">
        <v>654</v>
      </c>
      <c r="B343" s="52" t="s">
        <v>655</v>
      </c>
      <c r="C343" s="65">
        <v>2</v>
      </c>
    </row>
    <row r="344" spans="1:3" ht="15.5">
      <c r="A344" s="52" t="s">
        <v>656</v>
      </c>
      <c r="B344" s="52" t="s">
        <v>657</v>
      </c>
      <c r="C344" s="65">
        <v>2</v>
      </c>
    </row>
    <row r="345" spans="1:3" ht="15.5">
      <c r="A345" s="52" t="s">
        <v>658</v>
      </c>
      <c r="B345" s="52" t="s">
        <v>659</v>
      </c>
      <c r="C345" s="65">
        <v>1</v>
      </c>
    </row>
    <row r="346" spans="1:3" ht="15.5">
      <c r="A346" s="52" t="s">
        <v>662</v>
      </c>
      <c r="B346" s="52" t="s">
        <v>663</v>
      </c>
      <c r="C346" s="65">
        <v>1</v>
      </c>
    </row>
    <row r="347" spans="1:3" ht="15.5">
      <c r="A347" s="52" t="s">
        <v>664</v>
      </c>
      <c r="B347" s="52" t="s">
        <v>665</v>
      </c>
      <c r="C347" s="65">
        <v>1</v>
      </c>
    </row>
    <row r="348" spans="1:3" ht="15.5">
      <c r="A348" s="52" t="s">
        <v>1079</v>
      </c>
      <c r="B348" s="52" t="s">
        <v>1078</v>
      </c>
      <c r="C348" s="65">
        <v>1</v>
      </c>
    </row>
    <row r="349" spans="1:3" ht="15.5">
      <c r="A349" s="52" t="s">
        <v>670</v>
      </c>
      <c r="B349" s="52" t="s">
        <v>671</v>
      </c>
      <c r="C349" s="65">
        <v>1</v>
      </c>
    </row>
    <row r="350" spans="1:3" ht="15.5">
      <c r="A350" s="52" t="s">
        <v>672</v>
      </c>
      <c r="B350" s="52" t="s">
        <v>673</v>
      </c>
      <c r="C350" s="65">
        <v>1</v>
      </c>
    </row>
    <row r="351" spans="1:3" ht="15.5">
      <c r="A351" s="52" t="s">
        <v>676</v>
      </c>
      <c r="B351" s="52" t="s">
        <v>677</v>
      </c>
      <c r="C351" s="65">
        <v>1</v>
      </c>
    </row>
    <row r="352" spans="1:3" ht="15.5">
      <c r="A352" s="52" t="s">
        <v>678</v>
      </c>
      <c r="B352" s="52" t="s">
        <v>679</v>
      </c>
      <c r="C352" s="65">
        <v>1</v>
      </c>
    </row>
    <row r="353" spans="1:3" ht="15.5">
      <c r="A353" s="52" t="s">
        <v>680</v>
      </c>
      <c r="B353" s="52" t="s">
        <v>681</v>
      </c>
      <c r="C353" s="65">
        <v>1</v>
      </c>
    </row>
    <row r="354" spans="1:3" ht="15.5">
      <c r="A354" s="52" t="s">
        <v>735</v>
      </c>
      <c r="B354" s="52" t="s">
        <v>736</v>
      </c>
      <c r="C354" s="65">
        <v>1</v>
      </c>
    </row>
    <row r="355" spans="1:3" ht="15.5">
      <c r="A355" s="52" t="s">
        <v>737</v>
      </c>
      <c r="B355" s="52" t="s">
        <v>738</v>
      </c>
      <c r="C355" s="65">
        <v>1</v>
      </c>
    </row>
    <row r="356" spans="1:3" ht="15.5">
      <c r="A356" s="52" t="s">
        <v>692</v>
      </c>
      <c r="B356" s="52" t="s">
        <v>693</v>
      </c>
      <c r="C356" s="65">
        <v>1</v>
      </c>
    </row>
    <row r="357" spans="1:3" ht="15.5">
      <c r="A357" s="52" t="s">
        <v>694</v>
      </c>
      <c r="B357" s="52" t="s">
        <v>695</v>
      </c>
      <c r="C357" s="65">
        <v>1</v>
      </c>
    </row>
    <row r="358" spans="1:3" ht="15.5">
      <c r="A358" s="52" t="s">
        <v>696</v>
      </c>
      <c r="B358" s="52" t="s">
        <v>697</v>
      </c>
      <c r="C358" s="65">
        <v>1</v>
      </c>
    </row>
    <row r="359" spans="1:3" ht="15.5">
      <c r="A359" s="52" t="s">
        <v>698</v>
      </c>
      <c r="B359" s="52" t="s">
        <v>699</v>
      </c>
      <c r="C359" s="65">
        <v>1</v>
      </c>
    </row>
    <row r="360" spans="1:3" ht="15.5">
      <c r="A360" s="52" t="s">
        <v>702</v>
      </c>
      <c r="B360" s="52" t="s">
        <v>703</v>
      </c>
      <c r="C360" s="65">
        <v>1</v>
      </c>
    </row>
    <row r="361" spans="1:3" ht="15.5">
      <c r="A361" s="52" t="s">
        <v>1077</v>
      </c>
      <c r="B361" s="52" t="s">
        <v>1076</v>
      </c>
      <c r="C361" s="65">
        <v>1</v>
      </c>
    </row>
    <row r="362" spans="1:3" ht="15.5">
      <c r="A362" s="52" t="s">
        <v>704</v>
      </c>
      <c r="B362" s="52" t="s">
        <v>705</v>
      </c>
      <c r="C362" s="65">
        <v>2</v>
      </c>
    </row>
    <row r="363" spans="1:3" ht="15.5">
      <c r="A363" s="52" t="s">
        <v>706</v>
      </c>
      <c r="B363" s="52" t="s">
        <v>707</v>
      </c>
      <c r="C363" s="65">
        <v>2</v>
      </c>
    </row>
    <row r="364" spans="1:3" ht="15.5">
      <c r="A364" s="52" t="s">
        <v>708</v>
      </c>
      <c r="B364" s="52" t="s">
        <v>709</v>
      </c>
      <c r="C364" s="65">
        <v>2</v>
      </c>
    </row>
    <row r="365" spans="1:3" ht="15.5">
      <c r="A365" s="52" t="s">
        <v>710</v>
      </c>
      <c r="B365" s="52" t="s">
        <v>711</v>
      </c>
      <c r="C365" s="65">
        <v>2</v>
      </c>
    </row>
    <row r="366" spans="1:3" ht="15.5">
      <c r="A366" s="52" t="s">
        <v>712</v>
      </c>
      <c r="B366" s="52" t="s">
        <v>713</v>
      </c>
      <c r="C366" s="65">
        <v>2</v>
      </c>
    </row>
    <row r="367" spans="1:3" ht="15.5">
      <c r="A367" s="52" t="s">
        <v>1075</v>
      </c>
      <c r="B367" s="52" t="s">
        <v>1074</v>
      </c>
      <c r="C367" s="65">
        <v>1</v>
      </c>
    </row>
    <row r="368" spans="1:3" ht="15.5">
      <c r="A368" s="52" t="s">
        <v>714</v>
      </c>
      <c r="B368" s="52" t="s">
        <v>715</v>
      </c>
      <c r="C368" s="65">
        <v>2</v>
      </c>
    </row>
    <row r="369" spans="1:3" ht="15.5">
      <c r="A369" s="52" t="s">
        <v>716</v>
      </c>
      <c r="B369" s="52" t="s">
        <v>717</v>
      </c>
      <c r="C369" s="65">
        <v>3</v>
      </c>
    </row>
    <row r="370" spans="1:3" ht="15.5">
      <c r="A370" s="52" t="s">
        <v>718</v>
      </c>
      <c r="B370" s="52" t="s">
        <v>719</v>
      </c>
      <c r="C370" s="65">
        <v>4</v>
      </c>
    </row>
    <row r="371" spans="1:3" ht="15.5">
      <c r="A371" s="52" t="s">
        <v>720</v>
      </c>
      <c r="B371" s="52" t="s">
        <v>721</v>
      </c>
      <c r="C371" s="65">
        <v>3</v>
      </c>
    </row>
    <row r="372" spans="1:3" ht="15.5">
      <c r="A372" s="52" t="s">
        <v>722</v>
      </c>
      <c r="B372" s="52" t="s">
        <v>723</v>
      </c>
      <c r="C372" s="65">
        <v>2</v>
      </c>
    </row>
    <row r="373" spans="1:3" ht="15.5">
      <c r="A373" s="52" t="s">
        <v>728</v>
      </c>
      <c r="B373" s="52" t="s">
        <v>729</v>
      </c>
      <c r="C373" s="65">
        <v>1</v>
      </c>
    </row>
    <row r="374" spans="1:3" ht="15.5">
      <c r="A374" s="52" t="s">
        <v>1073</v>
      </c>
      <c r="B374" s="52" t="s">
        <v>1072</v>
      </c>
      <c r="C374" s="65">
        <v>1</v>
      </c>
    </row>
    <row r="375" spans="1:3" ht="15.5">
      <c r="A375" s="52" t="s">
        <v>732</v>
      </c>
      <c r="B375" s="52" t="s">
        <v>733</v>
      </c>
      <c r="C375" s="65">
        <v>2</v>
      </c>
    </row>
    <row r="376" spans="1:3" ht="15.5">
      <c r="A376" s="52" t="s">
        <v>103</v>
      </c>
      <c r="B376" s="52" t="s">
        <v>104</v>
      </c>
      <c r="C376" s="65">
        <v>3</v>
      </c>
    </row>
    <row r="377" spans="1:3" ht="15.5">
      <c r="A377" s="52" t="s">
        <v>105</v>
      </c>
      <c r="B377" s="52" t="s">
        <v>106</v>
      </c>
      <c r="C377" s="65">
        <v>2</v>
      </c>
    </row>
    <row r="378" spans="1:3" ht="15.5">
      <c r="A378" s="52" t="s">
        <v>107</v>
      </c>
      <c r="B378" s="52" t="s">
        <v>108</v>
      </c>
      <c r="C378" s="65">
        <v>1</v>
      </c>
    </row>
    <row r="379" spans="1:3" ht="15.5">
      <c r="A379" s="52" t="s">
        <v>111</v>
      </c>
      <c r="B379" s="52" t="s">
        <v>112</v>
      </c>
      <c r="C379" s="65">
        <v>1</v>
      </c>
    </row>
    <row r="380" spans="1:3" ht="15.5">
      <c r="A380" s="52" t="s">
        <v>113</v>
      </c>
      <c r="B380" s="52" t="s">
        <v>114</v>
      </c>
      <c r="C380" s="65">
        <v>1</v>
      </c>
    </row>
    <row r="381" spans="1:3" ht="15.5">
      <c r="A381" s="52" t="s">
        <v>749</v>
      </c>
      <c r="B381" s="52" t="s">
        <v>750</v>
      </c>
      <c r="C381" s="65">
        <v>1</v>
      </c>
    </row>
    <row r="382" spans="1:3" ht="15.5">
      <c r="A382" s="52" t="s">
        <v>1071</v>
      </c>
      <c r="B382" s="52" t="s">
        <v>1070</v>
      </c>
      <c r="C382" s="65">
        <v>2</v>
      </c>
    </row>
    <row r="383" spans="1:3" ht="15.5">
      <c r="A383" s="52" t="s">
        <v>244</v>
      </c>
      <c r="B383" s="52" t="s">
        <v>245</v>
      </c>
      <c r="C383" s="65">
        <v>2</v>
      </c>
    </row>
    <row r="384" spans="1:3" ht="15.5">
      <c r="A384" s="52" t="s">
        <v>246</v>
      </c>
      <c r="B384" s="52" t="s">
        <v>115</v>
      </c>
      <c r="C384" s="65">
        <v>2</v>
      </c>
    </row>
    <row r="385" spans="1:3" ht="15.5">
      <c r="A385" s="52" t="s">
        <v>247</v>
      </c>
      <c r="B385" s="52" t="s">
        <v>116</v>
      </c>
      <c r="C385" s="65">
        <v>3</v>
      </c>
    </row>
    <row r="386" spans="1:3" ht="15.5">
      <c r="A386" s="52" t="s">
        <v>248</v>
      </c>
      <c r="B386" s="52" t="s">
        <v>117</v>
      </c>
      <c r="C386" s="65">
        <v>1</v>
      </c>
    </row>
    <row r="387" spans="1:3" ht="15.5">
      <c r="A387" s="52" t="s">
        <v>1069</v>
      </c>
      <c r="B387" s="52" t="s">
        <v>1068</v>
      </c>
      <c r="C387" s="65">
        <v>1</v>
      </c>
    </row>
    <row r="388" spans="1:3" ht="15.5">
      <c r="A388" s="52" t="s">
        <v>1067</v>
      </c>
      <c r="B388" s="52" t="s">
        <v>1066</v>
      </c>
      <c r="C388" s="65">
        <v>1</v>
      </c>
    </row>
    <row r="389" spans="1:3" ht="15.5">
      <c r="A389" s="52" t="s">
        <v>739</v>
      </c>
      <c r="B389" s="52" t="s">
        <v>740</v>
      </c>
      <c r="C389" s="65">
        <v>1</v>
      </c>
    </row>
    <row r="390" spans="1:3" ht="15.5">
      <c r="A390" s="52" t="s">
        <v>741</v>
      </c>
      <c r="B390" s="52" t="s">
        <v>742</v>
      </c>
      <c r="C390" s="65">
        <v>1</v>
      </c>
    </row>
    <row r="391" spans="1:3" ht="15.5">
      <c r="A391" s="52" t="s">
        <v>745</v>
      </c>
      <c r="B391" s="52" t="s">
        <v>746</v>
      </c>
      <c r="C391" s="65">
        <v>1</v>
      </c>
    </row>
    <row r="392" spans="1:3" ht="15.5">
      <c r="A392" s="52" t="s">
        <v>747</v>
      </c>
      <c r="B392" s="52" t="s">
        <v>748</v>
      </c>
      <c r="C392" s="65">
        <v>1</v>
      </c>
    </row>
    <row r="393" spans="1:3" ht="15.5">
      <c r="A393" s="52" t="s">
        <v>140</v>
      </c>
      <c r="B393" s="52" t="s">
        <v>141</v>
      </c>
      <c r="C393" s="65">
        <v>2</v>
      </c>
    </row>
    <row r="394" spans="1:3" ht="15.5">
      <c r="A394" s="52" t="s">
        <v>142</v>
      </c>
      <c r="B394" s="52" t="s">
        <v>143</v>
      </c>
      <c r="C394" s="65">
        <v>1</v>
      </c>
    </row>
    <row r="395" spans="1:3" ht="15.5">
      <c r="A395" s="52" t="s">
        <v>144</v>
      </c>
      <c r="B395" s="52" t="s">
        <v>145</v>
      </c>
      <c r="C395" s="65">
        <v>2</v>
      </c>
    </row>
    <row r="396" spans="1:3" ht="15.5">
      <c r="A396" s="52" t="s">
        <v>146</v>
      </c>
      <c r="B396" s="52" t="s">
        <v>147</v>
      </c>
      <c r="C396" s="65">
        <v>2</v>
      </c>
    </row>
    <row r="397" spans="1:3" ht="15.5">
      <c r="A397" s="52" t="s">
        <v>148</v>
      </c>
      <c r="B397" s="52" t="s">
        <v>149</v>
      </c>
      <c r="C397" s="65">
        <v>1</v>
      </c>
    </row>
    <row r="398" spans="1:3" ht="15.5">
      <c r="A398" s="52" t="s">
        <v>751</v>
      </c>
      <c r="B398" s="52" t="s">
        <v>752</v>
      </c>
      <c r="C398" s="65">
        <v>1</v>
      </c>
    </row>
    <row r="399" spans="1:3" ht="15.5">
      <c r="A399" s="52" t="s">
        <v>753</v>
      </c>
      <c r="B399" s="52" t="s">
        <v>754</v>
      </c>
      <c r="C399" s="65">
        <v>1</v>
      </c>
    </row>
    <row r="400" spans="1:3" ht="15.5">
      <c r="A400" s="52" t="s">
        <v>1065</v>
      </c>
      <c r="B400" s="52" t="s">
        <v>1064</v>
      </c>
      <c r="C400" s="65">
        <v>1</v>
      </c>
    </row>
    <row r="401" spans="1:3" ht="15.5">
      <c r="A401" s="52" t="s">
        <v>150</v>
      </c>
      <c r="B401" s="52" t="s">
        <v>151</v>
      </c>
      <c r="C401" s="65">
        <v>2</v>
      </c>
    </row>
    <row r="402" spans="1:3" ht="15.5">
      <c r="A402" s="52" t="s">
        <v>152</v>
      </c>
      <c r="B402" s="52" t="s">
        <v>153</v>
      </c>
      <c r="C402" s="65">
        <v>2</v>
      </c>
    </row>
    <row r="403" spans="1:3" ht="15.5">
      <c r="A403" s="52" t="s">
        <v>154</v>
      </c>
      <c r="B403" s="52" t="s">
        <v>155</v>
      </c>
      <c r="C403" s="65">
        <v>2</v>
      </c>
    </row>
    <row r="404" spans="1:3" ht="15.5">
      <c r="A404" s="52" t="s">
        <v>156</v>
      </c>
      <c r="B404" s="52" t="s">
        <v>157</v>
      </c>
      <c r="C404" s="65">
        <v>2</v>
      </c>
    </row>
    <row r="405" spans="1:3" ht="15.5">
      <c r="A405" s="52" t="s">
        <v>158</v>
      </c>
      <c r="B405" s="52" t="s">
        <v>159</v>
      </c>
      <c r="C405" s="65">
        <v>2</v>
      </c>
    </row>
    <row r="406" spans="1:3" ht="15.5">
      <c r="A406" s="52" t="s">
        <v>160</v>
      </c>
      <c r="B406" s="52" t="s">
        <v>161</v>
      </c>
      <c r="C406" s="65">
        <v>1</v>
      </c>
    </row>
    <row r="407" spans="1:3" ht="15.5">
      <c r="A407" s="52" t="s">
        <v>761</v>
      </c>
      <c r="B407" s="52" t="s">
        <v>762</v>
      </c>
      <c r="C407" s="65">
        <v>2</v>
      </c>
    </row>
    <row r="408" spans="1:3" ht="15.5">
      <c r="A408" s="52" t="s">
        <v>807</v>
      </c>
      <c r="B408" s="52" t="s">
        <v>808</v>
      </c>
      <c r="C408" s="65">
        <v>1</v>
      </c>
    </row>
    <row r="409" spans="1:3" ht="15.5">
      <c r="A409" s="52" t="s">
        <v>757</v>
      </c>
      <c r="B409" s="52" t="s">
        <v>758</v>
      </c>
      <c r="C409" s="65">
        <v>1</v>
      </c>
    </row>
    <row r="410" spans="1:3" ht="15.5">
      <c r="A410" s="52" t="s">
        <v>759</v>
      </c>
      <c r="B410" s="52" t="s">
        <v>760</v>
      </c>
      <c r="C410" s="65">
        <v>2</v>
      </c>
    </row>
    <row r="411" spans="1:3" ht="15.5">
      <c r="A411" s="52" t="s">
        <v>763</v>
      </c>
      <c r="B411" s="52" t="s">
        <v>764</v>
      </c>
      <c r="C411" s="65">
        <v>1</v>
      </c>
    </row>
    <row r="412" spans="1:3" ht="15.5">
      <c r="A412" s="52" t="s">
        <v>765</v>
      </c>
      <c r="B412" s="52" t="s">
        <v>766</v>
      </c>
      <c r="C412" s="65">
        <v>1</v>
      </c>
    </row>
    <row r="413" spans="1:3" ht="15.5">
      <c r="A413" s="52" t="s">
        <v>769</v>
      </c>
      <c r="B413" s="52" t="s">
        <v>770</v>
      </c>
      <c r="C413" s="65">
        <v>2</v>
      </c>
    </row>
    <row r="414" spans="1:3" ht="15.5">
      <c r="A414" s="52" t="s">
        <v>771</v>
      </c>
      <c r="B414" s="52" t="s">
        <v>772</v>
      </c>
      <c r="C414" s="65">
        <v>1</v>
      </c>
    </row>
    <row r="415" spans="1:3" ht="15.5">
      <c r="A415" s="52" t="s">
        <v>775</v>
      </c>
      <c r="B415" s="52" t="s">
        <v>776</v>
      </c>
      <c r="C415" s="65">
        <v>4</v>
      </c>
    </row>
    <row r="416" spans="1:3" ht="15.5">
      <c r="A416" s="52" t="s">
        <v>779</v>
      </c>
      <c r="B416" s="52" t="s">
        <v>780</v>
      </c>
      <c r="C416" s="65">
        <v>4</v>
      </c>
    </row>
    <row r="417" spans="1:3" ht="15.5">
      <c r="A417" s="52" t="s">
        <v>781</v>
      </c>
      <c r="B417" s="52" t="s">
        <v>782</v>
      </c>
      <c r="C417" s="65">
        <v>4</v>
      </c>
    </row>
    <row r="418" spans="1:3" ht="15.5">
      <c r="A418" s="52" t="s">
        <v>1063</v>
      </c>
      <c r="B418" s="52" t="s">
        <v>1062</v>
      </c>
      <c r="C418" s="65">
        <v>1</v>
      </c>
    </row>
    <row r="419" spans="1:3" ht="15.5">
      <c r="A419" s="52" t="s">
        <v>1061</v>
      </c>
      <c r="B419" s="52" t="s">
        <v>1060</v>
      </c>
      <c r="C419" s="65">
        <v>1</v>
      </c>
    </row>
    <row r="420" spans="1:3" ht="15.5">
      <c r="A420" s="52" t="s">
        <v>787</v>
      </c>
      <c r="B420" s="52" t="s">
        <v>788</v>
      </c>
      <c r="C420" s="65">
        <v>2</v>
      </c>
    </row>
    <row r="421" spans="1:3" ht="15.5">
      <c r="A421" s="52" t="s">
        <v>773</v>
      </c>
      <c r="B421" s="52" t="s">
        <v>774</v>
      </c>
      <c r="C421" s="65">
        <v>2</v>
      </c>
    </row>
    <row r="422" spans="1:3" ht="15.5">
      <c r="A422" s="52" t="s">
        <v>777</v>
      </c>
      <c r="B422" s="52" t="s">
        <v>778</v>
      </c>
      <c r="C422" s="65">
        <v>1</v>
      </c>
    </row>
    <row r="423" spans="1:3" ht="15.5">
      <c r="A423" s="52" t="s">
        <v>783</v>
      </c>
      <c r="B423" s="52" t="s">
        <v>784</v>
      </c>
      <c r="C423" s="65">
        <v>1</v>
      </c>
    </row>
    <row r="424" spans="1:3" ht="15.5">
      <c r="A424" s="52" t="s">
        <v>789</v>
      </c>
      <c r="B424" s="52" t="s">
        <v>790</v>
      </c>
      <c r="C424" s="65">
        <v>1</v>
      </c>
    </row>
    <row r="425" spans="1:3" ht="15.5">
      <c r="A425" s="52" t="s">
        <v>795</v>
      </c>
      <c r="B425" s="52" t="s">
        <v>797</v>
      </c>
      <c r="C425" s="65">
        <v>1</v>
      </c>
    </row>
    <row r="426" spans="1:3" ht="15.5">
      <c r="A426" s="52" t="s">
        <v>1059</v>
      </c>
      <c r="B426" s="52" t="s">
        <v>1058</v>
      </c>
      <c r="C426" s="65">
        <v>1</v>
      </c>
    </row>
    <row r="427" spans="1:3" ht="15.5">
      <c r="A427" s="52" t="s">
        <v>1057</v>
      </c>
      <c r="B427" s="52" t="s">
        <v>1056</v>
      </c>
      <c r="C427" s="65">
        <v>1</v>
      </c>
    </row>
    <row r="428" spans="1:3" ht="15.5">
      <c r="A428" s="52" t="s">
        <v>793</v>
      </c>
      <c r="B428" s="52" t="s">
        <v>794</v>
      </c>
      <c r="C428" s="65">
        <v>1</v>
      </c>
    </row>
    <row r="429" spans="1:3" ht="15.5">
      <c r="A429" s="52" t="s">
        <v>796</v>
      </c>
      <c r="B429" s="52" t="s">
        <v>798</v>
      </c>
      <c r="C429" s="65">
        <v>2</v>
      </c>
    </row>
    <row r="430" spans="1:3" ht="15.5">
      <c r="A430" s="52" t="s">
        <v>799</v>
      </c>
      <c r="B430" s="52" t="s">
        <v>800</v>
      </c>
      <c r="C430" s="65">
        <v>2</v>
      </c>
    </row>
    <row r="431" spans="1:3" ht="15.5">
      <c r="A431" s="52" t="s">
        <v>801</v>
      </c>
      <c r="B431" s="52" t="s">
        <v>802</v>
      </c>
      <c r="C431" s="65">
        <v>1</v>
      </c>
    </row>
    <row r="432" spans="1:3" ht="15.5">
      <c r="A432" s="52" t="s">
        <v>803</v>
      </c>
      <c r="B432" s="52" t="s">
        <v>804</v>
      </c>
      <c r="C432" s="65">
        <v>2</v>
      </c>
    </row>
    <row r="433" spans="1:3" ht="15.5">
      <c r="A433" s="52" t="s">
        <v>336</v>
      </c>
      <c r="B433" s="52" t="s">
        <v>337</v>
      </c>
      <c r="C433" s="65">
        <v>5</v>
      </c>
    </row>
    <row r="434" spans="1:3" ht="15.5">
      <c r="A434" s="52" t="s">
        <v>338</v>
      </c>
      <c r="B434" s="52" t="s">
        <v>339</v>
      </c>
      <c r="C434" s="65">
        <v>6</v>
      </c>
    </row>
    <row r="435" spans="1:3" ht="15.5">
      <c r="A435" s="52" t="s">
        <v>340</v>
      </c>
      <c r="B435" s="52" t="s">
        <v>341</v>
      </c>
      <c r="C435" s="65">
        <v>5</v>
      </c>
    </row>
    <row r="436" spans="1:3" ht="15.5">
      <c r="A436" s="52" t="s">
        <v>881</v>
      </c>
      <c r="B436" s="52" t="s">
        <v>883</v>
      </c>
      <c r="C436" s="65">
        <v>3</v>
      </c>
    </row>
    <row r="437" spans="1:3" ht="15.5">
      <c r="A437" s="52" t="s">
        <v>901</v>
      </c>
      <c r="B437" s="52" t="s">
        <v>902</v>
      </c>
      <c r="C437" s="65">
        <v>6</v>
      </c>
    </row>
    <row r="438" spans="1:3" ht="15.5">
      <c r="A438" s="52" t="s">
        <v>897</v>
      </c>
      <c r="B438" s="52" t="s">
        <v>898</v>
      </c>
      <c r="C438" s="65">
        <v>5</v>
      </c>
    </row>
    <row r="439" spans="1:3" ht="15.5">
      <c r="A439" s="52" t="s">
        <v>895</v>
      </c>
      <c r="B439" s="52" t="s">
        <v>896</v>
      </c>
      <c r="C439" s="65">
        <v>2</v>
      </c>
    </row>
    <row r="440" spans="1:3" ht="15.5">
      <c r="A440" s="52" t="s">
        <v>905</v>
      </c>
      <c r="B440" s="52" t="s">
        <v>906</v>
      </c>
      <c r="C440" s="65">
        <v>4</v>
      </c>
    </row>
    <row r="441" spans="1:3" ht="15.5">
      <c r="A441" s="52" t="s">
        <v>332</v>
      </c>
      <c r="B441" s="52" t="s">
        <v>333</v>
      </c>
      <c r="C441" s="65">
        <v>7</v>
      </c>
    </row>
    <row r="442" spans="1:3" ht="15.5">
      <c r="A442" s="52" t="s">
        <v>334</v>
      </c>
      <c r="B442" s="52" t="s">
        <v>335</v>
      </c>
      <c r="C442" s="65">
        <v>3</v>
      </c>
    </row>
    <row r="443" spans="1:3" ht="15.5">
      <c r="A443" s="52" t="s">
        <v>885</v>
      </c>
      <c r="B443" s="52" t="s">
        <v>886</v>
      </c>
      <c r="C443" s="65">
        <v>3</v>
      </c>
    </row>
    <row r="444" spans="1:3" ht="15.5">
      <c r="A444" s="52" t="s">
        <v>891</v>
      </c>
      <c r="B444" s="52" t="s">
        <v>892</v>
      </c>
      <c r="C444" s="65">
        <v>6</v>
      </c>
    </row>
    <row r="445" spans="1:3" ht="15.5">
      <c r="A445" s="52" t="s">
        <v>328</v>
      </c>
      <c r="B445" s="52" t="s">
        <v>329</v>
      </c>
      <c r="C445" s="65">
        <v>6</v>
      </c>
    </row>
    <row r="446" spans="1:3" ht="15.5">
      <c r="A446" s="52" t="s">
        <v>330</v>
      </c>
      <c r="B446" s="52" t="s">
        <v>331</v>
      </c>
      <c r="C446" s="65">
        <v>6</v>
      </c>
    </row>
    <row r="447" spans="1:3" ht="15.5">
      <c r="A447" s="52" t="s">
        <v>907</v>
      </c>
      <c r="B447" s="52" t="s">
        <v>908</v>
      </c>
      <c r="C447" s="65">
        <v>3</v>
      </c>
    </row>
    <row r="448" spans="1:3" ht="15.5">
      <c r="A448" s="52" t="s">
        <v>913</v>
      </c>
      <c r="B448" s="52" t="s">
        <v>914</v>
      </c>
      <c r="C448" s="65">
        <v>4</v>
      </c>
    </row>
    <row r="449" spans="1:3" ht="15.5">
      <c r="A449" s="52" t="s">
        <v>929</v>
      </c>
      <c r="B449" s="52" t="s">
        <v>930</v>
      </c>
      <c r="C449" s="65">
        <v>3</v>
      </c>
    </row>
    <row r="450" spans="1:3" ht="15.5">
      <c r="A450" s="52" t="s">
        <v>925</v>
      </c>
      <c r="B450" s="52" t="s">
        <v>926</v>
      </c>
      <c r="C450" s="65">
        <v>2</v>
      </c>
    </row>
    <row r="451" spans="1:3" ht="15.5">
      <c r="A451" s="52" t="s">
        <v>917</v>
      </c>
      <c r="B451" s="52" t="s">
        <v>918</v>
      </c>
      <c r="C451" s="65">
        <v>2</v>
      </c>
    </row>
    <row r="452" spans="1:3" ht="15.5">
      <c r="A452" s="52" t="s">
        <v>932</v>
      </c>
      <c r="B452" s="52" t="s">
        <v>933</v>
      </c>
      <c r="C452" s="65">
        <v>3</v>
      </c>
    </row>
    <row r="453" spans="1:3" ht="15.5">
      <c r="A453" s="52" t="s">
        <v>943</v>
      </c>
      <c r="B453" s="52" t="s">
        <v>944</v>
      </c>
      <c r="C453" s="65">
        <v>4</v>
      </c>
    </row>
    <row r="454" spans="1:3" ht="15.5">
      <c r="A454" s="52" t="s">
        <v>939</v>
      </c>
      <c r="B454" s="52" t="s">
        <v>940</v>
      </c>
      <c r="C454" s="65">
        <v>3</v>
      </c>
    </row>
    <row r="455" spans="1:3" ht="15.5">
      <c r="A455" s="52" t="s">
        <v>935</v>
      </c>
      <c r="B455" s="52" t="s">
        <v>936</v>
      </c>
      <c r="C455" s="65">
        <v>1</v>
      </c>
    </row>
    <row r="456" spans="1:3" ht="15.5">
      <c r="A456" s="52" t="s">
        <v>947</v>
      </c>
      <c r="B456" s="52" t="s">
        <v>948</v>
      </c>
      <c r="C456" s="65">
        <v>4</v>
      </c>
    </row>
    <row r="457" spans="1:3" ht="15.5">
      <c r="A457" s="52" t="s">
        <v>805</v>
      </c>
      <c r="B457" s="52" t="s">
        <v>806</v>
      </c>
      <c r="C457" s="65">
        <v>2</v>
      </c>
    </row>
    <row r="458" spans="1:3" ht="15.5">
      <c r="A458" s="52" t="s">
        <v>811</v>
      </c>
      <c r="B458" s="52" t="s">
        <v>812</v>
      </c>
      <c r="C458" s="65">
        <v>2</v>
      </c>
    </row>
    <row r="459" spans="1:3" ht="15.5">
      <c r="A459" s="52" t="s">
        <v>813</v>
      </c>
      <c r="B459" s="52" t="s">
        <v>814</v>
      </c>
      <c r="C459" s="65">
        <v>1</v>
      </c>
    </row>
    <row r="460" spans="1:3" ht="15.5">
      <c r="A460" s="52" t="s">
        <v>815</v>
      </c>
      <c r="B460" s="52" t="s">
        <v>816</v>
      </c>
      <c r="C460" s="65">
        <v>2</v>
      </c>
    </row>
    <row r="461" spans="1:3" ht="15.5">
      <c r="A461" s="52" t="s">
        <v>817</v>
      </c>
      <c r="B461" s="52" t="s">
        <v>818</v>
      </c>
      <c r="C461" s="65">
        <v>1</v>
      </c>
    </row>
    <row r="462" spans="1:3" ht="15.5">
      <c r="A462" s="52" t="s">
        <v>819</v>
      </c>
      <c r="B462" s="52" t="s">
        <v>820</v>
      </c>
      <c r="C462" s="65">
        <v>1</v>
      </c>
    </row>
    <row r="463" spans="1:3" ht="15.5">
      <c r="A463" s="52" t="s">
        <v>1055</v>
      </c>
      <c r="B463" s="52" t="s">
        <v>1054</v>
      </c>
      <c r="C463" s="65">
        <v>1</v>
      </c>
    </row>
    <row r="464" spans="1:3">
      <c r="C464" s="66"/>
    </row>
    <row r="465" spans="1:3" ht="15.5">
      <c r="A465" s="51" t="s">
        <v>1053</v>
      </c>
      <c r="B465" s="50" t="s">
        <v>1052</v>
      </c>
      <c r="C465" s="66"/>
    </row>
    <row r="466" spans="1:3" ht="15.5">
      <c r="A466" s="51" t="s">
        <v>1051</v>
      </c>
      <c r="B466" s="50" t="s">
        <v>1050</v>
      </c>
      <c r="C466" s="66"/>
    </row>
  </sheetData>
  <mergeCells count="1">
    <mergeCell ref="A1:C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63DD42-7909-4BFE-BC05-3E7001F15F2D}">
  <dimension ref="A1:C223"/>
  <sheetViews>
    <sheetView showGridLines="0" workbookViewId="0">
      <selection activeCell="G16" sqref="G16"/>
    </sheetView>
  </sheetViews>
  <sheetFormatPr defaultColWidth="9.1796875" defaultRowHeight="14.5"/>
  <cols>
    <col min="1" max="1" width="24" style="42" bestFit="1" customWidth="1"/>
    <col min="2" max="2" width="46.54296875" style="42" bestFit="1" customWidth="1"/>
    <col min="3" max="3" width="10" style="41" customWidth="1"/>
    <col min="4" max="16384" width="9.1796875" style="40"/>
  </cols>
  <sheetData>
    <row r="1" spans="1:3" s="47" customFormat="1" ht="18.5">
      <c r="A1" s="53" t="s">
        <v>1049</v>
      </c>
      <c r="B1" s="48"/>
      <c r="C1" s="45"/>
    </row>
    <row r="2" spans="1:3" s="45" customFormat="1">
      <c r="A2" s="46" t="s">
        <v>0</v>
      </c>
      <c r="B2" s="46" t="s">
        <v>1</v>
      </c>
      <c r="C2" s="46" t="s">
        <v>4</v>
      </c>
    </row>
    <row r="3" spans="1:3" ht="15.5">
      <c r="A3" s="43" t="s">
        <v>57</v>
      </c>
      <c r="B3" s="43" t="s">
        <v>58</v>
      </c>
      <c r="C3" s="62">
        <v>11</v>
      </c>
    </row>
    <row r="4" spans="1:3" ht="15.5">
      <c r="A4" s="43" t="s">
        <v>59</v>
      </c>
      <c r="B4" s="43" t="s">
        <v>60</v>
      </c>
      <c r="C4" s="62">
        <v>22</v>
      </c>
    </row>
    <row r="5" spans="1:3" ht="15.5">
      <c r="A5" s="43" t="s">
        <v>851</v>
      </c>
      <c r="B5" s="43" t="s">
        <v>852</v>
      </c>
      <c r="C5" s="62">
        <v>4</v>
      </c>
    </row>
    <row r="6" spans="1:3" ht="15.5">
      <c r="A6" s="43" t="s">
        <v>853</v>
      </c>
      <c r="B6" s="43" t="s">
        <v>855</v>
      </c>
      <c r="C6" s="62">
        <v>11</v>
      </c>
    </row>
    <row r="7" spans="1:3" ht="15.5">
      <c r="A7" s="43" t="s">
        <v>977</v>
      </c>
      <c r="B7" s="43" t="s">
        <v>978</v>
      </c>
      <c r="C7" s="62">
        <v>5</v>
      </c>
    </row>
    <row r="8" spans="1:3" ht="15.5">
      <c r="A8" s="43" t="s">
        <v>63</v>
      </c>
      <c r="B8" s="43" t="s">
        <v>64</v>
      </c>
      <c r="C8" s="62">
        <v>11</v>
      </c>
    </row>
    <row r="9" spans="1:3" ht="15.5">
      <c r="A9" s="43" t="s">
        <v>65</v>
      </c>
      <c r="B9" s="43" t="s">
        <v>66</v>
      </c>
      <c r="C9" s="62">
        <v>23</v>
      </c>
    </row>
    <row r="10" spans="1:3" ht="15.5">
      <c r="A10" s="43" t="s">
        <v>67</v>
      </c>
      <c r="B10" s="43" t="s">
        <v>68</v>
      </c>
      <c r="C10" s="62">
        <v>0</v>
      </c>
    </row>
    <row r="11" spans="1:3" ht="15.5">
      <c r="A11" s="43" t="s">
        <v>863</v>
      </c>
      <c r="B11" s="43" t="s">
        <v>864</v>
      </c>
      <c r="C11" s="62">
        <v>3</v>
      </c>
    </row>
    <row r="12" spans="1:3" ht="15.5">
      <c r="A12" s="43" t="s">
        <v>867</v>
      </c>
      <c r="B12" s="43" t="s">
        <v>868</v>
      </c>
      <c r="C12" s="62">
        <v>5</v>
      </c>
    </row>
    <row r="13" spans="1:3" ht="15.5">
      <c r="A13" s="43" t="s">
        <v>871</v>
      </c>
      <c r="B13" s="43" t="s">
        <v>872</v>
      </c>
      <c r="C13" s="62">
        <v>4</v>
      </c>
    </row>
    <row r="14" spans="1:3" ht="15.5">
      <c r="A14" s="43" t="s">
        <v>873</v>
      </c>
      <c r="B14" s="43" t="s">
        <v>874</v>
      </c>
      <c r="C14" s="62">
        <v>10</v>
      </c>
    </row>
    <row r="15" spans="1:3" ht="15.5">
      <c r="A15" s="43" t="s">
        <v>979</v>
      </c>
      <c r="B15" s="43" t="s">
        <v>980</v>
      </c>
      <c r="C15" s="62">
        <v>5</v>
      </c>
    </row>
    <row r="16" spans="1:3" ht="15.5">
      <c r="A16" s="43" t="s">
        <v>71</v>
      </c>
      <c r="B16" s="43" t="s">
        <v>72</v>
      </c>
      <c r="C16" s="62">
        <v>13</v>
      </c>
    </row>
    <row r="17" spans="1:3" ht="15.5">
      <c r="A17" s="43" t="s">
        <v>75</v>
      </c>
      <c r="B17" s="43" t="s">
        <v>76</v>
      </c>
      <c r="C17" s="62">
        <v>13</v>
      </c>
    </row>
    <row r="18" spans="1:3" ht="15.5">
      <c r="A18" s="43" t="s">
        <v>79</v>
      </c>
      <c r="B18" s="43" t="s">
        <v>80</v>
      </c>
      <c r="C18" s="62">
        <v>13</v>
      </c>
    </row>
    <row r="19" spans="1:3" ht="15.5">
      <c r="A19" s="43" t="s">
        <v>87</v>
      </c>
      <c r="B19" s="43" t="s">
        <v>88</v>
      </c>
      <c r="C19" s="62">
        <v>3</v>
      </c>
    </row>
    <row r="20" spans="1:3" ht="15.5">
      <c r="A20" s="43" t="s">
        <v>90</v>
      </c>
      <c r="B20" s="43" t="s">
        <v>92</v>
      </c>
      <c r="C20" s="62">
        <v>2</v>
      </c>
    </row>
    <row r="21" spans="1:3" ht="15.5">
      <c r="A21" s="43" t="s">
        <v>97</v>
      </c>
      <c r="B21" s="43" t="s">
        <v>98</v>
      </c>
      <c r="C21" s="62">
        <v>7</v>
      </c>
    </row>
    <row r="22" spans="1:3" ht="15.5">
      <c r="A22" s="43" t="s">
        <v>99</v>
      </c>
      <c r="B22" s="43" t="s">
        <v>100</v>
      </c>
      <c r="C22" s="62">
        <v>8</v>
      </c>
    </row>
    <row r="23" spans="1:3" ht="15.5">
      <c r="A23" s="43" t="s">
        <v>101</v>
      </c>
      <c r="B23" s="43" t="s">
        <v>102</v>
      </c>
      <c r="C23" s="62">
        <v>8</v>
      </c>
    </row>
    <row r="24" spans="1:3" ht="15.5">
      <c r="A24" s="43" t="s">
        <v>130</v>
      </c>
      <c r="B24" s="43" t="s">
        <v>131</v>
      </c>
      <c r="C24" s="62">
        <v>6</v>
      </c>
    </row>
    <row r="25" spans="1:3" ht="15.5">
      <c r="A25" s="43" t="s">
        <v>132</v>
      </c>
      <c r="B25" s="43" t="s">
        <v>133</v>
      </c>
      <c r="C25" s="62">
        <v>13</v>
      </c>
    </row>
    <row r="26" spans="1:3" ht="15.5">
      <c r="A26" s="43" t="s">
        <v>168</v>
      </c>
      <c r="B26" s="43" t="s">
        <v>169</v>
      </c>
      <c r="C26" s="62">
        <v>13</v>
      </c>
    </row>
    <row r="27" spans="1:3" ht="15.5">
      <c r="A27" s="43" t="s">
        <v>282</v>
      </c>
      <c r="B27" s="43" t="s">
        <v>283</v>
      </c>
      <c r="C27" s="62">
        <v>3</v>
      </c>
    </row>
    <row r="28" spans="1:3" ht="15.5">
      <c r="A28" s="43" t="s">
        <v>255</v>
      </c>
      <c r="B28" s="43" t="s">
        <v>256</v>
      </c>
      <c r="C28" s="62">
        <v>2</v>
      </c>
    </row>
    <row r="29" spans="1:3" ht="15.5">
      <c r="A29" s="43" t="s">
        <v>257</v>
      </c>
      <c r="B29" s="43" t="s">
        <v>258</v>
      </c>
      <c r="C29" s="62">
        <v>1</v>
      </c>
    </row>
    <row r="30" spans="1:3" ht="15.5">
      <c r="A30" s="43" t="s">
        <v>170</v>
      </c>
      <c r="B30" s="43" t="s">
        <v>171</v>
      </c>
      <c r="C30" s="62">
        <v>3</v>
      </c>
    </row>
    <row r="31" spans="1:3" ht="15.5">
      <c r="A31" s="43" t="s">
        <v>172</v>
      </c>
      <c r="B31" s="43" t="s">
        <v>173</v>
      </c>
      <c r="C31" s="62">
        <v>2</v>
      </c>
    </row>
    <row r="32" spans="1:3" ht="15.5">
      <c r="A32" s="43" t="s">
        <v>174</v>
      </c>
      <c r="B32" s="43" t="s">
        <v>175</v>
      </c>
      <c r="C32" s="62">
        <v>3</v>
      </c>
    </row>
    <row r="33" spans="1:3" ht="15.5">
      <c r="A33" s="43" t="s">
        <v>983</v>
      </c>
      <c r="B33" s="43" t="s">
        <v>984</v>
      </c>
      <c r="C33" s="62">
        <v>3</v>
      </c>
    </row>
    <row r="34" spans="1:3" ht="15.5">
      <c r="A34" s="43" t="s">
        <v>985</v>
      </c>
      <c r="B34" s="43" t="s">
        <v>986</v>
      </c>
      <c r="C34" s="62">
        <v>3</v>
      </c>
    </row>
    <row r="35" spans="1:3" ht="15.5">
      <c r="A35" s="43" t="s">
        <v>987</v>
      </c>
      <c r="B35" s="43" t="s">
        <v>988</v>
      </c>
      <c r="C35" s="62">
        <v>3</v>
      </c>
    </row>
    <row r="36" spans="1:3" ht="15.5">
      <c r="A36" s="43" t="s">
        <v>989</v>
      </c>
      <c r="B36" s="43" t="s">
        <v>990</v>
      </c>
      <c r="C36" s="62">
        <v>2</v>
      </c>
    </row>
    <row r="37" spans="1:3" ht="15.5">
      <c r="A37" s="43" t="s">
        <v>991</v>
      </c>
      <c r="B37" s="43" t="s">
        <v>992</v>
      </c>
      <c r="C37" s="62">
        <v>2</v>
      </c>
    </row>
    <row r="38" spans="1:3" ht="15.5">
      <c r="A38" s="43" t="s">
        <v>993</v>
      </c>
      <c r="B38" s="43" t="s">
        <v>994</v>
      </c>
      <c r="C38" s="62">
        <v>1</v>
      </c>
    </row>
    <row r="39" spans="1:3" ht="15.5">
      <c r="A39" s="43" t="s">
        <v>997</v>
      </c>
      <c r="B39" s="43" t="s">
        <v>998</v>
      </c>
      <c r="C39" s="62">
        <v>1</v>
      </c>
    </row>
    <row r="40" spans="1:3" ht="15.5">
      <c r="A40" s="43" t="s">
        <v>85</v>
      </c>
      <c r="B40" s="43" t="s">
        <v>86</v>
      </c>
      <c r="C40" s="62">
        <v>2</v>
      </c>
    </row>
    <row r="41" spans="1:3" ht="15.5">
      <c r="A41" s="43" t="s">
        <v>95</v>
      </c>
      <c r="B41" s="43" t="s">
        <v>96</v>
      </c>
      <c r="C41" s="62">
        <v>1</v>
      </c>
    </row>
    <row r="42" spans="1:3" ht="15.5">
      <c r="A42" s="43" t="s">
        <v>210</v>
      </c>
      <c r="B42" s="43" t="s">
        <v>211</v>
      </c>
      <c r="C42" s="62">
        <v>2</v>
      </c>
    </row>
    <row r="43" spans="1:3" ht="15.5">
      <c r="A43" s="43" t="s">
        <v>212</v>
      </c>
      <c r="B43" s="43" t="s">
        <v>213</v>
      </c>
      <c r="C43" s="62">
        <v>2</v>
      </c>
    </row>
    <row r="44" spans="1:3" ht="15.5">
      <c r="A44" s="43" t="s">
        <v>214</v>
      </c>
      <c r="B44" s="43" t="s">
        <v>215</v>
      </c>
      <c r="C44" s="62">
        <v>1</v>
      </c>
    </row>
    <row r="45" spans="1:3" ht="15.5">
      <c r="A45" s="43" t="s">
        <v>190</v>
      </c>
      <c r="B45" s="43" t="s">
        <v>191</v>
      </c>
      <c r="C45" s="62">
        <v>1</v>
      </c>
    </row>
    <row r="46" spans="1:3" ht="15.5">
      <c r="A46" s="43" t="s">
        <v>192</v>
      </c>
      <c r="B46" s="43" t="s">
        <v>193</v>
      </c>
      <c r="C46" s="62">
        <v>2</v>
      </c>
    </row>
    <row r="47" spans="1:3" ht="15.5">
      <c r="A47" s="43" t="s">
        <v>194</v>
      </c>
      <c r="B47" s="43" t="s">
        <v>195</v>
      </c>
      <c r="C47" s="62">
        <v>1</v>
      </c>
    </row>
    <row r="48" spans="1:3" ht="15.5">
      <c r="A48" s="43" t="s">
        <v>196</v>
      </c>
      <c r="B48" s="43" t="s">
        <v>197</v>
      </c>
      <c r="C48" s="62">
        <v>1</v>
      </c>
    </row>
    <row r="49" spans="1:3" ht="15.5">
      <c r="A49" s="43" t="s">
        <v>198</v>
      </c>
      <c r="B49" s="43" t="s">
        <v>199</v>
      </c>
      <c r="C49" s="62">
        <v>1</v>
      </c>
    </row>
    <row r="50" spans="1:3" ht="15.5">
      <c r="A50" s="43" t="s">
        <v>1048</v>
      </c>
      <c r="B50" s="43" t="s">
        <v>1047</v>
      </c>
      <c r="C50" s="62">
        <v>2</v>
      </c>
    </row>
    <row r="51" spans="1:3" ht="15.5">
      <c r="A51" s="43" t="s">
        <v>1046</v>
      </c>
      <c r="B51" s="43" t="s">
        <v>1045</v>
      </c>
      <c r="C51" s="62">
        <v>2</v>
      </c>
    </row>
    <row r="52" spans="1:3" ht="15.5">
      <c r="A52" s="43" t="s">
        <v>1044</v>
      </c>
      <c r="B52" s="43" t="s">
        <v>1043</v>
      </c>
      <c r="C52" s="62">
        <v>4</v>
      </c>
    </row>
    <row r="53" spans="1:3" ht="15.5">
      <c r="A53" s="43" t="s">
        <v>1042</v>
      </c>
      <c r="B53" s="43" t="s">
        <v>1041</v>
      </c>
      <c r="C53" s="62">
        <v>4</v>
      </c>
    </row>
    <row r="54" spans="1:3" ht="15.5">
      <c r="A54" s="43" t="s">
        <v>1040</v>
      </c>
      <c r="B54" s="43" t="s">
        <v>1039</v>
      </c>
      <c r="C54" s="62">
        <v>2</v>
      </c>
    </row>
    <row r="55" spans="1:3" ht="15.5">
      <c r="A55" s="43" t="s">
        <v>1038</v>
      </c>
      <c r="B55" s="43" t="s">
        <v>1037</v>
      </c>
      <c r="C55" s="62">
        <v>2</v>
      </c>
    </row>
    <row r="56" spans="1:3" ht="15.5">
      <c r="A56" s="43" t="s">
        <v>405</v>
      </c>
      <c r="B56" s="43" t="s">
        <v>406</v>
      </c>
      <c r="C56" s="62">
        <v>1</v>
      </c>
    </row>
    <row r="57" spans="1:3" ht="15.5">
      <c r="A57" s="43" t="s">
        <v>407</v>
      </c>
      <c r="B57" s="43" t="s">
        <v>408</v>
      </c>
      <c r="C57" s="62">
        <v>1</v>
      </c>
    </row>
    <row r="58" spans="1:3" ht="15.5">
      <c r="A58" s="43" t="s">
        <v>409</v>
      </c>
      <c r="B58" s="43" t="s">
        <v>410</v>
      </c>
      <c r="C58" s="62">
        <v>2</v>
      </c>
    </row>
    <row r="59" spans="1:3" ht="15.5">
      <c r="A59" s="43" t="s">
        <v>411</v>
      </c>
      <c r="B59" s="43" t="s">
        <v>412</v>
      </c>
      <c r="C59" s="62">
        <v>1</v>
      </c>
    </row>
    <row r="60" spans="1:3" ht="15.5">
      <c r="A60" s="43" t="s">
        <v>178</v>
      </c>
      <c r="B60" s="43" t="s">
        <v>179</v>
      </c>
      <c r="C60" s="62">
        <v>1</v>
      </c>
    </row>
    <row r="61" spans="1:3" ht="15.5">
      <c r="A61" s="43" t="s">
        <v>180</v>
      </c>
      <c r="B61" s="43" t="s">
        <v>181</v>
      </c>
      <c r="C61" s="62">
        <v>1</v>
      </c>
    </row>
    <row r="62" spans="1:3" ht="15.5">
      <c r="A62" s="43" t="s">
        <v>218</v>
      </c>
      <c r="B62" s="43" t="s">
        <v>219</v>
      </c>
      <c r="C62" s="62">
        <v>2</v>
      </c>
    </row>
    <row r="63" spans="1:3" ht="15.5">
      <c r="A63" s="43" t="s">
        <v>220</v>
      </c>
      <c r="B63" s="43" t="s">
        <v>221</v>
      </c>
      <c r="C63" s="62">
        <v>1</v>
      </c>
    </row>
    <row r="64" spans="1:3" ht="15.5">
      <c r="A64" s="43" t="s">
        <v>259</v>
      </c>
      <c r="B64" s="43" t="s">
        <v>260</v>
      </c>
      <c r="C64" s="62">
        <v>0</v>
      </c>
    </row>
    <row r="65" spans="1:3" ht="15.5">
      <c r="A65" s="43" t="s">
        <v>222</v>
      </c>
      <c r="B65" s="43" t="s">
        <v>223</v>
      </c>
      <c r="C65" s="62">
        <v>1</v>
      </c>
    </row>
    <row r="66" spans="1:3" ht="15.5">
      <c r="A66" s="43" t="s">
        <v>261</v>
      </c>
      <c r="B66" s="43" t="s">
        <v>262</v>
      </c>
      <c r="C66" s="62">
        <v>2</v>
      </c>
    </row>
    <row r="67" spans="1:3" ht="15.5">
      <c r="A67" s="43" t="s">
        <v>263</v>
      </c>
      <c r="B67" s="43" t="s">
        <v>264</v>
      </c>
      <c r="C67" s="62">
        <v>1</v>
      </c>
    </row>
    <row r="68" spans="1:3" ht="15.5">
      <c r="A68" s="43" t="s">
        <v>413</v>
      </c>
      <c r="B68" s="43" t="s">
        <v>414</v>
      </c>
      <c r="C68" s="62">
        <v>3</v>
      </c>
    </row>
    <row r="69" spans="1:3" ht="15.5">
      <c r="A69" s="43" t="s">
        <v>415</v>
      </c>
      <c r="B69" s="43" t="s">
        <v>416</v>
      </c>
      <c r="C69" s="62">
        <v>1</v>
      </c>
    </row>
    <row r="70" spans="1:3" ht="15.5">
      <c r="A70" s="43" t="s">
        <v>417</v>
      </c>
      <c r="B70" s="43" t="s">
        <v>418</v>
      </c>
      <c r="C70" s="62">
        <v>3</v>
      </c>
    </row>
    <row r="71" spans="1:3" ht="15.5">
      <c r="A71" s="43" t="s">
        <v>419</v>
      </c>
      <c r="B71" s="43" t="s">
        <v>420</v>
      </c>
      <c r="C71" s="62">
        <v>0</v>
      </c>
    </row>
    <row r="72" spans="1:3" ht="15.5">
      <c r="A72" s="43" t="s">
        <v>1036</v>
      </c>
      <c r="B72" s="43" t="s">
        <v>1035</v>
      </c>
      <c r="C72" s="62">
        <v>3</v>
      </c>
    </row>
    <row r="73" spans="1:3" ht="15.5">
      <c r="A73" s="43" t="s">
        <v>433</v>
      </c>
      <c r="B73" s="43" t="s">
        <v>17</v>
      </c>
      <c r="C73" s="62">
        <v>1</v>
      </c>
    </row>
    <row r="74" spans="1:3" ht="15.5">
      <c r="A74" s="43" t="s">
        <v>434</v>
      </c>
      <c r="B74" s="43" t="s">
        <v>20</v>
      </c>
      <c r="C74" s="62">
        <v>6</v>
      </c>
    </row>
    <row r="75" spans="1:3" ht="15.5">
      <c r="A75" s="43" t="s">
        <v>251</v>
      </c>
      <c r="B75" s="43" t="s">
        <v>22</v>
      </c>
      <c r="C75" s="62">
        <v>7</v>
      </c>
    </row>
    <row r="76" spans="1:3" ht="15.5">
      <c r="A76" s="43" t="s">
        <v>252</v>
      </c>
      <c r="B76" s="43" t="s">
        <v>24</v>
      </c>
      <c r="C76" s="62">
        <v>7</v>
      </c>
    </row>
    <row r="77" spans="1:3" ht="15.5">
      <c r="A77" s="43" t="s">
        <v>253</v>
      </c>
      <c r="B77" s="43" t="s">
        <v>26</v>
      </c>
      <c r="C77" s="62">
        <v>3</v>
      </c>
    </row>
    <row r="78" spans="1:3" ht="15.5">
      <c r="A78" s="43" t="s">
        <v>254</v>
      </c>
      <c r="B78" s="43" t="s">
        <v>28</v>
      </c>
      <c r="C78" s="62">
        <v>4</v>
      </c>
    </row>
    <row r="79" spans="1:3" ht="15.5">
      <c r="A79" s="43" t="s">
        <v>439</v>
      </c>
      <c r="B79" s="43" t="s">
        <v>440</v>
      </c>
      <c r="C79" s="62">
        <v>1</v>
      </c>
    </row>
    <row r="80" spans="1:3" ht="15.5">
      <c r="A80" s="43" t="s">
        <v>441</v>
      </c>
      <c r="B80" s="43" t="s">
        <v>442</v>
      </c>
      <c r="C80" s="62">
        <v>1</v>
      </c>
    </row>
    <row r="81" spans="1:3" ht="15.5">
      <c r="A81" s="43" t="s">
        <v>443</v>
      </c>
      <c r="B81" s="43" t="s">
        <v>444</v>
      </c>
      <c r="C81" s="62">
        <v>2</v>
      </c>
    </row>
    <row r="82" spans="1:3" ht="15.5">
      <c r="A82" s="43" t="s">
        <v>449</v>
      </c>
      <c r="B82" s="43" t="s">
        <v>450</v>
      </c>
      <c r="C82" s="62">
        <v>2</v>
      </c>
    </row>
    <row r="83" spans="1:3" ht="15.5">
      <c r="A83" s="43" t="s">
        <v>451</v>
      </c>
      <c r="B83" s="43" t="s">
        <v>452</v>
      </c>
      <c r="C83" s="62">
        <v>2</v>
      </c>
    </row>
    <row r="84" spans="1:3" ht="15.5">
      <c r="A84" s="43" t="s">
        <v>453</v>
      </c>
      <c r="B84" s="43" t="s">
        <v>454</v>
      </c>
      <c r="C84" s="62">
        <v>4</v>
      </c>
    </row>
    <row r="85" spans="1:3" ht="15.5">
      <c r="A85" s="43" t="s">
        <v>455</v>
      </c>
      <c r="B85" s="43" t="s">
        <v>456</v>
      </c>
      <c r="C85" s="62">
        <v>2</v>
      </c>
    </row>
    <row r="86" spans="1:3" ht="15.5">
      <c r="A86" s="43" t="s">
        <v>457</v>
      </c>
      <c r="B86" s="43" t="s">
        <v>458</v>
      </c>
      <c r="C86" s="62">
        <v>1</v>
      </c>
    </row>
    <row r="87" spans="1:3" ht="15.5">
      <c r="A87" s="43" t="s">
        <v>469</v>
      </c>
      <c r="B87" s="43" t="s">
        <v>470</v>
      </c>
      <c r="C87" s="62">
        <v>3</v>
      </c>
    </row>
    <row r="88" spans="1:3" ht="15.5">
      <c r="A88" s="43" t="s">
        <v>471</v>
      </c>
      <c r="B88" s="43" t="s">
        <v>472</v>
      </c>
      <c r="C88" s="62">
        <v>3</v>
      </c>
    </row>
    <row r="89" spans="1:3" ht="15.5">
      <c r="A89" s="43" t="s">
        <v>473</v>
      </c>
      <c r="B89" s="43" t="s">
        <v>474</v>
      </c>
      <c r="C89" s="62">
        <v>2</v>
      </c>
    </row>
    <row r="90" spans="1:3" ht="15.5">
      <c r="A90" s="43" t="s">
        <v>475</v>
      </c>
      <c r="B90" s="43" t="s">
        <v>476</v>
      </c>
      <c r="C90" s="62">
        <v>2</v>
      </c>
    </row>
    <row r="91" spans="1:3" ht="15.5">
      <c r="A91" s="43" t="s">
        <v>477</v>
      </c>
      <c r="B91" s="43" t="s">
        <v>478</v>
      </c>
      <c r="C91" s="62">
        <v>1</v>
      </c>
    </row>
    <row r="92" spans="1:3" ht="15.5">
      <c r="A92" s="43" t="s">
        <v>37</v>
      </c>
      <c r="B92" s="43" t="s">
        <v>38</v>
      </c>
      <c r="C92" s="62">
        <v>5</v>
      </c>
    </row>
    <row r="93" spans="1:3" ht="15.5">
      <c r="A93" s="43" t="s">
        <v>232</v>
      </c>
      <c r="B93" s="43" t="s">
        <v>233</v>
      </c>
      <c r="C93" s="62">
        <v>3</v>
      </c>
    </row>
    <row r="94" spans="1:3" ht="15.5">
      <c r="A94" s="43" t="s">
        <v>234</v>
      </c>
      <c r="B94" s="43" t="s">
        <v>235</v>
      </c>
      <c r="C94" s="62">
        <v>3</v>
      </c>
    </row>
    <row r="95" spans="1:3" ht="15.5">
      <c r="A95" s="43" t="s">
        <v>236</v>
      </c>
      <c r="B95" s="43" t="s">
        <v>237</v>
      </c>
      <c r="C95" s="62">
        <v>6</v>
      </c>
    </row>
    <row r="96" spans="1:3" ht="15.5">
      <c r="A96" s="43" t="s">
        <v>238</v>
      </c>
      <c r="B96" s="43" t="s">
        <v>239</v>
      </c>
      <c r="C96" s="62">
        <v>2</v>
      </c>
    </row>
    <row r="97" spans="1:3" ht="15.5">
      <c r="A97" s="43" t="s">
        <v>240</v>
      </c>
      <c r="B97" s="43" t="s">
        <v>241</v>
      </c>
      <c r="C97" s="62">
        <v>2</v>
      </c>
    </row>
    <row r="98" spans="1:3" ht="15.5">
      <c r="A98" s="43" t="s">
        <v>242</v>
      </c>
      <c r="B98" s="43" t="s">
        <v>243</v>
      </c>
      <c r="C98" s="62">
        <v>1</v>
      </c>
    </row>
    <row r="99" spans="1:3" ht="15.5">
      <c r="A99" s="43" t="s">
        <v>290</v>
      </c>
      <c r="B99" s="43" t="s">
        <v>291</v>
      </c>
      <c r="C99" s="62">
        <v>1</v>
      </c>
    </row>
    <row r="100" spans="1:3" ht="15.5">
      <c r="A100" s="43" t="s">
        <v>294</v>
      </c>
      <c r="B100" s="43" t="s">
        <v>295</v>
      </c>
      <c r="C100" s="62">
        <v>1</v>
      </c>
    </row>
    <row r="101" spans="1:3" ht="15.5">
      <c r="A101" s="43" t="s">
        <v>296</v>
      </c>
      <c r="B101" s="43" t="s">
        <v>297</v>
      </c>
      <c r="C101" s="62">
        <v>1</v>
      </c>
    </row>
    <row r="102" spans="1:3" ht="15.5">
      <c r="A102" s="43" t="s">
        <v>298</v>
      </c>
      <c r="B102" s="43" t="s">
        <v>299</v>
      </c>
      <c r="C102" s="62">
        <v>2</v>
      </c>
    </row>
    <row r="103" spans="1:3" ht="15.5">
      <c r="A103" s="43" t="s">
        <v>300</v>
      </c>
      <c r="B103" s="43" t="s">
        <v>301</v>
      </c>
      <c r="C103" s="62">
        <v>2</v>
      </c>
    </row>
    <row r="104" spans="1:3" ht="15.5">
      <c r="A104" s="43" t="s">
        <v>302</v>
      </c>
      <c r="B104" s="43" t="s">
        <v>303</v>
      </c>
      <c r="C104" s="62">
        <v>1</v>
      </c>
    </row>
    <row r="105" spans="1:3" ht="15.5">
      <c r="A105" s="43" t="s">
        <v>480</v>
      </c>
      <c r="B105" s="43" t="s">
        <v>481</v>
      </c>
      <c r="C105" s="62">
        <v>1</v>
      </c>
    </row>
    <row r="106" spans="1:3" ht="15.5">
      <c r="A106" s="43" t="s">
        <v>304</v>
      </c>
      <c r="B106" s="43" t="s">
        <v>305</v>
      </c>
      <c r="C106" s="62">
        <v>1</v>
      </c>
    </row>
    <row r="107" spans="1:3" ht="15.5">
      <c r="A107" s="43" t="s">
        <v>306</v>
      </c>
      <c r="B107" s="43" t="s">
        <v>307</v>
      </c>
      <c r="C107" s="62">
        <v>1</v>
      </c>
    </row>
    <row r="108" spans="1:3" ht="15.5">
      <c r="A108" s="43" t="s">
        <v>308</v>
      </c>
      <c r="B108" s="43" t="s">
        <v>309</v>
      </c>
      <c r="C108" s="62">
        <v>1</v>
      </c>
    </row>
    <row r="109" spans="1:3" ht="15.5">
      <c r="A109" s="43" t="s">
        <v>310</v>
      </c>
      <c r="B109" s="43" t="s">
        <v>311</v>
      </c>
      <c r="C109" s="62">
        <v>1</v>
      </c>
    </row>
    <row r="110" spans="1:3" ht="15.5">
      <c r="A110" s="43" t="s">
        <v>312</v>
      </c>
      <c r="B110" s="43" t="s">
        <v>313</v>
      </c>
      <c r="C110" s="62">
        <v>1</v>
      </c>
    </row>
    <row r="111" spans="1:3" ht="15.5">
      <c r="A111" s="43" t="s">
        <v>314</v>
      </c>
      <c r="B111" s="43" t="s">
        <v>315</v>
      </c>
      <c r="C111" s="62">
        <v>1</v>
      </c>
    </row>
    <row r="112" spans="1:3" ht="15.5">
      <c r="A112" s="43" t="s">
        <v>316</v>
      </c>
      <c r="B112" s="43" t="s">
        <v>317</v>
      </c>
      <c r="C112" s="62">
        <v>1</v>
      </c>
    </row>
    <row r="113" spans="1:3" ht="15.5">
      <c r="A113" s="43" t="s">
        <v>318</v>
      </c>
      <c r="B113" s="43" t="s">
        <v>319</v>
      </c>
      <c r="C113" s="62">
        <v>1</v>
      </c>
    </row>
    <row r="114" spans="1:3" ht="15.5">
      <c r="A114" s="43" t="s">
        <v>1034</v>
      </c>
      <c r="B114" s="43" t="s">
        <v>1033</v>
      </c>
      <c r="C114" s="62">
        <v>2</v>
      </c>
    </row>
    <row r="115" spans="1:3" ht="15.5">
      <c r="A115" s="43" t="s">
        <v>1032</v>
      </c>
      <c r="B115" s="43" t="s">
        <v>1031</v>
      </c>
      <c r="C115" s="62">
        <v>1</v>
      </c>
    </row>
    <row r="116" spans="1:3" ht="15.5">
      <c r="A116" s="43" t="s">
        <v>320</v>
      </c>
      <c r="B116" s="43" t="s">
        <v>321</v>
      </c>
      <c r="C116" s="62">
        <v>1</v>
      </c>
    </row>
    <row r="117" spans="1:3" ht="15.5">
      <c r="A117" s="43" t="s">
        <v>322</v>
      </c>
      <c r="B117" s="43" t="s">
        <v>323</v>
      </c>
      <c r="C117" s="62">
        <v>1</v>
      </c>
    </row>
    <row r="118" spans="1:3" ht="15.5">
      <c r="A118" s="43" t="s">
        <v>324</v>
      </c>
      <c r="B118" s="43" t="s">
        <v>325</v>
      </c>
      <c r="C118" s="62">
        <v>1</v>
      </c>
    </row>
    <row r="119" spans="1:3" ht="15.5">
      <c r="A119" s="43" t="s">
        <v>326</v>
      </c>
      <c r="B119" s="43" t="s">
        <v>327</v>
      </c>
      <c r="C119" s="62">
        <v>3</v>
      </c>
    </row>
    <row r="120" spans="1:3" ht="15.5">
      <c r="A120" s="44" t="s">
        <v>122</v>
      </c>
      <c r="B120" s="44" t="s">
        <v>123</v>
      </c>
      <c r="C120" s="63">
        <v>0</v>
      </c>
    </row>
    <row r="121" spans="1:3" ht="15.5">
      <c r="A121" s="44" t="s">
        <v>124</v>
      </c>
      <c r="B121" s="44" t="s">
        <v>125</v>
      </c>
      <c r="C121" s="63">
        <v>0</v>
      </c>
    </row>
    <row r="122" spans="1:3" ht="15.5">
      <c r="A122" s="44" t="s">
        <v>128</v>
      </c>
      <c r="B122" s="44" t="s">
        <v>129</v>
      </c>
      <c r="C122" s="63">
        <v>0</v>
      </c>
    </row>
    <row r="123" spans="1:3" ht="15.5">
      <c r="A123" s="44" t="s">
        <v>524</v>
      </c>
      <c r="B123" s="44" t="s">
        <v>525</v>
      </c>
      <c r="C123" s="63">
        <v>0</v>
      </c>
    </row>
    <row r="124" spans="1:3" ht="15.5">
      <c r="A124" s="43" t="s">
        <v>560</v>
      </c>
      <c r="B124" s="43" t="s">
        <v>561</v>
      </c>
      <c r="C124" s="62">
        <v>1</v>
      </c>
    </row>
    <row r="125" spans="1:3" ht="15.5">
      <c r="A125" s="43" t="s">
        <v>576</v>
      </c>
      <c r="B125" s="43" t="s">
        <v>577</v>
      </c>
      <c r="C125" s="62">
        <v>3</v>
      </c>
    </row>
    <row r="126" spans="1:3" ht="15.5">
      <c r="A126" s="43" t="s">
        <v>578</v>
      </c>
      <c r="B126" s="43" t="s">
        <v>579</v>
      </c>
      <c r="C126" s="62">
        <v>2</v>
      </c>
    </row>
    <row r="127" spans="1:3" ht="15.5">
      <c r="A127" s="43" t="s">
        <v>580</v>
      </c>
      <c r="B127" s="43" t="s">
        <v>581</v>
      </c>
      <c r="C127" s="62">
        <v>1</v>
      </c>
    </row>
    <row r="128" spans="1:3" ht="15.5">
      <c r="A128" s="43" t="s">
        <v>584</v>
      </c>
      <c r="B128" s="43" t="s">
        <v>585</v>
      </c>
      <c r="C128" s="62">
        <v>1</v>
      </c>
    </row>
    <row r="129" spans="1:3" ht="15.5">
      <c r="A129" s="43" t="s">
        <v>592</v>
      </c>
      <c r="B129" s="43" t="s">
        <v>593</v>
      </c>
      <c r="C129" s="62">
        <v>1</v>
      </c>
    </row>
    <row r="130" spans="1:3" ht="15.5">
      <c r="A130" s="43" t="s">
        <v>602</v>
      </c>
      <c r="B130" s="43" t="s">
        <v>603</v>
      </c>
      <c r="C130" s="62">
        <v>1</v>
      </c>
    </row>
    <row r="131" spans="1:3" ht="15.5">
      <c r="A131" s="43" t="s">
        <v>292</v>
      </c>
      <c r="B131" s="43" t="s">
        <v>293</v>
      </c>
      <c r="C131" s="62">
        <v>1</v>
      </c>
    </row>
    <row r="132" spans="1:3" ht="15.5">
      <c r="A132" s="43" t="s">
        <v>608</v>
      </c>
      <c r="B132" s="43" t="s">
        <v>609</v>
      </c>
      <c r="C132" s="62">
        <v>1</v>
      </c>
    </row>
    <row r="133" spans="1:3" ht="15.5">
      <c r="A133" s="43" t="s">
        <v>610</v>
      </c>
      <c r="B133" s="43" t="s">
        <v>611</v>
      </c>
      <c r="C133" s="62">
        <v>1</v>
      </c>
    </row>
    <row r="134" spans="1:3" ht="15.5">
      <c r="A134" s="43" t="s">
        <v>612</v>
      </c>
      <c r="B134" s="43" t="s">
        <v>613</v>
      </c>
      <c r="C134" s="62">
        <v>1</v>
      </c>
    </row>
    <row r="135" spans="1:3" ht="15.5">
      <c r="A135" s="43" t="s">
        <v>616</v>
      </c>
      <c r="B135" s="43" t="s">
        <v>617</v>
      </c>
      <c r="C135" s="62">
        <v>2</v>
      </c>
    </row>
    <row r="136" spans="1:3" ht="15.5">
      <c r="A136" s="43" t="s">
        <v>630</v>
      </c>
      <c r="B136" s="43" t="s">
        <v>631</v>
      </c>
      <c r="C136" s="62">
        <v>1</v>
      </c>
    </row>
    <row r="137" spans="1:3" ht="15.5">
      <c r="A137" s="43" t="s">
        <v>632</v>
      </c>
      <c r="B137" s="43" t="s">
        <v>633</v>
      </c>
      <c r="C137" s="62">
        <v>1</v>
      </c>
    </row>
    <row r="138" spans="1:3" ht="15.5">
      <c r="A138" s="43" t="s">
        <v>634</v>
      </c>
      <c r="B138" s="43" t="s">
        <v>635</v>
      </c>
      <c r="C138" s="62">
        <v>1</v>
      </c>
    </row>
    <row r="139" spans="1:3" ht="15.5">
      <c r="A139" s="43" t="s">
        <v>636</v>
      </c>
      <c r="B139" s="43" t="s">
        <v>637</v>
      </c>
      <c r="C139" s="62">
        <v>1</v>
      </c>
    </row>
    <row r="140" spans="1:3" ht="15.5">
      <c r="A140" s="43" t="s">
        <v>638</v>
      </c>
      <c r="B140" s="43" t="s">
        <v>639</v>
      </c>
      <c r="C140" s="62">
        <v>1</v>
      </c>
    </row>
    <row r="141" spans="1:3" ht="15.5">
      <c r="A141" s="43" t="s">
        <v>726</v>
      </c>
      <c r="B141" s="43" t="s">
        <v>643</v>
      </c>
      <c r="C141" s="62">
        <v>1</v>
      </c>
    </row>
    <row r="142" spans="1:3" ht="15.5">
      <c r="A142" s="43" t="s">
        <v>727</v>
      </c>
      <c r="B142" s="43" t="s">
        <v>645</v>
      </c>
      <c r="C142" s="62">
        <v>2</v>
      </c>
    </row>
    <row r="143" spans="1:3" ht="15.5">
      <c r="A143" s="43" t="s">
        <v>730</v>
      </c>
      <c r="B143" s="43" t="s">
        <v>647</v>
      </c>
      <c r="C143" s="62">
        <v>1</v>
      </c>
    </row>
    <row r="144" spans="1:3" ht="15.5">
      <c r="A144" s="43" t="s">
        <v>731</v>
      </c>
      <c r="B144" s="43" t="s">
        <v>649</v>
      </c>
      <c r="C144" s="62">
        <v>2</v>
      </c>
    </row>
    <row r="145" spans="1:3" ht="15.5">
      <c r="A145" s="43" t="s">
        <v>734</v>
      </c>
      <c r="B145" s="43" t="s">
        <v>651</v>
      </c>
      <c r="C145" s="62">
        <v>2</v>
      </c>
    </row>
    <row r="146" spans="1:3" ht="15.5">
      <c r="A146" s="43" t="s">
        <v>654</v>
      </c>
      <c r="B146" s="43" t="s">
        <v>655</v>
      </c>
      <c r="C146" s="62">
        <v>3</v>
      </c>
    </row>
    <row r="147" spans="1:3" ht="15.5">
      <c r="A147" s="43" t="s">
        <v>658</v>
      </c>
      <c r="B147" s="43" t="s">
        <v>659</v>
      </c>
      <c r="C147" s="62">
        <v>1</v>
      </c>
    </row>
    <row r="148" spans="1:3" ht="15.5">
      <c r="A148" s="43" t="s">
        <v>662</v>
      </c>
      <c r="B148" s="43" t="s">
        <v>663</v>
      </c>
      <c r="C148" s="62">
        <v>1</v>
      </c>
    </row>
    <row r="149" spans="1:3" ht="15.5">
      <c r="A149" s="43" t="s">
        <v>664</v>
      </c>
      <c r="B149" s="43" t="s">
        <v>665</v>
      </c>
      <c r="C149" s="62">
        <v>1</v>
      </c>
    </row>
    <row r="150" spans="1:3" ht="15.5">
      <c r="A150" s="43" t="s">
        <v>668</v>
      </c>
      <c r="B150" s="43" t="s">
        <v>669</v>
      </c>
      <c r="C150" s="62">
        <v>2</v>
      </c>
    </row>
    <row r="151" spans="1:3" ht="15.5">
      <c r="A151" s="43" t="s">
        <v>670</v>
      </c>
      <c r="B151" s="43" t="s">
        <v>671</v>
      </c>
      <c r="C151" s="62">
        <v>3</v>
      </c>
    </row>
    <row r="152" spans="1:3" ht="15.5">
      <c r="A152" s="43" t="s">
        <v>672</v>
      </c>
      <c r="B152" s="43" t="s">
        <v>673</v>
      </c>
      <c r="C152" s="62">
        <v>2</v>
      </c>
    </row>
    <row r="153" spans="1:3" ht="15.5">
      <c r="A153" s="43" t="s">
        <v>676</v>
      </c>
      <c r="B153" s="43" t="s">
        <v>677</v>
      </c>
      <c r="C153" s="62">
        <v>3</v>
      </c>
    </row>
    <row r="154" spans="1:3" ht="15.5">
      <c r="A154" s="43" t="s">
        <v>678</v>
      </c>
      <c r="B154" s="43" t="s">
        <v>679</v>
      </c>
      <c r="C154" s="62">
        <v>2</v>
      </c>
    </row>
    <row r="155" spans="1:3" ht="15.5">
      <c r="A155" s="43" t="s">
        <v>680</v>
      </c>
      <c r="B155" s="43" t="s">
        <v>681</v>
      </c>
      <c r="C155" s="62">
        <v>1</v>
      </c>
    </row>
    <row r="156" spans="1:3" ht="15.5">
      <c r="A156" s="43" t="s">
        <v>694</v>
      </c>
      <c r="B156" s="43" t="s">
        <v>695</v>
      </c>
      <c r="C156" s="62">
        <v>1</v>
      </c>
    </row>
    <row r="157" spans="1:3" ht="15.5">
      <c r="A157" s="43" t="s">
        <v>696</v>
      </c>
      <c r="B157" s="43" t="s">
        <v>697</v>
      </c>
      <c r="C157" s="62">
        <v>1</v>
      </c>
    </row>
    <row r="158" spans="1:3" ht="15.5">
      <c r="A158" s="43" t="s">
        <v>698</v>
      </c>
      <c r="B158" s="43" t="s">
        <v>699</v>
      </c>
      <c r="C158" s="62">
        <v>1</v>
      </c>
    </row>
    <row r="159" spans="1:3" ht="15.5">
      <c r="A159" s="43" t="s">
        <v>700</v>
      </c>
      <c r="B159" s="43" t="s">
        <v>701</v>
      </c>
      <c r="C159" s="62">
        <v>1</v>
      </c>
    </row>
    <row r="160" spans="1:3" ht="15.5">
      <c r="A160" s="43" t="s">
        <v>1030</v>
      </c>
      <c r="B160" s="43" t="s">
        <v>1029</v>
      </c>
      <c r="C160" s="62">
        <v>1</v>
      </c>
    </row>
    <row r="161" spans="1:3" ht="15.5">
      <c r="A161" s="43" t="s">
        <v>716</v>
      </c>
      <c r="B161" s="43" t="s">
        <v>717</v>
      </c>
      <c r="C161" s="62">
        <v>1</v>
      </c>
    </row>
    <row r="162" spans="1:3" ht="15.5">
      <c r="A162" s="43" t="s">
        <v>718</v>
      </c>
      <c r="B162" s="43" t="s">
        <v>719</v>
      </c>
      <c r="C162" s="62">
        <v>1</v>
      </c>
    </row>
    <row r="163" spans="1:3" ht="15.5">
      <c r="A163" s="43" t="s">
        <v>720</v>
      </c>
      <c r="B163" s="43" t="s">
        <v>721</v>
      </c>
      <c r="C163" s="62">
        <v>1</v>
      </c>
    </row>
    <row r="164" spans="1:3" ht="15.5">
      <c r="A164" s="43" t="s">
        <v>722</v>
      </c>
      <c r="B164" s="43" t="s">
        <v>723</v>
      </c>
      <c r="C164" s="62">
        <v>1</v>
      </c>
    </row>
    <row r="165" spans="1:3" ht="15.5">
      <c r="A165" s="43" t="s">
        <v>724</v>
      </c>
      <c r="B165" s="43" t="s">
        <v>725</v>
      </c>
      <c r="C165" s="62">
        <v>1</v>
      </c>
    </row>
    <row r="166" spans="1:3" ht="15.5">
      <c r="A166" s="43" t="s">
        <v>732</v>
      </c>
      <c r="B166" s="43" t="s">
        <v>733</v>
      </c>
      <c r="C166" s="62">
        <v>3</v>
      </c>
    </row>
    <row r="167" spans="1:3" ht="15.5">
      <c r="A167" s="43" t="s">
        <v>103</v>
      </c>
      <c r="B167" s="43" t="s">
        <v>104</v>
      </c>
      <c r="C167" s="62">
        <v>3</v>
      </c>
    </row>
    <row r="168" spans="1:3" ht="15.5">
      <c r="A168" s="43" t="s">
        <v>105</v>
      </c>
      <c r="B168" s="43" t="s">
        <v>106</v>
      </c>
      <c r="C168" s="62">
        <v>2</v>
      </c>
    </row>
    <row r="169" spans="1:3" ht="15.5">
      <c r="A169" s="43" t="s">
        <v>107</v>
      </c>
      <c r="B169" s="43" t="s">
        <v>108</v>
      </c>
      <c r="C169" s="62">
        <v>1</v>
      </c>
    </row>
    <row r="170" spans="1:3" ht="15.5">
      <c r="A170" s="43" t="s">
        <v>109</v>
      </c>
      <c r="B170" s="43" t="s">
        <v>110</v>
      </c>
      <c r="C170" s="62">
        <v>1</v>
      </c>
    </row>
    <row r="171" spans="1:3" ht="15.5">
      <c r="A171" s="43" t="s">
        <v>111</v>
      </c>
      <c r="B171" s="43" t="s">
        <v>112</v>
      </c>
      <c r="C171" s="62">
        <v>2</v>
      </c>
    </row>
    <row r="172" spans="1:3" ht="15.5">
      <c r="A172" s="43" t="s">
        <v>246</v>
      </c>
      <c r="B172" s="43" t="s">
        <v>115</v>
      </c>
      <c r="C172" s="62">
        <v>1</v>
      </c>
    </row>
    <row r="173" spans="1:3" ht="15.5">
      <c r="A173" s="43" t="s">
        <v>247</v>
      </c>
      <c r="B173" s="43" t="s">
        <v>116</v>
      </c>
      <c r="C173" s="62">
        <v>1</v>
      </c>
    </row>
    <row r="174" spans="1:3" ht="15.5">
      <c r="A174" s="43" t="s">
        <v>248</v>
      </c>
      <c r="B174" s="43" t="s">
        <v>117</v>
      </c>
      <c r="C174" s="62">
        <v>2</v>
      </c>
    </row>
    <row r="175" spans="1:3" ht="15.5">
      <c r="A175" s="43" t="s">
        <v>249</v>
      </c>
      <c r="B175" s="43" t="s">
        <v>250</v>
      </c>
      <c r="C175" s="62">
        <v>0</v>
      </c>
    </row>
    <row r="176" spans="1:3" ht="15.5">
      <c r="A176" s="43" t="s">
        <v>140</v>
      </c>
      <c r="B176" s="43" t="s">
        <v>141</v>
      </c>
      <c r="C176" s="62">
        <v>1</v>
      </c>
    </row>
    <row r="177" spans="1:3" ht="15.5">
      <c r="A177" s="43" t="s">
        <v>142</v>
      </c>
      <c r="B177" s="43" t="s">
        <v>143</v>
      </c>
      <c r="C177" s="62">
        <v>1</v>
      </c>
    </row>
    <row r="178" spans="1:3" ht="15.5">
      <c r="A178" s="43" t="s">
        <v>144</v>
      </c>
      <c r="B178" s="43" t="s">
        <v>145</v>
      </c>
      <c r="C178" s="62">
        <v>2</v>
      </c>
    </row>
    <row r="179" spans="1:3" ht="15.5">
      <c r="A179" s="43" t="s">
        <v>146</v>
      </c>
      <c r="B179" s="43" t="s">
        <v>147</v>
      </c>
      <c r="C179" s="62">
        <v>1</v>
      </c>
    </row>
    <row r="180" spans="1:3" ht="15.5">
      <c r="A180" s="43" t="s">
        <v>154</v>
      </c>
      <c r="B180" s="43" t="s">
        <v>155</v>
      </c>
      <c r="C180" s="62">
        <v>1</v>
      </c>
    </row>
    <row r="181" spans="1:3" ht="15.5">
      <c r="A181" s="43" t="s">
        <v>156</v>
      </c>
      <c r="B181" s="43" t="s">
        <v>157</v>
      </c>
      <c r="C181" s="62">
        <v>1</v>
      </c>
    </row>
    <row r="182" spans="1:3" ht="15.5">
      <c r="A182" s="43" t="s">
        <v>158</v>
      </c>
      <c r="B182" s="43" t="s">
        <v>159</v>
      </c>
      <c r="C182" s="62">
        <v>1</v>
      </c>
    </row>
    <row r="183" spans="1:3" ht="15.5">
      <c r="A183" s="43" t="s">
        <v>755</v>
      </c>
      <c r="B183" s="43" t="s">
        <v>756</v>
      </c>
      <c r="C183" s="62">
        <v>2</v>
      </c>
    </row>
    <row r="184" spans="1:3" ht="15.5">
      <c r="A184" s="43" t="s">
        <v>757</v>
      </c>
      <c r="B184" s="43" t="s">
        <v>758</v>
      </c>
      <c r="C184" s="62">
        <v>2</v>
      </c>
    </row>
    <row r="185" spans="1:3" ht="15.5">
      <c r="A185" s="43" t="s">
        <v>759</v>
      </c>
      <c r="B185" s="43" t="s">
        <v>760</v>
      </c>
      <c r="C185" s="62">
        <v>2</v>
      </c>
    </row>
    <row r="186" spans="1:3" ht="15.5">
      <c r="A186" s="43" t="s">
        <v>763</v>
      </c>
      <c r="B186" s="43" t="s">
        <v>764</v>
      </c>
      <c r="C186" s="62">
        <v>1</v>
      </c>
    </row>
    <row r="187" spans="1:3" ht="15.5">
      <c r="A187" s="43" t="s">
        <v>773</v>
      </c>
      <c r="B187" s="43" t="s">
        <v>774</v>
      </c>
      <c r="C187" s="62">
        <v>0</v>
      </c>
    </row>
    <row r="188" spans="1:3" ht="15.5">
      <c r="A188" s="43" t="s">
        <v>777</v>
      </c>
      <c r="B188" s="43" t="s">
        <v>778</v>
      </c>
      <c r="C188" s="62">
        <v>2</v>
      </c>
    </row>
    <row r="189" spans="1:3" ht="15.5">
      <c r="A189" s="43" t="s">
        <v>783</v>
      </c>
      <c r="B189" s="43" t="s">
        <v>784</v>
      </c>
      <c r="C189" s="62">
        <v>2</v>
      </c>
    </row>
    <row r="190" spans="1:3" ht="15.5">
      <c r="A190" s="43" t="s">
        <v>789</v>
      </c>
      <c r="B190" s="43" t="s">
        <v>790</v>
      </c>
      <c r="C190" s="62">
        <v>1</v>
      </c>
    </row>
    <row r="191" spans="1:3" ht="15.5">
      <c r="A191" s="43" t="s">
        <v>793</v>
      </c>
      <c r="B191" s="43" t="s">
        <v>794</v>
      </c>
      <c r="C191" s="62">
        <v>1</v>
      </c>
    </row>
    <row r="192" spans="1:3" ht="15.5">
      <c r="A192" s="43" t="s">
        <v>796</v>
      </c>
      <c r="B192" s="43" t="s">
        <v>798</v>
      </c>
      <c r="C192" s="62">
        <v>1</v>
      </c>
    </row>
    <row r="193" spans="1:3" ht="15.5">
      <c r="A193" s="43" t="s">
        <v>799</v>
      </c>
      <c r="B193" s="43" t="s">
        <v>800</v>
      </c>
      <c r="C193" s="62">
        <v>1</v>
      </c>
    </row>
    <row r="194" spans="1:3" ht="15.5">
      <c r="A194" s="43" t="s">
        <v>801</v>
      </c>
      <c r="B194" s="43" t="s">
        <v>802</v>
      </c>
      <c r="C194" s="62">
        <v>1</v>
      </c>
    </row>
    <row r="195" spans="1:3" ht="15.5">
      <c r="A195" s="43" t="s">
        <v>336</v>
      </c>
      <c r="B195" s="43" t="s">
        <v>337</v>
      </c>
      <c r="C195" s="62">
        <v>2</v>
      </c>
    </row>
    <row r="196" spans="1:3" ht="15.5">
      <c r="A196" s="43" t="s">
        <v>338</v>
      </c>
      <c r="B196" s="43" t="s">
        <v>339</v>
      </c>
      <c r="C196" s="62">
        <v>5</v>
      </c>
    </row>
    <row r="197" spans="1:3" ht="15.5">
      <c r="A197" s="43" t="s">
        <v>340</v>
      </c>
      <c r="B197" s="43" t="s">
        <v>341</v>
      </c>
      <c r="C197" s="62">
        <v>3</v>
      </c>
    </row>
    <row r="198" spans="1:3" ht="15.5">
      <c r="A198" s="43" t="s">
        <v>881</v>
      </c>
      <c r="B198" s="43" t="s">
        <v>883</v>
      </c>
      <c r="C198" s="62">
        <v>1</v>
      </c>
    </row>
    <row r="199" spans="1:3" ht="15.5">
      <c r="A199" s="43" t="s">
        <v>901</v>
      </c>
      <c r="B199" s="43" t="s">
        <v>902</v>
      </c>
      <c r="C199" s="62">
        <v>11</v>
      </c>
    </row>
    <row r="200" spans="1:3" ht="15.5">
      <c r="A200" s="43" t="s">
        <v>897</v>
      </c>
      <c r="B200" s="43" t="s">
        <v>898</v>
      </c>
      <c r="C200" s="62">
        <v>10</v>
      </c>
    </row>
    <row r="201" spans="1:3" ht="15.5">
      <c r="A201" s="43" t="s">
        <v>895</v>
      </c>
      <c r="B201" s="43" t="s">
        <v>896</v>
      </c>
      <c r="C201" s="62">
        <v>3</v>
      </c>
    </row>
    <row r="202" spans="1:3" ht="15.5">
      <c r="A202" s="43" t="s">
        <v>905</v>
      </c>
      <c r="B202" s="43" t="s">
        <v>906</v>
      </c>
      <c r="C202" s="62">
        <v>4</v>
      </c>
    </row>
    <row r="203" spans="1:3" ht="15.5">
      <c r="A203" s="43" t="s">
        <v>332</v>
      </c>
      <c r="B203" s="43" t="s">
        <v>333</v>
      </c>
      <c r="C203" s="62">
        <v>6</v>
      </c>
    </row>
    <row r="204" spans="1:3" ht="15.5">
      <c r="A204" s="43" t="s">
        <v>334</v>
      </c>
      <c r="B204" s="43" t="s">
        <v>335</v>
      </c>
      <c r="C204" s="62">
        <v>1</v>
      </c>
    </row>
    <row r="205" spans="1:3" ht="15.5">
      <c r="A205" s="43" t="s">
        <v>891</v>
      </c>
      <c r="B205" s="43" t="s">
        <v>892</v>
      </c>
      <c r="C205" s="62">
        <v>6</v>
      </c>
    </row>
    <row r="206" spans="1:3" ht="15.5">
      <c r="A206" s="43" t="s">
        <v>328</v>
      </c>
      <c r="B206" s="43" t="s">
        <v>329</v>
      </c>
      <c r="C206" s="62">
        <v>12</v>
      </c>
    </row>
    <row r="207" spans="1:3" ht="15.5">
      <c r="A207" s="43" t="s">
        <v>330</v>
      </c>
      <c r="B207" s="43" t="s">
        <v>331</v>
      </c>
      <c r="C207" s="62">
        <v>10</v>
      </c>
    </row>
    <row r="208" spans="1:3" ht="15.5">
      <c r="A208" s="43" t="s">
        <v>907</v>
      </c>
      <c r="B208" s="43" t="s">
        <v>908</v>
      </c>
      <c r="C208" s="62">
        <v>3</v>
      </c>
    </row>
    <row r="209" spans="1:3" ht="15.5">
      <c r="A209" s="43" t="s">
        <v>913</v>
      </c>
      <c r="B209" s="43" t="s">
        <v>914</v>
      </c>
      <c r="C209" s="62">
        <v>4</v>
      </c>
    </row>
    <row r="210" spans="1:3" ht="15.5">
      <c r="A210" s="43" t="s">
        <v>929</v>
      </c>
      <c r="B210" s="43" t="s">
        <v>930</v>
      </c>
      <c r="C210" s="62">
        <v>6</v>
      </c>
    </row>
    <row r="211" spans="1:3" ht="15.5">
      <c r="A211" s="43" t="s">
        <v>925</v>
      </c>
      <c r="B211" s="43" t="s">
        <v>926</v>
      </c>
      <c r="C211" s="62">
        <v>7</v>
      </c>
    </row>
    <row r="212" spans="1:3" ht="15.5">
      <c r="A212" s="43" t="s">
        <v>917</v>
      </c>
      <c r="B212" s="43" t="s">
        <v>918</v>
      </c>
      <c r="C212" s="62">
        <v>8</v>
      </c>
    </row>
    <row r="213" spans="1:3" ht="15.5">
      <c r="A213" s="43" t="s">
        <v>932</v>
      </c>
      <c r="B213" s="43" t="s">
        <v>933</v>
      </c>
      <c r="C213" s="62">
        <v>6</v>
      </c>
    </row>
    <row r="214" spans="1:3" ht="15.5">
      <c r="A214" s="43" t="s">
        <v>943</v>
      </c>
      <c r="B214" s="43" t="s">
        <v>944</v>
      </c>
      <c r="C214" s="62">
        <v>6</v>
      </c>
    </row>
    <row r="215" spans="1:3" ht="15.5">
      <c r="A215" s="43" t="s">
        <v>939</v>
      </c>
      <c r="B215" s="43" t="s">
        <v>940</v>
      </c>
      <c r="C215" s="62">
        <v>6</v>
      </c>
    </row>
    <row r="216" spans="1:3" ht="15.5">
      <c r="A216" s="43" t="s">
        <v>935</v>
      </c>
      <c r="B216" s="43" t="s">
        <v>936</v>
      </c>
      <c r="C216" s="62">
        <v>2</v>
      </c>
    </row>
    <row r="217" spans="1:3" ht="15.5">
      <c r="A217" s="43" t="s">
        <v>947</v>
      </c>
      <c r="B217" s="43" t="s">
        <v>948</v>
      </c>
      <c r="C217" s="62">
        <v>2</v>
      </c>
    </row>
    <row r="218" spans="1:3" ht="15.5">
      <c r="A218" s="43" t="s">
        <v>805</v>
      </c>
      <c r="B218" s="43" t="s">
        <v>806</v>
      </c>
      <c r="C218" s="62">
        <v>1</v>
      </c>
    </row>
    <row r="219" spans="1:3" ht="15.5">
      <c r="A219" s="43" t="s">
        <v>809</v>
      </c>
      <c r="B219" s="43" t="s">
        <v>810</v>
      </c>
      <c r="C219" s="62">
        <v>1</v>
      </c>
    </row>
    <row r="220" spans="1:3" ht="15.5">
      <c r="A220" s="43" t="s">
        <v>811</v>
      </c>
      <c r="B220" s="43" t="s">
        <v>812</v>
      </c>
      <c r="C220" s="62">
        <v>2</v>
      </c>
    </row>
    <row r="221" spans="1:3" ht="15.5">
      <c r="A221" s="43" t="s">
        <v>813</v>
      </c>
      <c r="B221" s="43" t="s">
        <v>814</v>
      </c>
      <c r="C221" s="62">
        <v>1</v>
      </c>
    </row>
    <row r="222" spans="1:3" ht="15.5">
      <c r="A222" s="43" t="s">
        <v>815</v>
      </c>
      <c r="B222" s="43" t="s">
        <v>816</v>
      </c>
      <c r="C222" s="62">
        <v>2</v>
      </c>
    </row>
    <row r="223" spans="1:3">
      <c r="C223" s="64">
        <f>SUM(C3:C222)</f>
        <v>627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Q1391"/>
  <sheetViews>
    <sheetView showGridLines="0" workbookViewId="0">
      <pane xSplit="2" ySplit="3" topLeftCell="C6" activePane="bottomRight" state="frozen"/>
      <selection pane="topRight" activeCell="C1" sqref="C1"/>
      <selection pane="bottomLeft" activeCell="A4" sqref="A4"/>
      <selection pane="bottomRight" activeCell="BS29" sqref="BS29"/>
    </sheetView>
  </sheetViews>
  <sheetFormatPr defaultColWidth="14.453125" defaultRowHeight="15" customHeight="1"/>
  <cols>
    <col min="1" max="1" width="24.1796875" customWidth="1"/>
    <col min="2" max="2" width="45.26953125" customWidth="1"/>
    <col min="3" max="4" width="9.81640625" hidden="1" customWidth="1"/>
    <col min="5" max="6" width="10.54296875" hidden="1" customWidth="1"/>
    <col min="7" max="9" width="9.81640625" hidden="1" customWidth="1"/>
    <col min="10" max="10" width="10" hidden="1" customWidth="1"/>
    <col min="11" max="11" width="9.453125" hidden="1" customWidth="1"/>
    <col min="12" max="13" width="9.81640625" hidden="1" customWidth="1"/>
    <col min="14" max="14" width="11.1796875" hidden="1" customWidth="1"/>
    <col min="15" max="19" width="9.81640625" hidden="1" customWidth="1"/>
    <col min="20" max="20" width="10.54296875" hidden="1" customWidth="1"/>
    <col min="21" max="46" width="9.81640625" hidden="1" customWidth="1"/>
    <col min="47" max="66" width="8.453125" hidden="1" customWidth="1"/>
    <col min="67" max="67" width="9.54296875" customWidth="1"/>
    <col min="68" max="68" width="25.7265625" bestFit="1" customWidth="1"/>
    <col min="69" max="69" width="9.54296875" customWidth="1"/>
  </cols>
  <sheetData>
    <row r="1" spans="1:69" ht="22.5" customHeight="1">
      <c r="A1" s="54" t="s">
        <v>342</v>
      </c>
      <c r="B1" s="16"/>
      <c r="C1" s="16"/>
      <c r="D1" s="16"/>
      <c r="E1" s="17"/>
      <c r="F1" s="17"/>
      <c r="G1" s="16"/>
      <c r="H1" s="16"/>
      <c r="I1" s="16"/>
      <c r="J1" s="16"/>
      <c r="K1" s="16"/>
      <c r="L1" s="16"/>
      <c r="M1" s="16"/>
      <c r="N1" s="17"/>
      <c r="O1" s="16"/>
      <c r="P1" s="16"/>
      <c r="Q1" s="16"/>
      <c r="R1" s="16"/>
      <c r="S1" s="16"/>
      <c r="T1" s="17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7"/>
      <c r="AN1" s="16"/>
      <c r="AO1" s="16"/>
      <c r="AP1" s="16"/>
      <c r="AQ1" s="16"/>
      <c r="AR1" s="16"/>
      <c r="AS1" s="16"/>
      <c r="AT1" s="16"/>
      <c r="AU1" s="16"/>
      <c r="AV1" s="16"/>
      <c r="AW1" s="16"/>
      <c r="AX1" s="16"/>
      <c r="AY1" s="16"/>
      <c r="AZ1" s="16"/>
      <c r="BA1" s="16"/>
      <c r="BB1" s="16"/>
      <c r="BC1" s="16"/>
      <c r="BD1" s="16"/>
      <c r="BE1" s="16"/>
      <c r="BF1" s="16"/>
      <c r="BG1" s="16"/>
      <c r="BH1" s="16"/>
      <c r="BI1" s="16"/>
      <c r="BJ1" s="16"/>
      <c r="BK1" s="16"/>
      <c r="BL1" s="16"/>
      <c r="BM1" s="16"/>
      <c r="BN1" s="16"/>
      <c r="BO1" s="16"/>
      <c r="BP1" s="16"/>
      <c r="BQ1" s="16"/>
    </row>
    <row r="2" spans="1:69" ht="15.75" customHeight="1">
      <c r="A2" s="90" t="s">
        <v>0</v>
      </c>
      <c r="B2" s="90" t="s">
        <v>1</v>
      </c>
      <c r="C2" s="91" t="s">
        <v>7</v>
      </c>
      <c r="D2" s="92"/>
      <c r="E2" s="92"/>
      <c r="F2" s="92"/>
      <c r="G2" s="92"/>
      <c r="H2" s="92"/>
      <c r="I2" s="92"/>
      <c r="J2" s="92"/>
      <c r="K2" s="92"/>
      <c r="L2" s="92"/>
      <c r="M2" s="92"/>
      <c r="N2" s="92"/>
      <c r="O2" s="92"/>
      <c r="P2" s="92"/>
      <c r="Q2" s="92"/>
      <c r="R2" s="92"/>
      <c r="S2" s="92"/>
      <c r="T2" s="92"/>
      <c r="U2" s="92"/>
      <c r="V2" s="92"/>
      <c r="W2" s="92"/>
      <c r="X2" s="92"/>
      <c r="Y2" s="92"/>
      <c r="Z2" s="92"/>
      <c r="AA2" s="92"/>
      <c r="AB2" s="92"/>
      <c r="AC2" s="92"/>
      <c r="AD2" s="92"/>
      <c r="AE2" s="92"/>
      <c r="AF2" s="92"/>
      <c r="AG2" s="92"/>
      <c r="AH2" s="92"/>
      <c r="AI2" s="92"/>
      <c r="AJ2" s="92"/>
      <c r="AK2" s="92"/>
      <c r="AL2" s="92"/>
      <c r="AM2" s="92"/>
      <c r="AN2" s="92"/>
      <c r="AO2" s="92"/>
      <c r="AP2" s="92"/>
      <c r="AQ2" s="92"/>
      <c r="AR2" s="92"/>
      <c r="AS2" s="92"/>
      <c r="AT2" s="93"/>
      <c r="AU2" s="94" t="s">
        <v>2</v>
      </c>
      <c r="AV2" s="95" t="s">
        <v>3</v>
      </c>
      <c r="AW2" s="96"/>
      <c r="AX2" s="96"/>
      <c r="AY2" s="96"/>
      <c r="AZ2" s="96"/>
      <c r="BA2" s="96"/>
      <c r="BB2" s="96"/>
      <c r="BC2" s="96"/>
      <c r="BD2" s="96"/>
      <c r="BE2" s="96"/>
      <c r="BF2" s="96"/>
      <c r="BG2" s="96"/>
      <c r="BH2" s="96"/>
      <c r="BI2" s="96"/>
      <c r="BJ2" s="96"/>
      <c r="BK2" s="96"/>
      <c r="BL2" s="96"/>
      <c r="BM2" s="96"/>
      <c r="BN2" s="97"/>
      <c r="BO2" s="88" t="s">
        <v>4</v>
      </c>
      <c r="BP2" s="18" t="s">
        <v>1387</v>
      </c>
      <c r="BQ2" s="18"/>
    </row>
    <row r="3" spans="1:69" ht="46.5">
      <c r="A3" s="89"/>
      <c r="B3" s="89"/>
      <c r="C3" s="1" t="s">
        <v>343</v>
      </c>
      <c r="D3" s="1" t="s">
        <v>344</v>
      </c>
      <c r="E3" s="19" t="s">
        <v>345</v>
      </c>
      <c r="F3" s="19" t="s">
        <v>346</v>
      </c>
      <c r="G3" s="1" t="s">
        <v>347</v>
      </c>
      <c r="H3" s="1" t="s">
        <v>348</v>
      </c>
      <c r="I3" s="1" t="s">
        <v>349</v>
      </c>
      <c r="J3" s="1" t="s">
        <v>350</v>
      </c>
      <c r="K3" s="1" t="s">
        <v>351</v>
      </c>
      <c r="L3" s="1" t="s">
        <v>352</v>
      </c>
      <c r="M3" s="1" t="s">
        <v>353</v>
      </c>
      <c r="N3" s="19" t="s">
        <v>354</v>
      </c>
      <c r="O3" s="1" t="s">
        <v>355</v>
      </c>
      <c r="P3" s="1" t="s">
        <v>356</v>
      </c>
      <c r="Q3" s="1" t="s">
        <v>357</v>
      </c>
      <c r="R3" s="1" t="s">
        <v>358</v>
      </c>
      <c r="S3" s="1" t="s">
        <v>359</v>
      </c>
      <c r="T3" s="19" t="s">
        <v>360</v>
      </c>
      <c r="U3" s="1" t="s">
        <v>361</v>
      </c>
      <c r="V3" s="1" t="s">
        <v>362</v>
      </c>
      <c r="W3" s="1" t="s">
        <v>363</v>
      </c>
      <c r="X3" s="1" t="s">
        <v>364</v>
      </c>
      <c r="Y3" s="1" t="s">
        <v>365</v>
      </c>
      <c r="Z3" s="1" t="s">
        <v>366</v>
      </c>
      <c r="AA3" s="1" t="s">
        <v>367</v>
      </c>
      <c r="AB3" s="1" t="s">
        <v>368</v>
      </c>
      <c r="AC3" s="1" t="s">
        <v>369</v>
      </c>
      <c r="AD3" s="1" t="s">
        <v>370</v>
      </c>
      <c r="AE3" s="1" t="s">
        <v>371</v>
      </c>
      <c r="AF3" s="1" t="s">
        <v>372</v>
      </c>
      <c r="AG3" s="1" t="s">
        <v>373</v>
      </c>
      <c r="AH3" s="1" t="s">
        <v>374</v>
      </c>
      <c r="AI3" s="1" t="s">
        <v>375</v>
      </c>
      <c r="AJ3" s="1" t="s">
        <v>376</v>
      </c>
      <c r="AK3" s="1" t="s">
        <v>377</v>
      </c>
      <c r="AL3" s="1" t="s">
        <v>378</v>
      </c>
      <c r="AM3" s="19" t="s">
        <v>379</v>
      </c>
      <c r="AN3" s="1" t="s">
        <v>380</v>
      </c>
      <c r="AO3" s="1" t="s">
        <v>381</v>
      </c>
      <c r="AP3" s="1" t="s">
        <v>382</v>
      </c>
      <c r="AQ3" s="1" t="s">
        <v>383</v>
      </c>
      <c r="AR3" s="1" t="s">
        <v>384</v>
      </c>
      <c r="AS3" s="1" t="s">
        <v>1566</v>
      </c>
      <c r="AT3" s="1" t="s">
        <v>1567</v>
      </c>
      <c r="AU3" s="89"/>
      <c r="AV3" s="20">
        <v>2025</v>
      </c>
      <c r="AW3" s="2" t="s">
        <v>54</v>
      </c>
      <c r="AX3" s="2" t="s">
        <v>55</v>
      </c>
      <c r="AY3" s="2" t="s">
        <v>56</v>
      </c>
      <c r="AZ3" s="2" t="s">
        <v>385</v>
      </c>
      <c r="BA3" s="2" t="s">
        <v>386</v>
      </c>
      <c r="BB3" s="2" t="s">
        <v>53</v>
      </c>
      <c r="BC3" s="2" t="s">
        <v>387</v>
      </c>
      <c r="BD3" s="2" t="s">
        <v>271</v>
      </c>
      <c r="BE3" s="2" t="s">
        <v>388</v>
      </c>
      <c r="BF3" s="5"/>
      <c r="BG3" s="5"/>
      <c r="BH3" s="5"/>
      <c r="BI3" s="5"/>
      <c r="BJ3" s="5"/>
      <c r="BK3" s="1"/>
      <c r="BL3" s="1"/>
      <c r="BM3" s="1"/>
      <c r="BN3" s="1" t="s">
        <v>2</v>
      </c>
      <c r="BO3" s="89"/>
      <c r="BP3" s="18" t="s">
        <v>1388</v>
      </c>
      <c r="BQ3" s="18"/>
    </row>
    <row r="4" spans="1:69" ht="15.5">
      <c r="A4" s="3" t="s">
        <v>73</v>
      </c>
      <c r="B4" s="3" t="s">
        <v>74</v>
      </c>
      <c r="C4" s="8">
        <v>1</v>
      </c>
      <c r="D4" s="8">
        <v>2</v>
      </c>
      <c r="E4" s="21"/>
      <c r="F4" s="21">
        <v>-1</v>
      </c>
      <c r="G4" s="8"/>
      <c r="H4" s="8"/>
      <c r="I4" s="8">
        <v>2</v>
      </c>
      <c r="J4" s="8"/>
      <c r="K4" s="8"/>
      <c r="L4" s="8"/>
      <c r="M4" s="8"/>
      <c r="N4" s="21"/>
      <c r="O4" s="8"/>
      <c r="P4" s="8"/>
      <c r="Q4" s="8"/>
      <c r="R4" s="8"/>
      <c r="S4" s="8"/>
      <c r="T4" s="21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21"/>
      <c r="AN4" s="8"/>
      <c r="AO4" s="8"/>
      <c r="AP4" s="8"/>
      <c r="AQ4" s="8"/>
      <c r="AR4" s="8"/>
      <c r="AS4" s="8"/>
      <c r="AT4" s="8"/>
      <c r="AU4" s="8">
        <f t="shared" ref="AU4:AU253" si="0">SUM(C4:AT4)</f>
        <v>4</v>
      </c>
      <c r="AV4" s="8">
        <v>4</v>
      </c>
      <c r="AW4" s="8"/>
      <c r="AX4" s="8"/>
      <c r="AY4" s="8"/>
      <c r="AZ4" s="8"/>
      <c r="BA4" s="8"/>
      <c r="BB4" s="8"/>
      <c r="BC4" s="8"/>
      <c r="BD4" s="8"/>
      <c r="BE4" s="8"/>
      <c r="BF4" s="8"/>
      <c r="BG4" s="8"/>
      <c r="BH4" s="8"/>
      <c r="BI4" s="8"/>
      <c r="BJ4" s="8"/>
      <c r="BK4" s="8"/>
      <c r="BL4" s="8"/>
      <c r="BM4" s="8"/>
      <c r="BN4" s="8">
        <f t="shared" ref="BN4:BN42" si="1">SUM(AV4:BM4)</f>
        <v>4</v>
      </c>
      <c r="BO4" s="22">
        <f t="shared" ref="BO4:BO67" si="2">IF(+AU4-BN4&lt;0,"",+AU4-BN4)</f>
        <v>0</v>
      </c>
      <c r="BP4" s="23"/>
      <c r="BQ4" s="23"/>
    </row>
    <row r="5" spans="1:69" ht="15.5">
      <c r="A5" s="3" t="s">
        <v>77</v>
      </c>
      <c r="B5" s="3" t="s">
        <v>78</v>
      </c>
      <c r="C5" s="8">
        <v>2</v>
      </c>
      <c r="D5" s="8"/>
      <c r="E5" s="21"/>
      <c r="F5" s="21"/>
      <c r="G5" s="8">
        <v>1</v>
      </c>
      <c r="H5" s="8"/>
      <c r="I5" s="8">
        <v>1</v>
      </c>
      <c r="J5" s="8"/>
      <c r="K5" s="8">
        <v>2</v>
      </c>
      <c r="L5" s="8"/>
      <c r="M5" s="8"/>
      <c r="N5" s="21"/>
      <c r="O5" s="8">
        <v>1</v>
      </c>
      <c r="P5" s="8"/>
      <c r="Q5" s="8"/>
      <c r="R5" s="8"/>
      <c r="S5" s="8"/>
      <c r="T5" s="21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21"/>
      <c r="AN5" s="8"/>
      <c r="AO5" s="8"/>
      <c r="AP5" s="8"/>
      <c r="AQ5" s="8"/>
      <c r="AR5" s="8"/>
      <c r="AS5" s="8"/>
      <c r="AT5" s="8"/>
      <c r="AU5" s="8">
        <f t="shared" si="0"/>
        <v>7</v>
      </c>
      <c r="AV5" s="8">
        <v>1</v>
      </c>
      <c r="AW5" s="8"/>
      <c r="AX5" s="8"/>
      <c r="AY5" s="8"/>
      <c r="AZ5" s="8"/>
      <c r="BA5" s="8"/>
      <c r="BB5" s="8"/>
      <c r="BC5" s="8">
        <v>1</v>
      </c>
      <c r="BD5" s="8">
        <v>3</v>
      </c>
      <c r="BE5" s="8"/>
      <c r="BF5" s="8"/>
      <c r="BG5" s="8"/>
      <c r="BH5" s="8"/>
      <c r="BI5" s="8"/>
      <c r="BJ5" s="8"/>
      <c r="BK5" s="8"/>
      <c r="BL5" s="8"/>
      <c r="BM5" s="8"/>
      <c r="BN5" s="8">
        <f t="shared" si="1"/>
        <v>5</v>
      </c>
      <c r="BO5" s="24">
        <f t="shared" si="2"/>
        <v>2</v>
      </c>
      <c r="BP5" s="23"/>
      <c r="BQ5" s="23"/>
    </row>
    <row r="6" spans="1:69" ht="15.5">
      <c r="A6" s="3" t="s">
        <v>81</v>
      </c>
      <c r="B6" s="3" t="s">
        <v>82</v>
      </c>
      <c r="C6" s="8">
        <v>2</v>
      </c>
      <c r="D6" s="8"/>
      <c r="E6" s="21"/>
      <c r="F6" s="21"/>
      <c r="G6" s="8"/>
      <c r="H6" s="8">
        <v>1</v>
      </c>
      <c r="I6" s="8">
        <v>3</v>
      </c>
      <c r="J6" s="8"/>
      <c r="K6" s="8"/>
      <c r="L6" s="8"/>
      <c r="M6" s="8"/>
      <c r="N6" s="21">
        <v>-1</v>
      </c>
      <c r="O6" s="8">
        <v>1</v>
      </c>
      <c r="P6" s="8"/>
      <c r="Q6" s="8"/>
      <c r="R6" s="8"/>
      <c r="S6" s="8"/>
      <c r="T6" s="21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21"/>
      <c r="AN6" s="8"/>
      <c r="AO6" s="8"/>
      <c r="AP6" s="8"/>
      <c r="AQ6" s="8"/>
      <c r="AR6" s="8"/>
      <c r="AS6" s="8"/>
      <c r="AT6" s="8"/>
      <c r="AU6" s="8">
        <f t="shared" si="0"/>
        <v>6</v>
      </c>
      <c r="AV6" s="8">
        <v>2</v>
      </c>
      <c r="AW6" s="8">
        <v>1</v>
      </c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>
        <f t="shared" si="1"/>
        <v>3</v>
      </c>
      <c r="BO6" s="24">
        <f t="shared" si="2"/>
        <v>3</v>
      </c>
      <c r="BP6" s="23"/>
      <c r="BQ6" s="23"/>
    </row>
    <row r="7" spans="1:69" ht="15.5">
      <c r="A7" s="3" t="s">
        <v>85</v>
      </c>
      <c r="B7" s="3" t="s">
        <v>86</v>
      </c>
      <c r="C7" s="8">
        <v>2</v>
      </c>
      <c r="D7" s="8"/>
      <c r="E7" s="21"/>
      <c r="F7" s="21"/>
      <c r="G7" s="8"/>
      <c r="H7" s="8">
        <v>1</v>
      </c>
      <c r="I7" s="8">
        <v>1</v>
      </c>
      <c r="J7" s="8"/>
      <c r="K7" s="8"/>
      <c r="L7" s="8"/>
      <c r="M7" s="8"/>
      <c r="N7" s="21"/>
      <c r="O7" s="8">
        <v>1</v>
      </c>
      <c r="P7" s="8"/>
      <c r="Q7" s="8"/>
      <c r="R7" s="8"/>
      <c r="S7" s="8"/>
      <c r="T7" s="21"/>
      <c r="U7" s="8">
        <v>1</v>
      </c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21"/>
      <c r="AN7" s="8"/>
      <c r="AO7" s="8"/>
      <c r="AP7" s="8"/>
      <c r="AQ7" s="8"/>
      <c r="AR7" s="8"/>
      <c r="AS7" s="8"/>
      <c r="AT7" s="8"/>
      <c r="AU7" s="8">
        <f t="shared" si="0"/>
        <v>6</v>
      </c>
      <c r="AV7" s="8">
        <v>1</v>
      </c>
      <c r="AW7" s="8">
        <v>2</v>
      </c>
      <c r="AX7" s="8">
        <v>1</v>
      </c>
      <c r="AY7" s="8"/>
      <c r="AZ7" s="8"/>
      <c r="BA7" s="8"/>
      <c r="BB7" s="8"/>
      <c r="BC7" s="8">
        <v>1</v>
      </c>
      <c r="BD7" s="8">
        <v>1</v>
      </c>
      <c r="BE7" s="8"/>
      <c r="BF7" s="8"/>
      <c r="BG7" s="8"/>
      <c r="BH7" s="8"/>
      <c r="BI7" s="8"/>
      <c r="BJ7" s="8"/>
      <c r="BK7" s="8"/>
      <c r="BL7" s="8"/>
      <c r="BM7" s="8"/>
      <c r="BN7" s="8">
        <f t="shared" si="1"/>
        <v>6</v>
      </c>
      <c r="BO7" s="24">
        <f t="shared" si="2"/>
        <v>0</v>
      </c>
      <c r="BP7" s="23"/>
      <c r="BQ7" s="23"/>
    </row>
    <row r="8" spans="1:69" ht="15.5">
      <c r="A8" s="3" t="s">
        <v>89</v>
      </c>
      <c r="B8" s="3" t="s">
        <v>91</v>
      </c>
      <c r="C8" s="8">
        <v>2</v>
      </c>
      <c r="D8" s="8"/>
      <c r="E8" s="21"/>
      <c r="F8" s="21"/>
      <c r="G8" s="8">
        <v>1</v>
      </c>
      <c r="H8" s="8"/>
      <c r="I8" s="8">
        <v>1</v>
      </c>
      <c r="J8" s="8"/>
      <c r="K8" s="8"/>
      <c r="L8" s="8"/>
      <c r="M8" s="8"/>
      <c r="N8" s="21"/>
      <c r="O8" s="8"/>
      <c r="P8" s="8"/>
      <c r="Q8" s="8"/>
      <c r="R8" s="8"/>
      <c r="S8" s="8"/>
      <c r="T8" s="21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21"/>
      <c r="AN8" s="8"/>
      <c r="AO8" s="8"/>
      <c r="AP8" s="8"/>
      <c r="AQ8" s="8"/>
      <c r="AR8" s="8"/>
      <c r="AS8" s="8"/>
      <c r="AT8" s="8"/>
      <c r="AU8" s="8">
        <f t="shared" si="0"/>
        <v>4</v>
      </c>
      <c r="AV8" s="8">
        <v>1</v>
      </c>
      <c r="AW8" s="8">
        <v>1</v>
      </c>
      <c r="AX8" s="8">
        <v>1</v>
      </c>
      <c r="AY8" s="8"/>
      <c r="AZ8" s="8"/>
      <c r="BA8" s="8"/>
      <c r="BB8" s="8">
        <v>1</v>
      </c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>
        <f t="shared" si="1"/>
        <v>4</v>
      </c>
      <c r="BO8" s="24">
        <f t="shared" si="2"/>
        <v>0</v>
      </c>
      <c r="BP8" s="23"/>
      <c r="BQ8" s="23"/>
    </row>
    <row r="9" spans="1:69" ht="15.5">
      <c r="A9" s="3" t="s">
        <v>93</v>
      </c>
      <c r="B9" s="3" t="s">
        <v>94</v>
      </c>
      <c r="C9" s="8">
        <v>1</v>
      </c>
      <c r="D9" s="8"/>
      <c r="E9" s="21"/>
      <c r="F9" s="21"/>
      <c r="G9" s="8"/>
      <c r="H9" s="8"/>
      <c r="I9" s="8"/>
      <c r="J9" s="8"/>
      <c r="K9" s="8"/>
      <c r="L9" s="8"/>
      <c r="M9" s="8"/>
      <c r="N9" s="21"/>
      <c r="O9" s="8"/>
      <c r="P9" s="8"/>
      <c r="Q9" s="8"/>
      <c r="R9" s="8"/>
      <c r="S9" s="8">
        <v>1</v>
      </c>
      <c r="T9" s="21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21"/>
      <c r="AN9" s="8"/>
      <c r="AO9" s="8"/>
      <c r="AP9" s="8"/>
      <c r="AQ9" s="8"/>
      <c r="AR9" s="8"/>
      <c r="AS9" s="8"/>
      <c r="AT9" s="8"/>
      <c r="AU9" s="8">
        <f t="shared" si="0"/>
        <v>2</v>
      </c>
      <c r="AV9" s="8">
        <v>1</v>
      </c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  <c r="BH9" s="8"/>
      <c r="BI9" s="8"/>
      <c r="BJ9" s="8"/>
      <c r="BK9" s="8"/>
      <c r="BL9" s="8"/>
      <c r="BM9" s="8"/>
      <c r="BN9" s="8">
        <f t="shared" si="1"/>
        <v>1</v>
      </c>
      <c r="BO9" s="24">
        <f t="shared" si="2"/>
        <v>1</v>
      </c>
      <c r="BP9" s="23"/>
      <c r="BQ9" s="23"/>
    </row>
    <row r="10" spans="1:69" ht="15.5">
      <c r="A10" s="3" t="s">
        <v>95</v>
      </c>
      <c r="B10" s="3" t="s">
        <v>96</v>
      </c>
      <c r="C10" s="8">
        <v>1</v>
      </c>
      <c r="D10" s="8"/>
      <c r="E10" s="21"/>
      <c r="F10" s="21"/>
      <c r="G10" s="8"/>
      <c r="H10" s="8">
        <v>1</v>
      </c>
      <c r="I10" s="8"/>
      <c r="J10" s="8"/>
      <c r="K10" s="8">
        <v>1</v>
      </c>
      <c r="L10" s="8"/>
      <c r="M10" s="8"/>
      <c r="N10" s="21"/>
      <c r="O10" s="8"/>
      <c r="P10" s="8"/>
      <c r="Q10" s="8"/>
      <c r="R10" s="8"/>
      <c r="S10" s="8"/>
      <c r="T10" s="21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21"/>
      <c r="AN10" s="8"/>
      <c r="AO10" s="8"/>
      <c r="AP10" s="8"/>
      <c r="AQ10" s="8"/>
      <c r="AR10" s="8"/>
      <c r="AS10" s="8"/>
      <c r="AT10" s="8"/>
      <c r="AU10" s="8">
        <f t="shared" si="0"/>
        <v>3</v>
      </c>
      <c r="AV10" s="8">
        <v>1</v>
      </c>
      <c r="AW10" s="8"/>
      <c r="AX10" s="8"/>
      <c r="AY10" s="8">
        <v>1</v>
      </c>
      <c r="AZ10" s="8"/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8"/>
      <c r="BL10" s="8"/>
      <c r="BM10" s="8"/>
      <c r="BN10" s="8">
        <f t="shared" si="1"/>
        <v>2</v>
      </c>
      <c r="BO10" s="24">
        <f t="shared" si="2"/>
        <v>1</v>
      </c>
      <c r="BP10" s="23"/>
      <c r="BQ10" s="23"/>
    </row>
    <row r="11" spans="1:69" ht="15.5">
      <c r="A11" s="3" t="s">
        <v>389</v>
      </c>
      <c r="B11" s="3" t="s">
        <v>390</v>
      </c>
      <c r="C11" s="8">
        <v>1</v>
      </c>
      <c r="D11" s="8"/>
      <c r="E11" s="21"/>
      <c r="F11" s="21"/>
      <c r="G11" s="8">
        <v>1</v>
      </c>
      <c r="H11" s="8"/>
      <c r="I11" s="8"/>
      <c r="J11" s="8"/>
      <c r="K11" s="8">
        <v>1</v>
      </c>
      <c r="L11" s="8"/>
      <c r="M11" s="8"/>
      <c r="N11" s="21"/>
      <c r="O11" s="8"/>
      <c r="P11" s="8"/>
      <c r="Q11" s="8"/>
      <c r="R11" s="8"/>
      <c r="S11" s="8"/>
      <c r="T11" s="21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21"/>
      <c r="AN11" s="8"/>
      <c r="AO11" s="8"/>
      <c r="AP11" s="8"/>
      <c r="AQ11" s="8"/>
      <c r="AR11" s="8"/>
      <c r="AS11" s="8"/>
      <c r="AT11" s="8"/>
      <c r="AU11" s="8">
        <f t="shared" si="0"/>
        <v>3</v>
      </c>
      <c r="AV11" s="8"/>
      <c r="AW11" s="8"/>
      <c r="AX11" s="8"/>
      <c r="AY11" s="8"/>
      <c r="AZ11" s="8"/>
      <c r="BA11" s="8"/>
      <c r="BB11" s="8"/>
      <c r="BC11" s="8"/>
      <c r="BD11" s="8">
        <v>1</v>
      </c>
      <c r="BE11" s="8"/>
      <c r="BF11" s="8"/>
      <c r="BG11" s="8"/>
      <c r="BH11" s="8"/>
      <c r="BI11" s="8"/>
      <c r="BJ11" s="8"/>
      <c r="BK11" s="8"/>
      <c r="BL11" s="8"/>
      <c r="BM11" s="8"/>
      <c r="BN11" s="8">
        <f t="shared" si="1"/>
        <v>1</v>
      </c>
      <c r="BO11" s="24">
        <f t="shared" si="2"/>
        <v>2</v>
      </c>
      <c r="BP11" s="23"/>
      <c r="BQ11" s="23"/>
    </row>
    <row r="12" spans="1:69" ht="15.5">
      <c r="A12" s="3" t="s">
        <v>5</v>
      </c>
      <c r="B12" s="3" t="s">
        <v>6</v>
      </c>
      <c r="C12" s="8">
        <v>1</v>
      </c>
      <c r="D12" s="8"/>
      <c r="E12" s="21"/>
      <c r="F12" s="21"/>
      <c r="G12" s="8"/>
      <c r="H12" s="8"/>
      <c r="I12" s="8">
        <v>2</v>
      </c>
      <c r="J12" s="8"/>
      <c r="K12" s="8"/>
      <c r="L12" s="8"/>
      <c r="M12" s="8"/>
      <c r="N12" s="21"/>
      <c r="O12" s="8"/>
      <c r="P12" s="8"/>
      <c r="Q12" s="8"/>
      <c r="R12" s="8"/>
      <c r="S12" s="8"/>
      <c r="T12" s="21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21"/>
      <c r="AN12" s="8"/>
      <c r="AO12" s="8"/>
      <c r="AP12" s="8"/>
      <c r="AQ12" s="8"/>
      <c r="AR12" s="8"/>
      <c r="AS12" s="8"/>
      <c r="AT12" s="8"/>
      <c r="AU12" s="8">
        <f t="shared" si="0"/>
        <v>3</v>
      </c>
      <c r="AV12" s="8">
        <v>2</v>
      </c>
      <c r="AW12" s="8"/>
      <c r="AX12" s="8"/>
      <c r="AY12" s="8"/>
      <c r="AZ12" s="8"/>
      <c r="BA12" s="8"/>
      <c r="BB12" s="8"/>
      <c r="BC12" s="8"/>
      <c r="BD12" s="8">
        <v>1</v>
      </c>
      <c r="BE12" s="8"/>
      <c r="BF12" s="8"/>
      <c r="BG12" s="8"/>
      <c r="BH12" s="8"/>
      <c r="BI12" s="8"/>
      <c r="BJ12" s="8"/>
      <c r="BK12" s="8"/>
      <c r="BL12" s="8"/>
      <c r="BM12" s="8"/>
      <c r="BN12" s="8">
        <f t="shared" si="1"/>
        <v>3</v>
      </c>
      <c r="BO12" s="24">
        <f t="shared" si="2"/>
        <v>0</v>
      </c>
      <c r="BP12" s="23"/>
      <c r="BQ12" s="23"/>
    </row>
    <row r="13" spans="1:69" ht="15.5">
      <c r="A13" s="3" t="s">
        <v>8</v>
      </c>
      <c r="B13" s="3" t="s">
        <v>9</v>
      </c>
      <c r="C13" s="8">
        <v>1</v>
      </c>
      <c r="D13" s="8"/>
      <c r="E13" s="21"/>
      <c r="F13" s="21"/>
      <c r="G13" s="8"/>
      <c r="H13" s="8"/>
      <c r="I13" s="8">
        <v>2</v>
      </c>
      <c r="J13" s="8"/>
      <c r="K13" s="8"/>
      <c r="L13" s="8"/>
      <c r="M13" s="8"/>
      <c r="N13" s="21"/>
      <c r="O13" s="8"/>
      <c r="P13" s="8"/>
      <c r="Q13" s="8"/>
      <c r="R13" s="8"/>
      <c r="S13" s="8"/>
      <c r="T13" s="21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21"/>
      <c r="AN13" s="8"/>
      <c r="AO13" s="8"/>
      <c r="AP13" s="8"/>
      <c r="AQ13" s="8"/>
      <c r="AR13" s="8"/>
      <c r="AS13" s="8"/>
      <c r="AT13" s="8"/>
      <c r="AU13" s="8">
        <f t="shared" si="0"/>
        <v>3</v>
      </c>
      <c r="AV13" s="8">
        <v>1</v>
      </c>
      <c r="AW13" s="8"/>
      <c r="AX13" s="8">
        <v>1</v>
      </c>
      <c r="AY13" s="8"/>
      <c r="AZ13" s="8"/>
      <c r="BA13" s="8">
        <v>1</v>
      </c>
      <c r="BB13" s="8"/>
      <c r="BC13" s="8"/>
      <c r="BD13" s="8"/>
      <c r="BE13" s="8"/>
      <c r="BF13" s="8"/>
      <c r="BG13" s="8"/>
      <c r="BH13" s="8"/>
      <c r="BI13" s="8"/>
      <c r="BJ13" s="8"/>
      <c r="BK13" s="8"/>
      <c r="BL13" s="8"/>
      <c r="BM13" s="8"/>
      <c r="BN13" s="8">
        <f t="shared" si="1"/>
        <v>3</v>
      </c>
      <c r="BO13" s="24">
        <f t="shared" si="2"/>
        <v>0</v>
      </c>
      <c r="BP13" s="23"/>
      <c r="BQ13" s="23"/>
    </row>
    <row r="14" spans="1:69" ht="15.5">
      <c r="A14" s="3" t="s">
        <v>10</v>
      </c>
      <c r="B14" s="3" t="s">
        <v>11</v>
      </c>
      <c r="C14" s="8">
        <v>1</v>
      </c>
      <c r="D14" s="8"/>
      <c r="E14" s="21"/>
      <c r="F14" s="21"/>
      <c r="G14" s="8"/>
      <c r="H14" s="8"/>
      <c r="I14" s="8"/>
      <c r="J14" s="8"/>
      <c r="K14" s="8"/>
      <c r="L14" s="8"/>
      <c r="M14" s="8"/>
      <c r="N14" s="21"/>
      <c r="O14" s="8"/>
      <c r="P14" s="8"/>
      <c r="Q14" s="8"/>
      <c r="R14" s="8"/>
      <c r="S14" s="8"/>
      <c r="T14" s="21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21"/>
      <c r="AN14" s="8"/>
      <c r="AO14" s="8"/>
      <c r="AP14" s="8"/>
      <c r="AQ14" s="8"/>
      <c r="AR14" s="8"/>
      <c r="AS14" s="8"/>
      <c r="AT14" s="8"/>
      <c r="AU14" s="8">
        <f t="shared" si="0"/>
        <v>1</v>
      </c>
      <c r="AV14" s="8">
        <v>1</v>
      </c>
      <c r="AW14" s="8"/>
      <c r="AX14" s="8"/>
      <c r="AY14" s="8"/>
      <c r="AZ14" s="8"/>
      <c r="BA14" s="8"/>
      <c r="BB14" s="8"/>
      <c r="BC14" s="8"/>
      <c r="BD14" s="8"/>
      <c r="BE14" s="8"/>
      <c r="BF14" s="8"/>
      <c r="BG14" s="8"/>
      <c r="BH14" s="8"/>
      <c r="BI14" s="8"/>
      <c r="BJ14" s="8"/>
      <c r="BK14" s="8"/>
      <c r="BL14" s="8"/>
      <c r="BM14" s="8"/>
      <c r="BN14" s="8">
        <f t="shared" si="1"/>
        <v>1</v>
      </c>
      <c r="BO14" s="24">
        <f t="shared" si="2"/>
        <v>0</v>
      </c>
      <c r="BP14" s="23"/>
      <c r="BQ14" s="23"/>
    </row>
    <row r="15" spans="1:69" ht="15.5">
      <c r="A15" s="3" t="s">
        <v>12</v>
      </c>
      <c r="B15" s="3" t="s">
        <v>13</v>
      </c>
      <c r="C15" s="8">
        <v>1</v>
      </c>
      <c r="D15" s="8"/>
      <c r="E15" s="21"/>
      <c r="F15" s="21"/>
      <c r="G15" s="8"/>
      <c r="H15" s="8"/>
      <c r="I15" s="8"/>
      <c r="J15" s="8"/>
      <c r="K15" s="8"/>
      <c r="L15" s="8"/>
      <c r="M15" s="8"/>
      <c r="N15" s="21"/>
      <c r="O15" s="8"/>
      <c r="P15" s="8"/>
      <c r="Q15" s="8"/>
      <c r="R15" s="8"/>
      <c r="S15" s="8"/>
      <c r="T15" s="21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21"/>
      <c r="AN15" s="8"/>
      <c r="AO15" s="8"/>
      <c r="AP15" s="8"/>
      <c r="AQ15" s="8"/>
      <c r="AR15" s="8"/>
      <c r="AS15" s="8"/>
      <c r="AT15" s="8"/>
      <c r="AU15" s="8">
        <f t="shared" si="0"/>
        <v>1</v>
      </c>
      <c r="AV15" s="8">
        <v>1</v>
      </c>
      <c r="AW15" s="8"/>
      <c r="AX15" s="8"/>
      <c r="AY15" s="8"/>
      <c r="AZ15" s="8"/>
      <c r="BA15" s="8"/>
      <c r="BB15" s="8"/>
      <c r="BC15" s="8"/>
      <c r="BD15" s="8"/>
      <c r="BE15" s="8"/>
      <c r="BF15" s="8"/>
      <c r="BG15" s="8"/>
      <c r="BH15" s="8"/>
      <c r="BI15" s="8"/>
      <c r="BJ15" s="8"/>
      <c r="BK15" s="8"/>
      <c r="BL15" s="8"/>
      <c r="BM15" s="8"/>
      <c r="BN15" s="8">
        <f t="shared" si="1"/>
        <v>1</v>
      </c>
      <c r="BO15" s="24">
        <f t="shared" si="2"/>
        <v>0</v>
      </c>
      <c r="BP15" s="23"/>
      <c r="BQ15" s="23"/>
    </row>
    <row r="16" spans="1:69" ht="15.5">
      <c r="A16" s="3" t="s">
        <v>69</v>
      </c>
      <c r="B16" s="3" t="s">
        <v>70</v>
      </c>
      <c r="C16" s="8">
        <v>1</v>
      </c>
      <c r="D16" s="8"/>
      <c r="E16" s="21"/>
      <c r="F16" s="21"/>
      <c r="G16" s="8"/>
      <c r="H16" s="8"/>
      <c r="I16" s="8"/>
      <c r="J16" s="8"/>
      <c r="K16" s="8"/>
      <c r="L16" s="8"/>
      <c r="M16" s="8"/>
      <c r="N16" s="21"/>
      <c r="O16" s="8"/>
      <c r="P16" s="8"/>
      <c r="Q16" s="8"/>
      <c r="R16" s="8"/>
      <c r="S16" s="8"/>
      <c r="T16" s="21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21"/>
      <c r="AN16" s="8"/>
      <c r="AO16" s="8"/>
      <c r="AP16" s="8"/>
      <c r="AQ16" s="8"/>
      <c r="AR16" s="8"/>
      <c r="AS16" s="8"/>
      <c r="AT16" s="8"/>
      <c r="AU16" s="8">
        <f t="shared" si="0"/>
        <v>1</v>
      </c>
      <c r="AV16" s="8"/>
      <c r="AW16" s="8"/>
      <c r="AX16" s="8"/>
      <c r="AY16" s="8">
        <v>1</v>
      </c>
      <c r="AZ16" s="8"/>
      <c r="BA16" s="8"/>
      <c r="BB16" s="8"/>
      <c r="BC16" s="8"/>
      <c r="BD16" s="8"/>
      <c r="BE16" s="8"/>
      <c r="BF16" s="8"/>
      <c r="BG16" s="8"/>
      <c r="BH16" s="8"/>
      <c r="BI16" s="8"/>
      <c r="BJ16" s="8"/>
      <c r="BK16" s="8"/>
      <c r="BL16" s="8"/>
      <c r="BM16" s="8"/>
      <c r="BN16" s="8">
        <f t="shared" si="1"/>
        <v>1</v>
      </c>
      <c r="BO16" s="24">
        <f t="shared" si="2"/>
        <v>0</v>
      </c>
      <c r="BP16" s="23"/>
      <c r="BQ16" s="23"/>
    </row>
    <row r="17" spans="1:69" ht="15.5">
      <c r="A17" s="3" t="s">
        <v>176</v>
      </c>
      <c r="B17" s="3" t="s">
        <v>177</v>
      </c>
      <c r="C17" s="8">
        <v>1</v>
      </c>
      <c r="D17" s="8"/>
      <c r="E17" s="21"/>
      <c r="F17" s="21"/>
      <c r="G17" s="8"/>
      <c r="H17" s="8"/>
      <c r="I17" s="8"/>
      <c r="J17" s="8"/>
      <c r="K17" s="8"/>
      <c r="L17" s="8"/>
      <c r="M17" s="8"/>
      <c r="N17" s="21"/>
      <c r="O17" s="8"/>
      <c r="P17" s="8"/>
      <c r="Q17" s="8"/>
      <c r="R17" s="8"/>
      <c r="S17" s="8"/>
      <c r="T17" s="21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21"/>
      <c r="AN17" s="8"/>
      <c r="AO17" s="8"/>
      <c r="AP17" s="8"/>
      <c r="AQ17" s="8"/>
      <c r="AR17" s="8"/>
      <c r="AS17" s="8">
        <v>-1</v>
      </c>
      <c r="AT17" s="8"/>
      <c r="AU17" s="8">
        <f t="shared" si="0"/>
        <v>0</v>
      </c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  <c r="BG17" s="8"/>
      <c r="BH17" s="8"/>
      <c r="BI17" s="8"/>
      <c r="BJ17" s="8"/>
      <c r="BK17" s="8"/>
      <c r="BL17" s="8"/>
      <c r="BM17" s="8"/>
      <c r="BN17" s="8">
        <f t="shared" si="1"/>
        <v>0</v>
      </c>
      <c r="BO17" s="24">
        <f t="shared" si="2"/>
        <v>0</v>
      </c>
      <c r="BP17" s="23"/>
      <c r="BQ17" s="23"/>
    </row>
    <row r="18" spans="1:69" ht="15.5">
      <c r="A18" s="3" t="s">
        <v>190</v>
      </c>
      <c r="B18" s="3" t="s">
        <v>191</v>
      </c>
      <c r="C18" s="8"/>
      <c r="D18" s="8"/>
      <c r="E18" s="21"/>
      <c r="F18" s="21"/>
      <c r="G18" s="8"/>
      <c r="H18" s="8"/>
      <c r="I18" s="8"/>
      <c r="J18" s="8"/>
      <c r="K18" s="8"/>
      <c r="L18" s="8"/>
      <c r="M18" s="8"/>
      <c r="N18" s="21"/>
      <c r="O18" s="8"/>
      <c r="P18" s="8"/>
      <c r="Q18" s="8"/>
      <c r="R18" s="8"/>
      <c r="S18" s="8"/>
      <c r="T18" s="21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>
        <v>1</v>
      </c>
      <c r="AI18" s="8"/>
      <c r="AJ18" s="8"/>
      <c r="AK18" s="8">
        <v>1</v>
      </c>
      <c r="AL18" s="8"/>
      <c r="AM18" s="21"/>
      <c r="AN18" s="8"/>
      <c r="AO18" s="8"/>
      <c r="AP18" s="8"/>
      <c r="AQ18" s="8"/>
      <c r="AR18" s="8"/>
      <c r="AS18" s="8"/>
      <c r="AT18" s="8"/>
      <c r="AU18" s="8">
        <f t="shared" si="0"/>
        <v>2</v>
      </c>
      <c r="AV18" s="8"/>
      <c r="AW18" s="8"/>
      <c r="AX18" s="8"/>
      <c r="AY18" s="8"/>
      <c r="AZ18" s="8"/>
      <c r="BA18" s="8"/>
      <c r="BB18" s="8">
        <v>1</v>
      </c>
      <c r="BC18" s="8"/>
      <c r="BD18" s="8"/>
      <c r="BE18" s="8"/>
      <c r="BF18" s="8"/>
      <c r="BG18" s="8"/>
      <c r="BH18" s="8"/>
      <c r="BI18" s="8"/>
      <c r="BJ18" s="8"/>
      <c r="BK18" s="8"/>
      <c r="BL18" s="8"/>
      <c r="BM18" s="8"/>
      <c r="BN18" s="8">
        <f t="shared" si="1"/>
        <v>1</v>
      </c>
      <c r="BO18" s="24">
        <f t="shared" si="2"/>
        <v>1</v>
      </c>
      <c r="BP18" s="23"/>
      <c r="BQ18" s="23"/>
    </row>
    <row r="19" spans="1:69" ht="15.5">
      <c r="A19" s="3" t="s">
        <v>192</v>
      </c>
      <c r="B19" s="3" t="s">
        <v>193</v>
      </c>
      <c r="C19" s="8"/>
      <c r="D19" s="8"/>
      <c r="E19" s="21"/>
      <c r="F19" s="21"/>
      <c r="G19" s="8"/>
      <c r="H19" s="8"/>
      <c r="I19" s="8"/>
      <c r="J19" s="8"/>
      <c r="K19" s="8"/>
      <c r="L19" s="8"/>
      <c r="M19" s="8"/>
      <c r="N19" s="21"/>
      <c r="O19" s="8"/>
      <c r="P19" s="8"/>
      <c r="Q19" s="8"/>
      <c r="R19" s="8"/>
      <c r="S19" s="8"/>
      <c r="T19" s="21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>
        <v>2</v>
      </c>
      <c r="AI19" s="8"/>
      <c r="AJ19" s="8"/>
      <c r="AK19" s="8"/>
      <c r="AL19" s="8"/>
      <c r="AM19" s="21"/>
      <c r="AN19" s="8"/>
      <c r="AO19" s="8"/>
      <c r="AP19" s="8"/>
      <c r="AQ19" s="8"/>
      <c r="AR19" s="8"/>
      <c r="AS19" s="8"/>
      <c r="AT19" s="8"/>
      <c r="AU19" s="8">
        <f t="shared" si="0"/>
        <v>2</v>
      </c>
      <c r="AV19" s="8"/>
      <c r="AW19" s="8"/>
      <c r="AX19" s="8"/>
      <c r="AY19" s="8"/>
      <c r="AZ19" s="8"/>
      <c r="BA19" s="8"/>
      <c r="BB19" s="8"/>
      <c r="BC19" s="8"/>
      <c r="BD19" s="8">
        <v>1</v>
      </c>
      <c r="BE19" s="8"/>
      <c r="BF19" s="8"/>
      <c r="BG19" s="8"/>
      <c r="BH19" s="8"/>
      <c r="BI19" s="8"/>
      <c r="BJ19" s="8"/>
      <c r="BK19" s="8"/>
      <c r="BL19" s="8"/>
      <c r="BM19" s="8"/>
      <c r="BN19" s="8">
        <f t="shared" si="1"/>
        <v>1</v>
      </c>
      <c r="BO19" s="24">
        <f t="shared" si="2"/>
        <v>1</v>
      </c>
      <c r="BP19" s="23"/>
      <c r="BQ19" s="23"/>
    </row>
    <row r="20" spans="1:69" ht="15.5">
      <c r="A20" s="3" t="s">
        <v>194</v>
      </c>
      <c r="B20" s="3" t="s">
        <v>195</v>
      </c>
      <c r="C20" s="8"/>
      <c r="D20" s="8"/>
      <c r="E20" s="21"/>
      <c r="F20" s="21"/>
      <c r="G20" s="8"/>
      <c r="H20" s="8"/>
      <c r="I20" s="8"/>
      <c r="J20" s="8"/>
      <c r="K20" s="8"/>
      <c r="L20" s="8"/>
      <c r="M20" s="8"/>
      <c r="N20" s="21"/>
      <c r="O20" s="8"/>
      <c r="P20" s="8"/>
      <c r="Q20" s="8"/>
      <c r="R20" s="8"/>
      <c r="S20" s="8"/>
      <c r="T20" s="21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>
        <v>2</v>
      </c>
      <c r="AI20" s="8"/>
      <c r="AJ20" s="8"/>
      <c r="AK20" s="8"/>
      <c r="AL20" s="8">
        <v>1</v>
      </c>
      <c r="AM20" s="21"/>
      <c r="AN20" s="8"/>
      <c r="AO20" s="8"/>
      <c r="AP20" s="8"/>
      <c r="AQ20" s="8">
        <v>2</v>
      </c>
      <c r="AR20" s="8"/>
      <c r="AS20" s="8"/>
      <c r="AT20" s="8"/>
      <c r="AU20" s="8">
        <f t="shared" si="0"/>
        <v>5</v>
      </c>
      <c r="AV20" s="8"/>
      <c r="AW20" s="8"/>
      <c r="AX20" s="8"/>
      <c r="AY20" s="8"/>
      <c r="AZ20" s="8"/>
      <c r="BA20" s="8"/>
      <c r="BB20" s="8"/>
      <c r="BC20" s="8">
        <v>1</v>
      </c>
      <c r="BD20" s="8">
        <v>2</v>
      </c>
      <c r="BE20" s="8"/>
      <c r="BF20" s="8"/>
      <c r="BG20" s="8"/>
      <c r="BH20" s="8"/>
      <c r="BI20" s="8"/>
      <c r="BJ20" s="8"/>
      <c r="BK20" s="8"/>
      <c r="BL20" s="8"/>
      <c r="BM20" s="8"/>
      <c r="BN20" s="8">
        <f t="shared" si="1"/>
        <v>3</v>
      </c>
      <c r="BO20" s="24">
        <f t="shared" si="2"/>
        <v>2</v>
      </c>
      <c r="BP20" s="23"/>
      <c r="BQ20" s="23"/>
    </row>
    <row r="21" spans="1:69" ht="15.5">
      <c r="A21" s="3" t="s">
        <v>196</v>
      </c>
      <c r="B21" s="3" t="s">
        <v>197</v>
      </c>
      <c r="C21" s="8"/>
      <c r="D21" s="8"/>
      <c r="E21" s="21"/>
      <c r="F21" s="21"/>
      <c r="G21" s="8"/>
      <c r="H21" s="8"/>
      <c r="I21" s="8"/>
      <c r="J21" s="8"/>
      <c r="K21" s="8"/>
      <c r="L21" s="8"/>
      <c r="M21" s="8"/>
      <c r="N21" s="21"/>
      <c r="O21" s="8"/>
      <c r="P21" s="8"/>
      <c r="Q21" s="8"/>
      <c r="R21" s="8"/>
      <c r="S21" s="8"/>
      <c r="T21" s="21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>
        <v>2</v>
      </c>
      <c r="AI21" s="8"/>
      <c r="AJ21" s="8"/>
      <c r="AK21" s="8"/>
      <c r="AL21" s="8"/>
      <c r="AM21" s="21"/>
      <c r="AN21" s="8"/>
      <c r="AO21" s="8"/>
      <c r="AP21" s="8"/>
      <c r="AQ21" s="8"/>
      <c r="AR21" s="8"/>
      <c r="AS21" s="8"/>
      <c r="AT21" s="8"/>
      <c r="AU21" s="8">
        <f t="shared" si="0"/>
        <v>2</v>
      </c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H21" s="8"/>
      <c r="BI21" s="8"/>
      <c r="BJ21" s="8"/>
      <c r="BK21" s="8"/>
      <c r="BL21" s="8"/>
      <c r="BM21" s="8"/>
      <c r="BN21" s="8">
        <f t="shared" si="1"/>
        <v>0</v>
      </c>
      <c r="BO21" s="24">
        <f t="shared" si="2"/>
        <v>2</v>
      </c>
      <c r="BP21" s="23"/>
      <c r="BQ21" s="23"/>
    </row>
    <row r="22" spans="1:69" ht="15.5">
      <c r="A22" s="3" t="s">
        <v>198</v>
      </c>
      <c r="B22" s="3" t="s">
        <v>199</v>
      </c>
      <c r="C22" s="8"/>
      <c r="D22" s="8"/>
      <c r="E22" s="21"/>
      <c r="F22" s="21"/>
      <c r="G22" s="8"/>
      <c r="H22" s="8"/>
      <c r="I22" s="8"/>
      <c r="J22" s="8"/>
      <c r="K22" s="8"/>
      <c r="L22" s="8"/>
      <c r="M22" s="8"/>
      <c r="N22" s="21"/>
      <c r="O22" s="8"/>
      <c r="P22" s="8"/>
      <c r="Q22" s="8"/>
      <c r="R22" s="8"/>
      <c r="S22" s="8"/>
      <c r="T22" s="21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>
        <v>1</v>
      </c>
      <c r="AI22" s="8"/>
      <c r="AJ22" s="8"/>
      <c r="AK22" s="8"/>
      <c r="AL22" s="8"/>
      <c r="AM22" s="21"/>
      <c r="AN22" s="8"/>
      <c r="AO22" s="8"/>
      <c r="AP22" s="8"/>
      <c r="AQ22" s="8"/>
      <c r="AR22" s="8"/>
      <c r="AS22" s="8"/>
      <c r="AT22" s="8"/>
      <c r="AU22" s="8">
        <f t="shared" si="0"/>
        <v>1</v>
      </c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  <c r="BG22" s="8"/>
      <c r="BH22" s="8"/>
      <c r="BI22" s="8"/>
      <c r="BJ22" s="8"/>
      <c r="BK22" s="8"/>
      <c r="BL22" s="8"/>
      <c r="BM22" s="8"/>
      <c r="BN22" s="8">
        <f t="shared" si="1"/>
        <v>0</v>
      </c>
      <c r="BO22" s="24">
        <f t="shared" si="2"/>
        <v>1</v>
      </c>
      <c r="BP22" s="23"/>
      <c r="BQ22" s="23"/>
    </row>
    <row r="23" spans="1:69" ht="15.5">
      <c r="A23" s="3" t="s">
        <v>391</v>
      </c>
      <c r="B23" s="3" t="s">
        <v>392</v>
      </c>
      <c r="C23" s="8"/>
      <c r="D23" s="8"/>
      <c r="E23" s="21"/>
      <c r="F23" s="21"/>
      <c r="G23" s="8"/>
      <c r="H23" s="8"/>
      <c r="I23" s="8"/>
      <c r="J23" s="8"/>
      <c r="K23" s="8"/>
      <c r="L23" s="8"/>
      <c r="M23" s="8"/>
      <c r="N23" s="21"/>
      <c r="O23" s="8"/>
      <c r="P23" s="8"/>
      <c r="Q23" s="8">
        <v>1</v>
      </c>
      <c r="R23" s="8"/>
      <c r="S23" s="8">
        <v>1</v>
      </c>
      <c r="T23" s="21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21"/>
      <c r="AN23" s="8"/>
      <c r="AO23" s="8"/>
      <c r="AP23" s="8"/>
      <c r="AQ23" s="8"/>
      <c r="AR23" s="8"/>
      <c r="AS23" s="8"/>
      <c r="AT23" s="8"/>
      <c r="AU23" s="8">
        <f t="shared" si="0"/>
        <v>2</v>
      </c>
      <c r="AV23" s="8">
        <v>1</v>
      </c>
      <c r="AW23" s="8">
        <v>1</v>
      </c>
      <c r="AX23" s="8"/>
      <c r="AY23" s="8"/>
      <c r="AZ23" s="8"/>
      <c r="BA23" s="8"/>
      <c r="BB23" s="8"/>
      <c r="BC23" s="8"/>
      <c r="BD23" s="8"/>
      <c r="BE23" s="8"/>
      <c r="BF23" s="8"/>
      <c r="BG23" s="8"/>
      <c r="BH23" s="8"/>
      <c r="BI23" s="8"/>
      <c r="BJ23" s="8"/>
      <c r="BK23" s="8"/>
      <c r="BL23" s="8"/>
      <c r="BM23" s="8"/>
      <c r="BN23" s="8">
        <f t="shared" si="1"/>
        <v>2</v>
      </c>
      <c r="BO23" s="24">
        <f t="shared" si="2"/>
        <v>0</v>
      </c>
      <c r="BP23" s="23"/>
      <c r="BQ23" s="23"/>
    </row>
    <row r="24" spans="1:69" ht="15.5">
      <c r="A24" s="3" t="s">
        <v>178</v>
      </c>
      <c r="B24" s="3" t="s">
        <v>179</v>
      </c>
      <c r="C24" s="8"/>
      <c r="D24" s="8"/>
      <c r="E24" s="21"/>
      <c r="F24" s="21"/>
      <c r="G24" s="8"/>
      <c r="H24" s="8"/>
      <c r="I24" s="8"/>
      <c r="J24" s="8"/>
      <c r="K24" s="8"/>
      <c r="L24" s="8"/>
      <c r="M24" s="8"/>
      <c r="N24" s="21"/>
      <c r="O24" s="8"/>
      <c r="P24" s="8"/>
      <c r="Q24" s="8">
        <v>1</v>
      </c>
      <c r="R24" s="8"/>
      <c r="S24" s="8">
        <v>1</v>
      </c>
      <c r="T24" s="21"/>
      <c r="U24" s="8"/>
      <c r="V24" s="8"/>
      <c r="W24" s="8"/>
      <c r="X24" s="8"/>
      <c r="Y24" s="8"/>
      <c r="Z24" s="8"/>
      <c r="AA24" s="8"/>
      <c r="AB24" s="8"/>
      <c r="AC24" s="8">
        <v>1</v>
      </c>
      <c r="AD24" s="8"/>
      <c r="AE24" s="8">
        <v>1</v>
      </c>
      <c r="AF24" s="8"/>
      <c r="AG24" s="8"/>
      <c r="AH24" s="8"/>
      <c r="AI24" s="8"/>
      <c r="AJ24" s="8"/>
      <c r="AK24" s="8"/>
      <c r="AL24" s="8"/>
      <c r="AM24" s="21"/>
      <c r="AN24" s="8"/>
      <c r="AO24" s="8"/>
      <c r="AP24" s="8"/>
      <c r="AQ24" s="8"/>
      <c r="AR24" s="8"/>
      <c r="AS24" s="8"/>
      <c r="AT24" s="8"/>
      <c r="AU24" s="8">
        <f t="shared" si="0"/>
        <v>4</v>
      </c>
      <c r="AV24" s="8"/>
      <c r="AW24" s="8">
        <v>1</v>
      </c>
      <c r="AX24" s="8"/>
      <c r="AY24" s="8"/>
      <c r="AZ24" s="8">
        <v>2</v>
      </c>
      <c r="BA24" s="8"/>
      <c r="BB24" s="8">
        <v>1</v>
      </c>
      <c r="BC24" s="8"/>
      <c r="BD24" s="8"/>
      <c r="BE24" s="8"/>
      <c r="BF24" s="8"/>
      <c r="BG24" s="8"/>
      <c r="BH24" s="8"/>
      <c r="BI24" s="8"/>
      <c r="BJ24" s="8"/>
      <c r="BK24" s="8"/>
      <c r="BL24" s="8"/>
      <c r="BM24" s="8"/>
      <c r="BN24" s="8">
        <f t="shared" si="1"/>
        <v>4</v>
      </c>
      <c r="BO24" s="24">
        <f t="shared" si="2"/>
        <v>0</v>
      </c>
      <c r="BP24" s="23"/>
      <c r="BQ24" s="23"/>
    </row>
    <row r="25" spans="1:69" ht="15.5">
      <c r="A25" s="3" t="s">
        <v>180</v>
      </c>
      <c r="B25" s="3" t="s">
        <v>181</v>
      </c>
      <c r="C25" s="8"/>
      <c r="D25" s="8"/>
      <c r="E25" s="21"/>
      <c r="F25" s="21"/>
      <c r="G25" s="8"/>
      <c r="H25" s="8"/>
      <c r="I25" s="8"/>
      <c r="J25" s="8"/>
      <c r="K25" s="8"/>
      <c r="L25" s="8"/>
      <c r="M25" s="8"/>
      <c r="N25" s="21"/>
      <c r="O25" s="8"/>
      <c r="P25" s="8"/>
      <c r="Q25" s="8">
        <v>1</v>
      </c>
      <c r="R25" s="8"/>
      <c r="S25" s="8">
        <v>1</v>
      </c>
      <c r="T25" s="21"/>
      <c r="U25" s="8"/>
      <c r="V25" s="8"/>
      <c r="W25" s="8">
        <v>1</v>
      </c>
      <c r="X25" s="8"/>
      <c r="Y25" s="8"/>
      <c r="Z25" s="8"/>
      <c r="AA25" s="8"/>
      <c r="AB25" s="8"/>
      <c r="AC25" s="8">
        <v>1</v>
      </c>
      <c r="AD25" s="8"/>
      <c r="AE25" s="8">
        <v>1</v>
      </c>
      <c r="AF25" s="8"/>
      <c r="AG25" s="8"/>
      <c r="AH25" s="8"/>
      <c r="AI25" s="8"/>
      <c r="AJ25" s="8"/>
      <c r="AK25" s="8"/>
      <c r="AL25" s="8"/>
      <c r="AM25" s="21"/>
      <c r="AN25" s="8"/>
      <c r="AO25" s="8"/>
      <c r="AP25" s="8"/>
      <c r="AQ25" s="8"/>
      <c r="AR25" s="8"/>
      <c r="AS25" s="8"/>
      <c r="AT25" s="8"/>
      <c r="AU25" s="8">
        <f t="shared" si="0"/>
        <v>5</v>
      </c>
      <c r="AV25" s="8"/>
      <c r="AW25" s="8"/>
      <c r="AX25" s="8">
        <v>1</v>
      </c>
      <c r="AY25" s="8"/>
      <c r="AZ25" s="8">
        <v>1</v>
      </c>
      <c r="BA25" s="8"/>
      <c r="BB25" s="8"/>
      <c r="BC25" s="8"/>
      <c r="BD25" s="8"/>
      <c r="BE25" s="8"/>
      <c r="BF25" s="8"/>
      <c r="BG25" s="8"/>
      <c r="BH25" s="8"/>
      <c r="BI25" s="8"/>
      <c r="BJ25" s="8"/>
      <c r="BK25" s="8"/>
      <c r="BL25" s="8"/>
      <c r="BM25" s="8"/>
      <c r="BN25" s="8">
        <f t="shared" si="1"/>
        <v>2</v>
      </c>
      <c r="BO25" s="24">
        <f t="shared" si="2"/>
        <v>3</v>
      </c>
      <c r="BP25" s="23"/>
      <c r="BQ25" s="23"/>
    </row>
    <row r="26" spans="1:69" ht="15.5">
      <c r="A26" s="3" t="s">
        <v>182</v>
      </c>
      <c r="B26" s="3" t="s">
        <v>183</v>
      </c>
      <c r="C26" s="8"/>
      <c r="D26" s="8"/>
      <c r="E26" s="21"/>
      <c r="F26" s="21"/>
      <c r="G26" s="8"/>
      <c r="H26" s="8"/>
      <c r="I26" s="8"/>
      <c r="J26" s="8"/>
      <c r="K26" s="8"/>
      <c r="L26" s="8"/>
      <c r="M26" s="8"/>
      <c r="N26" s="21"/>
      <c r="O26" s="8"/>
      <c r="P26" s="8"/>
      <c r="Q26" s="8">
        <v>1</v>
      </c>
      <c r="R26" s="8"/>
      <c r="S26" s="8"/>
      <c r="T26" s="21"/>
      <c r="U26" s="8">
        <v>1</v>
      </c>
      <c r="V26" s="8"/>
      <c r="W26" s="8"/>
      <c r="X26" s="8">
        <v>1</v>
      </c>
      <c r="Y26" s="8"/>
      <c r="Z26" s="8"/>
      <c r="AA26" s="8"/>
      <c r="AB26" s="8"/>
      <c r="AC26" s="8"/>
      <c r="AD26" s="8"/>
      <c r="AE26" s="8">
        <v>1</v>
      </c>
      <c r="AF26" s="8"/>
      <c r="AG26" s="8"/>
      <c r="AH26" s="8"/>
      <c r="AI26" s="8"/>
      <c r="AJ26" s="8"/>
      <c r="AK26" s="8"/>
      <c r="AL26" s="8"/>
      <c r="AM26" s="21"/>
      <c r="AN26" s="8"/>
      <c r="AO26" s="8"/>
      <c r="AP26" s="8"/>
      <c r="AQ26" s="8"/>
      <c r="AR26" s="8"/>
      <c r="AS26" s="8"/>
      <c r="AT26" s="8"/>
      <c r="AU26" s="8">
        <f t="shared" si="0"/>
        <v>4</v>
      </c>
      <c r="AV26" s="8"/>
      <c r="AW26" s="8">
        <v>1</v>
      </c>
      <c r="AX26" s="8"/>
      <c r="AY26" s="8"/>
      <c r="AZ26" s="8"/>
      <c r="BA26" s="8"/>
      <c r="BB26" s="8">
        <v>1</v>
      </c>
      <c r="BC26" s="8"/>
      <c r="BD26" s="8">
        <v>2</v>
      </c>
      <c r="BE26" s="8"/>
      <c r="BF26" s="8"/>
      <c r="BG26" s="8"/>
      <c r="BH26" s="8"/>
      <c r="BI26" s="8"/>
      <c r="BJ26" s="8"/>
      <c r="BK26" s="8"/>
      <c r="BL26" s="8"/>
      <c r="BM26" s="8"/>
      <c r="BN26" s="8">
        <f t="shared" si="1"/>
        <v>4</v>
      </c>
      <c r="BO26" s="24">
        <f t="shared" si="2"/>
        <v>0</v>
      </c>
      <c r="BP26" s="23"/>
      <c r="BQ26" s="23"/>
    </row>
    <row r="27" spans="1:69" ht="15.5">
      <c r="A27" s="3" t="s">
        <v>184</v>
      </c>
      <c r="B27" s="3" t="s">
        <v>185</v>
      </c>
      <c r="C27" s="8"/>
      <c r="D27" s="8"/>
      <c r="E27" s="21"/>
      <c r="F27" s="21"/>
      <c r="G27" s="8"/>
      <c r="H27" s="8"/>
      <c r="I27" s="8"/>
      <c r="J27" s="8"/>
      <c r="K27" s="8"/>
      <c r="L27" s="8"/>
      <c r="M27" s="8"/>
      <c r="N27" s="21"/>
      <c r="O27" s="8"/>
      <c r="P27" s="8"/>
      <c r="Q27" s="8">
        <v>1</v>
      </c>
      <c r="R27" s="8"/>
      <c r="S27" s="8"/>
      <c r="T27" s="21"/>
      <c r="U27" s="8"/>
      <c r="V27" s="8"/>
      <c r="W27" s="8"/>
      <c r="X27" s="8">
        <v>1</v>
      </c>
      <c r="Y27" s="8"/>
      <c r="Z27" s="8"/>
      <c r="AA27" s="8"/>
      <c r="AB27" s="8"/>
      <c r="AC27" s="8"/>
      <c r="AD27" s="8"/>
      <c r="AE27" s="8">
        <v>1</v>
      </c>
      <c r="AF27" s="8"/>
      <c r="AG27" s="8"/>
      <c r="AH27" s="8"/>
      <c r="AI27" s="8"/>
      <c r="AJ27" s="8"/>
      <c r="AK27" s="8"/>
      <c r="AL27" s="8"/>
      <c r="AM27" s="21"/>
      <c r="AN27" s="8"/>
      <c r="AO27" s="8"/>
      <c r="AP27" s="8"/>
      <c r="AQ27" s="8"/>
      <c r="AR27" s="8"/>
      <c r="AS27" s="8"/>
      <c r="AT27" s="8"/>
      <c r="AU27" s="8">
        <f t="shared" si="0"/>
        <v>3</v>
      </c>
      <c r="AV27" s="8"/>
      <c r="AW27" s="8"/>
      <c r="AX27" s="8"/>
      <c r="AY27" s="8"/>
      <c r="AZ27" s="8"/>
      <c r="BA27" s="8">
        <v>1</v>
      </c>
      <c r="BB27" s="8"/>
      <c r="BC27" s="8">
        <v>1</v>
      </c>
      <c r="BD27" s="8">
        <v>1</v>
      </c>
      <c r="BE27" s="8"/>
      <c r="BF27" s="8"/>
      <c r="BG27" s="8"/>
      <c r="BH27" s="8"/>
      <c r="BI27" s="8"/>
      <c r="BJ27" s="8"/>
      <c r="BK27" s="8"/>
      <c r="BL27" s="8"/>
      <c r="BM27" s="8"/>
      <c r="BN27" s="8">
        <f t="shared" si="1"/>
        <v>3</v>
      </c>
      <c r="BO27" s="24">
        <f t="shared" si="2"/>
        <v>0</v>
      </c>
      <c r="BP27" s="23"/>
      <c r="BQ27" s="23"/>
    </row>
    <row r="28" spans="1:69" ht="15.5">
      <c r="A28" s="3" t="s">
        <v>186</v>
      </c>
      <c r="B28" s="3" t="s">
        <v>187</v>
      </c>
      <c r="C28" s="8"/>
      <c r="D28" s="8"/>
      <c r="E28" s="21"/>
      <c r="F28" s="21"/>
      <c r="G28" s="8"/>
      <c r="H28" s="8"/>
      <c r="I28" s="8"/>
      <c r="J28" s="8"/>
      <c r="K28" s="8"/>
      <c r="L28" s="8"/>
      <c r="M28" s="8"/>
      <c r="N28" s="21"/>
      <c r="O28" s="8"/>
      <c r="P28" s="8"/>
      <c r="Q28" s="8">
        <v>1</v>
      </c>
      <c r="R28" s="8"/>
      <c r="S28" s="8">
        <v>1</v>
      </c>
      <c r="T28" s="21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21"/>
      <c r="AN28" s="8"/>
      <c r="AO28" s="8"/>
      <c r="AP28" s="8"/>
      <c r="AQ28" s="8"/>
      <c r="AR28" s="8"/>
      <c r="AS28" s="8"/>
      <c r="AT28" s="8"/>
      <c r="AU28" s="8">
        <f t="shared" si="0"/>
        <v>2</v>
      </c>
      <c r="AV28" s="8">
        <v>1</v>
      </c>
      <c r="AW28" s="8"/>
      <c r="AX28" s="8">
        <v>1</v>
      </c>
      <c r="AY28" s="8"/>
      <c r="AZ28" s="8"/>
      <c r="BA28" s="8"/>
      <c r="BB28" s="8"/>
      <c r="BC28" s="8"/>
      <c r="BD28" s="8"/>
      <c r="BE28" s="8"/>
      <c r="BF28" s="8"/>
      <c r="BG28" s="8"/>
      <c r="BH28" s="8"/>
      <c r="BI28" s="8"/>
      <c r="BJ28" s="8"/>
      <c r="BK28" s="8"/>
      <c r="BL28" s="8"/>
      <c r="BM28" s="8"/>
      <c r="BN28" s="8">
        <f t="shared" si="1"/>
        <v>2</v>
      </c>
      <c r="BO28" s="24">
        <f t="shared" si="2"/>
        <v>0</v>
      </c>
      <c r="BP28" s="23"/>
      <c r="BQ28" s="23"/>
    </row>
    <row r="29" spans="1:69" ht="15.5">
      <c r="A29" s="3" t="s">
        <v>393</v>
      </c>
      <c r="B29" s="3" t="s">
        <v>394</v>
      </c>
      <c r="C29" s="8"/>
      <c r="D29" s="8"/>
      <c r="E29" s="21"/>
      <c r="F29" s="21"/>
      <c r="G29" s="8"/>
      <c r="H29" s="8"/>
      <c r="I29" s="8"/>
      <c r="J29" s="8"/>
      <c r="K29" s="8"/>
      <c r="L29" s="8"/>
      <c r="M29" s="8"/>
      <c r="N29" s="21"/>
      <c r="O29" s="8"/>
      <c r="P29" s="8"/>
      <c r="Q29" s="8"/>
      <c r="R29" s="8"/>
      <c r="S29" s="8"/>
      <c r="T29" s="21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>
        <v>1</v>
      </c>
      <c r="AL29" s="8"/>
      <c r="AM29" s="21"/>
      <c r="AN29" s="8"/>
      <c r="AO29" s="8"/>
      <c r="AP29" s="8"/>
      <c r="AQ29" s="8"/>
      <c r="AR29" s="8">
        <v>1</v>
      </c>
      <c r="AS29" s="8"/>
      <c r="AT29" s="8"/>
      <c r="AU29" s="8">
        <f t="shared" si="0"/>
        <v>2</v>
      </c>
      <c r="AV29" s="8"/>
      <c r="AW29" s="8"/>
      <c r="AX29" s="8"/>
      <c r="AY29" s="8"/>
      <c r="AZ29" s="8"/>
      <c r="BA29" s="8"/>
      <c r="BB29" s="8"/>
      <c r="BC29" s="8"/>
      <c r="BD29" s="8">
        <v>1</v>
      </c>
      <c r="BE29" s="8"/>
      <c r="BF29" s="8"/>
      <c r="BG29" s="8"/>
      <c r="BH29" s="8"/>
      <c r="BI29" s="8"/>
      <c r="BJ29" s="8"/>
      <c r="BK29" s="8"/>
      <c r="BL29" s="8"/>
      <c r="BM29" s="8"/>
      <c r="BN29" s="8">
        <f t="shared" si="1"/>
        <v>1</v>
      </c>
      <c r="BO29" s="24">
        <f t="shared" si="2"/>
        <v>1</v>
      </c>
      <c r="BP29" s="23"/>
      <c r="BQ29" s="23"/>
    </row>
    <row r="30" spans="1:69" ht="15.5">
      <c r="A30" s="3" t="s">
        <v>208</v>
      </c>
      <c r="B30" s="3" t="s">
        <v>209</v>
      </c>
      <c r="C30" s="8"/>
      <c r="D30" s="8"/>
      <c r="E30" s="21"/>
      <c r="F30" s="21"/>
      <c r="G30" s="8"/>
      <c r="H30" s="8"/>
      <c r="I30" s="8"/>
      <c r="J30" s="8"/>
      <c r="K30" s="8"/>
      <c r="L30" s="8"/>
      <c r="M30" s="8"/>
      <c r="N30" s="21"/>
      <c r="O30" s="8"/>
      <c r="P30" s="8"/>
      <c r="Q30" s="8">
        <v>1</v>
      </c>
      <c r="R30" s="8"/>
      <c r="S30" s="8"/>
      <c r="T30" s="21"/>
      <c r="U30" s="8"/>
      <c r="V30" s="8"/>
      <c r="W30" s="8"/>
      <c r="X30" s="8"/>
      <c r="Y30" s="8"/>
      <c r="Z30" s="8">
        <v>1</v>
      </c>
      <c r="AA30" s="8"/>
      <c r="AB30" s="8"/>
      <c r="AC30" s="8"/>
      <c r="AD30" s="8"/>
      <c r="AE30" s="8"/>
      <c r="AF30" s="8"/>
      <c r="AG30" s="8"/>
      <c r="AH30" s="8"/>
      <c r="AI30" s="8"/>
      <c r="AJ30" s="8">
        <v>1</v>
      </c>
      <c r="AK30" s="8"/>
      <c r="AL30" s="8"/>
      <c r="AM30" s="21"/>
      <c r="AN30" s="8">
        <v>1</v>
      </c>
      <c r="AO30" s="8"/>
      <c r="AP30" s="8">
        <v>1</v>
      </c>
      <c r="AQ30" s="8"/>
      <c r="AR30" s="8"/>
      <c r="AS30" s="8"/>
      <c r="AT30" s="8">
        <v>1</v>
      </c>
      <c r="AU30" s="8">
        <f t="shared" si="0"/>
        <v>6</v>
      </c>
      <c r="AV30" s="8">
        <v>1</v>
      </c>
      <c r="AW30" s="8"/>
      <c r="AX30" s="8"/>
      <c r="AY30" s="8"/>
      <c r="AZ30" s="8"/>
      <c r="BA30" s="8">
        <v>1</v>
      </c>
      <c r="BB30" s="8"/>
      <c r="BC30" s="8"/>
      <c r="BD30" s="8">
        <v>1</v>
      </c>
      <c r="BE30" s="8">
        <v>1</v>
      </c>
      <c r="BF30" s="8"/>
      <c r="BG30" s="8"/>
      <c r="BH30" s="8"/>
      <c r="BI30" s="8"/>
      <c r="BJ30" s="8"/>
      <c r="BK30" s="8"/>
      <c r="BL30" s="8"/>
      <c r="BM30" s="8"/>
      <c r="BN30" s="8">
        <f t="shared" si="1"/>
        <v>4</v>
      </c>
      <c r="BO30" s="24">
        <f t="shared" si="2"/>
        <v>2</v>
      </c>
      <c r="BP30" s="23"/>
      <c r="BQ30" s="23"/>
    </row>
    <row r="31" spans="1:69" ht="15.5">
      <c r="A31" s="3" t="s">
        <v>210</v>
      </c>
      <c r="B31" s="3" t="s">
        <v>211</v>
      </c>
      <c r="C31" s="8"/>
      <c r="D31" s="8"/>
      <c r="E31" s="21"/>
      <c r="F31" s="21"/>
      <c r="G31" s="8"/>
      <c r="H31" s="8"/>
      <c r="I31" s="8"/>
      <c r="J31" s="8"/>
      <c r="K31" s="8"/>
      <c r="L31" s="8"/>
      <c r="M31" s="8"/>
      <c r="N31" s="21"/>
      <c r="O31" s="8"/>
      <c r="P31" s="8"/>
      <c r="Q31" s="8">
        <v>1</v>
      </c>
      <c r="R31" s="8"/>
      <c r="S31" s="8">
        <v>1</v>
      </c>
      <c r="T31" s="21"/>
      <c r="U31" s="8"/>
      <c r="V31" s="8"/>
      <c r="W31" s="8"/>
      <c r="X31" s="8"/>
      <c r="Y31" s="8"/>
      <c r="Z31" s="8">
        <v>2</v>
      </c>
      <c r="AA31" s="8"/>
      <c r="AB31" s="8"/>
      <c r="AC31" s="8"/>
      <c r="AD31" s="8"/>
      <c r="AE31" s="8"/>
      <c r="AF31" s="8"/>
      <c r="AG31" s="8"/>
      <c r="AH31" s="8"/>
      <c r="AI31" s="8"/>
      <c r="AJ31" s="8">
        <v>1</v>
      </c>
      <c r="AK31" s="8"/>
      <c r="AL31" s="8">
        <v>1</v>
      </c>
      <c r="AM31" s="21"/>
      <c r="AN31" s="8"/>
      <c r="AO31" s="8"/>
      <c r="AP31" s="8">
        <v>1</v>
      </c>
      <c r="AQ31" s="8"/>
      <c r="AR31" s="8"/>
      <c r="AS31" s="8"/>
      <c r="AT31" s="8"/>
      <c r="AU31" s="8">
        <f t="shared" si="0"/>
        <v>7</v>
      </c>
      <c r="AV31" s="8"/>
      <c r="AW31" s="8">
        <v>1</v>
      </c>
      <c r="AX31" s="8">
        <v>1</v>
      </c>
      <c r="AY31" s="8"/>
      <c r="AZ31" s="8"/>
      <c r="BA31" s="8">
        <v>1</v>
      </c>
      <c r="BB31" s="8">
        <v>1</v>
      </c>
      <c r="BC31" s="8">
        <v>1</v>
      </c>
      <c r="BD31" s="8">
        <v>1</v>
      </c>
      <c r="BE31" s="8"/>
      <c r="BF31" s="8"/>
      <c r="BG31" s="8"/>
      <c r="BH31" s="8"/>
      <c r="BI31" s="8"/>
      <c r="BJ31" s="8"/>
      <c r="BK31" s="8"/>
      <c r="BL31" s="8"/>
      <c r="BM31" s="8"/>
      <c r="BN31" s="8">
        <f t="shared" si="1"/>
        <v>6</v>
      </c>
      <c r="BO31" s="24">
        <f t="shared" si="2"/>
        <v>1</v>
      </c>
      <c r="BP31" s="23"/>
      <c r="BQ31" s="23"/>
    </row>
    <row r="32" spans="1:69" ht="15.5">
      <c r="A32" s="3" t="s">
        <v>212</v>
      </c>
      <c r="B32" s="3" t="s">
        <v>213</v>
      </c>
      <c r="C32" s="8"/>
      <c r="D32" s="8"/>
      <c r="E32" s="21"/>
      <c r="F32" s="21"/>
      <c r="G32" s="8"/>
      <c r="H32" s="8"/>
      <c r="I32" s="8"/>
      <c r="J32" s="8"/>
      <c r="K32" s="8"/>
      <c r="L32" s="8"/>
      <c r="M32" s="8"/>
      <c r="N32" s="21"/>
      <c r="O32" s="8"/>
      <c r="P32" s="8"/>
      <c r="Q32" s="8">
        <v>1</v>
      </c>
      <c r="R32" s="8"/>
      <c r="S32" s="8"/>
      <c r="T32" s="21"/>
      <c r="U32" s="8">
        <v>1</v>
      </c>
      <c r="V32" s="8"/>
      <c r="W32" s="8"/>
      <c r="X32" s="8"/>
      <c r="Y32" s="8"/>
      <c r="Z32" s="8">
        <v>2</v>
      </c>
      <c r="AA32" s="8"/>
      <c r="AB32" s="8"/>
      <c r="AC32" s="8"/>
      <c r="AD32" s="8"/>
      <c r="AE32" s="8"/>
      <c r="AF32" s="8"/>
      <c r="AG32" s="8"/>
      <c r="AH32" s="8"/>
      <c r="AI32" s="8"/>
      <c r="AJ32" s="8">
        <v>1</v>
      </c>
      <c r="AK32" s="8"/>
      <c r="AL32" s="8"/>
      <c r="AM32" s="21"/>
      <c r="AN32" s="8"/>
      <c r="AO32" s="8"/>
      <c r="AP32" s="8"/>
      <c r="AQ32" s="8"/>
      <c r="AR32" s="8"/>
      <c r="AS32" s="8"/>
      <c r="AT32" s="8"/>
      <c r="AU32" s="8">
        <f t="shared" si="0"/>
        <v>5</v>
      </c>
      <c r="AV32" s="8"/>
      <c r="AW32" s="8">
        <v>1</v>
      </c>
      <c r="AX32" s="8"/>
      <c r="AY32" s="8"/>
      <c r="AZ32" s="8">
        <v>1</v>
      </c>
      <c r="BA32" s="8"/>
      <c r="BB32" s="8"/>
      <c r="BC32" s="8">
        <v>2</v>
      </c>
      <c r="BD32" s="8"/>
      <c r="BE32" s="8"/>
      <c r="BF32" s="8"/>
      <c r="BG32" s="8"/>
      <c r="BH32" s="8"/>
      <c r="BI32" s="8"/>
      <c r="BJ32" s="8"/>
      <c r="BK32" s="8"/>
      <c r="BL32" s="8"/>
      <c r="BM32" s="8"/>
      <c r="BN32" s="8">
        <f t="shared" si="1"/>
        <v>4</v>
      </c>
      <c r="BO32" s="24">
        <f t="shared" si="2"/>
        <v>1</v>
      </c>
      <c r="BP32" s="23"/>
      <c r="BQ32" s="23"/>
    </row>
    <row r="33" spans="1:69" ht="15.5">
      <c r="A33" s="3" t="s">
        <v>214</v>
      </c>
      <c r="B33" s="3" t="s">
        <v>215</v>
      </c>
      <c r="C33" s="8"/>
      <c r="D33" s="8"/>
      <c r="E33" s="21"/>
      <c r="F33" s="21"/>
      <c r="G33" s="8"/>
      <c r="H33" s="8"/>
      <c r="I33" s="8"/>
      <c r="J33" s="8"/>
      <c r="K33" s="8"/>
      <c r="L33" s="8"/>
      <c r="M33" s="8"/>
      <c r="N33" s="21"/>
      <c r="O33" s="8"/>
      <c r="P33" s="8"/>
      <c r="Q33" s="8">
        <v>1</v>
      </c>
      <c r="R33" s="8"/>
      <c r="S33" s="8"/>
      <c r="T33" s="21"/>
      <c r="U33" s="8"/>
      <c r="V33" s="8"/>
      <c r="W33" s="8"/>
      <c r="X33" s="8"/>
      <c r="Y33" s="8"/>
      <c r="Z33" s="8">
        <v>1</v>
      </c>
      <c r="AA33" s="8"/>
      <c r="AB33" s="8"/>
      <c r="AC33" s="8"/>
      <c r="AD33" s="8"/>
      <c r="AE33" s="8"/>
      <c r="AF33" s="8"/>
      <c r="AG33" s="8"/>
      <c r="AH33" s="8"/>
      <c r="AI33" s="8"/>
      <c r="AJ33" s="8">
        <v>1</v>
      </c>
      <c r="AK33" s="8"/>
      <c r="AL33" s="8"/>
      <c r="AM33" s="21"/>
      <c r="AN33" s="8"/>
      <c r="AO33" s="8"/>
      <c r="AP33" s="8"/>
      <c r="AQ33" s="8"/>
      <c r="AR33" s="8"/>
      <c r="AS33" s="8"/>
      <c r="AT33" s="8"/>
      <c r="AU33" s="8">
        <f t="shared" si="0"/>
        <v>3</v>
      </c>
      <c r="AV33" s="8"/>
      <c r="AW33" s="8"/>
      <c r="AX33" s="8"/>
      <c r="AY33" s="8"/>
      <c r="AZ33" s="8"/>
      <c r="BA33" s="8"/>
      <c r="BB33" s="8">
        <v>1</v>
      </c>
      <c r="BC33" s="8"/>
      <c r="BD33" s="8">
        <v>1</v>
      </c>
      <c r="BE33" s="8"/>
      <c r="BF33" s="8"/>
      <c r="BG33" s="8"/>
      <c r="BH33" s="8"/>
      <c r="BI33" s="8"/>
      <c r="BJ33" s="8"/>
      <c r="BK33" s="8"/>
      <c r="BL33" s="8"/>
      <c r="BM33" s="8"/>
      <c r="BN33" s="8">
        <f t="shared" si="1"/>
        <v>2</v>
      </c>
      <c r="BO33" s="24">
        <f t="shared" si="2"/>
        <v>1</v>
      </c>
      <c r="BP33" s="23"/>
      <c r="BQ33" s="23"/>
    </row>
    <row r="34" spans="1:69" ht="15.5">
      <c r="A34" s="3" t="s">
        <v>395</v>
      </c>
      <c r="B34" s="3" t="s">
        <v>396</v>
      </c>
      <c r="C34" s="8"/>
      <c r="D34" s="8"/>
      <c r="E34" s="21"/>
      <c r="F34" s="21"/>
      <c r="G34" s="8"/>
      <c r="H34" s="8"/>
      <c r="I34" s="8"/>
      <c r="J34" s="8"/>
      <c r="K34" s="8"/>
      <c r="L34" s="8"/>
      <c r="M34" s="8"/>
      <c r="N34" s="21"/>
      <c r="O34" s="8"/>
      <c r="P34" s="8"/>
      <c r="Q34" s="8"/>
      <c r="R34" s="8"/>
      <c r="S34" s="8"/>
      <c r="T34" s="21"/>
      <c r="U34" s="8"/>
      <c r="V34" s="8"/>
      <c r="W34" s="8"/>
      <c r="X34" s="8"/>
      <c r="Y34" s="8"/>
      <c r="Z34" s="8">
        <v>1</v>
      </c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>
        <v>1</v>
      </c>
      <c r="AM34" s="21"/>
      <c r="AN34" s="8">
        <v>1</v>
      </c>
      <c r="AO34" s="8"/>
      <c r="AP34" s="8">
        <v>1</v>
      </c>
      <c r="AQ34" s="8"/>
      <c r="AR34" s="8"/>
      <c r="AS34" s="8"/>
      <c r="AT34" s="8"/>
      <c r="AU34" s="8">
        <f t="shared" si="0"/>
        <v>4</v>
      </c>
      <c r="AV34" s="8"/>
      <c r="AW34" s="8"/>
      <c r="AX34" s="8"/>
      <c r="AY34" s="8"/>
      <c r="AZ34" s="8"/>
      <c r="BA34" s="8"/>
      <c r="BB34" s="8">
        <v>1</v>
      </c>
      <c r="BC34" s="8"/>
      <c r="BD34" s="8">
        <v>2</v>
      </c>
      <c r="BE34" s="8"/>
      <c r="BF34" s="8"/>
      <c r="BG34" s="8"/>
      <c r="BH34" s="8"/>
      <c r="BI34" s="8"/>
      <c r="BJ34" s="8"/>
      <c r="BK34" s="8"/>
      <c r="BL34" s="8"/>
      <c r="BM34" s="8"/>
      <c r="BN34" s="8">
        <f t="shared" si="1"/>
        <v>3</v>
      </c>
      <c r="BO34" s="24">
        <f t="shared" si="2"/>
        <v>1</v>
      </c>
      <c r="BP34" s="23"/>
      <c r="BQ34" s="23"/>
    </row>
    <row r="35" spans="1:69" ht="15.5">
      <c r="A35" s="3" t="s">
        <v>397</v>
      </c>
      <c r="B35" s="3" t="s">
        <v>398</v>
      </c>
      <c r="C35" s="8">
        <v>1</v>
      </c>
      <c r="D35" s="8"/>
      <c r="E35" s="21"/>
      <c r="F35" s="21"/>
      <c r="G35" s="8"/>
      <c r="H35" s="8"/>
      <c r="I35" s="8"/>
      <c r="J35" s="8"/>
      <c r="K35" s="8"/>
      <c r="L35" s="8"/>
      <c r="M35" s="8"/>
      <c r="N35" s="21"/>
      <c r="O35" s="8"/>
      <c r="P35" s="8"/>
      <c r="Q35" s="8"/>
      <c r="R35" s="8"/>
      <c r="S35" s="8"/>
      <c r="T35" s="21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21"/>
      <c r="AN35" s="8"/>
      <c r="AO35" s="8"/>
      <c r="AP35" s="8"/>
      <c r="AQ35" s="8"/>
      <c r="AR35" s="8"/>
      <c r="AS35" s="8"/>
      <c r="AT35" s="8"/>
      <c r="AU35" s="8">
        <f t="shared" si="0"/>
        <v>1</v>
      </c>
      <c r="AV35" s="8">
        <v>1</v>
      </c>
      <c r="AW35" s="8"/>
      <c r="AX35" s="8"/>
      <c r="AY35" s="8"/>
      <c r="AZ35" s="8"/>
      <c r="BA35" s="8"/>
      <c r="BB35" s="8"/>
      <c r="BC35" s="8"/>
      <c r="BD35" s="8"/>
      <c r="BE35" s="8"/>
      <c r="BF35" s="8"/>
      <c r="BG35" s="8"/>
      <c r="BH35" s="8"/>
      <c r="BI35" s="8"/>
      <c r="BJ35" s="8"/>
      <c r="BK35" s="8"/>
      <c r="BL35" s="8"/>
      <c r="BM35" s="8"/>
      <c r="BN35" s="8">
        <f t="shared" si="1"/>
        <v>1</v>
      </c>
      <c r="BO35" s="24">
        <f t="shared" si="2"/>
        <v>0</v>
      </c>
      <c r="BP35" s="23"/>
      <c r="BQ35" s="23"/>
    </row>
    <row r="36" spans="1:69" ht="15.5">
      <c r="A36" s="3" t="s">
        <v>399</v>
      </c>
      <c r="B36" s="3" t="s">
        <v>400</v>
      </c>
      <c r="C36" s="8">
        <v>1</v>
      </c>
      <c r="D36" s="8"/>
      <c r="E36" s="21"/>
      <c r="F36" s="21"/>
      <c r="G36" s="8"/>
      <c r="H36" s="8">
        <v>1</v>
      </c>
      <c r="I36" s="8">
        <v>1</v>
      </c>
      <c r="J36" s="8"/>
      <c r="K36" s="8"/>
      <c r="L36" s="8"/>
      <c r="M36" s="8"/>
      <c r="N36" s="21">
        <v>-1</v>
      </c>
      <c r="O36" s="8"/>
      <c r="P36" s="8"/>
      <c r="Q36" s="8"/>
      <c r="R36" s="8"/>
      <c r="S36" s="8"/>
      <c r="T36" s="21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21"/>
      <c r="AN36" s="8"/>
      <c r="AO36" s="8"/>
      <c r="AP36" s="8"/>
      <c r="AQ36" s="8"/>
      <c r="AR36" s="8"/>
      <c r="AS36" s="8"/>
      <c r="AT36" s="8"/>
      <c r="AU36" s="8">
        <f t="shared" si="0"/>
        <v>2</v>
      </c>
      <c r="AV36" s="8">
        <v>2</v>
      </c>
      <c r="AW36" s="8"/>
      <c r="AX36" s="8"/>
      <c r="AY36" s="8"/>
      <c r="AZ36" s="8"/>
      <c r="BA36" s="8"/>
      <c r="BB36" s="8"/>
      <c r="BC36" s="8"/>
      <c r="BD36" s="8"/>
      <c r="BE36" s="8"/>
      <c r="BF36" s="8"/>
      <c r="BG36" s="8"/>
      <c r="BH36" s="8"/>
      <c r="BI36" s="8"/>
      <c r="BJ36" s="8"/>
      <c r="BK36" s="8"/>
      <c r="BL36" s="8"/>
      <c r="BM36" s="8"/>
      <c r="BN36" s="8">
        <f t="shared" si="1"/>
        <v>2</v>
      </c>
      <c r="BO36" s="24">
        <f t="shared" si="2"/>
        <v>0</v>
      </c>
      <c r="BP36" s="23"/>
      <c r="BQ36" s="23"/>
    </row>
    <row r="37" spans="1:69" ht="15.5">
      <c r="A37" s="3" t="s">
        <v>401</v>
      </c>
      <c r="B37" s="3" t="s">
        <v>402</v>
      </c>
      <c r="C37" s="8">
        <v>1</v>
      </c>
      <c r="D37" s="8">
        <v>1</v>
      </c>
      <c r="E37" s="21"/>
      <c r="F37" s="21"/>
      <c r="G37" s="8">
        <v>1</v>
      </c>
      <c r="H37" s="8">
        <v>1</v>
      </c>
      <c r="I37" s="8">
        <v>1</v>
      </c>
      <c r="J37" s="8"/>
      <c r="K37" s="8"/>
      <c r="L37" s="8"/>
      <c r="M37" s="8"/>
      <c r="N37" s="21">
        <v>-1</v>
      </c>
      <c r="O37" s="8"/>
      <c r="P37" s="8"/>
      <c r="Q37" s="8"/>
      <c r="R37" s="8"/>
      <c r="S37" s="8"/>
      <c r="T37" s="21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21"/>
      <c r="AN37" s="8"/>
      <c r="AO37" s="8"/>
      <c r="AP37" s="8"/>
      <c r="AQ37" s="8"/>
      <c r="AR37" s="8"/>
      <c r="AS37" s="8"/>
      <c r="AT37" s="8"/>
      <c r="AU37" s="8">
        <f t="shared" si="0"/>
        <v>4</v>
      </c>
      <c r="AV37" s="8">
        <v>4</v>
      </c>
      <c r="AW37" s="8"/>
      <c r="AX37" s="8"/>
      <c r="AY37" s="8"/>
      <c r="AZ37" s="8"/>
      <c r="BA37" s="8"/>
      <c r="BB37" s="8"/>
      <c r="BC37" s="8"/>
      <c r="BD37" s="8"/>
      <c r="BE37" s="8"/>
      <c r="BF37" s="8"/>
      <c r="BG37" s="8"/>
      <c r="BH37" s="8"/>
      <c r="BI37" s="8"/>
      <c r="BJ37" s="8"/>
      <c r="BK37" s="8"/>
      <c r="BL37" s="8"/>
      <c r="BM37" s="8"/>
      <c r="BN37" s="8">
        <f t="shared" si="1"/>
        <v>4</v>
      </c>
      <c r="BO37" s="24">
        <f t="shared" si="2"/>
        <v>0</v>
      </c>
      <c r="BP37" s="23"/>
      <c r="BQ37" s="23"/>
    </row>
    <row r="38" spans="1:69" ht="15.5">
      <c r="A38" s="3" t="s">
        <v>403</v>
      </c>
      <c r="B38" s="3" t="s">
        <v>404</v>
      </c>
      <c r="C38" s="8">
        <v>1</v>
      </c>
      <c r="D38" s="8">
        <v>1</v>
      </c>
      <c r="E38" s="21"/>
      <c r="F38" s="21"/>
      <c r="G38" s="8">
        <v>1</v>
      </c>
      <c r="H38" s="8"/>
      <c r="I38" s="8">
        <v>1</v>
      </c>
      <c r="J38" s="8"/>
      <c r="K38" s="8"/>
      <c r="L38" s="8"/>
      <c r="M38" s="8"/>
      <c r="N38" s="21"/>
      <c r="O38" s="8"/>
      <c r="P38" s="8"/>
      <c r="Q38" s="8"/>
      <c r="R38" s="8">
        <v>1</v>
      </c>
      <c r="S38" s="8"/>
      <c r="T38" s="21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21"/>
      <c r="AN38" s="8"/>
      <c r="AO38" s="8"/>
      <c r="AP38" s="8"/>
      <c r="AQ38" s="8"/>
      <c r="AR38" s="8"/>
      <c r="AS38" s="8">
        <v>-1</v>
      </c>
      <c r="AT38" s="8"/>
      <c r="AU38" s="8">
        <f t="shared" si="0"/>
        <v>4</v>
      </c>
      <c r="AV38" s="8">
        <v>4</v>
      </c>
      <c r="AW38" s="8"/>
      <c r="AX38" s="8"/>
      <c r="AY38" s="8"/>
      <c r="AZ38" s="8"/>
      <c r="BA38" s="8"/>
      <c r="BB38" s="8"/>
      <c r="BC38" s="8"/>
      <c r="BD38" s="8"/>
      <c r="BE38" s="8"/>
      <c r="BF38" s="8"/>
      <c r="BG38" s="8"/>
      <c r="BH38" s="8"/>
      <c r="BI38" s="8"/>
      <c r="BJ38" s="8"/>
      <c r="BK38" s="8"/>
      <c r="BL38" s="8"/>
      <c r="BM38" s="8"/>
      <c r="BN38" s="8">
        <f t="shared" si="1"/>
        <v>4</v>
      </c>
      <c r="BO38" s="24">
        <f t="shared" si="2"/>
        <v>0</v>
      </c>
      <c r="BP38" s="23"/>
      <c r="BQ38" s="23"/>
    </row>
    <row r="39" spans="1:69" ht="15.5">
      <c r="A39" s="3" t="s">
        <v>200</v>
      </c>
      <c r="B39" s="3" t="s">
        <v>201</v>
      </c>
      <c r="C39" s="8">
        <v>1</v>
      </c>
      <c r="D39" s="8"/>
      <c r="E39" s="21"/>
      <c r="F39" s="21"/>
      <c r="G39" s="8"/>
      <c r="H39" s="8"/>
      <c r="I39" s="8"/>
      <c r="J39" s="8"/>
      <c r="K39" s="8"/>
      <c r="L39" s="8"/>
      <c r="M39" s="8"/>
      <c r="N39" s="21"/>
      <c r="O39" s="8"/>
      <c r="P39" s="8"/>
      <c r="Q39" s="8"/>
      <c r="R39" s="8"/>
      <c r="S39" s="8"/>
      <c r="T39" s="21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21"/>
      <c r="AN39" s="8"/>
      <c r="AO39" s="8"/>
      <c r="AP39" s="8"/>
      <c r="AQ39" s="8"/>
      <c r="AR39" s="8"/>
      <c r="AS39" s="8"/>
      <c r="AT39" s="8"/>
      <c r="AU39" s="8">
        <f t="shared" si="0"/>
        <v>1</v>
      </c>
      <c r="AV39" s="8">
        <v>1</v>
      </c>
      <c r="AW39" s="8"/>
      <c r="AX39" s="8"/>
      <c r="AY39" s="8"/>
      <c r="AZ39" s="8"/>
      <c r="BA39" s="8"/>
      <c r="BB39" s="8"/>
      <c r="BC39" s="8"/>
      <c r="BD39" s="8"/>
      <c r="BE39" s="8"/>
      <c r="BF39" s="8"/>
      <c r="BG39" s="8"/>
      <c r="BH39" s="8"/>
      <c r="BI39" s="8"/>
      <c r="BJ39" s="8"/>
      <c r="BK39" s="8"/>
      <c r="BL39" s="8"/>
      <c r="BM39" s="8"/>
      <c r="BN39" s="8">
        <f t="shared" si="1"/>
        <v>1</v>
      </c>
      <c r="BO39" s="24">
        <f t="shared" si="2"/>
        <v>0</v>
      </c>
      <c r="BP39" s="23"/>
      <c r="BQ39" s="23"/>
    </row>
    <row r="40" spans="1:69" ht="15.5">
      <c r="A40" s="3" t="s">
        <v>202</v>
      </c>
      <c r="B40" s="3" t="s">
        <v>203</v>
      </c>
      <c r="C40" s="8">
        <v>1</v>
      </c>
      <c r="D40" s="8"/>
      <c r="E40" s="21"/>
      <c r="F40" s="21"/>
      <c r="G40" s="8">
        <v>1</v>
      </c>
      <c r="H40" s="8"/>
      <c r="I40" s="8"/>
      <c r="J40" s="8"/>
      <c r="K40" s="8"/>
      <c r="L40" s="8"/>
      <c r="M40" s="8"/>
      <c r="N40" s="21"/>
      <c r="O40" s="8"/>
      <c r="P40" s="8"/>
      <c r="Q40" s="8"/>
      <c r="R40" s="8"/>
      <c r="S40" s="8"/>
      <c r="T40" s="21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21"/>
      <c r="AN40" s="8"/>
      <c r="AO40" s="8"/>
      <c r="AP40" s="8"/>
      <c r="AQ40" s="8"/>
      <c r="AR40" s="8"/>
      <c r="AS40" s="8"/>
      <c r="AT40" s="8"/>
      <c r="AU40" s="8">
        <f t="shared" si="0"/>
        <v>2</v>
      </c>
      <c r="AV40" s="8">
        <v>2</v>
      </c>
      <c r="AW40" s="8"/>
      <c r="AX40" s="8"/>
      <c r="AY40" s="8"/>
      <c r="AZ40" s="8"/>
      <c r="BA40" s="8"/>
      <c r="BB40" s="8"/>
      <c r="BC40" s="8"/>
      <c r="BD40" s="8"/>
      <c r="BE40" s="8"/>
      <c r="BF40" s="8"/>
      <c r="BG40" s="8"/>
      <c r="BH40" s="8"/>
      <c r="BI40" s="8"/>
      <c r="BJ40" s="8"/>
      <c r="BK40" s="8"/>
      <c r="BL40" s="8"/>
      <c r="BM40" s="8"/>
      <c r="BN40" s="8">
        <f t="shared" si="1"/>
        <v>2</v>
      </c>
      <c r="BO40" s="24">
        <f t="shared" si="2"/>
        <v>0</v>
      </c>
      <c r="BP40" s="23"/>
      <c r="BQ40" s="23"/>
    </row>
    <row r="41" spans="1:69" ht="15.5">
      <c r="A41" s="3" t="s">
        <v>204</v>
      </c>
      <c r="B41" s="3" t="s">
        <v>205</v>
      </c>
      <c r="C41" s="8">
        <v>1</v>
      </c>
      <c r="D41" s="8"/>
      <c r="E41" s="21"/>
      <c r="F41" s="21"/>
      <c r="G41" s="8"/>
      <c r="H41" s="8"/>
      <c r="I41" s="8"/>
      <c r="J41" s="8"/>
      <c r="K41" s="8"/>
      <c r="L41" s="8"/>
      <c r="M41" s="8"/>
      <c r="N41" s="21"/>
      <c r="O41" s="8"/>
      <c r="P41" s="8"/>
      <c r="Q41" s="8"/>
      <c r="R41" s="8"/>
      <c r="S41" s="8"/>
      <c r="T41" s="21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21"/>
      <c r="AN41" s="8"/>
      <c r="AO41" s="8"/>
      <c r="AP41" s="8"/>
      <c r="AQ41" s="8"/>
      <c r="AR41" s="8"/>
      <c r="AS41" s="8"/>
      <c r="AT41" s="8"/>
      <c r="AU41" s="8">
        <f t="shared" si="0"/>
        <v>1</v>
      </c>
      <c r="AV41" s="8">
        <v>1</v>
      </c>
      <c r="AW41" s="8"/>
      <c r="AX41" s="8"/>
      <c r="AY41" s="8"/>
      <c r="AZ41" s="8"/>
      <c r="BA41" s="8"/>
      <c r="BB41" s="8"/>
      <c r="BC41" s="8"/>
      <c r="BD41" s="8"/>
      <c r="BE41" s="8"/>
      <c r="BF41" s="8"/>
      <c r="BG41" s="8"/>
      <c r="BH41" s="8"/>
      <c r="BI41" s="8"/>
      <c r="BJ41" s="8"/>
      <c r="BK41" s="8"/>
      <c r="BL41" s="8"/>
      <c r="BM41" s="8"/>
      <c r="BN41" s="8">
        <f t="shared" si="1"/>
        <v>1</v>
      </c>
      <c r="BO41" s="24">
        <f t="shared" si="2"/>
        <v>0</v>
      </c>
      <c r="BP41" s="23"/>
      <c r="BQ41" s="23"/>
    </row>
    <row r="42" spans="1:69" ht="15.5">
      <c r="A42" s="3" t="s">
        <v>206</v>
      </c>
      <c r="B42" s="3" t="s">
        <v>207</v>
      </c>
      <c r="C42" s="8"/>
      <c r="D42" s="8"/>
      <c r="E42" s="21"/>
      <c r="F42" s="21"/>
      <c r="G42" s="8"/>
      <c r="H42" s="8"/>
      <c r="I42" s="8"/>
      <c r="J42" s="8"/>
      <c r="K42" s="8"/>
      <c r="L42" s="8"/>
      <c r="M42" s="8"/>
      <c r="N42" s="21"/>
      <c r="O42" s="8"/>
      <c r="P42" s="8"/>
      <c r="Q42" s="8"/>
      <c r="R42" s="8">
        <v>2</v>
      </c>
      <c r="S42" s="8"/>
      <c r="T42" s="21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21"/>
      <c r="AN42" s="8"/>
      <c r="AO42" s="8"/>
      <c r="AP42" s="8"/>
      <c r="AQ42" s="8"/>
      <c r="AR42" s="8"/>
      <c r="AS42" s="8">
        <v>-2</v>
      </c>
      <c r="AT42" s="8"/>
      <c r="AU42" s="8">
        <f t="shared" si="0"/>
        <v>0</v>
      </c>
      <c r="AV42" s="8"/>
      <c r="AW42" s="8"/>
      <c r="AX42" s="8"/>
      <c r="AY42" s="8"/>
      <c r="AZ42" s="8"/>
      <c r="BA42" s="8"/>
      <c r="BB42" s="8"/>
      <c r="BC42" s="8"/>
      <c r="BD42" s="8"/>
      <c r="BE42" s="8"/>
      <c r="BF42" s="8"/>
      <c r="BG42" s="8"/>
      <c r="BH42" s="8"/>
      <c r="BI42" s="8"/>
      <c r="BJ42" s="8"/>
      <c r="BK42" s="8"/>
      <c r="BL42" s="8"/>
      <c r="BM42" s="8"/>
      <c r="BN42" s="8">
        <f t="shared" si="1"/>
        <v>0</v>
      </c>
      <c r="BO42" s="24">
        <f t="shared" si="2"/>
        <v>0</v>
      </c>
      <c r="BP42" s="23"/>
      <c r="BQ42" s="23"/>
    </row>
    <row r="43" spans="1:69" ht="15.5">
      <c r="A43" s="3" t="s">
        <v>405</v>
      </c>
      <c r="B43" s="3" t="s">
        <v>406</v>
      </c>
      <c r="C43" s="8"/>
      <c r="D43" s="8"/>
      <c r="E43" s="21"/>
      <c r="F43" s="21"/>
      <c r="G43" s="8"/>
      <c r="H43" s="8"/>
      <c r="I43" s="8"/>
      <c r="J43" s="8"/>
      <c r="K43" s="8"/>
      <c r="L43" s="8"/>
      <c r="M43" s="8"/>
      <c r="N43" s="21"/>
      <c r="O43" s="8"/>
      <c r="P43" s="8"/>
      <c r="Q43" s="8"/>
      <c r="R43" s="8"/>
      <c r="S43" s="8"/>
      <c r="T43" s="21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21"/>
      <c r="AN43" s="8"/>
      <c r="AO43" s="8"/>
      <c r="AP43" s="8">
        <v>1</v>
      </c>
      <c r="AQ43" s="8"/>
      <c r="AR43" s="8">
        <v>1</v>
      </c>
      <c r="AS43" s="8"/>
      <c r="AT43" s="8">
        <v>2</v>
      </c>
      <c r="AU43" s="8">
        <f t="shared" si="0"/>
        <v>4</v>
      </c>
      <c r="AV43" s="8"/>
      <c r="AW43" s="8"/>
      <c r="AX43" s="8"/>
      <c r="AY43" s="8"/>
      <c r="AZ43" s="8"/>
      <c r="BA43" s="8"/>
      <c r="BB43" s="8"/>
      <c r="BC43" s="8"/>
      <c r="BD43" s="8">
        <v>1</v>
      </c>
      <c r="BE43" s="8">
        <v>1</v>
      </c>
      <c r="BF43" s="8"/>
      <c r="BG43" s="8"/>
      <c r="BH43" s="8"/>
      <c r="BI43" s="8"/>
      <c r="BJ43" s="8"/>
      <c r="BK43" s="8"/>
      <c r="BL43" s="8"/>
      <c r="BM43" s="8"/>
      <c r="BN43" s="8">
        <f>SUM(AV43:BM43)</f>
        <v>2</v>
      </c>
      <c r="BO43" s="24">
        <f t="shared" si="2"/>
        <v>2</v>
      </c>
      <c r="BP43" s="23"/>
      <c r="BQ43" s="23"/>
    </row>
    <row r="44" spans="1:69" ht="15.5">
      <c r="A44" s="3" t="s">
        <v>407</v>
      </c>
      <c r="B44" s="3" t="s">
        <v>408</v>
      </c>
      <c r="C44" s="8"/>
      <c r="D44" s="8"/>
      <c r="E44" s="21"/>
      <c r="F44" s="21"/>
      <c r="G44" s="8"/>
      <c r="H44" s="8"/>
      <c r="I44" s="8"/>
      <c r="J44" s="8"/>
      <c r="K44" s="8"/>
      <c r="L44" s="8"/>
      <c r="M44" s="8"/>
      <c r="N44" s="21"/>
      <c r="O44" s="8"/>
      <c r="P44" s="8"/>
      <c r="Q44" s="8"/>
      <c r="R44" s="8"/>
      <c r="S44" s="8"/>
      <c r="T44" s="21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21"/>
      <c r="AN44" s="8"/>
      <c r="AO44" s="8"/>
      <c r="AP44" s="8">
        <v>1</v>
      </c>
      <c r="AQ44" s="8"/>
      <c r="AR44" s="8">
        <v>2</v>
      </c>
      <c r="AS44" s="8"/>
      <c r="AT44" s="8"/>
      <c r="AU44" s="8">
        <f t="shared" si="0"/>
        <v>3</v>
      </c>
      <c r="AV44" s="8"/>
      <c r="AW44" s="8"/>
      <c r="AX44" s="8"/>
      <c r="AY44" s="8"/>
      <c r="AZ44" s="8"/>
      <c r="BA44" s="8"/>
      <c r="BB44" s="8"/>
      <c r="BC44" s="8"/>
      <c r="BD44" s="8"/>
      <c r="BE44" s="8">
        <v>2</v>
      </c>
      <c r="BF44" s="8"/>
      <c r="BG44" s="8"/>
      <c r="BH44" s="8"/>
      <c r="BI44" s="8"/>
      <c r="BJ44" s="8"/>
      <c r="BK44" s="8"/>
      <c r="BL44" s="8"/>
      <c r="BM44" s="8"/>
      <c r="BN44" s="8">
        <f>SUM(AV44:BM44)</f>
        <v>2</v>
      </c>
      <c r="BO44" s="24">
        <f t="shared" si="2"/>
        <v>1</v>
      </c>
      <c r="BP44" s="23"/>
      <c r="BQ44" s="23"/>
    </row>
    <row r="45" spans="1:69" ht="15.5">
      <c r="A45" s="3" t="s">
        <v>409</v>
      </c>
      <c r="B45" s="3" t="s">
        <v>410</v>
      </c>
      <c r="C45" s="8"/>
      <c r="D45" s="8"/>
      <c r="E45" s="21"/>
      <c r="F45" s="21"/>
      <c r="G45" s="8"/>
      <c r="H45" s="8"/>
      <c r="I45" s="8"/>
      <c r="J45" s="8"/>
      <c r="K45" s="8"/>
      <c r="L45" s="8"/>
      <c r="M45" s="8"/>
      <c r="N45" s="21"/>
      <c r="O45" s="8"/>
      <c r="P45" s="8"/>
      <c r="Q45" s="8"/>
      <c r="R45" s="8"/>
      <c r="S45" s="8"/>
      <c r="T45" s="21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21"/>
      <c r="AN45" s="8"/>
      <c r="AO45" s="8"/>
      <c r="AP45" s="8">
        <v>1</v>
      </c>
      <c r="AQ45" s="8"/>
      <c r="AR45" s="8">
        <v>2</v>
      </c>
      <c r="AS45" s="8"/>
      <c r="AT45" s="8"/>
      <c r="AU45" s="8">
        <f t="shared" si="0"/>
        <v>3</v>
      </c>
      <c r="AV45" s="8"/>
      <c r="AW45" s="8"/>
      <c r="AX45" s="8"/>
      <c r="AY45" s="8"/>
      <c r="AZ45" s="8"/>
      <c r="BA45" s="8"/>
      <c r="BB45" s="8"/>
      <c r="BC45" s="8"/>
      <c r="BD45" s="8">
        <v>1</v>
      </c>
      <c r="BE45" s="8">
        <v>1</v>
      </c>
      <c r="BF45" s="8"/>
      <c r="BG45" s="8"/>
      <c r="BH45" s="8"/>
      <c r="BI45" s="8"/>
      <c r="BJ45" s="8"/>
      <c r="BK45" s="8"/>
      <c r="BL45" s="8"/>
      <c r="BM45" s="8"/>
      <c r="BN45" s="8">
        <f>SUM(AV45:BM45)</f>
        <v>2</v>
      </c>
      <c r="BO45" s="24">
        <f t="shared" si="2"/>
        <v>1</v>
      </c>
      <c r="BP45" s="23"/>
      <c r="BQ45" s="23"/>
    </row>
    <row r="46" spans="1:69" ht="15.5">
      <c r="A46" s="3" t="s">
        <v>411</v>
      </c>
      <c r="B46" s="3" t="s">
        <v>412</v>
      </c>
      <c r="C46" s="8"/>
      <c r="D46" s="8"/>
      <c r="E46" s="21"/>
      <c r="F46" s="21"/>
      <c r="G46" s="8"/>
      <c r="H46" s="8"/>
      <c r="I46" s="8"/>
      <c r="J46" s="8"/>
      <c r="K46" s="8"/>
      <c r="L46" s="8"/>
      <c r="M46" s="8"/>
      <c r="N46" s="21"/>
      <c r="O46" s="8"/>
      <c r="P46" s="8"/>
      <c r="Q46" s="8"/>
      <c r="R46" s="8"/>
      <c r="S46" s="8"/>
      <c r="T46" s="21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21"/>
      <c r="AN46" s="8"/>
      <c r="AO46" s="8"/>
      <c r="AP46" s="8">
        <v>1</v>
      </c>
      <c r="AQ46" s="8">
        <v>1</v>
      </c>
      <c r="AR46" s="8">
        <v>1</v>
      </c>
      <c r="AS46" s="8"/>
      <c r="AT46" s="8"/>
      <c r="AU46" s="8">
        <f t="shared" si="0"/>
        <v>3</v>
      </c>
      <c r="AV46" s="8"/>
      <c r="AW46" s="8"/>
      <c r="AX46" s="8"/>
      <c r="AY46" s="8"/>
      <c r="AZ46" s="8"/>
      <c r="BA46" s="8"/>
      <c r="BB46" s="8"/>
      <c r="BC46" s="8"/>
      <c r="BD46" s="8">
        <v>1</v>
      </c>
      <c r="BE46" s="8"/>
      <c r="BF46" s="8"/>
      <c r="BG46" s="8"/>
      <c r="BH46" s="8"/>
      <c r="BI46" s="8"/>
      <c r="BJ46" s="8"/>
      <c r="BK46" s="8"/>
      <c r="BL46" s="8"/>
      <c r="BM46" s="8"/>
      <c r="BN46" s="8">
        <f>SUM(AV46:BM46)</f>
        <v>1</v>
      </c>
      <c r="BO46" s="24">
        <f t="shared" si="2"/>
        <v>2</v>
      </c>
      <c r="BP46" s="23"/>
      <c r="BQ46" s="23"/>
    </row>
    <row r="47" spans="1:69" ht="15.5">
      <c r="A47" s="3" t="s">
        <v>218</v>
      </c>
      <c r="B47" s="3" t="s">
        <v>219</v>
      </c>
      <c r="C47" s="8"/>
      <c r="D47" s="8"/>
      <c r="E47" s="21"/>
      <c r="F47" s="21"/>
      <c r="G47" s="8"/>
      <c r="H47" s="8"/>
      <c r="I47" s="8"/>
      <c r="J47" s="8"/>
      <c r="K47" s="8"/>
      <c r="L47" s="8"/>
      <c r="M47" s="8"/>
      <c r="N47" s="21"/>
      <c r="O47" s="8"/>
      <c r="P47" s="8"/>
      <c r="Q47" s="8"/>
      <c r="R47" s="8"/>
      <c r="S47" s="8"/>
      <c r="T47" s="21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21"/>
      <c r="AN47" s="8"/>
      <c r="AO47" s="8"/>
      <c r="AP47" s="8">
        <v>1</v>
      </c>
      <c r="AQ47" s="8"/>
      <c r="AR47" s="8"/>
      <c r="AS47" s="8"/>
      <c r="AT47" s="8"/>
      <c r="AU47" s="8">
        <f t="shared" si="0"/>
        <v>1</v>
      </c>
      <c r="AV47" s="8"/>
      <c r="AW47" s="8"/>
      <c r="AX47" s="8"/>
      <c r="AY47" s="8"/>
      <c r="AZ47" s="8"/>
      <c r="BA47" s="8"/>
      <c r="BB47" s="8"/>
      <c r="BC47" s="8"/>
      <c r="BD47" s="8"/>
      <c r="BE47" s="8"/>
      <c r="BF47" s="8"/>
      <c r="BG47" s="8"/>
      <c r="BH47" s="8"/>
      <c r="BI47" s="8"/>
      <c r="BJ47" s="8"/>
      <c r="BK47" s="8"/>
      <c r="BL47" s="8"/>
      <c r="BM47" s="8"/>
      <c r="BN47" s="8">
        <f>SUM(AV47:BM47)</f>
        <v>0</v>
      </c>
      <c r="BO47" s="24">
        <f t="shared" si="2"/>
        <v>1</v>
      </c>
      <c r="BP47" s="23"/>
      <c r="BQ47" s="23"/>
    </row>
    <row r="48" spans="1:69" ht="15.5">
      <c r="A48" s="3" t="s">
        <v>220</v>
      </c>
      <c r="B48" s="3" t="s">
        <v>221</v>
      </c>
      <c r="C48" s="8">
        <v>1</v>
      </c>
      <c r="D48" s="8"/>
      <c r="E48" s="21"/>
      <c r="F48" s="21"/>
      <c r="G48" s="8">
        <v>1</v>
      </c>
      <c r="H48" s="8"/>
      <c r="I48" s="8"/>
      <c r="J48" s="8"/>
      <c r="K48" s="8">
        <v>1</v>
      </c>
      <c r="L48" s="8"/>
      <c r="M48" s="8"/>
      <c r="N48" s="21"/>
      <c r="O48" s="8"/>
      <c r="P48" s="8"/>
      <c r="Q48" s="8"/>
      <c r="R48" s="8"/>
      <c r="S48" s="8"/>
      <c r="T48" s="21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21"/>
      <c r="AN48" s="8"/>
      <c r="AO48" s="8"/>
      <c r="AP48" s="8">
        <v>1</v>
      </c>
      <c r="AQ48" s="8"/>
      <c r="AR48" s="8"/>
      <c r="AS48" s="8"/>
      <c r="AT48" s="8"/>
      <c r="AU48" s="8">
        <f t="shared" si="0"/>
        <v>4</v>
      </c>
      <c r="AV48" s="8">
        <v>3</v>
      </c>
      <c r="AW48" s="8"/>
      <c r="AX48" s="8"/>
      <c r="AY48" s="8"/>
      <c r="AZ48" s="8"/>
      <c r="BA48" s="8"/>
      <c r="BB48" s="8"/>
      <c r="BC48" s="8"/>
      <c r="BD48" s="8"/>
      <c r="BE48" s="8"/>
      <c r="BF48" s="8"/>
      <c r="BG48" s="8"/>
      <c r="BH48" s="8"/>
      <c r="BI48" s="8"/>
      <c r="BJ48" s="8"/>
      <c r="BK48" s="8"/>
      <c r="BL48" s="8"/>
      <c r="BM48" s="8"/>
      <c r="BN48" s="8">
        <f t="shared" ref="BN48:BN50" si="3">SUM(AV48:BM48)</f>
        <v>3</v>
      </c>
      <c r="BO48" s="24">
        <f t="shared" si="2"/>
        <v>1</v>
      </c>
      <c r="BP48" s="23"/>
      <c r="BQ48" s="23"/>
    </row>
    <row r="49" spans="1:69" ht="15.5">
      <c r="A49" s="3" t="s">
        <v>259</v>
      </c>
      <c r="B49" s="3" t="s">
        <v>260</v>
      </c>
      <c r="C49" s="8">
        <v>1</v>
      </c>
      <c r="D49" s="8"/>
      <c r="E49" s="21"/>
      <c r="F49" s="21"/>
      <c r="G49" s="8">
        <v>1</v>
      </c>
      <c r="H49" s="8"/>
      <c r="I49" s="8">
        <v>1</v>
      </c>
      <c r="J49" s="8"/>
      <c r="K49" s="8"/>
      <c r="L49" s="8"/>
      <c r="M49" s="8"/>
      <c r="N49" s="21"/>
      <c r="O49" s="8"/>
      <c r="P49" s="8"/>
      <c r="Q49" s="8"/>
      <c r="R49" s="8"/>
      <c r="S49" s="8"/>
      <c r="T49" s="21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21"/>
      <c r="AN49" s="8"/>
      <c r="AO49" s="8"/>
      <c r="AP49" s="8">
        <v>1</v>
      </c>
      <c r="AQ49" s="8"/>
      <c r="AR49" s="8"/>
      <c r="AS49" s="8"/>
      <c r="AT49" s="8"/>
      <c r="AU49" s="8">
        <f t="shared" si="0"/>
        <v>4</v>
      </c>
      <c r="AV49" s="8">
        <v>3</v>
      </c>
      <c r="AW49" s="8"/>
      <c r="AX49" s="8"/>
      <c r="AY49" s="8"/>
      <c r="AZ49" s="8"/>
      <c r="BA49" s="8"/>
      <c r="BB49" s="8"/>
      <c r="BC49" s="8"/>
      <c r="BD49" s="8"/>
      <c r="BE49" s="8"/>
      <c r="BF49" s="8"/>
      <c r="BG49" s="8"/>
      <c r="BH49" s="8"/>
      <c r="BI49" s="8"/>
      <c r="BJ49" s="8"/>
      <c r="BK49" s="8"/>
      <c r="BL49" s="8"/>
      <c r="BM49" s="8"/>
      <c r="BN49" s="8">
        <f t="shared" si="3"/>
        <v>3</v>
      </c>
      <c r="BO49" s="24">
        <f t="shared" si="2"/>
        <v>1</v>
      </c>
      <c r="BP49" s="23"/>
      <c r="BQ49" s="23"/>
    </row>
    <row r="50" spans="1:69" ht="15.5">
      <c r="A50" s="3" t="s">
        <v>222</v>
      </c>
      <c r="B50" s="3" t="s">
        <v>223</v>
      </c>
      <c r="C50" s="8">
        <v>1</v>
      </c>
      <c r="D50" s="8"/>
      <c r="E50" s="21"/>
      <c r="F50" s="21"/>
      <c r="G50" s="8"/>
      <c r="H50" s="8"/>
      <c r="I50" s="8"/>
      <c r="J50" s="8">
        <v>1</v>
      </c>
      <c r="K50" s="8"/>
      <c r="L50" s="8"/>
      <c r="M50" s="8"/>
      <c r="N50" s="21"/>
      <c r="O50" s="8"/>
      <c r="P50" s="8"/>
      <c r="Q50" s="8"/>
      <c r="R50" s="8">
        <v>1</v>
      </c>
      <c r="S50" s="8"/>
      <c r="T50" s="21"/>
      <c r="U50" s="8">
        <v>1</v>
      </c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21"/>
      <c r="AN50" s="8"/>
      <c r="AO50" s="8"/>
      <c r="AP50" s="8">
        <v>1</v>
      </c>
      <c r="AQ50" s="8"/>
      <c r="AR50" s="8"/>
      <c r="AS50" s="8"/>
      <c r="AT50" s="8"/>
      <c r="AU50" s="8">
        <f t="shared" si="0"/>
        <v>5</v>
      </c>
      <c r="AV50" s="8">
        <v>3</v>
      </c>
      <c r="AW50" s="8"/>
      <c r="AX50" s="8"/>
      <c r="AY50" s="8">
        <v>1</v>
      </c>
      <c r="AZ50" s="8"/>
      <c r="BA50" s="8"/>
      <c r="BB50" s="8"/>
      <c r="BC50" s="8"/>
      <c r="BD50" s="8"/>
      <c r="BE50" s="8"/>
      <c r="BF50" s="8"/>
      <c r="BG50" s="8"/>
      <c r="BH50" s="8"/>
      <c r="BI50" s="8"/>
      <c r="BJ50" s="8"/>
      <c r="BK50" s="8"/>
      <c r="BL50" s="8"/>
      <c r="BM50" s="8"/>
      <c r="BN50" s="8">
        <f t="shared" si="3"/>
        <v>4</v>
      </c>
      <c r="BO50" s="24">
        <f t="shared" si="2"/>
        <v>1</v>
      </c>
      <c r="BP50" s="23"/>
      <c r="BQ50" s="23"/>
    </row>
    <row r="51" spans="1:69" ht="15.5">
      <c r="A51" s="3" t="s">
        <v>261</v>
      </c>
      <c r="B51" s="3" t="s">
        <v>262</v>
      </c>
      <c r="C51" s="8"/>
      <c r="D51" s="8"/>
      <c r="E51" s="21"/>
      <c r="F51" s="21"/>
      <c r="G51" s="8"/>
      <c r="H51" s="8"/>
      <c r="I51" s="8"/>
      <c r="J51" s="8"/>
      <c r="K51" s="8"/>
      <c r="L51" s="8"/>
      <c r="M51" s="8"/>
      <c r="N51" s="21"/>
      <c r="O51" s="8"/>
      <c r="P51" s="8"/>
      <c r="Q51" s="8"/>
      <c r="R51" s="8"/>
      <c r="S51" s="8"/>
      <c r="T51" s="21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21"/>
      <c r="AN51" s="8"/>
      <c r="AO51" s="8"/>
      <c r="AP51" s="8">
        <v>1</v>
      </c>
      <c r="AQ51" s="8"/>
      <c r="AR51" s="8">
        <v>1</v>
      </c>
      <c r="AS51" s="8"/>
      <c r="AT51" s="8"/>
      <c r="AU51" s="8">
        <f t="shared" si="0"/>
        <v>2</v>
      </c>
      <c r="AV51" s="8"/>
      <c r="AW51" s="8"/>
      <c r="AX51" s="8"/>
      <c r="AY51" s="8"/>
      <c r="AZ51" s="8"/>
      <c r="BA51" s="8"/>
      <c r="BB51" s="8"/>
      <c r="BC51" s="8"/>
      <c r="BD51" s="8">
        <v>1</v>
      </c>
      <c r="BE51" s="8"/>
      <c r="BF51" s="8"/>
      <c r="BG51" s="8"/>
      <c r="BH51" s="8"/>
      <c r="BI51" s="8"/>
      <c r="BJ51" s="8"/>
      <c r="BK51" s="8"/>
      <c r="BL51" s="8"/>
      <c r="BM51" s="8"/>
      <c r="BN51" s="8">
        <f>SUM(AV51:BM51)</f>
        <v>1</v>
      </c>
      <c r="BO51" s="24">
        <f t="shared" si="2"/>
        <v>1</v>
      </c>
      <c r="BP51" s="23"/>
      <c r="BQ51" s="23"/>
    </row>
    <row r="52" spans="1:69" ht="15.5">
      <c r="A52" s="3" t="s">
        <v>263</v>
      </c>
      <c r="B52" s="3" t="s">
        <v>264</v>
      </c>
      <c r="C52" s="8">
        <v>1</v>
      </c>
      <c r="D52" s="8"/>
      <c r="E52" s="21"/>
      <c r="F52" s="21"/>
      <c r="G52" s="8"/>
      <c r="H52" s="8"/>
      <c r="I52" s="8"/>
      <c r="J52" s="8"/>
      <c r="K52" s="8"/>
      <c r="L52" s="8"/>
      <c r="M52" s="8"/>
      <c r="N52" s="21"/>
      <c r="O52" s="8">
        <v>1</v>
      </c>
      <c r="P52" s="8"/>
      <c r="Q52" s="8"/>
      <c r="R52" s="8"/>
      <c r="S52" s="8"/>
      <c r="T52" s="21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21"/>
      <c r="AN52" s="8"/>
      <c r="AO52" s="8"/>
      <c r="AP52" s="8">
        <v>1</v>
      </c>
      <c r="AQ52" s="8"/>
      <c r="AR52" s="8"/>
      <c r="AS52" s="8"/>
      <c r="AT52" s="8"/>
      <c r="AU52" s="8">
        <f t="shared" si="0"/>
        <v>3</v>
      </c>
      <c r="AV52" s="8">
        <v>2</v>
      </c>
      <c r="AW52" s="8"/>
      <c r="AX52" s="8"/>
      <c r="AY52" s="8"/>
      <c r="AZ52" s="8"/>
      <c r="BA52" s="8"/>
      <c r="BB52" s="8"/>
      <c r="BC52" s="8"/>
      <c r="BD52" s="8"/>
      <c r="BE52" s="8">
        <v>1</v>
      </c>
      <c r="BF52" s="8"/>
      <c r="BG52" s="8"/>
      <c r="BH52" s="8"/>
      <c r="BI52" s="8"/>
      <c r="BJ52" s="8"/>
      <c r="BK52" s="8"/>
      <c r="BL52" s="8"/>
      <c r="BM52" s="8"/>
      <c r="BN52" s="8">
        <f t="shared" ref="BN52:BN61" si="4">SUM(AV52:BM52)</f>
        <v>3</v>
      </c>
      <c r="BO52" s="24">
        <f t="shared" si="2"/>
        <v>0</v>
      </c>
      <c r="BP52" s="23"/>
      <c r="BQ52" s="23"/>
    </row>
    <row r="53" spans="1:69" ht="15.5">
      <c r="A53" s="3" t="s">
        <v>265</v>
      </c>
      <c r="B53" s="3" t="s">
        <v>266</v>
      </c>
      <c r="C53" s="8">
        <v>1</v>
      </c>
      <c r="D53" s="8"/>
      <c r="E53" s="21"/>
      <c r="F53" s="21"/>
      <c r="G53" s="8"/>
      <c r="H53" s="8"/>
      <c r="I53" s="8"/>
      <c r="J53" s="8"/>
      <c r="K53" s="8"/>
      <c r="L53" s="8"/>
      <c r="M53" s="8"/>
      <c r="N53" s="21"/>
      <c r="O53" s="8">
        <v>1</v>
      </c>
      <c r="P53" s="8"/>
      <c r="Q53" s="8"/>
      <c r="R53" s="8"/>
      <c r="S53" s="8"/>
      <c r="T53" s="21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21"/>
      <c r="AN53" s="8"/>
      <c r="AO53" s="8"/>
      <c r="AP53" s="8"/>
      <c r="AQ53" s="8"/>
      <c r="AR53" s="8"/>
      <c r="AS53" s="8"/>
      <c r="AT53" s="8"/>
      <c r="AU53" s="8">
        <f t="shared" si="0"/>
        <v>2</v>
      </c>
      <c r="AV53" s="8">
        <v>2</v>
      </c>
      <c r="AW53" s="8"/>
      <c r="AX53" s="8"/>
      <c r="AY53" s="8"/>
      <c r="AZ53" s="8"/>
      <c r="BA53" s="8"/>
      <c r="BB53" s="8"/>
      <c r="BC53" s="8"/>
      <c r="BD53" s="8"/>
      <c r="BE53" s="8"/>
      <c r="BF53" s="8"/>
      <c r="BG53" s="8"/>
      <c r="BH53" s="8"/>
      <c r="BI53" s="8"/>
      <c r="BJ53" s="8"/>
      <c r="BK53" s="8"/>
      <c r="BL53" s="8"/>
      <c r="BM53" s="8"/>
      <c r="BN53" s="8">
        <f t="shared" si="4"/>
        <v>2</v>
      </c>
      <c r="BO53" s="24">
        <f t="shared" si="2"/>
        <v>0</v>
      </c>
      <c r="BP53" s="23"/>
      <c r="BQ53" s="23"/>
    </row>
    <row r="54" spans="1:69" ht="15.5">
      <c r="A54" s="3" t="s">
        <v>226</v>
      </c>
      <c r="B54" s="3" t="s">
        <v>227</v>
      </c>
      <c r="C54" s="8">
        <v>1</v>
      </c>
      <c r="D54" s="8"/>
      <c r="E54" s="21"/>
      <c r="F54" s="21"/>
      <c r="G54" s="8">
        <v>1</v>
      </c>
      <c r="H54" s="8"/>
      <c r="I54" s="8"/>
      <c r="J54" s="8"/>
      <c r="K54" s="8"/>
      <c r="L54" s="8"/>
      <c r="M54" s="8"/>
      <c r="N54" s="21"/>
      <c r="O54" s="8"/>
      <c r="P54" s="8"/>
      <c r="Q54" s="8"/>
      <c r="R54" s="8"/>
      <c r="S54" s="8"/>
      <c r="T54" s="21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21"/>
      <c r="AN54" s="8"/>
      <c r="AO54" s="8"/>
      <c r="AP54" s="8"/>
      <c r="AQ54" s="8"/>
      <c r="AR54" s="8"/>
      <c r="AS54" s="8"/>
      <c r="AT54" s="8"/>
      <c r="AU54" s="8">
        <f t="shared" si="0"/>
        <v>2</v>
      </c>
      <c r="AV54" s="8">
        <v>2</v>
      </c>
      <c r="AW54" s="8"/>
      <c r="AX54" s="8"/>
      <c r="AY54" s="8"/>
      <c r="AZ54" s="8"/>
      <c r="BA54" s="8"/>
      <c r="BB54" s="8"/>
      <c r="BC54" s="8"/>
      <c r="BD54" s="8"/>
      <c r="BE54" s="8"/>
      <c r="BF54" s="8"/>
      <c r="BG54" s="8"/>
      <c r="BH54" s="8"/>
      <c r="BI54" s="8"/>
      <c r="BJ54" s="8"/>
      <c r="BK54" s="8"/>
      <c r="BL54" s="8"/>
      <c r="BM54" s="8"/>
      <c r="BN54" s="8">
        <f t="shared" si="4"/>
        <v>2</v>
      </c>
      <c r="BO54" s="24">
        <f t="shared" si="2"/>
        <v>0</v>
      </c>
      <c r="BP54" s="23"/>
      <c r="BQ54" s="23"/>
    </row>
    <row r="55" spans="1:69" ht="15.5">
      <c r="A55" s="3" t="s">
        <v>228</v>
      </c>
      <c r="B55" s="3" t="s">
        <v>229</v>
      </c>
      <c r="C55" s="8">
        <v>1</v>
      </c>
      <c r="D55" s="8"/>
      <c r="E55" s="21"/>
      <c r="F55" s="21"/>
      <c r="G55" s="8"/>
      <c r="H55" s="8"/>
      <c r="I55" s="8"/>
      <c r="J55" s="8"/>
      <c r="K55" s="8"/>
      <c r="L55" s="8"/>
      <c r="M55" s="8"/>
      <c r="N55" s="21"/>
      <c r="O55" s="8">
        <v>1</v>
      </c>
      <c r="P55" s="8"/>
      <c r="Q55" s="8"/>
      <c r="R55" s="8"/>
      <c r="S55" s="8"/>
      <c r="T55" s="21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21"/>
      <c r="AN55" s="8"/>
      <c r="AO55" s="8"/>
      <c r="AP55" s="8"/>
      <c r="AQ55" s="8"/>
      <c r="AR55" s="8"/>
      <c r="AS55" s="8"/>
      <c r="AT55" s="8"/>
      <c r="AU55" s="8">
        <f t="shared" si="0"/>
        <v>2</v>
      </c>
      <c r="AV55" s="8">
        <v>2</v>
      </c>
      <c r="AW55" s="8"/>
      <c r="AX55" s="8"/>
      <c r="AY55" s="8"/>
      <c r="AZ55" s="8"/>
      <c r="BA55" s="8"/>
      <c r="BB55" s="8"/>
      <c r="BC55" s="8"/>
      <c r="BD55" s="8"/>
      <c r="BE55" s="8"/>
      <c r="BF55" s="8"/>
      <c r="BG55" s="8"/>
      <c r="BH55" s="8"/>
      <c r="BI55" s="8"/>
      <c r="BJ55" s="8"/>
      <c r="BK55" s="8"/>
      <c r="BL55" s="8"/>
      <c r="BM55" s="8"/>
      <c r="BN55" s="8">
        <f t="shared" si="4"/>
        <v>2</v>
      </c>
      <c r="BO55" s="24">
        <f t="shared" si="2"/>
        <v>0</v>
      </c>
      <c r="BP55" s="23"/>
      <c r="BQ55" s="23"/>
    </row>
    <row r="56" spans="1:69" ht="15.5">
      <c r="A56" s="3" t="s">
        <v>230</v>
      </c>
      <c r="B56" s="3" t="s">
        <v>231</v>
      </c>
      <c r="C56" s="8">
        <v>1</v>
      </c>
      <c r="D56" s="8"/>
      <c r="E56" s="21"/>
      <c r="F56" s="21"/>
      <c r="G56" s="8"/>
      <c r="H56" s="8"/>
      <c r="I56" s="8"/>
      <c r="J56" s="8"/>
      <c r="K56" s="8"/>
      <c r="L56" s="8"/>
      <c r="M56" s="8"/>
      <c r="N56" s="21"/>
      <c r="O56" s="8"/>
      <c r="P56" s="8"/>
      <c r="Q56" s="8"/>
      <c r="R56" s="8"/>
      <c r="S56" s="8"/>
      <c r="T56" s="21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21"/>
      <c r="AN56" s="8"/>
      <c r="AO56" s="8"/>
      <c r="AP56" s="8"/>
      <c r="AQ56" s="8"/>
      <c r="AR56" s="8"/>
      <c r="AS56" s="8"/>
      <c r="AT56" s="8"/>
      <c r="AU56" s="8">
        <f t="shared" si="0"/>
        <v>1</v>
      </c>
      <c r="AV56" s="8">
        <v>1</v>
      </c>
      <c r="AW56" s="8"/>
      <c r="AX56" s="8"/>
      <c r="AY56" s="8"/>
      <c r="AZ56" s="8"/>
      <c r="BA56" s="8"/>
      <c r="BB56" s="8"/>
      <c r="BC56" s="8"/>
      <c r="BD56" s="8"/>
      <c r="BE56" s="8"/>
      <c r="BF56" s="8"/>
      <c r="BG56" s="8"/>
      <c r="BH56" s="8"/>
      <c r="BI56" s="8"/>
      <c r="BJ56" s="8"/>
      <c r="BK56" s="8"/>
      <c r="BL56" s="8"/>
      <c r="BM56" s="8"/>
      <c r="BN56" s="8">
        <f t="shared" si="4"/>
        <v>1</v>
      </c>
      <c r="BO56" s="24">
        <f t="shared" si="2"/>
        <v>0</v>
      </c>
      <c r="BP56" s="23"/>
      <c r="BQ56" s="23"/>
    </row>
    <row r="57" spans="1:69" ht="15.5">
      <c r="A57" s="3" t="s">
        <v>267</v>
      </c>
      <c r="B57" s="3" t="s">
        <v>268</v>
      </c>
      <c r="C57" s="8">
        <v>1</v>
      </c>
      <c r="D57" s="8"/>
      <c r="E57" s="21"/>
      <c r="F57" s="21"/>
      <c r="G57" s="8"/>
      <c r="H57" s="8"/>
      <c r="I57" s="8"/>
      <c r="J57" s="8"/>
      <c r="K57" s="8"/>
      <c r="L57" s="8"/>
      <c r="M57" s="8"/>
      <c r="N57" s="21"/>
      <c r="O57" s="8"/>
      <c r="P57" s="8"/>
      <c r="Q57" s="8"/>
      <c r="R57" s="8"/>
      <c r="S57" s="8"/>
      <c r="T57" s="21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21"/>
      <c r="AN57" s="8"/>
      <c r="AO57" s="8"/>
      <c r="AP57" s="8"/>
      <c r="AQ57" s="8"/>
      <c r="AR57" s="8"/>
      <c r="AS57" s="8"/>
      <c r="AT57" s="8"/>
      <c r="AU57" s="8">
        <f t="shared" si="0"/>
        <v>1</v>
      </c>
      <c r="AV57" s="8">
        <v>1</v>
      </c>
      <c r="AW57" s="8"/>
      <c r="AX57" s="8"/>
      <c r="AY57" s="8"/>
      <c r="AZ57" s="8"/>
      <c r="BA57" s="8"/>
      <c r="BB57" s="8"/>
      <c r="BC57" s="8"/>
      <c r="BD57" s="8"/>
      <c r="BE57" s="8"/>
      <c r="BF57" s="8"/>
      <c r="BG57" s="8"/>
      <c r="BH57" s="8"/>
      <c r="BI57" s="8"/>
      <c r="BJ57" s="8"/>
      <c r="BK57" s="8"/>
      <c r="BL57" s="8"/>
      <c r="BM57" s="8"/>
      <c r="BN57" s="8">
        <f t="shared" si="4"/>
        <v>1</v>
      </c>
      <c r="BO57" s="24">
        <f t="shared" si="2"/>
        <v>0</v>
      </c>
      <c r="BP57" s="23"/>
      <c r="BQ57" s="23"/>
    </row>
    <row r="58" spans="1:69" ht="15.5">
      <c r="A58" s="3" t="s">
        <v>269</v>
      </c>
      <c r="B58" s="3" t="s">
        <v>270</v>
      </c>
      <c r="C58" s="8">
        <v>1</v>
      </c>
      <c r="D58" s="8"/>
      <c r="E58" s="21"/>
      <c r="F58" s="21"/>
      <c r="G58" s="8"/>
      <c r="H58" s="8"/>
      <c r="I58" s="8"/>
      <c r="J58" s="8"/>
      <c r="K58" s="8"/>
      <c r="L58" s="8"/>
      <c r="M58" s="8"/>
      <c r="N58" s="21"/>
      <c r="O58" s="8">
        <v>1</v>
      </c>
      <c r="P58" s="8"/>
      <c r="Q58" s="8"/>
      <c r="R58" s="8"/>
      <c r="S58" s="8"/>
      <c r="T58" s="21"/>
      <c r="U58" s="8">
        <v>1</v>
      </c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21"/>
      <c r="AN58" s="8"/>
      <c r="AO58" s="8"/>
      <c r="AP58" s="8"/>
      <c r="AQ58" s="8"/>
      <c r="AR58" s="8"/>
      <c r="AS58" s="8">
        <v>-1</v>
      </c>
      <c r="AT58" s="8"/>
      <c r="AU58" s="8">
        <f t="shared" si="0"/>
        <v>2</v>
      </c>
      <c r="AV58" s="8">
        <v>1</v>
      </c>
      <c r="AW58" s="8"/>
      <c r="AX58" s="8"/>
      <c r="AY58" s="8"/>
      <c r="AZ58" s="8"/>
      <c r="BA58" s="8"/>
      <c r="BB58" s="8"/>
      <c r="BC58" s="8"/>
      <c r="BD58" s="8">
        <v>1</v>
      </c>
      <c r="BE58" s="8"/>
      <c r="BF58" s="8"/>
      <c r="BG58" s="8"/>
      <c r="BH58" s="8"/>
      <c r="BI58" s="8"/>
      <c r="BJ58" s="8"/>
      <c r="BK58" s="8"/>
      <c r="BL58" s="8"/>
      <c r="BM58" s="8"/>
      <c r="BN58" s="8">
        <f t="shared" si="4"/>
        <v>2</v>
      </c>
      <c r="BO58" s="24">
        <f t="shared" si="2"/>
        <v>0</v>
      </c>
      <c r="BP58" s="23"/>
      <c r="BQ58" s="23"/>
    </row>
    <row r="59" spans="1:69" ht="15.5">
      <c r="A59" s="3" t="s">
        <v>272</v>
      </c>
      <c r="B59" s="3" t="s">
        <v>273</v>
      </c>
      <c r="C59" s="8">
        <v>1</v>
      </c>
      <c r="D59" s="8"/>
      <c r="E59" s="21"/>
      <c r="F59" s="21"/>
      <c r="G59" s="8"/>
      <c r="H59" s="8"/>
      <c r="I59" s="8"/>
      <c r="J59" s="8"/>
      <c r="K59" s="8"/>
      <c r="L59" s="8"/>
      <c r="M59" s="8"/>
      <c r="N59" s="21"/>
      <c r="O59" s="8"/>
      <c r="P59" s="8"/>
      <c r="Q59" s="8"/>
      <c r="R59" s="8"/>
      <c r="S59" s="8"/>
      <c r="T59" s="21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21"/>
      <c r="AN59" s="8"/>
      <c r="AO59" s="8"/>
      <c r="AP59" s="8"/>
      <c r="AQ59" s="8"/>
      <c r="AR59" s="8"/>
      <c r="AS59" s="8"/>
      <c r="AT59" s="8"/>
      <c r="AU59" s="8">
        <f t="shared" si="0"/>
        <v>1</v>
      </c>
      <c r="AV59" s="8">
        <v>1</v>
      </c>
      <c r="AW59" s="8"/>
      <c r="AX59" s="8"/>
      <c r="AY59" s="8"/>
      <c r="AZ59" s="8"/>
      <c r="BA59" s="8"/>
      <c r="BB59" s="8"/>
      <c r="BC59" s="8"/>
      <c r="BD59" s="8"/>
      <c r="BE59" s="8"/>
      <c r="BF59" s="8"/>
      <c r="BG59" s="8"/>
      <c r="BH59" s="8"/>
      <c r="BI59" s="8"/>
      <c r="BJ59" s="8"/>
      <c r="BK59" s="8"/>
      <c r="BL59" s="8"/>
      <c r="BM59" s="8"/>
      <c r="BN59" s="8">
        <f t="shared" si="4"/>
        <v>1</v>
      </c>
      <c r="BO59" s="24">
        <f t="shared" si="2"/>
        <v>0</v>
      </c>
      <c r="BP59" s="23"/>
      <c r="BQ59" s="23"/>
    </row>
    <row r="60" spans="1:69" ht="15.5">
      <c r="A60" s="3" t="s">
        <v>274</v>
      </c>
      <c r="B60" s="3" t="s">
        <v>275</v>
      </c>
      <c r="C60" s="8">
        <v>1</v>
      </c>
      <c r="D60" s="8"/>
      <c r="E60" s="21"/>
      <c r="F60" s="21"/>
      <c r="G60" s="8"/>
      <c r="H60" s="8"/>
      <c r="I60" s="8"/>
      <c r="J60" s="8"/>
      <c r="K60" s="8"/>
      <c r="L60" s="8"/>
      <c r="M60" s="8"/>
      <c r="N60" s="21"/>
      <c r="O60" s="8"/>
      <c r="P60" s="8"/>
      <c r="Q60" s="8"/>
      <c r="R60" s="8"/>
      <c r="S60" s="8"/>
      <c r="T60" s="21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21"/>
      <c r="AN60" s="8"/>
      <c r="AO60" s="8"/>
      <c r="AP60" s="8"/>
      <c r="AQ60" s="8"/>
      <c r="AR60" s="8"/>
      <c r="AS60" s="8">
        <v>-1</v>
      </c>
      <c r="AT60" s="8"/>
      <c r="AU60" s="8">
        <f t="shared" si="0"/>
        <v>0</v>
      </c>
      <c r="AV60" s="8"/>
      <c r="AW60" s="8"/>
      <c r="AX60" s="8"/>
      <c r="AY60" s="8"/>
      <c r="AZ60" s="8"/>
      <c r="BA60" s="8"/>
      <c r="BB60" s="8"/>
      <c r="BC60" s="8"/>
      <c r="BD60" s="8"/>
      <c r="BE60" s="8"/>
      <c r="BF60" s="8"/>
      <c r="BG60" s="8"/>
      <c r="BH60" s="8"/>
      <c r="BI60" s="8"/>
      <c r="BJ60" s="8"/>
      <c r="BK60" s="8"/>
      <c r="BL60" s="8"/>
      <c r="BM60" s="8"/>
      <c r="BN60" s="8">
        <f t="shared" si="4"/>
        <v>0</v>
      </c>
      <c r="BO60" s="24">
        <f t="shared" si="2"/>
        <v>0</v>
      </c>
      <c r="BP60" s="23"/>
      <c r="BQ60" s="23"/>
    </row>
    <row r="61" spans="1:69" ht="15.5">
      <c r="A61" s="3" t="s">
        <v>276</v>
      </c>
      <c r="B61" s="3" t="s">
        <v>277</v>
      </c>
      <c r="C61" s="8">
        <v>1</v>
      </c>
      <c r="D61" s="8"/>
      <c r="E61" s="21"/>
      <c r="F61" s="21"/>
      <c r="G61" s="8"/>
      <c r="H61" s="8"/>
      <c r="I61" s="8"/>
      <c r="J61" s="8"/>
      <c r="K61" s="8"/>
      <c r="L61" s="8"/>
      <c r="M61" s="8"/>
      <c r="N61" s="21"/>
      <c r="O61" s="8"/>
      <c r="P61" s="8"/>
      <c r="Q61" s="8"/>
      <c r="R61" s="8"/>
      <c r="S61" s="8"/>
      <c r="T61" s="21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21"/>
      <c r="AN61" s="8"/>
      <c r="AO61" s="8"/>
      <c r="AP61" s="8"/>
      <c r="AQ61" s="8"/>
      <c r="AR61" s="8"/>
      <c r="AS61" s="8">
        <v>-1</v>
      </c>
      <c r="AT61" s="8"/>
      <c r="AU61" s="8">
        <f t="shared" si="0"/>
        <v>0</v>
      </c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  <c r="BG61" s="8"/>
      <c r="BH61" s="8"/>
      <c r="BI61" s="8"/>
      <c r="BJ61" s="8"/>
      <c r="BK61" s="8"/>
      <c r="BL61" s="8"/>
      <c r="BM61" s="8"/>
      <c r="BN61" s="8">
        <f t="shared" si="4"/>
        <v>0</v>
      </c>
      <c r="BO61" s="24">
        <f t="shared" si="2"/>
        <v>0</v>
      </c>
      <c r="BP61" s="23"/>
      <c r="BQ61" s="23"/>
    </row>
    <row r="62" spans="1:69" ht="15.5">
      <c r="A62" s="3" t="s">
        <v>1165</v>
      </c>
      <c r="B62" s="3" t="s">
        <v>1164</v>
      </c>
      <c r="C62" s="25"/>
      <c r="D62" s="25"/>
      <c r="E62" s="26"/>
      <c r="F62" s="26"/>
      <c r="G62" s="25"/>
      <c r="H62" s="25"/>
      <c r="I62" s="25"/>
      <c r="J62" s="25"/>
      <c r="K62" s="25"/>
      <c r="L62" s="25"/>
      <c r="M62" s="25"/>
      <c r="N62" s="26"/>
      <c r="O62" s="25"/>
      <c r="P62" s="25"/>
      <c r="Q62" s="25"/>
      <c r="R62" s="25"/>
      <c r="S62" s="25"/>
      <c r="T62" s="26"/>
      <c r="U62" s="25"/>
      <c r="V62" s="25"/>
      <c r="W62" s="25"/>
      <c r="X62" s="25"/>
      <c r="Y62" s="25"/>
      <c r="Z62" s="25"/>
      <c r="AA62" s="25"/>
      <c r="AB62" s="25"/>
      <c r="AC62" s="25"/>
      <c r="AD62" s="25"/>
      <c r="AE62" s="25"/>
      <c r="AF62" s="25"/>
      <c r="AG62" s="25"/>
      <c r="AH62" s="25"/>
      <c r="AI62" s="25"/>
      <c r="AJ62" s="25"/>
      <c r="AK62" s="25"/>
      <c r="AL62" s="25"/>
      <c r="AM62" s="26"/>
      <c r="AN62" s="25"/>
      <c r="AO62" s="25"/>
      <c r="AP62" s="25"/>
      <c r="AQ62" s="25"/>
      <c r="AR62" s="25"/>
      <c r="AS62" s="25"/>
      <c r="AT62" s="25">
        <v>1</v>
      </c>
      <c r="AU62" s="8">
        <f t="shared" ref="AU62" si="5">SUM(C62:AT62)</f>
        <v>1</v>
      </c>
      <c r="AV62" s="25"/>
      <c r="AW62" s="25"/>
      <c r="AX62" s="25"/>
      <c r="AY62" s="25"/>
      <c r="AZ62" s="25"/>
      <c r="BA62" s="25"/>
      <c r="BB62" s="25"/>
      <c r="BC62" s="25"/>
      <c r="BD62" s="25"/>
      <c r="BE62" s="25"/>
      <c r="BF62" s="25"/>
      <c r="BG62" s="25"/>
      <c r="BH62" s="25"/>
      <c r="BI62" s="25"/>
      <c r="BJ62" s="25"/>
      <c r="BK62" s="25"/>
      <c r="BL62" s="25"/>
      <c r="BM62" s="25"/>
      <c r="BN62" s="25">
        <f>SUM(AV62:BM62)</f>
        <v>0</v>
      </c>
      <c r="BO62" s="24">
        <f t="shared" si="2"/>
        <v>1</v>
      </c>
      <c r="BP62" s="23"/>
      <c r="BQ62" s="23"/>
    </row>
    <row r="63" spans="1:69" ht="15.5">
      <c r="A63" s="3" t="s">
        <v>413</v>
      </c>
      <c r="B63" s="3" t="s">
        <v>414</v>
      </c>
      <c r="C63" s="25"/>
      <c r="D63" s="25"/>
      <c r="E63" s="26"/>
      <c r="F63" s="26"/>
      <c r="G63" s="25"/>
      <c r="H63" s="25"/>
      <c r="I63" s="25"/>
      <c r="J63" s="25"/>
      <c r="K63" s="25"/>
      <c r="L63" s="25"/>
      <c r="M63" s="25"/>
      <c r="N63" s="26"/>
      <c r="O63" s="25"/>
      <c r="P63" s="25"/>
      <c r="Q63" s="25"/>
      <c r="R63" s="25"/>
      <c r="S63" s="25"/>
      <c r="T63" s="26"/>
      <c r="U63" s="25"/>
      <c r="V63" s="25"/>
      <c r="W63" s="25"/>
      <c r="X63" s="25"/>
      <c r="Y63" s="25"/>
      <c r="Z63" s="25"/>
      <c r="AA63" s="25"/>
      <c r="AB63" s="25"/>
      <c r="AC63" s="25"/>
      <c r="AD63" s="25"/>
      <c r="AE63" s="25"/>
      <c r="AF63" s="25"/>
      <c r="AG63" s="25"/>
      <c r="AH63" s="25"/>
      <c r="AI63" s="25"/>
      <c r="AJ63" s="25"/>
      <c r="AK63" s="25"/>
      <c r="AL63" s="25"/>
      <c r="AM63" s="26"/>
      <c r="AN63" s="25"/>
      <c r="AO63" s="25"/>
      <c r="AP63" s="25">
        <v>1</v>
      </c>
      <c r="AQ63" s="25"/>
      <c r="AR63" s="25"/>
      <c r="AS63" s="25"/>
      <c r="AT63" s="25"/>
      <c r="AU63" s="8">
        <f t="shared" si="0"/>
        <v>1</v>
      </c>
      <c r="AV63" s="25"/>
      <c r="AW63" s="25"/>
      <c r="AX63" s="25"/>
      <c r="AY63" s="25"/>
      <c r="AZ63" s="25"/>
      <c r="BA63" s="25"/>
      <c r="BB63" s="25"/>
      <c r="BC63" s="25"/>
      <c r="BD63" s="25"/>
      <c r="BE63" s="25"/>
      <c r="BF63" s="25"/>
      <c r="BG63" s="25"/>
      <c r="BH63" s="25"/>
      <c r="BI63" s="25"/>
      <c r="BJ63" s="25"/>
      <c r="BK63" s="25"/>
      <c r="BL63" s="25"/>
      <c r="BM63" s="25"/>
      <c r="BN63" s="25">
        <f>SUM(AV63:BM63)</f>
        <v>0</v>
      </c>
      <c r="BO63" s="24">
        <f t="shared" si="2"/>
        <v>1</v>
      </c>
      <c r="BP63" s="23"/>
      <c r="BQ63" s="23"/>
    </row>
    <row r="64" spans="1:69" ht="15.5">
      <c r="A64" s="3" t="s">
        <v>415</v>
      </c>
      <c r="B64" s="3" t="s">
        <v>416</v>
      </c>
      <c r="C64" s="25"/>
      <c r="D64" s="25"/>
      <c r="E64" s="26"/>
      <c r="F64" s="26"/>
      <c r="G64" s="25"/>
      <c r="H64" s="25"/>
      <c r="I64" s="25"/>
      <c r="J64" s="25"/>
      <c r="K64" s="25"/>
      <c r="L64" s="25"/>
      <c r="M64" s="25"/>
      <c r="N64" s="26"/>
      <c r="O64" s="25"/>
      <c r="P64" s="25"/>
      <c r="Q64" s="25"/>
      <c r="R64" s="25"/>
      <c r="S64" s="25"/>
      <c r="T64" s="26"/>
      <c r="U64" s="25"/>
      <c r="V64" s="25"/>
      <c r="W64" s="25"/>
      <c r="X64" s="25"/>
      <c r="Y64" s="25"/>
      <c r="Z64" s="25"/>
      <c r="AA64" s="25"/>
      <c r="AB64" s="25"/>
      <c r="AC64" s="25"/>
      <c r="AD64" s="25"/>
      <c r="AE64" s="25"/>
      <c r="AF64" s="25"/>
      <c r="AG64" s="25"/>
      <c r="AH64" s="25"/>
      <c r="AI64" s="25"/>
      <c r="AJ64" s="25"/>
      <c r="AK64" s="25"/>
      <c r="AL64" s="25"/>
      <c r="AM64" s="26"/>
      <c r="AN64" s="25"/>
      <c r="AO64" s="25"/>
      <c r="AP64" s="25">
        <v>1</v>
      </c>
      <c r="AQ64" s="25"/>
      <c r="AR64" s="25"/>
      <c r="AS64" s="25"/>
      <c r="AT64" s="25"/>
      <c r="AU64" s="8">
        <f t="shared" si="0"/>
        <v>1</v>
      </c>
      <c r="AV64" s="25"/>
      <c r="AW64" s="25"/>
      <c r="AX64" s="25"/>
      <c r="AY64" s="25"/>
      <c r="AZ64" s="25"/>
      <c r="BA64" s="25"/>
      <c r="BB64" s="25"/>
      <c r="BC64" s="25"/>
      <c r="BD64" s="25"/>
      <c r="BE64" s="25"/>
      <c r="BF64" s="25"/>
      <c r="BG64" s="25"/>
      <c r="BH64" s="25"/>
      <c r="BI64" s="25"/>
      <c r="BJ64" s="25"/>
      <c r="BK64" s="25"/>
      <c r="BL64" s="25"/>
      <c r="BM64" s="25"/>
      <c r="BN64" s="25">
        <f>SUM(AV64:BM64)</f>
        <v>0</v>
      </c>
      <c r="BO64" s="24">
        <f t="shared" si="2"/>
        <v>1</v>
      </c>
      <c r="BP64" s="23"/>
      <c r="BQ64" s="23"/>
    </row>
    <row r="65" spans="1:69" ht="15.5">
      <c r="A65" s="3" t="s">
        <v>417</v>
      </c>
      <c r="B65" s="3" t="s">
        <v>418</v>
      </c>
      <c r="C65" s="25"/>
      <c r="D65" s="25"/>
      <c r="E65" s="26"/>
      <c r="F65" s="26"/>
      <c r="G65" s="25"/>
      <c r="H65" s="25"/>
      <c r="I65" s="25"/>
      <c r="J65" s="25"/>
      <c r="K65" s="25"/>
      <c r="L65" s="25"/>
      <c r="M65" s="25"/>
      <c r="N65" s="26"/>
      <c r="O65" s="25"/>
      <c r="P65" s="25"/>
      <c r="Q65" s="25"/>
      <c r="R65" s="25"/>
      <c r="S65" s="25"/>
      <c r="T65" s="26"/>
      <c r="U65" s="25"/>
      <c r="V65" s="25"/>
      <c r="W65" s="25"/>
      <c r="X65" s="25"/>
      <c r="Y65" s="25"/>
      <c r="Z65" s="25"/>
      <c r="AA65" s="25"/>
      <c r="AB65" s="25"/>
      <c r="AC65" s="25"/>
      <c r="AD65" s="25"/>
      <c r="AE65" s="25"/>
      <c r="AF65" s="25"/>
      <c r="AG65" s="25"/>
      <c r="AH65" s="25"/>
      <c r="AI65" s="25"/>
      <c r="AJ65" s="25"/>
      <c r="AK65" s="25"/>
      <c r="AL65" s="25"/>
      <c r="AM65" s="26"/>
      <c r="AN65" s="25"/>
      <c r="AO65" s="25"/>
      <c r="AP65" s="25">
        <v>1</v>
      </c>
      <c r="AQ65" s="25"/>
      <c r="AR65" s="25"/>
      <c r="AS65" s="25"/>
      <c r="AT65" s="25"/>
      <c r="AU65" s="8">
        <f t="shared" si="0"/>
        <v>1</v>
      </c>
      <c r="AV65" s="25"/>
      <c r="AW65" s="25"/>
      <c r="AX65" s="25"/>
      <c r="AY65" s="25"/>
      <c r="AZ65" s="25"/>
      <c r="BA65" s="25"/>
      <c r="BB65" s="25"/>
      <c r="BC65" s="25"/>
      <c r="BD65" s="25"/>
      <c r="BE65" s="25"/>
      <c r="BF65" s="25"/>
      <c r="BG65" s="25"/>
      <c r="BH65" s="25"/>
      <c r="BI65" s="25"/>
      <c r="BJ65" s="25"/>
      <c r="BK65" s="25"/>
      <c r="BL65" s="25"/>
      <c r="BM65" s="25"/>
      <c r="BN65" s="25">
        <f>SUM(AV65:BM65)</f>
        <v>0</v>
      </c>
      <c r="BO65" s="24">
        <f t="shared" si="2"/>
        <v>1</v>
      </c>
      <c r="BP65" s="23"/>
      <c r="BQ65" s="23"/>
    </row>
    <row r="66" spans="1:69" ht="15.5">
      <c r="A66" s="3" t="s">
        <v>419</v>
      </c>
      <c r="B66" s="3" t="s">
        <v>420</v>
      </c>
      <c r="C66" s="25"/>
      <c r="D66" s="25"/>
      <c r="E66" s="26"/>
      <c r="F66" s="26"/>
      <c r="G66" s="25"/>
      <c r="H66" s="25"/>
      <c r="I66" s="25"/>
      <c r="J66" s="25"/>
      <c r="K66" s="25"/>
      <c r="L66" s="25"/>
      <c r="M66" s="25"/>
      <c r="N66" s="26"/>
      <c r="O66" s="25"/>
      <c r="P66" s="25"/>
      <c r="Q66" s="25"/>
      <c r="R66" s="25"/>
      <c r="S66" s="25"/>
      <c r="T66" s="26"/>
      <c r="U66" s="25"/>
      <c r="V66" s="25"/>
      <c r="W66" s="25"/>
      <c r="X66" s="25"/>
      <c r="Y66" s="25"/>
      <c r="Z66" s="25"/>
      <c r="AA66" s="25"/>
      <c r="AB66" s="25"/>
      <c r="AC66" s="25"/>
      <c r="AD66" s="25"/>
      <c r="AE66" s="25"/>
      <c r="AF66" s="25"/>
      <c r="AG66" s="25"/>
      <c r="AH66" s="25"/>
      <c r="AI66" s="25"/>
      <c r="AJ66" s="25"/>
      <c r="AK66" s="25"/>
      <c r="AL66" s="25"/>
      <c r="AM66" s="26"/>
      <c r="AN66" s="25"/>
      <c r="AO66" s="25"/>
      <c r="AP66" s="25">
        <v>1</v>
      </c>
      <c r="AQ66" s="25"/>
      <c r="AR66" s="25"/>
      <c r="AS66" s="25"/>
      <c r="AT66" s="25"/>
      <c r="AU66" s="8">
        <f t="shared" si="0"/>
        <v>1</v>
      </c>
      <c r="AV66" s="25"/>
      <c r="AW66" s="25"/>
      <c r="AX66" s="25"/>
      <c r="AY66" s="25"/>
      <c r="AZ66" s="25"/>
      <c r="BA66" s="25"/>
      <c r="BB66" s="25"/>
      <c r="BC66" s="25"/>
      <c r="BD66" s="25"/>
      <c r="BE66" s="25"/>
      <c r="BF66" s="25"/>
      <c r="BG66" s="25"/>
      <c r="BH66" s="25"/>
      <c r="BI66" s="25"/>
      <c r="BJ66" s="25"/>
      <c r="BK66" s="25"/>
      <c r="BL66" s="25"/>
      <c r="BM66" s="25"/>
      <c r="BN66" s="25">
        <f>SUM(AV66:BM66)</f>
        <v>0</v>
      </c>
      <c r="BO66" s="24">
        <f t="shared" si="2"/>
        <v>1</v>
      </c>
      <c r="BP66" s="23"/>
      <c r="BQ66" s="23"/>
    </row>
    <row r="67" spans="1:69" ht="15.5">
      <c r="A67" s="3" t="s">
        <v>421</v>
      </c>
      <c r="B67" s="3" t="s">
        <v>422</v>
      </c>
      <c r="C67" s="8"/>
      <c r="D67" s="8"/>
      <c r="E67" s="21"/>
      <c r="F67" s="21"/>
      <c r="G67" s="8"/>
      <c r="H67" s="8"/>
      <c r="I67" s="8"/>
      <c r="J67" s="8"/>
      <c r="K67" s="8"/>
      <c r="L67" s="8"/>
      <c r="M67" s="8"/>
      <c r="N67" s="21"/>
      <c r="O67" s="8"/>
      <c r="P67" s="8"/>
      <c r="Q67" s="8"/>
      <c r="R67" s="8"/>
      <c r="S67" s="8"/>
      <c r="T67" s="21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>
        <v>1</v>
      </c>
      <c r="AI67" s="8"/>
      <c r="AJ67" s="8"/>
      <c r="AK67" s="8"/>
      <c r="AL67" s="8"/>
      <c r="AM67" s="21"/>
      <c r="AN67" s="8"/>
      <c r="AO67" s="8"/>
      <c r="AP67" s="8"/>
      <c r="AQ67" s="8"/>
      <c r="AR67" s="8"/>
      <c r="AS67" s="8"/>
      <c r="AT67" s="8"/>
      <c r="AU67" s="8">
        <f t="shared" si="0"/>
        <v>1</v>
      </c>
      <c r="AV67" s="8"/>
      <c r="AW67" s="8"/>
      <c r="AX67" s="8"/>
      <c r="AY67" s="8"/>
      <c r="AZ67" s="8"/>
      <c r="BA67" s="8"/>
      <c r="BB67" s="8">
        <v>1</v>
      </c>
      <c r="BC67" s="8"/>
      <c r="BD67" s="8"/>
      <c r="BE67" s="8"/>
      <c r="BF67" s="8"/>
      <c r="BG67" s="8"/>
      <c r="BH67" s="8"/>
      <c r="BI67" s="8"/>
      <c r="BJ67" s="8"/>
      <c r="BK67" s="8"/>
      <c r="BL67" s="8"/>
      <c r="BM67" s="8"/>
      <c r="BN67" s="8">
        <f t="shared" ref="BN67:BN111" si="6">SUM(AV67:BM67)</f>
        <v>1</v>
      </c>
      <c r="BO67" s="24">
        <f t="shared" si="2"/>
        <v>0</v>
      </c>
      <c r="BP67" s="23"/>
      <c r="BQ67" s="23"/>
    </row>
    <row r="68" spans="1:69" ht="15.5">
      <c r="A68" s="3" t="s">
        <v>423</v>
      </c>
      <c r="B68" s="3" t="s">
        <v>424</v>
      </c>
      <c r="C68" s="8"/>
      <c r="D68" s="8"/>
      <c r="E68" s="21"/>
      <c r="F68" s="21"/>
      <c r="G68" s="8"/>
      <c r="H68" s="8"/>
      <c r="I68" s="8"/>
      <c r="J68" s="8"/>
      <c r="K68" s="8"/>
      <c r="L68" s="8"/>
      <c r="M68" s="8"/>
      <c r="N68" s="21"/>
      <c r="O68" s="8"/>
      <c r="P68" s="8"/>
      <c r="Q68" s="8"/>
      <c r="R68" s="8"/>
      <c r="S68" s="8"/>
      <c r="T68" s="21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>
        <v>1</v>
      </c>
      <c r="AI68" s="8">
        <v>2</v>
      </c>
      <c r="AJ68" s="8">
        <v>1</v>
      </c>
      <c r="AK68" s="8">
        <v>1</v>
      </c>
      <c r="AL68" s="8"/>
      <c r="AM68" s="21">
        <v>-2</v>
      </c>
      <c r="AN68" s="8"/>
      <c r="AO68" s="8"/>
      <c r="AP68" s="8"/>
      <c r="AQ68" s="8"/>
      <c r="AR68" s="8"/>
      <c r="AS68" s="8"/>
      <c r="AT68" s="8">
        <v>1</v>
      </c>
      <c r="AU68" s="8">
        <f t="shared" si="0"/>
        <v>4</v>
      </c>
      <c r="AV68" s="8"/>
      <c r="AW68" s="8"/>
      <c r="AX68" s="8"/>
      <c r="AY68" s="8"/>
      <c r="AZ68" s="8"/>
      <c r="BA68" s="8"/>
      <c r="BB68" s="8">
        <v>2</v>
      </c>
      <c r="BC68" s="8">
        <v>1</v>
      </c>
      <c r="BD68" s="8"/>
      <c r="BE68" s="8"/>
      <c r="BF68" s="8"/>
      <c r="BG68" s="8"/>
      <c r="BH68" s="8"/>
      <c r="BI68" s="8"/>
      <c r="BJ68" s="8"/>
      <c r="BK68" s="8"/>
      <c r="BL68" s="8"/>
      <c r="BM68" s="8"/>
      <c r="BN68" s="8">
        <f t="shared" si="6"/>
        <v>3</v>
      </c>
      <c r="BO68" s="24">
        <f t="shared" ref="BO68:BO131" si="7">IF(+AU68-BN68&lt;0,"",+AU68-BN68)</f>
        <v>1</v>
      </c>
      <c r="BP68" s="23"/>
      <c r="BQ68" s="23"/>
    </row>
    <row r="69" spans="1:69" ht="15.5">
      <c r="A69" s="3" t="s">
        <v>425</v>
      </c>
      <c r="B69" s="3" t="s">
        <v>426</v>
      </c>
      <c r="C69" s="8"/>
      <c r="D69" s="8"/>
      <c r="E69" s="21"/>
      <c r="F69" s="21"/>
      <c r="G69" s="8"/>
      <c r="H69" s="8"/>
      <c r="I69" s="8"/>
      <c r="J69" s="8"/>
      <c r="K69" s="8"/>
      <c r="L69" s="8"/>
      <c r="M69" s="8"/>
      <c r="N69" s="21"/>
      <c r="O69" s="8"/>
      <c r="P69" s="8"/>
      <c r="Q69" s="8"/>
      <c r="R69" s="8"/>
      <c r="S69" s="8"/>
      <c r="T69" s="21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>
        <v>2</v>
      </c>
      <c r="AI69" s="8">
        <v>2</v>
      </c>
      <c r="AJ69" s="8">
        <v>2</v>
      </c>
      <c r="AK69" s="8"/>
      <c r="AL69" s="8"/>
      <c r="AM69" s="21">
        <v>-1</v>
      </c>
      <c r="AN69" s="8"/>
      <c r="AO69" s="8"/>
      <c r="AP69" s="8"/>
      <c r="AQ69" s="8"/>
      <c r="AR69" s="8">
        <v>2</v>
      </c>
      <c r="AS69" s="8"/>
      <c r="AT69" s="8"/>
      <c r="AU69" s="8">
        <f t="shared" si="0"/>
        <v>7</v>
      </c>
      <c r="AV69" s="8"/>
      <c r="AW69" s="8"/>
      <c r="AX69" s="8"/>
      <c r="AY69" s="8"/>
      <c r="AZ69" s="8"/>
      <c r="BA69" s="8"/>
      <c r="BB69" s="8">
        <v>3</v>
      </c>
      <c r="BC69" s="8">
        <v>1</v>
      </c>
      <c r="BD69" s="8"/>
      <c r="BE69" s="8">
        <v>2</v>
      </c>
      <c r="BF69" s="8"/>
      <c r="BG69" s="8"/>
      <c r="BH69" s="8"/>
      <c r="BI69" s="8"/>
      <c r="BJ69" s="8"/>
      <c r="BK69" s="8"/>
      <c r="BL69" s="8"/>
      <c r="BM69" s="8"/>
      <c r="BN69" s="8">
        <f t="shared" si="6"/>
        <v>6</v>
      </c>
      <c r="BO69" s="24">
        <f t="shared" si="7"/>
        <v>1</v>
      </c>
      <c r="BP69" s="23"/>
      <c r="BQ69" s="23"/>
    </row>
    <row r="70" spans="1:69" ht="15.5">
      <c r="A70" s="3" t="s">
        <v>427</v>
      </c>
      <c r="B70" s="3" t="s">
        <v>428</v>
      </c>
      <c r="C70" s="8"/>
      <c r="D70" s="8"/>
      <c r="E70" s="21"/>
      <c r="F70" s="21"/>
      <c r="G70" s="8"/>
      <c r="H70" s="8"/>
      <c r="I70" s="8"/>
      <c r="J70" s="8"/>
      <c r="K70" s="8"/>
      <c r="L70" s="8"/>
      <c r="M70" s="8"/>
      <c r="N70" s="21"/>
      <c r="O70" s="8"/>
      <c r="P70" s="8"/>
      <c r="Q70" s="8"/>
      <c r="R70" s="8"/>
      <c r="S70" s="8"/>
      <c r="T70" s="21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>
        <v>2</v>
      </c>
      <c r="AI70" s="8">
        <v>2</v>
      </c>
      <c r="AJ70" s="8">
        <v>2</v>
      </c>
      <c r="AK70" s="8"/>
      <c r="AL70" s="8"/>
      <c r="AM70" s="21">
        <v>-2</v>
      </c>
      <c r="AN70" s="8"/>
      <c r="AO70" s="8"/>
      <c r="AP70" s="8"/>
      <c r="AQ70" s="8"/>
      <c r="AR70" s="8">
        <v>2</v>
      </c>
      <c r="AS70" s="8"/>
      <c r="AT70" s="8">
        <v>2</v>
      </c>
      <c r="AU70" s="8">
        <f t="shared" si="0"/>
        <v>8</v>
      </c>
      <c r="AV70" s="8"/>
      <c r="AW70" s="8"/>
      <c r="AX70" s="8"/>
      <c r="AY70" s="8"/>
      <c r="AZ70" s="8"/>
      <c r="BA70" s="8"/>
      <c r="BB70" s="8">
        <v>2</v>
      </c>
      <c r="BC70" s="8">
        <v>2</v>
      </c>
      <c r="BD70" s="8"/>
      <c r="BE70" s="8">
        <v>2</v>
      </c>
      <c r="BF70" s="8"/>
      <c r="BG70" s="8"/>
      <c r="BH70" s="8"/>
      <c r="BI70" s="8"/>
      <c r="BJ70" s="8"/>
      <c r="BK70" s="8"/>
      <c r="BL70" s="8"/>
      <c r="BM70" s="8"/>
      <c r="BN70" s="8">
        <f t="shared" si="6"/>
        <v>6</v>
      </c>
      <c r="BO70" s="24">
        <f t="shared" si="7"/>
        <v>2</v>
      </c>
      <c r="BP70" s="23"/>
      <c r="BQ70" s="23"/>
    </row>
    <row r="71" spans="1:69" ht="15.5">
      <c r="A71" s="3" t="s">
        <v>429</v>
      </c>
      <c r="B71" s="3" t="s">
        <v>430</v>
      </c>
      <c r="C71" s="8"/>
      <c r="D71" s="8"/>
      <c r="E71" s="21"/>
      <c r="F71" s="21"/>
      <c r="G71" s="8"/>
      <c r="H71" s="8"/>
      <c r="I71" s="8"/>
      <c r="J71" s="8"/>
      <c r="K71" s="8"/>
      <c r="L71" s="8"/>
      <c r="M71" s="8"/>
      <c r="N71" s="21"/>
      <c r="O71" s="8"/>
      <c r="P71" s="8"/>
      <c r="Q71" s="8"/>
      <c r="R71" s="8"/>
      <c r="S71" s="8"/>
      <c r="T71" s="21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>
        <v>1</v>
      </c>
      <c r="AI71" s="8">
        <v>2</v>
      </c>
      <c r="AJ71" s="8">
        <v>1</v>
      </c>
      <c r="AK71" s="8">
        <v>1</v>
      </c>
      <c r="AL71" s="8"/>
      <c r="AM71" s="21"/>
      <c r="AN71" s="8"/>
      <c r="AO71" s="8"/>
      <c r="AP71" s="8"/>
      <c r="AQ71" s="8"/>
      <c r="AR71" s="8">
        <v>2</v>
      </c>
      <c r="AS71" s="8"/>
      <c r="AT71" s="8">
        <v>2</v>
      </c>
      <c r="AU71" s="8">
        <f t="shared" si="0"/>
        <v>9</v>
      </c>
      <c r="AV71" s="8"/>
      <c r="AW71" s="8"/>
      <c r="AX71" s="8"/>
      <c r="AY71" s="8"/>
      <c r="AZ71" s="8"/>
      <c r="BA71" s="8"/>
      <c r="BB71" s="8">
        <v>3</v>
      </c>
      <c r="BC71" s="8">
        <v>1</v>
      </c>
      <c r="BD71" s="8"/>
      <c r="BE71" s="8">
        <v>2</v>
      </c>
      <c r="BF71" s="8"/>
      <c r="BG71" s="8"/>
      <c r="BH71" s="8"/>
      <c r="BI71" s="8"/>
      <c r="BJ71" s="8"/>
      <c r="BK71" s="8"/>
      <c r="BL71" s="8"/>
      <c r="BM71" s="8"/>
      <c r="BN71" s="8">
        <f t="shared" si="6"/>
        <v>6</v>
      </c>
      <c r="BO71" s="24">
        <f t="shared" si="7"/>
        <v>3</v>
      </c>
      <c r="BP71" s="23"/>
      <c r="BQ71" s="23"/>
    </row>
    <row r="72" spans="1:69" ht="15.5">
      <c r="A72" s="3" t="s">
        <v>431</v>
      </c>
      <c r="B72" s="3" t="s">
        <v>432</v>
      </c>
      <c r="C72" s="8"/>
      <c r="D72" s="8"/>
      <c r="E72" s="21"/>
      <c r="F72" s="21"/>
      <c r="G72" s="8"/>
      <c r="H72" s="8"/>
      <c r="I72" s="8"/>
      <c r="J72" s="8"/>
      <c r="K72" s="8"/>
      <c r="L72" s="8"/>
      <c r="M72" s="8"/>
      <c r="N72" s="21"/>
      <c r="O72" s="8"/>
      <c r="P72" s="8"/>
      <c r="Q72" s="8"/>
      <c r="R72" s="8"/>
      <c r="S72" s="8"/>
      <c r="T72" s="21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>
        <v>1</v>
      </c>
      <c r="AI72" s="8"/>
      <c r="AJ72" s="8">
        <v>1</v>
      </c>
      <c r="AK72" s="8"/>
      <c r="AL72" s="8"/>
      <c r="AM72" s="21">
        <v>-1</v>
      </c>
      <c r="AN72" s="8"/>
      <c r="AO72" s="8"/>
      <c r="AP72" s="8"/>
      <c r="AQ72" s="8"/>
      <c r="AR72" s="8"/>
      <c r="AS72" s="8"/>
      <c r="AT72" s="8"/>
      <c r="AU72" s="8">
        <f t="shared" si="0"/>
        <v>1</v>
      </c>
      <c r="AV72" s="8"/>
      <c r="AW72" s="8"/>
      <c r="AX72" s="8"/>
      <c r="AY72" s="8"/>
      <c r="AZ72" s="8"/>
      <c r="BA72" s="8"/>
      <c r="BB72" s="8">
        <v>1</v>
      </c>
      <c r="BC72" s="8"/>
      <c r="BD72" s="8"/>
      <c r="BE72" s="8"/>
      <c r="BF72" s="8"/>
      <c r="BG72" s="8"/>
      <c r="BH72" s="8"/>
      <c r="BI72" s="8"/>
      <c r="BJ72" s="8"/>
      <c r="BK72" s="8"/>
      <c r="BL72" s="8"/>
      <c r="BM72" s="8"/>
      <c r="BN72" s="8">
        <f t="shared" si="6"/>
        <v>1</v>
      </c>
      <c r="BO72" s="24">
        <f t="shared" si="7"/>
        <v>0</v>
      </c>
      <c r="BP72" s="23"/>
      <c r="BQ72" s="23"/>
    </row>
    <row r="73" spans="1:69" ht="15.5">
      <c r="A73" s="3" t="s">
        <v>16</v>
      </c>
      <c r="B73" s="3" t="s">
        <v>17</v>
      </c>
      <c r="C73" s="8"/>
      <c r="D73" s="8"/>
      <c r="E73" s="21"/>
      <c r="F73" s="21"/>
      <c r="G73" s="8"/>
      <c r="H73" s="8"/>
      <c r="I73" s="8"/>
      <c r="J73" s="8"/>
      <c r="K73" s="8"/>
      <c r="L73" s="8"/>
      <c r="M73" s="8"/>
      <c r="N73" s="21"/>
      <c r="O73" s="8"/>
      <c r="P73" s="8">
        <v>4</v>
      </c>
      <c r="Q73" s="8"/>
      <c r="R73" s="8"/>
      <c r="S73" s="8"/>
      <c r="T73" s="21"/>
      <c r="U73" s="8">
        <v>1</v>
      </c>
      <c r="V73" s="8"/>
      <c r="W73" s="8"/>
      <c r="X73" s="8">
        <v>1</v>
      </c>
      <c r="Y73" s="8">
        <v>1</v>
      </c>
      <c r="Z73" s="8">
        <v>1</v>
      </c>
      <c r="AA73" s="8">
        <v>1</v>
      </c>
      <c r="AB73" s="8">
        <v>1</v>
      </c>
      <c r="AC73" s="8"/>
      <c r="AD73" s="8">
        <v>1</v>
      </c>
      <c r="AE73" s="8">
        <v>2</v>
      </c>
      <c r="AF73" s="8"/>
      <c r="AG73" s="8"/>
      <c r="AH73" s="8"/>
      <c r="AI73" s="8"/>
      <c r="AJ73" s="8">
        <v>1</v>
      </c>
      <c r="AK73" s="8"/>
      <c r="AL73" s="8"/>
      <c r="AM73" s="21"/>
      <c r="AN73" s="8"/>
      <c r="AO73" s="8"/>
      <c r="AP73" s="8">
        <v>1</v>
      </c>
      <c r="AQ73" s="8">
        <v>1</v>
      </c>
      <c r="AR73" s="8">
        <v>2</v>
      </c>
      <c r="AS73" s="8"/>
      <c r="AT73" s="8"/>
      <c r="AU73" s="8">
        <f t="shared" si="0"/>
        <v>18</v>
      </c>
      <c r="AV73" s="8">
        <v>3</v>
      </c>
      <c r="AW73" s="8">
        <v>1</v>
      </c>
      <c r="AX73" s="8">
        <v>1</v>
      </c>
      <c r="AY73" s="8">
        <v>4</v>
      </c>
      <c r="AZ73" s="8">
        <v>1</v>
      </c>
      <c r="BA73" s="8">
        <v>1</v>
      </c>
      <c r="BB73" s="8">
        <v>2</v>
      </c>
      <c r="BC73" s="8">
        <v>1</v>
      </c>
      <c r="BD73" s="8">
        <v>1</v>
      </c>
      <c r="BE73" s="8">
        <v>3</v>
      </c>
      <c r="BF73" s="8"/>
      <c r="BG73" s="8"/>
      <c r="BH73" s="8"/>
      <c r="BI73" s="8"/>
      <c r="BJ73" s="8"/>
      <c r="BK73" s="8"/>
      <c r="BL73" s="8"/>
      <c r="BM73" s="8"/>
      <c r="BN73" s="8">
        <f t="shared" si="6"/>
        <v>18</v>
      </c>
      <c r="BO73" s="24">
        <f t="shared" si="7"/>
        <v>0</v>
      </c>
      <c r="BP73" s="23"/>
      <c r="BQ73" s="23"/>
    </row>
    <row r="74" spans="1:69" ht="15.5">
      <c r="A74" s="3" t="s">
        <v>19</v>
      </c>
      <c r="B74" s="3" t="s">
        <v>20</v>
      </c>
      <c r="C74" s="8">
        <v>2</v>
      </c>
      <c r="D74" s="8">
        <v>2</v>
      </c>
      <c r="E74" s="21">
        <v>-1</v>
      </c>
      <c r="F74" s="21"/>
      <c r="G74" s="8"/>
      <c r="H74" s="8"/>
      <c r="I74" s="8"/>
      <c r="J74" s="8"/>
      <c r="K74" s="8"/>
      <c r="L74" s="8"/>
      <c r="M74" s="8"/>
      <c r="N74" s="21"/>
      <c r="O74" s="8"/>
      <c r="P74" s="8">
        <v>5</v>
      </c>
      <c r="Q74" s="8"/>
      <c r="R74" s="8"/>
      <c r="S74" s="8"/>
      <c r="T74" s="21"/>
      <c r="U74" s="8">
        <v>2</v>
      </c>
      <c r="V74" s="8"/>
      <c r="W74" s="8">
        <v>2</v>
      </c>
      <c r="X74" s="8">
        <v>2</v>
      </c>
      <c r="Y74" s="8"/>
      <c r="Z74" s="8"/>
      <c r="AA74" s="8">
        <v>1</v>
      </c>
      <c r="AB74" s="8">
        <v>2</v>
      </c>
      <c r="AC74" s="8">
        <v>1</v>
      </c>
      <c r="AD74" s="8"/>
      <c r="AE74" s="8">
        <v>2</v>
      </c>
      <c r="AF74" s="8">
        <v>1</v>
      </c>
      <c r="AG74" s="8"/>
      <c r="AH74" s="8">
        <v>1</v>
      </c>
      <c r="AI74" s="8">
        <v>2</v>
      </c>
      <c r="AJ74" s="8"/>
      <c r="AK74" s="8"/>
      <c r="AL74" s="8"/>
      <c r="AM74" s="21"/>
      <c r="AN74" s="8"/>
      <c r="AO74" s="8"/>
      <c r="AP74" s="8">
        <v>1</v>
      </c>
      <c r="AQ74" s="8">
        <v>1</v>
      </c>
      <c r="AR74" s="8">
        <v>2</v>
      </c>
      <c r="AS74" s="8"/>
      <c r="AT74" s="8"/>
      <c r="AU74" s="8">
        <f t="shared" si="0"/>
        <v>28</v>
      </c>
      <c r="AV74" s="8">
        <v>7</v>
      </c>
      <c r="AW74" s="8">
        <v>1</v>
      </c>
      <c r="AX74" s="8">
        <v>4</v>
      </c>
      <c r="AY74" s="8">
        <v>2</v>
      </c>
      <c r="AZ74" s="8">
        <v>3</v>
      </c>
      <c r="BA74" s="8">
        <v>4</v>
      </c>
      <c r="BB74" s="8">
        <v>1</v>
      </c>
      <c r="BC74" s="8">
        <v>2</v>
      </c>
      <c r="BD74" s="8">
        <v>2</v>
      </c>
      <c r="BE74" s="8">
        <v>1</v>
      </c>
      <c r="BF74" s="8"/>
      <c r="BG74" s="8"/>
      <c r="BH74" s="8"/>
      <c r="BI74" s="8"/>
      <c r="BJ74" s="8"/>
      <c r="BK74" s="8"/>
      <c r="BL74" s="8"/>
      <c r="BM74" s="8"/>
      <c r="BN74" s="8">
        <f t="shared" si="6"/>
        <v>27</v>
      </c>
      <c r="BO74" s="24">
        <f t="shared" si="7"/>
        <v>1</v>
      </c>
      <c r="BP74" s="23"/>
      <c r="BQ74" s="23"/>
    </row>
    <row r="75" spans="1:69" ht="15.5">
      <c r="A75" s="3" t="s">
        <v>21</v>
      </c>
      <c r="B75" s="3" t="s">
        <v>22</v>
      </c>
      <c r="C75" s="8">
        <v>3</v>
      </c>
      <c r="D75" s="8">
        <v>2</v>
      </c>
      <c r="E75" s="21"/>
      <c r="F75" s="21"/>
      <c r="G75" s="8"/>
      <c r="H75" s="8"/>
      <c r="I75" s="8"/>
      <c r="J75" s="8"/>
      <c r="K75" s="8"/>
      <c r="L75" s="8"/>
      <c r="M75" s="8"/>
      <c r="N75" s="21"/>
      <c r="O75" s="8"/>
      <c r="P75" s="8">
        <v>6</v>
      </c>
      <c r="Q75" s="8"/>
      <c r="R75" s="8">
        <v>3</v>
      </c>
      <c r="S75" s="8">
        <v>2</v>
      </c>
      <c r="T75" s="21"/>
      <c r="U75" s="8">
        <v>2</v>
      </c>
      <c r="V75" s="8"/>
      <c r="W75" s="8">
        <v>2</v>
      </c>
      <c r="X75" s="8"/>
      <c r="Y75" s="8"/>
      <c r="Z75" s="8"/>
      <c r="AA75" s="8">
        <v>2</v>
      </c>
      <c r="AB75" s="8">
        <v>3</v>
      </c>
      <c r="AC75" s="8">
        <v>2</v>
      </c>
      <c r="AD75" s="8"/>
      <c r="AE75" s="8">
        <v>2</v>
      </c>
      <c r="AF75" s="8"/>
      <c r="AG75" s="8"/>
      <c r="AH75" s="8">
        <v>2</v>
      </c>
      <c r="AI75" s="8">
        <v>2</v>
      </c>
      <c r="AJ75" s="8"/>
      <c r="AK75" s="8">
        <v>1</v>
      </c>
      <c r="AL75" s="8"/>
      <c r="AM75" s="21">
        <v>-1</v>
      </c>
      <c r="AN75" s="8"/>
      <c r="AO75" s="8"/>
      <c r="AP75" s="8">
        <v>2</v>
      </c>
      <c r="AQ75" s="8">
        <v>2</v>
      </c>
      <c r="AR75" s="8">
        <v>2</v>
      </c>
      <c r="AS75" s="8"/>
      <c r="AT75" s="8">
        <v>3</v>
      </c>
      <c r="AU75" s="8">
        <f t="shared" si="0"/>
        <v>42</v>
      </c>
      <c r="AV75" s="8">
        <v>14</v>
      </c>
      <c r="AW75" s="8">
        <v>2</v>
      </c>
      <c r="AX75" s="8">
        <v>4</v>
      </c>
      <c r="AY75" s="8"/>
      <c r="AZ75" s="8">
        <v>6</v>
      </c>
      <c r="BA75" s="8">
        <v>2</v>
      </c>
      <c r="BB75" s="8">
        <v>3</v>
      </c>
      <c r="BC75" s="8">
        <v>1</v>
      </c>
      <c r="BD75" s="8">
        <v>4</v>
      </c>
      <c r="BE75" s="8"/>
      <c r="BF75" s="8"/>
      <c r="BG75" s="8"/>
      <c r="BH75" s="8"/>
      <c r="BI75" s="8"/>
      <c r="BJ75" s="8"/>
      <c r="BK75" s="8"/>
      <c r="BL75" s="8"/>
      <c r="BM75" s="8"/>
      <c r="BN75" s="8">
        <f t="shared" si="6"/>
        <v>36</v>
      </c>
      <c r="BO75" s="24">
        <f t="shared" si="7"/>
        <v>6</v>
      </c>
      <c r="BP75" s="23"/>
      <c r="BQ75" s="23"/>
    </row>
    <row r="76" spans="1:69" ht="15.5">
      <c r="A76" s="3" t="s">
        <v>23</v>
      </c>
      <c r="B76" s="3" t="s">
        <v>24</v>
      </c>
      <c r="C76" s="8">
        <v>2</v>
      </c>
      <c r="D76" s="8"/>
      <c r="E76" s="21"/>
      <c r="F76" s="21"/>
      <c r="G76" s="8"/>
      <c r="H76" s="8"/>
      <c r="I76" s="8"/>
      <c r="J76" s="8"/>
      <c r="K76" s="8"/>
      <c r="L76" s="8"/>
      <c r="M76" s="8"/>
      <c r="N76" s="21"/>
      <c r="O76" s="8"/>
      <c r="P76" s="8">
        <v>5</v>
      </c>
      <c r="Q76" s="8"/>
      <c r="R76" s="8"/>
      <c r="S76" s="8">
        <v>3</v>
      </c>
      <c r="T76" s="21"/>
      <c r="U76" s="8">
        <v>3</v>
      </c>
      <c r="V76" s="8"/>
      <c r="W76" s="8">
        <v>3</v>
      </c>
      <c r="X76" s="8">
        <v>2</v>
      </c>
      <c r="Y76" s="8"/>
      <c r="Z76" s="8">
        <v>2</v>
      </c>
      <c r="AA76" s="8">
        <v>2</v>
      </c>
      <c r="AB76" s="8"/>
      <c r="AC76" s="8">
        <v>3</v>
      </c>
      <c r="AD76" s="8"/>
      <c r="AE76" s="8">
        <v>2</v>
      </c>
      <c r="AF76" s="8">
        <v>2</v>
      </c>
      <c r="AG76" s="8"/>
      <c r="AH76" s="8">
        <v>2</v>
      </c>
      <c r="AI76" s="8">
        <v>2</v>
      </c>
      <c r="AJ76" s="8"/>
      <c r="AK76" s="8">
        <v>1</v>
      </c>
      <c r="AL76" s="8"/>
      <c r="AM76" s="21">
        <v>-1</v>
      </c>
      <c r="AN76" s="8"/>
      <c r="AO76" s="8"/>
      <c r="AP76" s="8">
        <v>2</v>
      </c>
      <c r="AQ76" s="8">
        <v>2</v>
      </c>
      <c r="AR76" s="8">
        <v>2</v>
      </c>
      <c r="AS76" s="8"/>
      <c r="AT76" s="8"/>
      <c r="AU76" s="8">
        <f t="shared" si="0"/>
        <v>39</v>
      </c>
      <c r="AV76" s="8">
        <v>7</v>
      </c>
      <c r="AW76" s="8">
        <v>3</v>
      </c>
      <c r="AX76" s="8">
        <v>3</v>
      </c>
      <c r="AY76" s="8">
        <v>5</v>
      </c>
      <c r="AZ76" s="8">
        <v>4</v>
      </c>
      <c r="BA76" s="8">
        <v>4</v>
      </c>
      <c r="BB76" s="8">
        <v>5</v>
      </c>
      <c r="BC76" s="8">
        <v>2</v>
      </c>
      <c r="BD76" s="8">
        <v>4</v>
      </c>
      <c r="BE76" s="8">
        <v>2</v>
      </c>
      <c r="BF76" s="8"/>
      <c r="BG76" s="8"/>
      <c r="BH76" s="8"/>
      <c r="BI76" s="8"/>
      <c r="BJ76" s="8"/>
      <c r="BK76" s="8"/>
      <c r="BL76" s="8"/>
      <c r="BM76" s="8"/>
      <c r="BN76" s="8">
        <f t="shared" si="6"/>
        <v>39</v>
      </c>
      <c r="BO76" s="24">
        <f t="shared" si="7"/>
        <v>0</v>
      </c>
      <c r="BP76" s="23"/>
      <c r="BQ76" s="23"/>
    </row>
    <row r="77" spans="1:69" ht="15.5">
      <c r="A77" s="3" t="s">
        <v>25</v>
      </c>
      <c r="B77" s="3" t="s">
        <v>26</v>
      </c>
      <c r="C77" s="8"/>
      <c r="D77" s="8"/>
      <c r="E77" s="21"/>
      <c r="F77" s="21"/>
      <c r="G77" s="8"/>
      <c r="H77" s="8"/>
      <c r="I77" s="8"/>
      <c r="J77" s="8"/>
      <c r="K77" s="8"/>
      <c r="L77" s="8"/>
      <c r="M77" s="8"/>
      <c r="N77" s="21"/>
      <c r="O77" s="8"/>
      <c r="P77" s="8">
        <v>5</v>
      </c>
      <c r="Q77" s="8"/>
      <c r="R77" s="8"/>
      <c r="S77" s="8"/>
      <c r="T77" s="21"/>
      <c r="U77" s="8">
        <v>2</v>
      </c>
      <c r="V77" s="8"/>
      <c r="W77" s="8">
        <v>1</v>
      </c>
      <c r="X77" s="8">
        <v>2</v>
      </c>
      <c r="Y77" s="8"/>
      <c r="Z77" s="8"/>
      <c r="AA77" s="8">
        <v>1</v>
      </c>
      <c r="AB77" s="8">
        <v>2</v>
      </c>
      <c r="AC77" s="8">
        <v>2</v>
      </c>
      <c r="AD77" s="8"/>
      <c r="AE77" s="8"/>
      <c r="AF77" s="8"/>
      <c r="AG77" s="8"/>
      <c r="AH77" s="8">
        <v>1</v>
      </c>
      <c r="AI77" s="8">
        <v>2</v>
      </c>
      <c r="AJ77" s="8"/>
      <c r="AK77" s="8"/>
      <c r="AL77" s="8"/>
      <c r="AM77" s="21"/>
      <c r="AN77" s="8"/>
      <c r="AO77" s="8"/>
      <c r="AP77" s="8">
        <v>1</v>
      </c>
      <c r="AQ77" s="8">
        <v>1</v>
      </c>
      <c r="AR77" s="8">
        <v>1</v>
      </c>
      <c r="AS77" s="8"/>
      <c r="AT77" s="8"/>
      <c r="AU77" s="8">
        <f t="shared" si="0"/>
        <v>21</v>
      </c>
      <c r="AV77" s="8">
        <v>2</v>
      </c>
      <c r="AW77" s="8">
        <v>1</v>
      </c>
      <c r="AX77" s="8">
        <v>4</v>
      </c>
      <c r="AY77" s="8">
        <v>4</v>
      </c>
      <c r="AZ77" s="8">
        <v>1</v>
      </c>
      <c r="BA77" s="8">
        <v>3</v>
      </c>
      <c r="BB77" s="8">
        <v>2</v>
      </c>
      <c r="BC77" s="8">
        <v>1</v>
      </c>
      <c r="BD77" s="8">
        <v>2</v>
      </c>
      <c r="BE77" s="8"/>
      <c r="BF77" s="8"/>
      <c r="BG77" s="8"/>
      <c r="BH77" s="8"/>
      <c r="BI77" s="8"/>
      <c r="BJ77" s="8"/>
      <c r="BK77" s="8"/>
      <c r="BL77" s="8"/>
      <c r="BM77" s="8"/>
      <c r="BN77" s="8">
        <f t="shared" si="6"/>
        <v>20</v>
      </c>
      <c r="BO77" s="24">
        <f t="shared" si="7"/>
        <v>1</v>
      </c>
      <c r="BP77" s="23"/>
      <c r="BQ77" s="23"/>
    </row>
    <row r="78" spans="1:69" ht="15.5">
      <c r="A78" s="3" t="s">
        <v>27</v>
      </c>
      <c r="B78" s="3" t="s">
        <v>28</v>
      </c>
      <c r="C78" s="8"/>
      <c r="D78" s="8"/>
      <c r="E78" s="21"/>
      <c r="F78" s="21"/>
      <c r="G78" s="8"/>
      <c r="H78" s="8"/>
      <c r="I78" s="8"/>
      <c r="J78" s="8"/>
      <c r="K78" s="8"/>
      <c r="L78" s="8"/>
      <c r="M78" s="8"/>
      <c r="N78" s="21"/>
      <c r="O78" s="8"/>
      <c r="P78" s="8">
        <v>5</v>
      </c>
      <c r="Q78" s="8"/>
      <c r="R78" s="8"/>
      <c r="S78" s="8"/>
      <c r="T78" s="21"/>
      <c r="U78" s="8"/>
      <c r="V78" s="8"/>
      <c r="W78" s="8"/>
      <c r="X78" s="8"/>
      <c r="Y78" s="8"/>
      <c r="Z78" s="8"/>
      <c r="AA78" s="8">
        <v>1</v>
      </c>
      <c r="AB78" s="8">
        <v>1</v>
      </c>
      <c r="AC78" s="8">
        <v>1</v>
      </c>
      <c r="AD78" s="8"/>
      <c r="AE78" s="8">
        <v>1</v>
      </c>
      <c r="AF78" s="8"/>
      <c r="AG78" s="8"/>
      <c r="AH78" s="8">
        <v>1</v>
      </c>
      <c r="AI78" s="8"/>
      <c r="AJ78" s="8"/>
      <c r="AK78" s="8"/>
      <c r="AL78" s="8"/>
      <c r="AM78" s="21"/>
      <c r="AN78" s="8"/>
      <c r="AO78" s="8"/>
      <c r="AP78" s="8">
        <v>1</v>
      </c>
      <c r="AQ78" s="8">
        <v>1</v>
      </c>
      <c r="AR78" s="8"/>
      <c r="AS78" s="8"/>
      <c r="AT78" s="8"/>
      <c r="AU78" s="8">
        <f t="shared" si="0"/>
        <v>12</v>
      </c>
      <c r="AV78" s="8">
        <v>3</v>
      </c>
      <c r="AW78" s="8">
        <v>2</v>
      </c>
      <c r="AX78" s="8"/>
      <c r="AY78" s="8"/>
      <c r="AZ78" s="8">
        <v>3</v>
      </c>
      <c r="BA78" s="8">
        <v>1</v>
      </c>
      <c r="BB78" s="8">
        <v>1</v>
      </c>
      <c r="BC78" s="8"/>
      <c r="BD78" s="8"/>
      <c r="BE78" s="8">
        <v>2</v>
      </c>
      <c r="BF78" s="8"/>
      <c r="BG78" s="8"/>
      <c r="BH78" s="8"/>
      <c r="BI78" s="8"/>
      <c r="BJ78" s="8"/>
      <c r="BK78" s="8"/>
      <c r="BL78" s="8"/>
      <c r="BM78" s="8"/>
      <c r="BN78" s="8">
        <f t="shared" si="6"/>
        <v>12</v>
      </c>
      <c r="BO78" s="24">
        <f t="shared" si="7"/>
        <v>0</v>
      </c>
      <c r="BP78" s="23"/>
      <c r="BQ78" s="23"/>
    </row>
    <row r="79" spans="1:69" ht="15.5">
      <c r="A79" s="3" t="s">
        <v>286</v>
      </c>
      <c r="B79" s="3" t="s">
        <v>287</v>
      </c>
      <c r="C79" s="8"/>
      <c r="D79" s="8"/>
      <c r="E79" s="21"/>
      <c r="F79" s="21"/>
      <c r="G79" s="8"/>
      <c r="H79" s="8"/>
      <c r="I79" s="8"/>
      <c r="J79" s="8"/>
      <c r="K79" s="8"/>
      <c r="L79" s="8"/>
      <c r="M79" s="8"/>
      <c r="N79" s="21"/>
      <c r="O79" s="8"/>
      <c r="P79" s="8">
        <v>3</v>
      </c>
      <c r="Q79" s="8"/>
      <c r="R79" s="8"/>
      <c r="S79" s="8"/>
      <c r="T79" s="21"/>
      <c r="U79" s="8"/>
      <c r="V79" s="8"/>
      <c r="W79" s="8">
        <v>1</v>
      </c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21"/>
      <c r="AN79" s="8"/>
      <c r="AO79" s="8"/>
      <c r="AP79" s="8"/>
      <c r="AQ79" s="8"/>
      <c r="AR79" s="8"/>
      <c r="AS79" s="8"/>
      <c r="AT79" s="8"/>
      <c r="AU79" s="8">
        <f t="shared" si="0"/>
        <v>4</v>
      </c>
      <c r="AV79" s="8">
        <v>3</v>
      </c>
      <c r="AW79" s="8"/>
      <c r="AX79" s="8">
        <v>1</v>
      </c>
      <c r="AY79" s="8"/>
      <c r="AZ79" s="8"/>
      <c r="BA79" s="8"/>
      <c r="BB79" s="8"/>
      <c r="BC79" s="8"/>
      <c r="BD79" s="8"/>
      <c r="BE79" s="8"/>
      <c r="BF79" s="8"/>
      <c r="BG79" s="8"/>
      <c r="BH79" s="8"/>
      <c r="BI79" s="8"/>
      <c r="BJ79" s="8"/>
      <c r="BK79" s="8"/>
      <c r="BL79" s="8"/>
      <c r="BM79" s="8"/>
      <c r="BN79" s="8">
        <f t="shared" si="6"/>
        <v>4</v>
      </c>
      <c r="BO79" s="24">
        <f t="shared" si="7"/>
        <v>0</v>
      </c>
      <c r="BP79" s="23"/>
      <c r="BQ79" s="23"/>
    </row>
    <row r="80" spans="1:69" ht="15.5">
      <c r="A80" s="3" t="s">
        <v>45</v>
      </c>
      <c r="B80" s="3" t="s">
        <v>46</v>
      </c>
      <c r="C80" s="8"/>
      <c r="D80" s="8"/>
      <c r="E80" s="21"/>
      <c r="F80" s="21"/>
      <c r="G80" s="8"/>
      <c r="H80" s="8"/>
      <c r="I80" s="8"/>
      <c r="J80" s="8"/>
      <c r="K80" s="8"/>
      <c r="L80" s="8"/>
      <c r="M80" s="8"/>
      <c r="N80" s="21"/>
      <c r="O80" s="8"/>
      <c r="P80" s="8">
        <v>3</v>
      </c>
      <c r="Q80" s="8"/>
      <c r="R80" s="8"/>
      <c r="S80" s="8"/>
      <c r="T80" s="21"/>
      <c r="U80" s="8"/>
      <c r="V80" s="8"/>
      <c r="W80" s="8">
        <v>1</v>
      </c>
      <c r="X80" s="8">
        <v>1</v>
      </c>
      <c r="Y80" s="8">
        <v>1</v>
      </c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21"/>
      <c r="AN80" s="8"/>
      <c r="AO80" s="8"/>
      <c r="AP80" s="8"/>
      <c r="AQ80" s="8"/>
      <c r="AR80" s="8"/>
      <c r="AS80" s="8"/>
      <c r="AT80" s="8"/>
      <c r="AU80" s="8">
        <f t="shared" si="0"/>
        <v>6</v>
      </c>
      <c r="AV80" s="8">
        <v>3</v>
      </c>
      <c r="AW80" s="8"/>
      <c r="AX80" s="8">
        <v>1</v>
      </c>
      <c r="AY80" s="8">
        <v>2</v>
      </c>
      <c r="AZ80" s="8"/>
      <c r="BA80" s="8"/>
      <c r="BB80" s="8"/>
      <c r="BC80" s="8"/>
      <c r="BD80" s="8"/>
      <c r="BE80" s="8"/>
      <c r="BF80" s="8"/>
      <c r="BG80" s="8"/>
      <c r="BH80" s="8"/>
      <c r="BI80" s="8"/>
      <c r="BJ80" s="8"/>
      <c r="BK80" s="8"/>
      <c r="BL80" s="8"/>
      <c r="BM80" s="8"/>
      <c r="BN80" s="8">
        <f t="shared" si="6"/>
        <v>6</v>
      </c>
      <c r="BO80" s="24">
        <f t="shared" si="7"/>
        <v>0</v>
      </c>
      <c r="BP80" s="23"/>
      <c r="BQ80" s="23"/>
    </row>
    <row r="81" spans="1:69" ht="15.5">
      <c r="A81" s="3" t="s">
        <v>47</v>
      </c>
      <c r="B81" s="3" t="s">
        <v>48</v>
      </c>
      <c r="C81" s="8"/>
      <c r="D81" s="8"/>
      <c r="E81" s="21"/>
      <c r="F81" s="21"/>
      <c r="G81" s="8"/>
      <c r="H81" s="8"/>
      <c r="I81" s="8"/>
      <c r="J81" s="8"/>
      <c r="K81" s="8"/>
      <c r="L81" s="8"/>
      <c r="M81" s="8"/>
      <c r="N81" s="21"/>
      <c r="O81" s="8"/>
      <c r="P81" s="8">
        <v>3</v>
      </c>
      <c r="Q81" s="8"/>
      <c r="R81" s="8"/>
      <c r="S81" s="8">
        <v>1</v>
      </c>
      <c r="T81" s="21"/>
      <c r="U81" s="8"/>
      <c r="V81" s="8"/>
      <c r="W81" s="8">
        <v>1</v>
      </c>
      <c r="X81" s="8">
        <v>2</v>
      </c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21"/>
      <c r="AN81" s="8"/>
      <c r="AO81" s="8"/>
      <c r="AP81" s="8"/>
      <c r="AQ81" s="8"/>
      <c r="AR81" s="8"/>
      <c r="AS81" s="8"/>
      <c r="AT81" s="8"/>
      <c r="AU81" s="8">
        <f t="shared" si="0"/>
        <v>7</v>
      </c>
      <c r="AV81" s="8">
        <v>4</v>
      </c>
      <c r="AW81" s="8"/>
      <c r="AX81" s="8">
        <v>1</v>
      </c>
      <c r="AY81" s="8">
        <v>2</v>
      </c>
      <c r="AZ81" s="8"/>
      <c r="BA81" s="8"/>
      <c r="BB81" s="8"/>
      <c r="BC81" s="8"/>
      <c r="BD81" s="8"/>
      <c r="BE81" s="8"/>
      <c r="BF81" s="8"/>
      <c r="BG81" s="8"/>
      <c r="BH81" s="8"/>
      <c r="BI81" s="8"/>
      <c r="BJ81" s="8"/>
      <c r="BK81" s="8"/>
      <c r="BL81" s="8"/>
      <c r="BM81" s="8"/>
      <c r="BN81" s="8">
        <f t="shared" si="6"/>
        <v>7</v>
      </c>
      <c r="BO81" s="24">
        <f t="shared" si="7"/>
        <v>0</v>
      </c>
      <c r="BP81" s="23"/>
      <c r="BQ81" s="23"/>
    </row>
    <row r="82" spans="1:69" ht="15.5">
      <c r="A82" s="3" t="s">
        <v>49</v>
      </c>
      <c r="B82" s="3" t="s">
        <v>50</v>
      </c>
      <c r="C82" s="8"/>
      <c r="D82" s="8"/>
      <c r="E82" s="21"/>
      <c r="F82" s="21"/>
      <c r="G82" s="8"/>
      <c r="H82" s="8"/>
      <c r="I82" s="8"/>
      <c r="J82" s="8"/>
      <c r="K82" s="8"/>
      <c r="L82" s="8"/>
      <c r="M82" s="8"/>
      <c r="N82" s="21"/>
      <c r="O82" s="8"/>
      <c r="P82" s="8">
        <v>3</v>
      </c>
      <c r="Q82" s="8"/>
      <c r="R82" s="8">
        <v>1</v>
      </c>
      <c r="S82" s="8"/>
      <c r="T82" s="21"/>
      <c r="U82" s="8">
        <v>2</v>
      </c>
      <c r="V82" s="8"/>
      <c r="W82" s="8">
        <v>1</v>
      </c>
      <c r="X82" s="8">
        <v>2</v>
      </c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21"/>
      <c r="AN82" s="8"/>
      <c r="AO82" s="8"/>
      <c r="AP82" s="8"/>
      <c r="AQ82" s="8"/>
      <c r="AR82" s="8"/>
      <c r="AS82" s="8"/>
      <c r="AT82" s="8"/>
      <c r="AU82" s="8">
        <f t="shared" si="0"/>
        <v>9</v>
      </c>
      <c r="AV82" s="8">
        <v>3</v>
      </c>
      <c r="AW82" s="8">
        <v>1</v>
      </c>
      <c r="AX82" s="8">
        <v>1</v>
      </c>
      <c r="AY82" s="8"/>
      <c r="AZ82" s="8">
        <v>2</v>
      </c>
      <c r="BA82" s="8">
        <v>2</v>
      </c>
      <c r="BB82" s="8"/>
      <c r="BC82" s="8"/>
      <c r="BD82" s="8"/>
      <c r="BE82" s="8"/>
      <c r="BF82" s="8"/>
      <c r="BG82" s="8"/>
      <c r="BH82" s="8"/>
      <c r="BI82" s="8"/>
      <c r="BJ82" s="8"/>
      <c r="BK82" s="8"/>
      <c r="BL82" s="8"/>
      <c r="BM82" s="8"/>
      <c r="BN82" s="8">
        <f t="shared" si="6"/>
        <v>9</v>
      </c>
      <c r="BO82" s="24">
        <f t="shared" si="7"/>
        <v>0</v>
      </c>
      <c r="BP82" s="23"/>
      <c r="BQ82" s="23"/>
    </row>
    <row r="83" spans="1:69" ht="15.5">
      <c r="A83" s="3" t="s">
        <v>51</v>
      </c>
      <c r="B83" s="3" t="s">
        <v>52</v>
      </c>
      <c r="C83" s="8"/>
      <c r="D83" s="8"/>
      <c r="E83" s="21"/>
      <c r="F83" s="21"/>
      <c r="G83" s="8"/>
      <c r="H83" s="8"/>
      <c r="I83" s="8"/>
      <c r="J83" s="8"/>
      <c r="K83" s="8"/>
      <c r="L83" s="8"/>
      <c r="M83" s="8"/>
      <c r="N83" s="21"/>
      <c r="O83" s="8"/>
      <c r="P83" s="8">
        <v>3</v>
      </c>
      <c r="Q83" s="8"/>
      <c r="R83" s="8"/>
      <c r="S83" s="8">
        <v>1</v>
      </c>
      <c r="T83" s="21"/>
      <c r="U83" s="8"/>
      <c r="V83" s="8"/>
      <c r="W83" s="8">
        <v>1</v>
      </c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21"/>
      <c r="AN83" s="8"/>
      <c r="AO83" s="8"/>
      <c r="AP83" s="8"/>
      <c r="AQ83" s="8"/>
      <c r="AR83" s="8"/>
      <c r="AS83" s="8"/>
      <c r="AT83" s="8"/>
      <c r="AU83" s="8">
        <f t="shared" si="0"/>
        <v>5</v>
      </c>
      <c r="AV83" s="8">
        <v>3</v>
      </c>
      <c r="AW83" s="8"/>
      <c r="AX83" s="8">
        <v>1</v>
      </c>
      <c r="AY83" s="8">
        <v>1</v>
      </c>
      <c r="AZ83" s="8"/>
      <c r="BA83" s="8"/>
      <c r="BB83" s="8"/>
      <c r="BC83" s="8"/>
      <c r="BD83" s="8"/>
      <c r="BE83" s="8"/>
      <c r="BF83" s="8"/>
      <c r="BG83" s="8"/>
      <c r="BH83" s="8"/>
      <c r="BI83" s="8"/>
      <c r="BJ83" s="8"/>
      <c r="BK83" s="8"/>
      <c r="BL83" s="8"/>
      <c r="BM83" s="8"/>
      <c r="BN83" s="8">
        <f t="shared" si="6"/>
        <v>5</v>
      </c>
      <c r="BO83" s="24">
        <f t="shared" si="7"/>
        <v>0</v>
      </c>
      <c r="BP83" s="23"/>
      <c r="BQ83" s="23"/>
    </row>
    <row r="84" spans="1:69" ht="15.5">
      <c r="A84" s="3" t="s">
        <v>435</v>
      </c>
      <c r="B84" s="3" t="s">
        <v>436</v>
      </c>
      <c r="C84" s="8"/>
      <c r="D84" s="8"/>
      <c r="E84" s="21"/>
      <c r="F84" s="21"/>
      <c r="G84" s="8"/>
      <c r="H84" s="8"/>
      <c r="I84" s="8"/>
      <c r="J84" s="8"/>
      <c r="K84" s="8"/>
      <c r="L84" s="8"/>
      <c r="M84" s="8"/>
      <c r="N84" s="21"/>
      <c r="O84" s="8"/>
      <c r="P84" s="8"/>
      <c r="Q84" s="8"/>
      <c r="R84" s="8"/>
      <c r="S84" s="8"/>
      <c r="T84" s="21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>
        <v>1</v>
      </c>
      <c r="AF84" s="8"/>
      <c r="AG84" s="8"/>
      <c r="AH84" s="8"/>
      <c r="AI84" s="8"/>
      <c r="AJ84" s="8"/>
      <c r="AK84" s="8"/>
      <c r="AL84" s="8"/>
      <c r="AM84" s="21"/>
      <c r="AN84" s="8"/>
      <c r="AO84" s="8"/>
      <c r="AP84" s="8"/>
      <c r="AQ84" s="8"/>
      <c r="AR84" s="8"/>
      <c r="AS84" s="8"/>
      <c r="AT84" s="8"/>
      <c r="AU84" s="8">
        <f t="shared" si="0"/>
        <v>1</v>
      </c>
      <c r="AV84" s="8"/>
      <c r="AW84" s="8"/>
      <c r="AX84" s="8"/>
      <c r="AY84" s="8"/>
      <c r="AZ84" s="8"/>
      <c r="BA84" s="8"/>
      <c r="BB84" s="8"/>
      <c r="BC84" s="8"/>
      <c r="BD84" s="8"/>
      <c r="BE84" s="8"/>
      <c r="BF84" s="8"/>
      <c r="BG84" s="8"/>
      <c r="BH84" s="8"/>
      <c r="BI84" s="8"/>
      <c r="BJ84" s="8"/>
      <c r="BK84" s="8"/>
      <c r="BL84" s="8"/>
      <c r="BM84" s="8"/>
      <c r="BN84" s="8">
        <f t="shared" si="6"/>
        <v>0</v>
      </c>
      <c r="BO84" s="24">
        <f t="shared" si="7"/>
        <v>1</v>
      </c>
      <c r="BP84" s="23"/>
      <c r="BQ84" s="23"/>
    </row>
    <row r="85" spans="1:69" ht="15.5">
      <c r="A85" s="3" t="s">
        <v>437</v>
      </c>
      <c r="B85" s="3" t="s">
        <v>438</v>
      </c>
      <c r="C85" s="8"/>
      <c r="D85" s="8"/>
      <c r="E85" s="21"/>
      <c r="F85" s="21"/>
      <c r="G85" s="8"/>
      <c r="H85" s="8"/>
      <c r="I85" s="8"/>
      <c r="J85" s="8"/>
      <c r="K85" s="8"/>
      <c r="L85" s="8"/>
      <c r="M85" s="8"/>
      <c r="N85" s="21"/>
      <c r="O85" s="8"/>
      <c r="P85" s="8"/>
      <c r="Q85" s="8"/>
      <c r="R85" s="8"/>
      <c r="S85" s="8"/>
      <c r="T85" s="21"/>
      <c r="U85" s="8"/>
      <c r="V85" s="8"/>
      <c r="W85" s="8"/>
      <c r="X85" s="8"/>
      <c r="Y85" s="8"/>
      <c r="Z85" s="8"/>
      <c r="AA85" s="8"/>
      <c r="AB85" s="8"/>
      <c r="AC85" s="8">
        <v>1</v>
      </c>
      <c r="AD85" s="8"/>
      <c r="AE85" s="8">
        <v>1</v>
      </c>
      <c r="AF85" s="8"/>
      <c r="AG85" s="8"/>
      <c r="AH85" s="8"/>
      <c r="AI85" s="8"/>
      <c r="AJ85" s="8">
        <v>2</v>
      </c>
      <c r="AK85" s="8"/>
      <c r="AL85" s="8"/>
      <c r="AM85" s="21"/>
      <c r="AN85" s="8"/>
      <c r="AO85" s="8"/>
      <c r="AP85" s="8"/>
      <c r="AQ85" s="8">
        <v>1</v>
      </c>
      <c r="AR85" s="8"/>
      <c r="AS85" s="8"/>
      <c r="AT85" s="8"/>
      <c r="AU85" s="8">
        <f t="shared" si="0"/>
        <v>5</v>
      </c>
      <c r="AV85" s="8"/>
      <c r="AW85" s="8"/>
      <c r="AX85" s="8"/>
      <c r="AY85" s="8"/>
      <c r="AZ85" s="8"/>
      <c r="BA85" s="8">
        <v>1</v>
      </c>
      <c r="BB85" s="8"/>
      <c r="BC85" s="8">
        <v>1</v>
      </c>
      <c r="BD85" s="8"/>
      <c r="BE85" s="8"/>
      <c r="BF85" s="8"/>
      <c r="BG85" s="8"/>
      <c r="BH85" s="8"/>
      <c r="BI85" s="8"/>
      <c r="BJ85" s="8"/>
      <c r="BK85" s="8"/>
      <c r="BL85" s="8"/>
      <c r="BM85" s="8"/>
      <c r="BN85" s="8">
        <f t="shared" si="6"/>
        <v>2</v>
      </c>
      <c r="BO85" s="24">
        <f t="shared" si="7"/>
        <v>3</v>
      </c>
      <c r="BP85" s="23"/>
      <c r="BQ85" s="23"/>
    </row>
    <row r="86" spans="1:69" ht="15.5">
      <c r="A86" s="3" t="s">
        <v>439</v>
      </c>
      <c r="B86" s="3" t="s">
        <v>440</v>
      </c>
      <c r="C86" s="8"/>
      <c r="D86" s="8"/>
      <c r="E86" s="21"/>
      <c r="F86" s="21"/>
      <c r="G86" s="8"/>
      <c r="H86" s="8"/>
      <c r="I86" s="8"/>
      <c r="J86" s="8"/>
      <c r="K86" s="8"/>
      <c r="L86" s="8"/>
      <c r="M86" s="8"/>
      <c r="N86" s="21"/>
      <c r="O86" s="8"/>
      <c r="P86" s="8"/>
      <c r="Q86" s="8"/>
      <c r="R86" s="8"/>
      <c r="S86" s="8"/>
      <c r="T86" s="21"/>
      <c r="U86" s="8"/>
      <c r="V86" s="8"/>
      <c r="W86" s="8"/>
      <c r="X86" s="8"/>
      <c r="Y86" s="8"/>
      <c r="Z86" s="8"/>
      <c r="AA86" s="8"/>
      <c r="AB86" s="8"/>
      <c r="AC86" s="8">
        <v>1</v>
      </c>
      <c r="AD86" s="8"/>
      <c r="AE86" s="8">
        <v>1</v>
      </c>
      <c r="AF86" s="8"/>
      <c r="AG86" s="8">
        <v>2</v>
      </c>
      <c r="AH86" s="8"/>
      <c r="AI86" s="8"/>
      <c r="AJ86" s="8">
        <v>2</v>
      </c>
      <c r="AK86" s="8"/>
      <c r="AL86" s="8"/>
      <c r="AM86" s="21"/>
      <c r="AN86" s="8"/>
      <c r="AO86" s="8"/>
      <c r="AP86" s="8"/>
      <c r="AQ86" s="8">
        <v>1</v>
      </c>
      <c r="AR86" s="8">
        <v>1</v>
      </c>
      <c r="AS86" s="8"/>
      <c r="AT86" s="8"/>
      <c r="AU86" s="8">
        <f t="shared" si="0"/>
        <v>8</v>
      </c>
      <c r="AV86" s="8"/>
      <c r="AW86" s="8"/>
      <c r="AX86" s="8"/>
      <c r="AY86" s="8"/>
      <c r="AZ86" s="8">
        <v>1</v>
      </c>
      <c r="BA86" s="8">
        <v>2</v>
      </c>
      <c r="BB86" s="8"/>
      <c r="BC86" s="8"/>
      <c r="BD86" s="8">
        <v>3</v>
      </c>
      <c r="BE86" s="8"/>
      <c r="BF86" s="8"/>
      <c r="BG86" s="8"/>
      <c r="BH86" s="8"/>
      <c r="BI86" s="8"/>
      <c r="BJ86" s="8"/>
      <c r="BK86" s="8"/>
      <c r="BL86" s="8"/>
      <c r="BM86" s="8"/>
      <c r="BN86" s="8">
        <f t="shared" si="6"/>
        <v>6</v>
      </c>
      <c r="BO86" s="24">
        <f t="shared" si="7"/>
        <v>2</v>
      </c>
      <c r="BP86" s="23"/>
      <c r="BQ86" s="23"/>
    </row>
    <row r="87" spans="1:69" ht="15.5">
      <c r="A87" s="3" t="s">
        <v>441</v>
      </c>
      <c r="B87" s="3" t="s">
        <v>442</v>
      </c>
      <c r="C87" s="8"/>
      <c r="D87" s="8"/>
      <c r="E87" s="21"/>
      <c r="F87" s="21"/>
      <c r="G87" s="8"/>
      <c r="H87" s="8"/>
      <c r="I87" s="8"/>
      <c r="J87" s="8"/>
      <c r="K87" s="8"/>
      <c r="L87" s="8"/>
      <c r="M87" s="8"/>
      <c r="N87" s="21"/>
      <c r="O87" s="8"/>
      <c r="P87" s="8"/>
      <c r="Q87" s="8"/>
      <c r="R87" s="8"/>
      <c r="S87" s="8"/>
      <c r="T87" s="21"/>
      <c r="U87" s="8"/>
      <c r="V87" s="8"/>
      <c r="W87" s="8"/>
      <c r="X87" s="8"/>
      <c r="Y87" s="8"/>
      <c r="Z87" s="8"/>
      <c r="AA87" s="8"/>
      <c r="AB87" s="8"/>
      <c r="AC87" s="8">
        <v>1</v>
      </c>
      <c r="AD87" s="8"/>
      <c r="AE87" s="8">
        <v>1</v>
      </c>
      <c r="AF87" s="8"/>
      <c r="AG87" s="8"/>
      <c r="AH87" s="8"/>
      <c r="AI87" s="8"/>
      <c r="AJ87" s="8">
        <v>2</v>
      </c>
      <c r="AK87" s="8"/>
      <c r="AL87" s="8"/>
      <c r="AM87" s="21"/>
      <c r="AN87" s="8"/>
      <c r="AO87" s="8"/>
      <c r="AP87" s="8"/>
      <c r="AQ87" s="8">
        <v>1</v>
      </c>
      <c r="AR87" s="8"/>
      <c r="AS87" s="8"/>
      <c r="AT87" s="8"/>
      <c r="AU87" s="8">
        <f t="shared" si="0"/>
        <v>5</v>
      </c>
      <c r="AV87" s="8"/>
      <c r="AW87" s="8"/>
      <c r="AX87" s="8"/>
      <c r="AY87" s="8"/>
      <c r="AZ87" s="8"/>
      <c r="BA87" s="8">
        <v>2</v>
      </c>
      <c r="BB87" s="8"/>
      <c r="BC87" s="8"/>
      <c r="BD87" s="8">
        <v>1</v>
      </c>
      <c r="BE87" s="8">
        <v>1</v>
      </c>
      <c r="BF87" s="8"/>
      <c r="BG87" s="8"/>
      <c r="BH87" s="8"/>
      <c r="BI87" s="8"/>
      <c r="BJ87" s="8"/>
      <c r="BK87" s="8"/>
      <c r="BL87" s="8"/>
      <c r="BM87" s="8"/>
      <c r="BN87" s="8">
        <f t="shared" si="6"/>
        <v>4</v>
      </c>
      <c r="BO87" s="24">
        <f t="shared" si="7"/>
        <v>1</v>
      </c>
      <c r="BP87" s="23"/>
      <c r="BQ87" s="23"/>
    </row>
    <row r="88" spans="1:69" ht="15.5">
      <c r="A88" s="3" t="s">
        <v>443</v>
      </c>
      <c r="B88" s="3" t="s">
        <v>444</v>
      </c>
      <c r="C88" s="8"/>
      <c r="D88" s="8"/>
      <c r="E88" s="21"/>
      <c r="F88" s="21"/>
      <c r="G88" s="8"/>
      <c r="H88" s="8"/>
      <c r="I88" s="8"/>
      <c r="J88" s="8"/>
      <c r="K88" s="8"/>
      <c r="L88" s="8"/>
      <c r="M88" s="8"/>
      <c r="N88" s="21"/>
      <c r="O88" s="8"/>
      <c r="P88" s="8"/>
      <c r="Q88" s="8"/>
      <c r="R88" s="8"/>
      <c r="S88" s="8"/>
      <c r="T88" s="21"/>
      <c r="U88" s="8"/>
      <c r="V88" s="8"/>
      <c r="W88" s="8"/>
      <c r="X88" s="8"/>
      <c r="Y88" s="8"/>
      <c r="Z88" s="8"/>
      <c r="AA88" s="8"/>
      <c r="AB88" s="8"/>
      <c r="AC88" s="8">
        <v>1</v>
      </c>
      <c r="AD88" s="8"/>
      <c r="AE88" s="8">
        <v>1</v>
      </c>
      <c r="AF88" s="8">
        <v>2</v>
      </c>
      <c r="AG88" s="8"/>
      <c r="AH88" s="8"/>
      <c r="AI88" s="8"/>
      <c r="AJ88" s="8">
        <v>1</v>
      </c>
      <c r="AK88" s="8"/>
      <c r="AL88" s="8"/>
      <c r="AM88" s="21"/>
      <c r="AN88" s="8"/>
      <c r="AO88" s="8"/>
      <c r="AP88" s="8"/>
      <c r="AQ88" s="8"/>
      <c r="AR88" s="8"/>
      <c r="AS88" s="8"/>
      <c r="AT88" s="8"/>
      <c r="AU88" s="8">
        <f t="shared" si="0"/>
        <v>5</v>
      </c>
      <c r="AV88" s="8"/>
      <c r="AW88" s="8"/>
      <c r="AX88" s="8"/>
      <c r="AY88" s="8"/>
      <c r="AZ88" s="8"/>
      <c r="BA88" s="8"/>
      <c r="BB88" s="8">
        <v>1</v>
      </c>
      <c r="BC88" s="8"/>
      <c r="BD88" s="8">
        <v>2</v>
      </c>
      <c r="BE88" s="8"/>
      <c r="BF88" s="8"/>
      <c r="BG88" s="8"/>
      <c r="BH88" s="8"/>
      <c r="BI88" s="8"/>
      <c r="BJ88" s="8"/>
      <c r="BK88" s="8"/>
      <c r="BL88" s="8"/>
      <c r="BM88" s="8"/>
      <c r="BN88" s="8">
        <f t="shared" si="6"/>
        <v>3</v>
      </c>
      <c r="BO88" s="24">
        <f t="shared" si="7"/>
        <v>2</v>
      </c>
      <c r="BP88" s="23"/>
      <c r="BQ88" s="23"/>
    </row>
    <row r="89" spans="1:69" ht="15.5">
      <c r="A89" s="3" t="s">
        <v>445</v>
      </c>
      <c r="B89" s="3" t="s">
        <v>446</v>
      </c>
      <c r="C89" s="8"/>
      <c r="D89" s="8"/>
      <c r="E89" s="21"/>
      <c r="F89" s="21"/>
      <c r="G89" s="8"/>
      <c r="H89" s="8"/>
      <c r="I89" s="8"/>
      <c r="J89" s="8"/>
      <c r="K89" s="8"/>
      <c r="L89" s="8"/>
      <c r="M89" s="8"/>
      <c r="N89" s="21"/>
      <c r="O89" s="8"/>
      <c r="P89" s="8"/>
      <c r="Q89" s="8"/>
      <c r="R89" s="8"/>
      <c r="S89" s="8"/>
      <c r="T89" s="21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>
        <v>1</v>
      </c>
      <c r="AF89" s="8">
        <v>1</v>
      </c>
      <c r="AG89" s="8"/>
      <c r="AH89" s="8"/>
      <c r="AI89" s="8"/>
      <c r="AJ89" s="8"/>
      <c r="AK89" s="8"/>
      <c r="AL89" s="8"/>
      <c r="AM89" s="21"/>
      <c r="AN89" s="8"/>
      <c r="AO89" s="8"/>
      <c r="AP89" s="8"/>
      <c r="AQ89" s="8"/>
      <c r="AR89" s="8"/>
      <c r="AS89" s="8">
        <v>1</v>
      </c>
      <c r="AT89" s="8"/>
      <c r="AU89" s="8">
        <f t="shared" si="0"/>
        <v>3</v>
      </c>
      <c r="AV89" s="8"/>
      <c r="AW89" s="8"/>
      <c r="AX89" s="8"/>
      <c r="AY89" s="8"/>
      <c r="AZ89" s="8"/>
      <c r="BA89" s="8">
        <v>2</v>
      </c>
      <c r="BB89" s="8"/>
      <c r="BC89" s="8"/>
      <c r="BD89" s="8">
        <v>1</v>
      </c>
      <c r="BE89" s="8"/>
      <c r="BF89" s="8"/>
      <c r="BG89" s="8"/>
      <c r="BH89" s="8"/>
      <c r="BI89" s="8"/>
      <c r="BJ89" s="8"/>
      <c r="BK89" s="8"/>
      <c r="BL89" s="8"/>
      <c r="BM89" s="8"/>
      <c r="BN89" s="8">
        <f t="shared" si="6"/>
        <v>3</v>
      </c>
      <c r="BO89" s="24">
        <f t="shared" si="7"/>
        <v>0</v>
      </c>
      <c r="BP89" s="23"/>
      <c r="BQ89" s="23"/>
    </row>
    <row r="90" spans="1:69" ht="15.5">
      <c r="A90" s="3" t="s">
        <v>447</v>
      </c>
      <c r="B90" s="3" t="s">
        <v>448</v>
      </c>
      <c r="C90" s="8"/>
      <c r="D90" s="8"/>
      <c r="E90" s="21"/>
      <c r="F90" s="21"/>
      <c r="G90" s="8"/>
      <c r="H90" s="8"/>
      <c r="I90" s="8"/>
      <c r="J90" s="8"/>
      <c r="K90" s="8"/>
      <c r="L90" s="8"/>
      <c r="M90" s="8"/>
      <c r="N90" s="21"/>
      <c r="O90" s="8"/>
      <c r="P90" s="8"/>
      <c r="Q90" s="8"/>
      <c r="R90" s="8"/>
      <c r="S90" s="8"/>
      <c r="T90" s="21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>
        <v>1</v>
      </c>
      <c r="AF90" s="8"/>
      <c r="AG90" s="8"/>
      <c r="AH90" s="8"/>
      <c r="AI90" s="8"/>
      <c r="AJ90" s="8"/>
      <c r="AK90" s="8"/>
      <c r="AL90" s="8"/>
      <c r="AM90" s="21"/>
      <c r="AN90" s="8"/>
      <c r="AO90" s="8"/>
      <c r="AP90" s="8"/>
      <c r="AQ90" s="8"/>
      <c r="AR90" s="8"/>
      <c r="AS90" s="8"/>
      <c r="AT90" s="8"/>
      <c r="AU90" s="8">
        <f t="shared" si="0"/>
        <v>1</v>
      </c>
      <c r="AV90" s="8"/>
      <c r="AW90" s="8"/>
      <c r="AX90" s="8"/>
      <c r="AY90" s="8"/>
      <c r="AZ90" s="8"/>
      <c r="BA90" s="8"/>
      <c r="BB90" s="8"/>
      <c r="BC90" s="8"/>
      <c r="BD90" s="8"/>
      <c r="BE90" s="8"/>
      <c r="BF90" s="8"/>
      <c r="BG90" s="8"/>
      <c r="BH90" s="8"/>
      <c r="BI90" s="8"/>
      <c r="BJ90" s="8"/>
      <c r="BK90" s="8"/>
      <c r="BL90" s="8"/>
      <c r="BM90" s="8"/>
      <c r="BN90" s="8">
        <f t="shared" si="6"/>
        <v>0</v>
      </c>
      <c r="BO90" s="24">
        <f t="shared" si="7"/>
        <v>1</v>
      </c>
      <c r="BP90" s="23"/>
      <c r="BQ90" s="23"/>
    </row>
    <row r="91" spans="1:69" ht="15.5">
      <c r="A91" s="3" t="s">
        <v>449</v>
      </c>
      <c r="B91" s="3" t="s">
        <v>450</v>
      </c>
      <c r="C91" s="8"/>
      <c r="D91" s="8"/>
      <c r="E91" s="21"/>
      <c r="F91" s="21"/>
      <c r="G91" s="8"/>
      <c r="H91" s="8"/>
      <c r="I91" s="8"/>
      <c r="J91" s="8"/>
      <c r="K91" s="8"/>
      <c r="L91" s="8"/>
      <c r="M91" s="8"/>
      <c r="N91" s="21"/>
      <c r="O91" s="8"/>
      <c r="P91" s="8"/>
      <c r="Q91" s="8"/>
      <c r="R91" s="8"/>
      <c r="S91" s="8">
        <v>1</v>
      </c>
      <c r="T91" s="21"/>
      <c r="U91" s="8">
        <v>1</v>
      </c>
      <c r="V91" s="8"/>
      <c r="W91" s="8"/>
      <c r="X91" s="8"/>
      <c r="Y91" s="8">
        <v>1</v>
      </c>
      <c r="Z91" s="8"/>
      <c r="AA91" s="8"/>
      <c r="AB91" s="8"/>
      <c r="AC91" s="8">
        <v>1</v>
      </c>
      <c r="AD91" s="8"/>
      <c r="AE91" s="8"/>
      <c r="AF91" s="8">
        <v>2</v>
      </c>
      <c r="AG91" s="8"/>
      <c r="AH91" s="8"/>
      <c r="AI91" s="8"/>
      <c r="AJ91" s="8"/>
      <c r="AK91" s="8"/>
      <c r="AL91" s="8"/>
      <c r="AM91" s="21"/>
      <c r="AN91" s="8"/>
      <c r="AO91" s="8"/>
      <c r="AP91" s="8">
        <v>1</v>
      </c>
      <c r="AQ91" s="8">
        <v>2</v>
      </c>
      <c r="AR91" s="8"/>
      <c r="AS91" s="8"/>
      <c r="AT91" s="8">
        <v>1</v>
      </c>
      <c r="AU91" s="8">
        <f t="shared" si="0"/>
        <v>10</v>
      </c>
      <c r="AV91" s="8"/>
      <c r="AW91" s="8">
        <v>1</v>
      </c>
      <c r="AX91" s="8"/>
      <c r="AY91" s="8">
        <v>1</v>
      </c>
      <c r="AZ91" s="8"/>
      <c r="BA91" s="8">
        <v>1</v>
      </c>
      <c r="BB91" s="8">
        <v>1</v>
      </c>
      <c r="BC91" s="8"/>
      <c r="BD91" s="8">
        <v>1</v>
      </c>
      <c r="BE91" s="8">
        <v>3</v>
      </c>
      <c r="BF91" s="8"/>
      <c r="BG91" s="8"/>
      <c r="BH91" s="8"/>
      <c r="BI91" s="8"/>
      <c r="BJ91" s="8"/>
      <c r="BK91" s="8"/>
      <c r="BL91" s="8"/>
      <c r="BM91" s="8"/>
      <c r="BN91" s="8">
        <f t="shared" si="6"/>
        <v>8</v>
      </c>
      <c r="BO91" s="24">
        <f t="shared" si="7"/>
        <v>2</v>
      </c>
      <c r="BP91" s="23"/>
      <c r="BQ91" s="23"/>
    </row>
    <row r="92" spans="1:69" ht="15.5">
      <c r="A92" s="3" t="s">
        <v>451</v>
      </c>
      <c r="B92" s="3" t="s">
        <v>452</v>
      </c>
      <c r="C92" s="8"/>
      <c r="D92" s="8"/>
      <c r="E92" s="21"/>
      <c r="F92" s="21"/>
      <c r="G92" s="8"/>
      <c r="H92" s="8"/>
      <c r="I92" s="8"/>
      <c r="J92" s="8"/>
      <c r="K92" s="8"/>
      <c r="L92" s="8"/>
      <c r="M92" s="8"/>
      <c r="N92" s="21"/>
      <c r="O92" s="8"/>
      <c r="P92" s="8">
        <v>1</v>
      </c>
      <c r="Q92" s="8"/>
      <c r="R92" s="8"/>
      <c r="S92" s="8">
        <v>1</v>
      </c>
      <c r="T92" s="21"/>
      <c r="U92" s="8">
        <v>1</v>
      </c>
      <c r="V92" s="8"/>
      <c r="W92" s="8"/>
      <c r="X92" s="8"/>
      <c r="Y92" s="8">
        <v>1</v>
      </c>
      <c r="Z92" s="8"/>
      <c r="AA92" s="8"/>
      <c r="AB92" s="8"/>
      <c r="AC92" s="8">
        <v>3</v>
      </c>
      <c r="AD92" s="8"/>
      <c r="AE92" s="8"/>
      <c r="AF92" s="8"/>
      <c r="AG92" s="8"/>
      <c r="AH92" s="8"/>
      <c r="AI92" s="8"/>
      <c r="AJ92" s="8">
        <v>3</v>
      </c>
      <c r="AK92" s="8"/>
      <c r="AL92" s="8"/>
      <c r="AM92" s="21"/>
      <c r="AN92" s="8"/>
      <c r="AO92" s="8"/>
      <c r="AP92" s="8">
        <v>1</v>
      </c>
      <c r="AQ92" s="8">
        <v>3</v>
      </c>
      <c r="AR92" s="8"/>
      <c r="AS92" s="8">
        <v>2</v>
      </c>
      <c r="AT92" s="8">
        <v>3</v>
      </c>
      <c r="AU92" s="8">
        <f t="shared" si="0"/>
        <v>19</v>
      </c>
      <c r="AV92" s="8"/>
      <c r="AW92" s="8">
        <v>2</v>
      </c>
      <c r="AX92" s="8"/>
      <c r="AY92" s="8">
        <v>1</v>
      </c>
      <c r="AZ92" s="8">
        <v>1</v>
      </c>
      <c r="BA92" s="8">
        <v>3</v>
      </c>
      <c r="BB92" s="8">
        <v>2</v>
      </c>
      <c r="BC92" s="8"/>
      <c r="BD92" s="8">
        <v>4</v>
      </c>
      <c r="BE92" s="8">
        <v>3</v>
      </c>
      <c r="BF92" s="8"/>
      <c r="BG92" s="8"/>
      <c r="BH92" s="8"/>
      <c r="BI92" s="8"/>
      <c r="BJ92" s="8"/>
      <c r="BK92" s="8"/>
      <c r="BL92" s="8"/>
      <c r="BM92" s="8"/>
      <c r="BN92" s="8">
        <f t="shared" si="6"/>
        <v>16</v>
      </c>
      <c r="BO92" s="24">
        <f t="shared" si="7"/>
        <v>3</v>
      </c>
      <c r="BP92" s="23"/>
      <c r="BQ92" s="23"/>
    </row>
    <row r="93" spans="1:69" ht="15.5">
      <c r="A93" s="3" t="s">
        <v>453</v>
      </c>
      <c r="B93" s="3" t="s">
        <v>454</v>
      </c>
      <c r="C93" s="8"/>
      <c r="D93" s="8"/>
      <c r="E93" s="21"/>
      <c r="F93" s="21"/>
      <c r="G93" s="8"/>
      <c r="H93" s="8"/>
      <c r="I93" s="8"/>
      <c r="J93" s="8"/>
      <c r="K93" s="8"/>
      <c r="L93" s="8"/>
      <c r="M93" s="8"/>
      <c r="N93" s="21"/>
      <c r="O93" s="8"/>
      <c r="P93" s="8">
        <v>1</v>
      </c>
      <c r="Q93" s="8"/>
      <c r="R93" s="8"/>
      <c r="S93" s="8">
        <v>1</v>
      </c>
      <c r="T93" s="21"/>
      <c r="U93" s="8">
        <v>1</v>
      </c>
      <c r="V93" s="8"/>
      <c r="W93" s="8"/>
      <c r="X93" s="8"/>
      <c r="Y93" s="8">
        <v>1</v>
      </c>
      <c r="Z93" s="8"/>
      <c r="AA93" s="8">
        <v>1</v>
      </c>
      <c r="AB93" s="8"/>
      <c r="AC93" s="8">
        <v>1</v>
      </c>
      <c r="AD93" s="8"/>
      <c r="AE93" s="8"/>
      <c r="AF93" s="8"/>
      <c r="AG93" s="8">
        <v>1</v>
      </c>
      <c r="AH93" s="8"/>
      <c r="AI93" s="8"/>
      <c r="AJ93" s="8"/>
      <c r="AK93" s="8"/>
      <c r="AL93" s="8">
        <v>1</v>
      </c>
      <c r="AM93" s="21"/>
      <c r="AN93" s="8"/>
      <c r="AO93" s="8"/>
      <c r="AP93" s="8">
        <v>1</v>
      </c>
      <c r="AQ93" s="8"/>
      <c r="AR93" s="8"/>
      <c r="AS93" s="8"/>
      <c r="AT93" s="8">
        <v>3</v>
      </c>
      <c r="AU93" s="8">
        <f t="shared" si="0"/>
        <v>12</v>
      </c>
      <c r="AV93" s="8">
        <v>1</v>
      </c>
      <c r="AW93" s="8">
        <v>1</v>
      </c>
      <c r="AX93" s="8"/>
      <c r="AY93" s="8"/>
      <c r="AZ93" s="8"/>
      <c r="BA93" s="8">
        <v>3</v>
      </c>
      <c r="BB93" s="8"/>
      <c r="BC93" s="8">
        <v>2</v>
      </c>
      <c r="BD93" s="8">
        <v>2</v>
      </c>
      <c r="BE93" s="8"/>
      <c r="BF93" s="8"/>
      <c r="BG93" s="8"/>
      <c r="BH93" s="8"/>
      <c r="BI93" s="8"/>
      <c r="BJ93" s="8"/>
      <c r="BK93" s="8"/>
      <c r="BL93" s="8"/>
      <c r="BM93" s="8"/>
      <c r="BN93" s="8">
        <f t="shared" si="6"/>
        <v>9</v>
      </c>
      <c r="BO93" s="24">
        <f t="shared" si="7"/>
        <v>3</v>
      </c>
      <c r="BP93" s="23"/>
      <c r="BQ93" s="23"/>
    </row>
    <row r="94" spans="1:69" ht="15.5">
      <c r="A94" s="3" t="s">
        <v>455</v>
      </c>
      <c r="B94" s="3" t="s">
        <v>456</v>
      </c>
      <c r="C94" s="8"/>
      <c r="D94" s="8"/>
      <c r="E94" s="21"/>
      <c r="F94" s="21"/>
      <c r="G94" s="8"/>
      <c r="H94" s="8"/>
      <c r="I94" s="8"/>
      <c r="J94" s="8"/>
      <c r="K94" s="8"/>
      <c r="L94" s="8"/>
      <c r="M94" s="8"/>
      <c r="N94" s="21"/>
      <c r="O94" s="8"/>
      <c r="P94" s="8">
        <v>1</v>
      </c>
      <c r="Q94" s="8"/>
      <c r="R94" s="8"/>
      <c r="S94" s="8"/>
      <c r="T94" s="21"/>
      <c r="U94" s="8"/>
      <c r="V94" s="8"/>
      <c r="W94" s="8"/>
      <c r="X94" s="8"/>
      <c r="Y94" s="8">
        <v>1</v>
      </c>
      <c r="Z94" s="8"/>
      <c r="AA94" s="8"/>
      <c r="AB94" s="8"/>
      <c r="AC94" s="8">
        <v>1</v>
      </c>
      <c r="AD94" s="8"/>
      <c r="AE94" s="8"/>
      <c r="AF94" s="8"/>
      <c r="AG94" s="8">
        <v>1</v>
      </c>
      <c r="AH94" s="8"/>
      <c r="AI94" s="8"/>
      <c r="AJ94" s="8">
        <v>2</v>
      </c>
      <c r="AK94" s="8">
        <v>1</v>
      </c>
      <c r="AL94" s="8"/>
      <c r="AM94" s="21"/>
      <c r="AN94" s="8"/>
      <c r="AO94" s="8"/>
      <c r="AP94" s="8"/>
      <c r="AQ94" s="8"/>
      <c r="AR94" s="8"/>
      <c r="AS94" s="8"/>
      <c r="AT94" s="8"/>
      <c r="AU94" s="8">
        <f t="shared" si="0"/>
        <v>7</v>
      </c>
      <c r="AV94" s="8"/>
      <c r="AW94" s="8"/>
      <c r="AX94" s="8"/>
      <c r="AY94" s="8"/>
      <c r="AZ94" s="8"/>
      <c r="BA94" s="8">
        <v>1</v>
      </c>
      <c r="BB94" s="8">
        <v>2</v>
      </c>
      <c r="BC94" s="8">
        <v>1</v>
      </c>
      <c r="BD94" s="8">
        <v>1</v>
      </c>
      <c r="BE94" s="8"/>
      <c r="BF94" s="8"/>
      <c r="BG94" s="8"/>
      <c r="BH94" s="8"/>
      <c r="BI94" s="8"/>
      <c r="BJ94" s="8"/>
      <c r="BK94" s="8"/>
      <c r="BL94" s="8"/>
      <c r="BM94" s="8"/>
      <c r="BN94" s="8">
        <f t="shared" si="6"/>
        <v>5</v>
      </c>
      <c r="BO94" s="24">
        <f t="shared" si="7"/>
        <v>2</v>
      </c>
      <c r="BP94" s="23"/>
      <c r="BQ94" s="23"/>
    </row>
    <row r="95" spans="1:69" ht="15.5">
      <c r="A95" s="3" t="s">
        <v>457</v>
      </c>
      <c r="B95" s="3" t="s">
        <v>458</v>
      </c>
      <c r="C95" s="8"/>
      <c r="D95" s="8"/>
      <c r="E95" s="21"/>
      <c r="F95" s="21"/>
      <c r="G95" s="8"/>
      <c r="H95" s="8"/>
      <c r="I95" s="8"/>
      <c r="J95" s="8"/>
      <c r="K95" s="8"/>
      <c r="L95" s="8"/>
      <c r="M95" s="8"/>
      <c r="N95" s="21"/>
      <c r="O95" s="8"/>
      <c r="P95" s="8"/>
      <c r="Q95" s="8"/>
      <c r="R95" s="8"/>
      <c r="S95" s="8"/>
      <c r="T95" s="21"/>
      <c r="U95" s="8"/>
      <c r="V95" s="8"/>
      <c r="W95" s="8"/>
      <c r="X95" s="8"/>
      <c r="Y95" s="8">
        <v>1</v>
      </c>
      <c r="Z95" s="8"/>
      <c r="AA95" s="8"/>
      <c r="AB95" s="8"/>
      <c r="AC95" s="8"/>
      <c r="AD95" s="8"/>
      <c r="AE95" s="8">
        <v>1</v>
      </c>
      <c r="AF95" s="8">
        <v>1</v>
      </c>
      <c r="AG95" s="8"/>
      <c r="AH95" s="8"/>
      <c r="AI95" s="8"/>
      <c r="AJ95" s="8"/>
      <c r="AK95" s="8"/>
      <c r="AL95" s="8"/>
      <c r="AM95" s="21"/>
      <c r="AN95" s="8"/>
      <c r="AO95" s="8"/>
      <c r="AP95" s="8"/>
      <c r="AQ95" s="8"/>
      <c r="AR95" s="8"/>
      <c r="AS95" s="8"/>
      <c r="AT95" s="8"/>
      <c r="AU95" s="8">
        <f t="shared" si="0"/>
        <v>3</v>
      </c>
      <c r="AV95" s="8"/>
      <c r="AW95" s="8"/>
      <c r="AX95" s="8"/>
      <c r="AY95" s="8">
        <v>1</v>
      </c>
      <c r="AZ95" s="8"/>
      <c r="BA95" s="8"/>
      <c r="BB95" s="8"/>
      <c r="BC95" s="8"/>
      <c r="BD95" s="8">
        <v>1</v>
      </c>
      <c r="BE95" s="8"/>
      <c r="BF95" s="8"/>
      <c r="BG95" s="8"/>
      <c r="BH95" s="8"/>
      <c r="BI95" s="8"/>
      <c r="BJ95" s="8"/>
      <c r="BK95" s="8"/>
      <c r="BL95" s="8"/>
      <c r="BM95" s="8"/>
      <c r="BN95" s="8">
        <f t="shared" si="6"/>
        <v>2</v>
      </c>
      <c r="BO95" s="24">
        <f t="shared" si="7"/>
        <v>1</v>
      </c>
      <c r="BP95" s="23"/>
      <c r="BQ95" s="23"/>
    </row>
    <row r="96" spans="1:69" ht="15.5">
      <c r="A96" s="27" t="s">
        <v>459</v>
      </c>
      <c r="B96" s="27" t="s">
        <v>460</v>
      </c>
      <c r="C96" s="28"/>
      <c r="D96" s="28"/>
      <c r="E96" s="29"/>
      <c r="F96" s="29"/>
      <c r="G96" s="28"/>
      <c r="H96" s="28"/>
      <c r="I96" s="28"/>
      <c r="J96" s="28"/>
      <c r="K96" s="28"/>
      <c r="L96" s="28"/>
      <c r="M96" s="28"/>
      <c r="N96" s="29"/>
      <c r="O96" s="28"/>
      <c r="P96" s="28"/>
      <c r="Q96" s="28"/>
      <c r="R96" s="28"/>
      <c r="S96" s="28"/>
      <c r="T96" s="29"/>
      <c r="U96" s="28"/>
      <c r="V96" s="28"/>
      <c r="W96" s="28"/>
      <c r="X96" s="28"/>
      <c r="Y96" s="28"/>
      <c r="Z96" s="28"/>
      <c r="AA96" s="28"/>
      <c r="AB96" s="28"/>
      <c r="AC96" s="28"/>
      <c r="AD96" s="28"/>
      <c r="AE96" s="28"/>
      <c r="AF96" s="28"/>
      <c r="AG96" s="28"/>
      <c r="AH96" s="28">
        <v>1</v>
      </c>
      <c r="AI96" s="28">
        <v>1</v>
      </c>
      <c r="AJ96" s="28"/>
      <c r="AK96" s="28"/>
      <c r="AL96" s="28"/>
      <c r="AM96" s="29">
        <v>-1</v>
      </c>
      <c r="AN96" s="28"/>
      <c r="AO96" s="28"/>
      <c r="AP96" s="28"/>
      <c r="AQ96" s="28"/>
      <c r="AR96" s="28"/>
      <c r="AS96" s="28"/>
      <c r="AT96" s="28"/>
      <c r="AU96" s="8">
        <f t="shared" si="0"/>
        <v>1</v>
      </c>
      <c r="AV96" s="28"/>
      <c r="AW96" s="28"/>
      <c r="AX96" s="28"/>
      <c r="AY96" s="28"/>
      <c r="AZ96" s="28"/>
      <c r="BA96" s="28"/>
      <c r="BB96" s="28">
        <v>1</v>
      </c>
      <c r="BC96" s="28"/>
      <c r="BD96" s="28"/>
      <c r="BE96" s="28"/>
      <c r="BF96" s="28"/>
      <c r="BG96" s="28"/>
      <c r="BH96" s="28"/>
      <c r="BI96" s="28"/>
      <c r="BJ96" s="28"/>
      <c r="BK96" s="28"/>
      <c r="BL96" s="28"/>
      <c r="BM96" s="28"/>
      <c r="BN96" s="28">
        <f t="shared" si="6"/>
        <v>1</v>
      </c>
      <c r="BO96" s="24">
        <f t="shared" si="7"/>
        <v>0</v>
      </c>
      <c r="BP96" s="23"/>
      <c r="BQ96" s="23"/>
    </row>
    <row r="97" spans="1:69" ht="15.5">
      <c r="A97" s="27" t="s">
        <v>461</v>
      </c>
      <c r="B97" s="27" t="s">
        <v>462</v>
      </c>
      <c r="C97" s="28"/>
      <c r="D97" s="28"/>
      <c r="E97" s="29"/>
      <c r="F97" s="29"/>
      <c r="G97" s="28"/>
      <c r="H97" s="28"/>
      <c r="I97" s="28"/>
      <c r="J97" s="28"/>
      <c r="K97" s="28"/>
      <c r="L97" s="28"/>
      <c r="M97" s="28"/>
      <c r="N97" s="29"/>
      <c r="O97" s="28"/>
      <c r="P97" s="28"/>
      <c r="Q97" s="28"/>
      <c r="R97" s="28"/>
      <c r="S97" s="28"/>
      <c r="T97" s="29"/>
      <c r="U97" s="28"/>
      <c r="V97" s="28"/>
      <c r="W97" s="28"/>
      <c r="X97" s="28"/>
      <c r="Y97" s="28"/>
      <c r="Z97" s="28"/>
      <c r="AA97" s="28"/>
      <c r="AB97" s="28"/>
      <c r="AC97" s="28"/>
      <c r="AD97" s="28"/>
      <c r="AE97" s="28"/>
      <c r="AF97" s="28"/>
      <c r="AG97" s="28"/>
      <c r="AH97" s="28">
        <v>1</v>
      </c>
      <c r="AI97" s="28">
        <v>2</v>
      </c>
      <c r="AJ97" s="28"/>
      <c r="AK97" s="28"/>
      <c r="AL97" s="28"/>
      <c r="AM97" s="29">
        <v>-2</v>
      </c>
      <c r="AN97" s="28"/>
      <c r="AO97" s="28"/>
      <c r="AP97" s="28"/>
      <c r="AQ97" s="28"/>
      <c r="AR97" s="28"/>
      <c r="AS97" s="28"/>
      <c r="AT97" s="28"/>
      <c r="AU97" s="8">
        <f t="shared" si="0"/>
        <v>1</v>
      </c>
      <c r="AV97" s="28"/>
      <c r="AW97" s="28"/>
      <c r="AX97" s="28"/>
      <c r="AY97" s="28"/>
      <c r="AZ97" s="28"/>
      <c r="BA97" s="28"/>
      <c r="BB97" s="28"/>
      <c r="BC97" s="28">
        <v>1</v>
      </c>
      <c r="BD97" s="28"/>
      <c r="BE97" s="28"/>
      <c r="BF97" s="28"/>
      <c r="BG97" s="28"/>
      <c r="BH97" s="28"/>
      <c r="BI97" s="28"/>
      <c r="BJ97" s="28"/>
      <c r="BK97" s="28"/>
      <c r="BL97" s="28"/>
      <c r="BM97" s="28"/>
      <c r="BN97" s="28">
        <f t="shared" si="6"/>
        <v>1</v>
      </c>
      <c r="BO97" s="24">
        <f t="shared" si="7"/>
        <v>0</v>
      </c>
      <c r="BP97" s="23"/>
      <c r="BQ97" s="23"/>
    </row>
    <row r="98" spans="1:69" ht="15.5">
      <c r="A98" s="27" t="s">
        <v>463</v>
      </c>
      <c r="B98" s="27" t="s">
        <v>464</v>
      </c>
      <c r="C98" s="28"/>
      <c r="D98" s="28"/>
      <c r="E98" s="29"/>
      <c r="F98" s="29"/>
      <c r="G98" s="28"/>
      <c r="H98" s="28"/>
      <c r="I98" s="28"/>
      <c r="J98" s="28"/>
      <c r="K98" s="28"/>
      <c r="L98" s="28"/>
      <c r="M98" s="28"/>
      <c r="N98" s="29"/>
      <c r="O98" s="28"/>
      <c r="P98" s="28"/>
      <c r="Q98" s="28"/>
      <c r="R98" s="28"/>
      <c r="S98" s="28"/>
      <c r="T98" s="29"/>
      <c r="U98" s="28"/>
      <c r="V98" s="28"/>
      <c r="W98" s="28"/>
      <c r="X98" s="28"/>
      <c r="Y98" s="28"/>
      <c r="Z98" s="28"/>
      <c r="AA98" s="28"/>
      <c r="AB98" s="28"/>
      <c r="AC98" s="28"/>
      <c r="AD98" s="28"/>
      <c r="AE98" s="28"/>
      <c r="AF98" s="28"/>
      <c r="AG98" s="28"/>
      <c r="AH98" s="28">
        <v>1</v>
      </c>
      <c r="AI98" s="28">
        <v>2</v>
      </c>
      <c r="AJ98" s="28"/>
      <c r="AK98" s="28"/>
      <c r="AL98" s="28"/>
      <c r="AM98" s="29"/>
      <c r="AN98" s="28"/>
      <c r="AO98" s="28"/>
      <c r="AP98" s="28"/>
      <c r="AQ98" s="28"/>
      <c r="AR98" s="28"/>
      <c r="AS98" s="28"/>
      <c r="AT98" s="28"/>
      <c r="AU98" s="8">
        <f t="shared" si="0"/>
        <v>3</v>
      </c>
      <c r="AV98" s="28"/>
      <c r="AW98" s="28"/>
      <c r="AX98" s="28"/>
      <c r="AY98" s="28"/>
      <c r="AZ98" s="28"/>
      <c r="BA98" s="28"/>
      <c r="BB98" s="28">
        <v>2</v>
      </c>
      <c r="BC98" s="28">
        <v>1</v>
      </c>
      <c r="BD98" s="28"/>
      <c r="BE98" s="28"/>
      <c r="BF98" s="28"/>
      <c r="BG98" s="28"/>
      <c r="BH98" s="28"/>
      <c r="BI98" s="28"/>
      <c r="BJ98" s="28"/>
      <c r="BK98" s="28"/>
      <c r="BL98" s="28"/>
      <c r="BM98" s="28"/>
      <c r="BN98" s="28">
        <f t="shared" si="6"/>
        <v>3</v>
      </c>
      <c r="BO98" s="24">
        <f t="shared" si="7"/>
        <v>0</v>
      </c>
      <c r="BP98" s="23"/>
      <c r="BQ98" s="23"/>
    </row>
    <row r="99" spans="1:69" ht="15.5">
      <c r="A99" s="27" t="s">
        <v>465</v>
      </c>
      <c r="B99" s="27" t="s">
        <v>466</v>
      </c>
      <c r="C99" s="28"/>
      <c r="D99" s="28"/>
      <c r="E99" s="29"/>
      <c r="F99" s="29"/>
      <c r="G99" s="28"/>
      <c r="H99" s="28"/>
      <c r="I99" s="28"/>
      <c r="J99" s="28"/>
      <c r="K99" s="28"/>
      <c r="L99" s="28"/>
      <c r="M99" s="28"/>
      <c r="N99" s="29"/>
      <c r="O99" s="28"/>
      <c r="P99" s="28"/>
      <c r="Q99" s="28"/>
      <c r="R99" s="28"/>
      <c r="S99" s="28"/>
      <c r="T99" s="29"/>
      <c r="U99" s="28"/>
      <c r="V99" s="28"/>
      <c r="W99" s="28"/>
      <c r="X99" s="28"/>
      <c r="Y99" s="28"/>
      <c r="Z99" s="28"/>
      <c r="AA99" s="28"/>
      <c r="AB99" s="28"/>
      <c r="AC99" s="28"/>
      <c r="AD99" s="28"/>
      <c r="AE99" s="28"/>
      <c r="AF99" s="28"/>
      <c r="AG99" s="28"/>
      <c r="AH99" s="28">
        <v>1</v>
      </c>
      <c r="AI99" s="28">
        <v>1</v>
      </c>
      <c r="AJ99" s="28"/>
      <c r="AK99" s="28"/>
      <c r="AL99" s="28"/>
      <c r="AM99" s="29">
        <v>-2</v>
      </c>
      <c r="AN99" s="28"/>
      <c r="AO99" s="28"/>
      <c r="AP99" s="28"/>
      <c r="AQ99" s="28"/>
      <c r="AR99" s="28"/>
      <c r="AS99" s="28"/>
      <c r="AT99" s="28"/>
      <c r="AU99" s="8">
        <f t="shared" si="0"/>
        <v>0</v>
      </c>
      <c r="AV99" s="28"/>
      <c r="AW99" s="28"/>
      <c r="AX99" s="28"/>
      <c r="AY99" s="28"/>
      <c r="AZ99" s="28"/>
      <c r="BA99" s="28"/>
      <c r="BB99" s="28"/>
      <c r="BC99" s="28"/>
      <c r="BD99" s="28"/>
      <c r="BE99" s="28"/>
      <c r="BF99" s="28"/>
      <c r="BG99" s="28"/>
      <c r="BH99" s="28"/>
      <c r="BI99" s="28"/>
      <c r="BJ99" s="28"/>
      <c r="BK99" s="28"/>
      <c r="BL99" s="28"/>
      <c r="BM99" s="28"/>
      <c r="BN99" s="28">
        <f t="shared" si="6"/>
        <v>0</v>
      </c>
      <c r="BO99" s="24">
        <f t="shared" si="7"/>
        <v>0</v>
      </c>
      <c r="BP99" s="23"/>
      <c r="BQ99" s="23"/>
    </row>
    <row r="100" spans="1:69" ht="15.5">
      <c r="A100" s="3" t="s">
        <v>467</v>
      </c>
      <c r="B100" s="3" t="s">
        <v>468</v>
      </c>
      <c r="C100" s="8"/>
      <c r="D100" s="8"/>
      <c r="E100" s="21"/>
      <c r="F100" s="21"/>
      <c r="G100" s="8"/>
      <c r="H100" s="8"/>
      <c r="I100" s="8"/>
      <c r="J100" s="8"/>
      <c r="K100" s="8"/>
      <c r="L100" s="8"/>
      <c r="M100" s="8"/>
      <c r="N100" s="21"/>
      <c r="O100" s="8"/>
      <c r="P100" s="8"/>
      <c r="Q100" s="8"/>
      <c r="R100" s="8"/>
      <c r="S100" s="8"/>
      <c r="T100" s="21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>
        <v>1</v>
      </c>
      <c r="AM100" s="21"/>
      <c r="AN100" s="8">
        <v>1</v>
      </c>
      <c r="AO100" s="8"/>
      <c r="AP100" s="8"/>
      <c r="AQ100" s="8"/>
      <c r="AR100" s="8"/>
      <c r="AS100" s="8"/>
      <c r="AT100" s="8"/>
      <c r="AU100" s="8">
        <f t="shared" si="0"/>
        <v>2</v>
      </c>
      <c r="AV100" s="8"/>
      <c r="AW100" s="8"/>
      <c r="AX100" s="8"/>
      <c r="AY100" s="8"/>
      <c r="AZ100" s="8"/>
      <c r="BA100" s="8"/>
      <c r="BB100" s="8"/>
      <c r="BC100" s="8"/>
      <c r="BD100" s="8"/>
      <c r="BE100" s="8"/>
      <c r="BF100" s="8"/>
      <c r="BG100" s="8"/>
      <c r="BH100" s="8"/>
      <c r="BI100" s="8"/>
      <c r="BJ100" s="8"/>
      <c r="BK100" s="8"/>
      <c r="BL100" s="8"/>
      <c r="BM100" s="8"/>
      <c r="BN100" s="8">
        <f t="shared" si="6"/>
        <v>0</v>
      </c>
      <c r="BO100" s="24">
        <f t="shared" si="7"/>
        <v>2</v>
      </c>
      <c r="BP100" s="23"/>
      <c r="BQ100" s="23"/>
    </row>
    <row r="101" spans="1:69" ht="15.5">
      <c r="A101" s="3" t="s">
        <v>469</v>
      </c>
      <c r="B101" s="3" t="s">
        <v>470</v>
      </c>
      <c r="C101" s="8"/>
      <c r="D101" s="8"/>
      <c r="E101" s="21"/>
      <c r="F101" s="21"/>
      <c r="G101" s="8"/>
      <c r="H101" s="8"/>
      <c r="I101" s="8"/>
      <c r="J101" s="8"/>
      <c r="K101" s="8"/>
      <c r="L101" s="8"/>
      <c r="M101" s="8"/>
      <c r="N101" s="21"/>
      <c r="O101" s="8"/>
      <c r="P101" s="8"/>
      <c r="Q101" s="8"/>
      <c r="R101" s="8"/>
      <c r="S101" s="8"/>
      <c r="T101" s="21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>
        <v>1</v>
      </c>
      <c r="AI101" s="8">
        <v>2</v>
      </c>
      <c r="AJ101" s="8"/>
      <c r="AK101" s="8"/>
      <c r="AL101" s="8"/>
      <c r="AM101" s="21"/>
      <c r="AN101" s="8">
        <v>1</v>
      </c>
      <c r="AO101" s="8"/>
      <c r="AP101" s="8"/>
      <c r="AQ101" s="8">
        <v>2</v>
      </c>
      <c r="AR101" s="8"/>
      <c r="AS101" s="8"/>
      <c r="AT101" s="8"/>
      <c r="AU101" s="8">
        <f t="shared" si="0"/>
        <v>6</v>
      </c>
      <c r="AV101" s="8"/>
      <c r="AW101" s="8"/>
      <c r="AX101" s="8"/>
      <c r="AY101" s="8"/>
      <c r="AZ101" s="8"/>
      <c r="BA101" s="8"/>
      <c r="BB101" s="8"/>
      <c r="BC101" s="8">
        <v>1</v>
      </c>
      <c r="BD101" s="8">
        <v>3</v>
      </c>
      <c r="BE101" s="8"/>
      <c r="BF101" s="8"/>
      <c r="BG101" s="8"/>
      <c r="BH101" s="8"/>
      <c r="BI101" s="8"/>
      <c r="BJ101" s="8"/>
      <c r="BK101" s="8"/>
      <c r="BL101" s="8"/>
      <c r="BM101" s="8"/>
      <c r="BN101" s="8">
        <f t="shared" si="6"/>
        <v>4</v>
      </c>
      <c r="BO101" s="24">
        <f t="shared" si="7"/>
        <v>2</v>
      </c>
      <c r="BP101" s="23"/>
      <c r="BQ101" s="23"/>
    </row>
    <row r="102" spans="1:69" ht="15.5">
      <c r="A102" s="3" t="s">
        <v>471</v>
      </c>
      <c r="B102" s="3" t="s">
        <v>472</v>
      </c>
      <c r="C102" s="8"/>
      <c r="D102" s="8"/>
      <c r="E102" s="21"/>
      <c r="F102" s="21"/>
      <c r="G102" s="8"/>
      <c r="H102" s="8"/>
      <c r="I102" s="8"/>
      <c r="J102" s="8"/>
      <c r="K102" s="8"/>
      <c r="L102" s="8"/>
      <c r="M102" s="8"/>
      <c r="N102" s="21"/>
      <c r="O102" s="8"/>
      <c r="P102" s="8"/>
      <c r="Q102" s="8"/>
      <c r="R102" s="8"/>
      <c r="S102" s="8"/>
      <c r="T102" s="21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>
        <v>1</v>
      </c>
      <c r="AI102" s="8">
        <v>2</v>
      </c>
      <c r="AJ102" s="8"/>
      <c r="AK102" s="8"/>
      <c r="AL102" s="8"/>
      <c r="AM102" s="21"/>
      <c r="AN102" s="8">
        <v>1</v>
      </c>
      <c r="AO102" s="8"/>
      <c r="AP102" s="8">
        <v>1</v>
      </c>
      <c r="AQ102" s="8">
        <v>3</v>
      </c>
      <c r="AR102" s="8"/>
      <c r="AS102" s="8"/>
      <c r="AT102" s="8"/>
      <c r="AU102" s="8">
        <f t="shared" si="0"/>
        <v>8</v>
      </c>
      <c r="AV102" s="8"/>
      <c r="AW102" s="8"/>
      <c r="AX102" s="8"/>
      <c r="AY102" s="8"/>
      <c r="AZ102" s="8"/>
      <c r="BA102" s="8"/>
      <c r="BB102" s="8"/>
      <c r="BC102" s="8">
        <v>1</v>
      </c>
      <c r="BD102" s="8">
        <v>3</v>
      </c>
      <c r="BE102" s="8"/>
      <c r="BF102" s="8"/>
      <c r="BG102" s="8"/>
      <c r="BH102" s="8"/>
      <c r="BI102" s="8"/>
      <c r="BJ102" s="8"/>
      <c r="BK102" s="8"/>
      <c r="BL102" s="8"/>
      <c r="BM102" s="8"/>
      <c r="BN102" s="8">
        <f t="shared" si="6"/>
        <v>4</v>
      </c>
      <c r="BO102" s="24">
        <f t="shared" si="7"/>
        <v>4</v>
      </c>
      <c r="BP102" s="23"/>
      <c r="BQ102" s="23"/>
    </row>
    <row r="103" spans="1:69" ht="15.5">
      <c r="A103" s="3" t="s">
        <v>473</v>
      </c>
      <c r="B103" s="3" t="s">
        <v>474</v>
      </c>
      <c r="C103" s="8"/>
      <c r="D103" s="8"/>
      <c r="E103" s="21"/>
      <c r="F103" s="21"/>
      <c r="G103" s="8"/>
      <c r="H103" s="8"/>
      <c r="I103" s="8"/>
      <c r="J103" s="8"/>
      <c r="K103" s="8"/>
      <c r="L103" s="8"/>
      <c r="M103" s="8"/>
      <c r="N103" s="21"/>
      <c r="O103" s="8"/>
      <c r="P103" s="8"/>
      <c r="Q103" s="8"/>
      <c r="R103" s="8"/>
      <c r="S103" s="8"/>
      <c r="T103" s="21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>
        <v>1</v>
      </c>
      <c r="AI103" s="8">
        <v>2</v>
      </c>
      <c r="AJ103" s="8"/>
      <c r="AK103" s="8"/>
      <c r="AL103" s="8"/>
      <c r="AM103" s="21"/>
      <c r="AN103" s="8">
        <v>1</v>
      </c>
      <c r="AO103" s="8"/>
      <c r="AP103" s="8"/>
      <c r="AQ103" s="8"/>
      <c r="AR103" s="8"/>
      <c r="AS103" s="8"/>
      <c r="AT103" s="8">
        <v>3</v>
      </c>
      <c r="AU103" s="8">
        <f t="shared" si="0"/>
        <v>7</v>
      </c>
      <c r="AV103" s="8"/>
      <c r="AW103" s="8"/>
      <c r="AX103" s="8"/>
      <c r="AY103" s="8"/>
      <c r="AZ103" s="8"/>
      <c r="BA103" s="8"/>
      <c r="BB103" s="8"/>
      <c r="BC103" s="8"/>
      <c r="BD103" s="8"/>
      <c r="BE103" s="8">
        <v>2</v>
      </c>
      <c r="BF103" s="8"/>
      <c r="BG103" s="8"/>
      <c r="BH103" s="8"/>
      <c r="BI103" s="8"/>
      <c r="BJ103" s="8"/>
      <c r="BK103" s="8"/>
      <c r="BL103" s="8"/>
      <c r="BM103" s="8"/>
      <c r="BN103" s="8">
        <f t="shared" si="6"/>
        <v>2</v>
      </c>
      <c r="BO103" s="24">
        <f t="shared" si="7"/>
        <v>5</v>
      </c>
      <c r="BP103" s="23"/>
      <c r="BQ103" s="23"/>
    </row>
    <row r="104" spans="1:69" ht="15.5">
      <c r="A104" s="3" t="s">
        <v>475</v>
      </c>
      <c r="B104" s="3" t="s">
        <v>476</v>
      </c>
      <c r="C104" s="8"/>
      <c r="D104" s="8"/>
      <c r="E104" s="21"/>
      <c r="F104" s="21"/>
      <c r="G104" s="8"/>
      <c r="H104" s="8"/>
      <c r="I104" s="8"/>
      <c r="J104" s="8"/>
      <c r="K104" s="8"/>
      <c r="L104" s="8"/>
      <c r="M104" s="8"/>
      <c r="N104" s="21"/>
      <c r="O104" s="8"/>
      <c r="P104" s="8"/>
      <c r="Q104" s="8"/>
      <c r="R104" s="8"/>
      <c r="S104" s="8"/>
      <c r="T104" s="21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>
        <v>1</v>
      </c>
      <c r="AI104" s="8">
        <v>2</v>
      </c>
      <c r="AJ104" s="8"/>
      <c r="AK104" s="8"/>
      <c r="AL104" s="8"/>
      <c r="AM104" s="21"/>
      <c r="AN104" s="8">
        <v>1</v>
      </c>
      <c r="AO104" s="8"/>
      <c r="AP104" s="8"/>
      <c r="AQ104" s="8"/>
      <c r="AR104" s="8"/>
      <c r="AS104" s="8"/>
      <c r="AT104" s="8"/>
      <c r="AU104" s="8">
        <f t="shared" si="0"/>
        <v>4</v>
      </c>
      <c r="AV104" s="8"/>
      <c r="AW104" s="8"/>
      <c r="AX104" s="8"/>
      <c r="AY104" s="8"/>
      <c r="AZ104" s="8"/>
      <c r="BA104" s="8"/>
      <c r="BB104" s="8"/>
      <c r="BC104" s="8"/>
      <c r="BD104" s="8">
        <v>2</v>
      </c>
      <c r="BE104" s="8"/>
      <c r="BF104" s="8"/>
      <c r="BG104" s="8"/>
      <c r="BH104" s="8"/>
      <c r="BI104" s="8"/>
      <c r="BJ104" s="8"/>
      <c r="BK104" s="8"/>
      <c r="BL104" s="8"/>
      <c r="BM104" s="8"/>
      <c r="BN104" s="8">
        <f t="shared" si="6"/>
        <v>2</v>
      </c>
      <c r="BO104" s="24">
        <f t="shared" si="7"/>
        <v>2</v>
      </c>
      <c r="BP104" s="23"/>
      <c r="BQ104" s="23"/>
    </row>
    <row r="105" spans="1:69" ht="15.5">
      <c r="A105" s="3" t="s">
        <v>477</v>
      </c>
      <c r="B105" s="3" t="s">
        <v>478</v>
      </c>
      <c r="C105" s="8"/>
      <c r="D105" s="8"/>
      <c r="E105" s="21"/>
      <c r="F105" s="21"/>
      <c r="G105" s="8"/>
      <c r="H105" s="8"/>
      <c r="I105" s="8"/>
      <c r="J105" s="8"/>
      <c r="K105" s="8"/>
      <c r="L105" s="8"/>
      <c r="M105" s="8"/>
      <c r="N105" s="21"/>
      <c r="O105" s="8"/>
      <c r="P105" s="8"/>
      <c r="Q105" s="8"/>
      <c r="R105" s="8"/>
      <c r="S105" s="8"/>
      <c r="T105" s="21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>
        <v>1</v>
      </c>
      <c r="AM105" s="21"/>
      <c r="AN105" s="8">
        <v>1</v>
      </c>
      <c r="AO105" s="8"/>
      <c r="AP105" s="8">
        <v>1</v>
      </c>
      <c r="AQ105" s="8"/>
      <c r="AR105" s="8"/>
      <c r="AS105" s="8"/>
      <c r="AT105" s="8"/>
      <c r="AU105" s="8">
        <f t="shared" si="0"/>
        <v>3</v>
      </c>
      <c r="AV105" s="8"/>
      <c r="AW105" s="8"/>
      <c r="AX105" s="8"/>
      <c r="AY105" s="8"/>
      <c r="AZ105" s="8"/>
      <c r="BA105" s="8"/>
      <c r="BB105" s="8"/>
      <c r="BC105" s="8"/>
      <c r="BD105" s="8">
        <v>2</v>
      </c>
      <c r="BE105" s="8"/>
      <c r="BF105" s="8"/>
      <c r="BG105" s="8"/>
      <c r="BH105" s="8"/>
      <c r="BI105" s="8"/>
      <c r="BJ105" s="8"/>
      <c r="BK105" s="8"/>
      <c r="BL105" s="8"/>
      <c r="BM105" s="8"/>
      <c r="BN105" s="8">
        <f t="shared" si="6"/>
        <v>2</v>
      </c>
      <c r="BO105" s="24">
        <f t="shared" si="7"/>
        <v>1</v>
      </c>
      <c r="BP105" s="23"/>
      <c r="BQ105" s="23"/>
    </row>
    <row r="106" spans="1:69" ht="15.5">
      <c r="A106" s="3" t="s">
        <v>31</v>
      </c>
      <c r="B106" s="3" t="s">
        <v>32</v>
      </c>
      <c r="C106" s="8"/>
      <c r="D106" s="8"/>
      <c r="E106" s="21"/>
      <c r="F106" s="21"/>
      <c r="G106" s="8"/>
      <c r="H106" s="8"/>
      <c r="I106" s="8"/>
      <c r="J106" s="8"/>
      <c r="K106" s="8"/>
      <c r="L106" s="8"/>
      <c r="M106" s="8"/>
      <c r="N106" s="21"/>
      <c r="O106" s="8"/>
      <c r="P106" s="8">
        <v>3</v>
      </c>
      <c r="Q106" s="8"/>
      <c r="R106" s="8">
        <v>1</v>
      </c>
      <c r="S106" s="8"/>
      <c r="T106" s="21">
        <v>-1</v>
      </c>
      <c r="U106" s="8"/>
      <c r="V106" s="8"/>
      <c r="W106" s="8"/>
      <c r="X106" s="8"/>
      <c r="Y106" s="8"/>
      <c r="Z106" s="8">
        <v>1</v>
      </c>
      <c r="AA106" s="8"/>
      <c r="AB106" s="8"/>
      <c r="AC106" s="8"/>
      <c r="AD106" s="8">
        <v>1</v>
      </c>
      <c r="AE106" s="8"/>
      <c r="AF106" s="8"/>
      <c r="AG106" s="8"/>
      <c r="AH106" s="8"/>
      <c r="AI106" s="8"/>
      <c r="AJ106" s="8"/>
      <c r="AK106" s="8"/>
      <c r="AL106" s="8"/>
      <c r="AM106" s="21"/>
      <c r="AN106" s="8"/>
      <c r="AO106" s="8"/>
      <c r="AP106" s="8"/>
      <c r="AQ106" s="8"/>
      <c r="AR106" s="8"/>
      <c r="AS106" s="8"/>
      <c r="AT106" s="8"/>
      <c r="AU106" s="8">
        <f t="shared" si="0"/>
        <v>5</v>
      </c>
      <c r="AV106" s="8">
        <v>3</v>
      </c>
      <c r="AW106" s="8"/>
      <c r="AX106" s="8"/>
      <c r="AY106" s="8"/>
      <c r="AZ106" s="8"/>
      <c r="BA106" s="8">
        <v>2</v>
      </c>
      <c r="BB106" s="8"/>
      <c r="BC106" s="8"/>
      <c r="BD106" s="8"/>
      <c r="BE106" s="8"/>
      <c r="BF106" s="8"/>
      <c r="BG106" s="8"/>
      <c r="BH106" s="8"/>
      <c r="BI106" s="8"/>
      <c r="BJ106" s="8"/>
      <c r="BK106" s="8"/>
      <c r="BL106" s="8"/>
      <c r="BM106" s="8"/>
      <c r="BN106" s="8">
        <f t="shared" si="6"/>
        <v>5</v>
      </c>
      <c r="BO106" s="24">
        <f t="shared" si="7"/>
        <v>0</v>
      </c>
      <c r="BP106" s="23"/>
      <c r="BQ106" s="23"/>
    </row>
    <row r="107" spans="1:69" ht="15.5">
      <c r="A107" s="3" t="s">
        <v>33</v>
      </c>
      <c r="B107" s="3" t="s">
        <v>34</v>
      </c>
      <c r="C107" s="8"/>
      <c r="D107" s="8"/>
      <c r="E107" s="21"/>
      <c r="F107" s="21"/>
      <c r="G107" s="8"/>
      <c r="H107" s="8"/>
      <c r="I107" s="8"/>
      <c r="J107" s="8"/>
      <c r="K107" s="8"/>
      <c r="L107" s="8"/>
      <c r="M107" s="8"/>
      <c r="N107" s="21"/>
      <c r="O107" s="8"/>
      <c r="P107" s="8">
        <v>4</v>
      </c>
      <c r="Q107" s="8"/>
      <c r="R107" s="8">
        <v>2</v>
      </c>
      <c r="S107" s="8"/>
      <c r="T107" s="21"/>
      <c r="U107" s="8">
        <v>2</v>
      </c>
      <c r="V107" s="8"/>
      <c r="W107" s="8"/>
      <c r="X107" s="8"/>
      <c r="Y107" s="8">
        <v>1</v>
      </c>
      <c r="Z107" s="8">
        <v>1</v>
      </c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21"/>
      <c r="AN107" s="8"/>
      <c r="AO107" s="8"/>
      <c r="AP107" s="8"/>
      <c r="AQ107" s="8"/>
      <c r="AR107" s="8"/>
      <c r="AS107" s="8"/>
      <c r="AT107" s="8"/>
      <c r="AU107" s="8">
        <f t="shared" si="0"/>
        <v>10</v>
      </c>
      <c r="AV107" s="8">
        <v>4</v>
      </c>
      <c r="AW107" s="8">
        <v>2</v>
      </c>
      <c r="AX107" s="8">
        <v>2</v>
      </c>
      <c r="AY107" s="8"/>
      <c r="AZ107" s="8">
        <v>1</v>
      </c>
      <c r="BA107" s="8"/>
      <c r="BB107" s="8"/>
      <c r="BC107" s="8">
        <v>1</v>
      </c>
      <c r="BD107" s="8"/>
      <c r="BE107" s="8"/>
      <c r="BF107" s="8"/>
      <c r="BG107" s="8"/>
      <c r="BH107" s="8"/>
      <c r="BI107" s="8"/>
      <c r="BJ107" s="8"/>
      <c r="BK107" s="8"/>
      <c r="BL107" s="8"/>
      <c r="BM107" s="8"/>
      <c r="BN107" s="8">
        <f t="shared" si="6"/>
        <v>10</v>
      </c>
      <c r="BO107" s="24">
        <f t="shared" si="7"/>
        <v>0</v>
      </c>
      <c r="BP107" s="23"/>
      <c r="BQ107" s="23"/>
    </row>
    <row r="108" spans="1:69" ht="15.5">
      <c r="A108" s="3" t="s">
        <v>35</v>
      </c>
      <c r="B108" s="3" t="s">
        <v>36</v>
      </c>
      <c r="C108" s="8"/>
      <c r="D108" s="8"/>
      <c r="E108" s="21"/>
      <c r="F108" s="21"/>
      <c r="G108" s="8"/>
      <c r="H108" s="8"/>
      <c r="I108" s="8"/>
      <c r="J108" s="8"/>
      <c r="K108" s="8"/>
      <c r="L108" s="8"/>
      <c r="M108" s="8"/>
      <c r="N108" s="21"/>
      <c r="O108" s="8"/>
      <c r="P108" s="8">
        <v>6</v>
      </c>
      <c r="Q108" s="8"/>
      <c r="R108" s="8"/>
      <c r="S108" s="8"/>
      <c r="T108" s="21"/>
      <c r="U108" s="8">
        <v>2</v>
      </c>
      <c r="V108" s="8"/>
      <c r="W108" s="8">
        <v>2</v>
      </c>
      <c r="X108" s="8"/>
      <c r="Y108" s="8"/>
      <c r="Z108" s="8">
        <v>2</v>
      </c>
      <c r="AA108" s="8">
        <v>2</v>
      </c>
      <c r="AB108" s="8"/>
      <c r="AC108" s="8">
        <v>2</v>
      </c>
      <c r="AD108" s="8"/>
      <c r="AE108" s="8">
        <v>1</v>
      </c>
      <c r="AF108" s="8"/>
      <c r="AG108" s="8"/>
      <c r="AH108" s="8"/>
      <c r="AI108" s="8"/>
      <c r="AJ108" s="8"/>
      <c r="AK108" s="8"/>
      <c r="AL108" s="8"/>
      <c r="AM108" s="21"/>
      <c r="AN108" s="8"/>
      <c r="AO108" s="8"/>
      <c r="AP108" s="8"/>
      <c r="AQ108" s="8"/>
      <c r="AR108" s="8"/>
      <c r="AS108" s="8"/>
      <c r="AT108" s="8"/>
      <c r="AU108" s="8">
        <f t="shared" si="0"/>
        <v>17</v>
      </c>
      <c r="AV108" s="8">
        <v>1</v>
      </c>
      <c r="AW108" s="8">
        <v>4</v>
      </c>
      <c r="AX108" s="8">
        <v>3</v>
      </c>
      <c r="AY108" s="8">
        <v>4</v>
      </c>
      <c r="AZ108" s="8">
        <v>1</v>
      </c>
      <c r="BA108" s="8">
        <v>3</v>
      </c>
      <c r="BB108" s="8">
        <v>1</v>
      </c>
      <c r="BC108" s="8"/>
      <c r="BD108" s="8"/>
      <c r="BE108" s="8"/>
      <c r="BF108" s="8"/>
      <c r="BG108" s="8"/>
      <c r="BH108" s="8"/>
      <c r="BI108" s="8"/>
      <c r="BJ108" s="8"/>
      <c r="BK108" s="8"/>
      <c r="BL108" s="8"/>
      <c r="BM108" s="8"/>
      <c r="BN108" s="8">
        <f t="shared" si="6"/>
        <v>17</v>
      </c>
      <c r="BO108" s="24">
        <f t="shared" si="7"/>
        <v>0</v>
      </c>
      <c r="BP108" s="23"/>
      <c r="BQ108" s="23"/>
    </row>
    <row r="109" spans="1:69" ht="15.5">
      <c r="A109" s="3" t="s">
        <v>37</v>
      </c>
      <c r="B109" s="3" t="s">
        <v>38</v>
      </c>
      <c r="C109" s="8"/>
      <c r="D109" s="8"/>
      <c r="E109" s="21"/>
      <c r="F109" s="21"/>
      <c r="G109" s="8"/>
      <c r="H109" s="8"/>
      <c r="I109" s="8"/>
      <c r="J109" s="8"/>
      <c r="K109" s="8"/>
      <c r="L109" s="8"/>
      <c r="M109" s="8"/>
      <c r="N109" s="21"/>
      <c r="O109" s="8"/>
      <c r="P109" s="8">
        <v>5</v>
      </c>
      <c r="Q109" s="8"/>
      <c r="R109" s="8"/>
      <c r="S109" s="8">
        <v>3</v>
      </c>
      <c r="T109" s="21"/>
      <c r="U109" s="8">
        <v>2</v>
      </c>
      <c r="V109" s="8"/>
      <c r="W109" s="8">
        <v>2</v>
      </c>
      <c r="X109" s="8"/>
      <c r="Y109" s="8"/>
      <c r="Z109" s="8">
        <v>2</v>
      </c>
      <c r="AA109" s="8">
        <v>2</v>
      </c>
      <c r="AB109" s="8"/>
      <c r="AC109" s="8">
        <v>2</v>
      </c>
      <c r="AD109" s="8"/>
      <c r="AE109" s="8"/>
      <c r="AF109" s="8"/>
      <c r="AG109" s="8"/>
      <c r="AH109" s="8"/>
      <c r="AI109" s="8"/>
      <c r="AJ109" s="8"/>
      <c r="AK109" s="8"/>
      <c r="AL109" s="8"/>
      <c r="AM109" s="21"/>
      <c r="AN109" s="8"/>
      <c r="AO109" s="8"/>
      <c r="AP109" s="8"/>
      <c r="AQ109" s="8"/>
      <c r="AR109" s="8"/>
      <c r="AS109" s="8"/>
      <c r="AT109" s="8"/>
      <c r="AU109" s="8">
        <f t="shared" si="0"/>
        <v>18</v>
      </c>
      <c r="AV109" s="8">
        <v>5</v>
      </c>
      <c r="AW109" s="8">
        <v>2</v>
      </c>
      <c r="AX109" s="8">
        <v>2</v>
      </c>
      <c r="AY109" s="8">
        <v>1</v>
      </c>
      <c r="AZ109" s="8"/>
      <c r="BA109" s="8">
        <v>3</v>
      </c>
      <c r="BB109" s="8">
        <v>4</v>
      </c>
      <c r="BC109" s="8"/>
      <c r="BD109" s="8"/>
      <c r="BE109" s="8"/>
      <c r="BF109" s="8"/>
      <c r="BG109" s="8"/>
      <c r="BH109" s="8"/>
      <c r="BI109" s="8"/>
      <c r="BJ109" s="8"/>
      <c r="BK109" s="8"/>
      <c r="BL109" s="8"/>
      <c r="BM109" s="8"/>
      <c r="BN109" s="8">
        <f t="shared" si="6"/>
        <v>17</v>
      </c>
      <c r="BO109" s="24">
        <f t="shared" si="7"/>
        <v>1</v>
      </c>
      <c r="BP109" s="23"/>
      <c r="BQ109" s="23"/>
    </row>
    <row r="110" spans="1:69" ht="15.5">
      <c r="A110" s="3" t="s">
        <v>39</v>
      </c>
      <c r="B110" s="3" t="s">
        <v>40</v>
      </c>
      <c r="C110" s="8"/>
      <c r="D110" s="8"/>
      <c r="E110" s="21"/>
      <c r="F110" s="21"/>
      <c r="G110" s="8"/>
      <c r="H110" s="8"/>
      <c r="I110" s="8"/>
      <c r="J110" s="8"/>
      <c r="K110" s="8"/>
      <c r="L110" s="8"/>
      <c r="M110" s="8"/>
      <c r="N110" s="21"/>
      <c r="O110" s="8"/>
      <c r="P110" s="8">
        <v>4</v>
      </c>
      <c r="Q110" s="8"/>
      <c r="R110" s="8"/>
      <c r="S110" s="8"/>
      <c r="T110" s="21"/>
      <c r="U110" s="8">
        <v>2</v>
      </c>
      <c r="V110" s="8"/>
      <c r="W110" s="8"/>
      <c r="X110" s="8"/>
      <c r="Y110" s="8"/>
      <c r="Z110" s="8"/>
      <c r="AA110" s="8"/>
      <c r="AB110" s="8"/>
      <c r="AC110" s="8">
        <v>2</v>
      </c>
      <c r="AD110" s="8"/>
      <c r="AE110" s="8"/>
      <c r="AF110" s="8"/>
      <c r="AG110" s="8"/>
      <c r="AH110" s="8"/>
      <c r="AI110" s="8"/>
      <c r="AJ110" s="8"/>
      <c r="AK110" s="8"/>
      <c r="AL110" s="8"/>
      <c r="AM110" s="21"/>
      <c r="AN110" s="8"/>
      <c r="AO110" s="8"/>
      <c r="AP110" s="8"/>
      <c r="AQ110" s="8"/>
      <c r="AR110" s="8"/>
      <c r="AS110" s="8"/>
      <c r="AT110" s="8"/>
      <c r="AU110" s="8">
        <f t="shared" si="0"/>
        <v>8</v>
      </c>
      <c r="AV110" s="8">
        <v>1</v>
      </c>
      <c r="AW110" s="8">
        <v>2</v>
      </c>
      <c r="AX110" s="8">
        <v>1</v>
      </c>
      <c r="AY110" s="8"/>
      <c r="AZ110" s="8">
        <v>2</v>
      </c>
      <c r="BA110" s="8">
        <v>2</v>
      </c>
      <c r="BB110" s="8"/>
      <c r="BC110" s="8"/>
      <c r="BD110" s="8"/>
      <c r="BE110" s="8"/>
      <c r="BF110" s="8"/>
      <c r="BG110" s="8"/>
      <c r="BH110" s="8"/>
      <c r="BI110" s="8"/>
      <c r="BJ110" s="8"/>
      <c r="BK110" s="8"/>
      <c r="BL110" s="8"/>
      <c r="BM110" s="8"/>
      <c r="BN110" s="8">
        <f t="shared" si="6"/>
        <v>8</v>
      </c>
      <c r="BO110" s="24">
        <f t="shared" si="7"/>
        <v>0</v>
      </c>
      <c r="BP110" s="23"/>
      <c r="BQ110" s="23"/>
    </row>
    <row r="111" spans="1:69" ht="15.5">
      <c r="A111" s="7" t="s">
        <v>41</v>
      </c>
      <c r="B111" s="7" t="s">
        <v>42</v>
      </c>
      <c r="C111" s="30"/>
      <c r="D111" s="30"/>
      <c r="E111" s="31"/>
      <c r="F111" s="31"/>
      <c r="G111" s="30"/>
      <c r="H111" s="30"/>
      <c r="I111" s="30"/>
      <c r="J111" s="30"/>
      <c r="K111" s="30"/>
      <c r="L111" s="30"/>
      <c r="M111" s="30"/>
      <c r="N111" s="31"/>
      <c r="O111" s="30"/>
      <c r="P111" s="30">
        <v>4</v>
      </c>
      <c r="Q111" s="30"/>
      <c r="R111" s="30"/>
      <c r="S111" s="30"/>
      <c r="T111" s="31"/>
      <c r="U111" s="30"/>
      <c r="V111" s="30"/>
      <c r="W111" s="30"/>
      <c r="X111" s="30"/>
      <c r="Y111" s="30"/>
      <c r="Z111" s="30"/>
      <c r="AA111" s="30"/>
      <c r="AB111" s="30"/>
      <c r="AC111" s="30"/>
      <c r="AD111" s="30"/>
      <c r="AE111" s="30"/>
      <c r="AF111" s="30"/>
      <c r="AG111" s="30"/>
      <c r="AH111" s="30"/>
      <c r="AI111" s="30"/>
      <c r="AJ111" s="30"/>
      <c r="AK111" s="30"/>
      <c r="AL111" s="30"/>
      <c r="AM111" s="31"/>
      <c r="AN111" s="30"/>
      <c r="AO111" s="30"/>
      <c r="AP111" s="30"/>
      <c r="AQ111" s="30"/>
      <c r="AR111" s="30"/>
      <c r="AS111" s="30">
        <v>1</v>
      </c>
      <c r="AT111" s="30"/>
      <c r="AU111" s="8">
        <f t="shared" si="0"/>
        <v>5</v>
      </c>
      <c r="AV111" s="30">
        <v>1</v>
      </c>
      <c r="AW111" s="30">
        <v>1</v>
      </c>
      <c r="AX111" s="30"/>
      <c r="AY111" s="30"/>
      <c r="AZ111" s="30">
        <v>1</v>
      </c>
      <c r="BA111" s="30">
        <v>2</v>
      </c>
      <c r="BB111" s="30"/>
      <c r="BC111" s="30"/>
      <c r="BD111" s="30"/>
      <c r="BE111" s="30"/>
      <c r="BF111" s="30"/>
      <c r="BG111" s="30"/>
      <c r="BH111" s="30"/>
      <c r="BI111" s="30"/>
      <c r="BJ111" s="30"/>
      <c r="BK111" s="30"/>
      <c r="BL111" s="30"/>
      <c r="BM111" s="30"/>
      <c r="BN111" s="30">
        <f t="shared" si="6"/>
        <v>5</v>
      </c>
      <c r="BO111" s="24">
        <f t="shared" si="7"/>
        <v>0</v>
      </c>
      <c r="BP111" s="23"/>
      <c r="BQ111" s="23"/>
    </row>
    <row r="112" spans="1:69" ht="15.5">
      <c r="A112" s="3"/>
      <c r="B112" s="3" t="s">
        <v>479</v>
      </c>
      <c r="C112" s="8"/>
      <c r="D112" s="8"/>
      <c r="E112" s="21"/>
      <c r="F112" s="21"/>
      <c r="G112" s="8"/>
      <c r="H112" s="8"/>
      <c r="I112" s="8"/>
      <c r="J112" s="8"/>
      <c r="K112" s="8"/>
      <c r="L112" s="8"/>
      <c r="M112" s="8"/>
      <c r="N112" s="21"/>
      <c r="O112" s="8"/>
      <c r="P112" s="8"/>
      <c r="Q112" s="8"/>
      <c r="R112" s="8"/>
      <c r="S112" s="8"/>
      <c r="T112" s="21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21"/>
      <c r="AN112" s="8"/>
      <c r="AO112" s="8"/>
      <c r="AP112" s="8"/>
      <c r="AQ112" s="8">
        <v>1</v>
      </c>
      <c r="AR112" s="8"/>
      <c r="AS112" s="8"/>
      <c r="AT112" s="8"/>
      <c r="AU112" s="8">
        <f t="shared" si="0"/>
        <v>1</v>
      </c>
      <c r="AV112" s="8"/>
      <c r="AW112" s="8"/>
      <c r="AX112" s="8"/>
      <c r="AY112" s="8"/>
      <c r="AZ112" s="8"/>
      <c r="BA112" s="8"/>
      <c r="BB112" s="8"/>
      <c r="BC112" s="8"/>
      <c r="BD112" s="8"/>
      <c r="BE112" s="8">
        <v>1</v>
      </c>
      <c r="BF112" s="8"/>
      <c r="BG112" s="8"/>
      <c r="BH112" s="8"/>
      <c r="BI112" s="8"/>
      <c r="BJ112" s="8"/>
      <c r="BK112" s="8"/>
      <c r="BL112" s="8"/>
      <c r="BM112" s="8"/>
      <c r="BN112" s="8"/>
      <c r="BO112" s="24">
        <f t="shared" si="7"/>
        <v>1</v>
      </c>
      <c r="BP112" s="23"/>
      <c r="BQ112" s="23"/>
    </row>
    <row r="113" spans="1:69" ht="15.5">
      <c r="A113" s="3" t="s">
        <v>288</v>
      </c>
      <c r="B113" s="3" t="s">
        <v>289</v>
      </c>
      <c r="C113" s="8">
        <v>1</v>
      </c>
      <c r="D113" s="8"/>
      <c r="E113" s="21"/>
      <c r="F113" s="21"/>
      <c r="G113" s="8"/>
      <c r="H113" s="8">
        <v>1</v>
      </c>
      <c r="I113" s="8"/>
      <c r="J113" s="8"/>
      <c r="K113" s="8"/>
      <c r="L113" s="8"/>
      <c r="M113" s="8"/>
      <c r="N113" s="21"/>
      <c r="O113" s="8"/>
      <c r="P113" s="8"/>
      <c r="Q113" s="8"/>
      <c r="R113" s="8"/>
      <c r="S113" s="8"/>
      <c r="T113" s="21"/>
      <c r="U113" s="8"/>
      <c r="V113" s="8">
        <v>1</v>
      </c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21"/>
      <c r="AN113" s="8"/>
      <c r="AO113" s="8"/>
      <c r="AP113" s="8"/>
      <c r="AQ113" s="8"/>
      <c r="AR113" s="8"/>
      <c r="AS113" s="8"/>
      <c r="AT113" s="8"/>
      <c r="AU113" s="8">
        <f t="shared" si="0"/>
        <v>3</v>
      </c>
      <c r="AV113" s="8">
        <v>2</v>
      </c>
      <c r="AW113" s="8"/>
      <c r="AX113" s="8"/>
      <c r="AY113" s="8">
        <v>1</v>
      </c>
      <c r="AZ113" s="8"/>
      <c r="BA113" s="8"/>
      <c r="BB113" s="8"/>
      <c r="BC113" s="8"/>
      <c r="BD113" s="8"/>
      <c r="BE113" s="8"/>
      <c r="BF113" s="8"/>
      <c r="BG113" s="8"/>
      <c r="BH113" s="8"/>
      <c r="BI113" s="8"/>
      <c r="BJ113" s="8"/>
      <c r="BK113" s="8"/>
      <c r="BL113" s="8"/>
      <c r="BM113" s="8"/>
      <c r="BN113" s="8">
        <f t="shared" ref="BN113:BN219" si="8">SUM(AV113:BM113)</f>
        <v>3</v>
      </c>
      <c r="BO113" s="24">
        <f t="shared" si="7"/>
        <v>0</v>
      </c>
      <c r="BP113" s="23"/>
      <c r="BQ113" s="23"/>
    </row>
    <row r="114" spans="1:69" ht="15.5">
      <c r="A114" s="3" t="s">
        <v>232</v>
      </c>
      <c r="B114" s="3" t="s">
        <v>233</v>
      </c>
      <c r="C114" s="8">
        <v>1</v>
      </c>
      <c r="D114" s="8"/>
      <c r="E114" s="21"/>
      <c r="F114" s="21"/>
      <c r="G114" s="8">
        <v>1</v>
      </c>
      <c r="H114" s="8"/>
      <c r="I114" s="8"/>
      <c r="J114" s="8"/>
      <c r="K114" s="8"/>
      <c r="L114" s="8"/>
      <c r="M114" s="8"/>
      <c r="N114" s="21"/>
      <c r="O114" s="8"/>
      <c r="P114" s="8"/>
      <c r="Q114" s="8"/>
      <c r="R114" s="8"/>
      <c r="S114" s="8"/>
      <c r="T114" s="21"/>
      <c r="U114" s="8"/>
      <c r="V114" s="8">
        <v>1</v>
      </c>
      <c r="W114" s="8"/>
      <c r="X114" s="8"/>
      <c r="Y114" s="8">
        <v>1</v>
      </c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21"/>
      <c r="AN114" s="8"/>
      <c r="AO114" s="8"/>
      <c r="AP114" s="8"/>
      <c r="AQ114" s="8"/>
      <c r="AR114" s="8">
        <v>1</v>
      </c>
      <c r="AS114" s="8"/>
      <c r="AT114" s="8"/>
      <c r="AU114" s="8">
        <f t="shared" si="0"/>
        <v>5</v>
      </c>
      <c r="AV114" s="8">
        <v>2</v>
      </c>
      <c r="AW114" s="8"/>
      <c r="AX114" s="8"/>
      <c r="AY114" s="8"/>
      <c r="AZ114" s="8"/>
      <c r="BA114" s="8">
        <v>1</v>
      </c>
      <c r="BB114" s="8"/>
      <c r="BC114" s="8"/>
      <c r="BD114" s="8"/>
      <c r="BE114" s="8">
        <v>1</v>
      </c>
      <c r="BF114" s="8"/>
      <c r="BG114" s="8"/>
      <c r="BH114" s="8"/>
      <c r="BI114" s="8"/>
      <c r="BJ114" s="8"/>
      <c r="BK114" s="8"/>
      <c r="BL114" s="8"/>
      <c r="BM114" s="8"/>
      <c r="BN114" s="8">
        <f t="shared" si="8"/>
        <v>4</v>
      </c>
      <c r="BO114" s="24">
        <f t="shared" si="7"/>
        <v>1</v>
      </c>
      <c r="BP114" s="23"/>
      <c r="BQ114" s="23"/>
    </row>
    <row r="115" spans="1:69" ht="15.5">
      <c r="A115" s="3" t="s">
        <v>234</v>
      </c>
      <c r="B115" s="3" t="s">
        <v>235</v>
      </c>
      <c r="C115" s="8">
        <v>2</v>
      </c>
      <c r="D115" s="8"/>
      <c r="E115" s="21"/>
      <c r="F115" s="21"/>
      <c r="G115" s="8"/>
      <c r="H115" s="8"/>
      <c r="I115" s="8"/>
      <c r="J115" s="8"/>
      <c r="K115" s="8"/>
      <c r="L115" s="8"/>
      <c r="M115" s="8"/>
      <c r="N115" s="21"/>
      <c r="O115" s="8"/>
      <c r="P115" s="8"/>
      <c r="Q115" s="8"/>
      <c r="R115" s="8"/>
      <c r="S115" s="8"/>
      <c r="T115" s="21"/>
      <c r="U115" s="8"/>
      <c r="V115" s="8">
        <v>1</v>
      </c>
      <c r="W115" s="8"/>
      <c r="X115" s="8"/>
      <c r="Y115" s="8">
        <v>2</v>
      </c>
      <c r="Z115" s="8">
        <v>1</v>
      </c>
      <c r="AA115" s="8"/>
      <c r="AB115" s="8"/>
      <c r="AC115" s="8"/>
      <c r="AD115" s="8"/>
      <c r="AE115" s="8"/>
      <c r="AF115" s="8"/>
      <c r="AG115" s="8">
        <v>2</v>
      </c>
      <c r="AH115" s="8"/>
      <c r="AI115" s="8"/>
      <c r="AJ115" s="8"/>
      <c r="AK115" s="8"/>
      <c r="AL115" s="8"/>
      <c r="AM115" s="21"/>
      <c r="AN115" s="8"/>
      <c r="AO115" s="8"/>
      <c r="AP115" s="8"/>
      <c r="AQ115" s="8"/>
      <c r="AR115" s="8"/>
      <c r="AS115" s="8"/>
      <c r="AT115" s="8"/>
      <c r="AU115" s="8">
        <f t="shared" si="0"/>
        <v>8</v>
      </c>
      <c r="AV115" s="8">
        <v>2</v>
      </c>
      <c r="AW115" s="8"/>
      <c r="AX115" s="8"/>
      <c r="AY115" s="8">
        <v>1</v>
      </c>
      <c r="AZ115" s="8"/>
      <c r="BA115" s="8">
        <v>1</v>
      </c>
      <c r="BB115" s="8"/>
      <c r="BC115" s="8"/>
      <c r="BD115" s="8"/>
      <c r="BE115" s="8">
        <v>1</v>
      </c>
      <c r="BF115" s="8"/>
      <c r="BG115" s="8"/>
      <c r="BH115" s="8"/>
      <c r="BI115" s="8"/>
      <c r="BJ115" s="8"/>
      <c r="BK115" s="8"/>
      <c r="BL115" s="8"/>
      <c r="BM115" s="8"/>
      <c r="BN115" s="8">
        <f t="shared" si="8"/>
        <v>5</v>
      </c>
      <c r="BO115" s="24">
        <f t="shared" si="7"/>
        <v>3</v>
      </c>
      <c r="BP115" s="23"/>
      <c r="BQ115" s="23"/>
    </row>
    <row r="116" spans="1:69" ht="15.5">
      <c r="A116" s="3" t="s">
        <v>236</v>
      </c>
      <c r="B116" s="3" t="s">
        <v>237</v>
      </c>
      <c r="C116" s="8">
        <v>2</v>
      </c>
      <c r="D116" s="8"/>
      <c r="E116" s="21"/>
      <c r="F116" s="21"/>
      <c r="G116" s="8">
        <v>1</v>
      </c>
      <c r="H116" s="8"/>
      <c r="I116" s="8">
        <v>1</v>
      </c>
      <c r="J116" s="8"/>
      <c r="K116" s="8"/>
      <c r="L116" s="8"/>
      <c r="M116" s="8"/>
      <c r="N116" s="21"/>
      <c r="O116" s="8"/>
      <c r="P116" s="8"/>
      <c r="Q116" s="8"/>
      <c r="R116" s="8"/>
      <c r="S116" s="8"/>
      <c r="T116" s="21"/>
      <c r="U116" s="8"/>
      <c r="V116" s="8">
        <v>1</v>
      </c>
      <c r="W116" s="8"/>
      <c r="X116" s="8"/>
      <c r="Y116" s="8">
        <v>2</v>
      </c>
      <c r="Z116" s="8"/>
      <c r="AA116" s="8"/>
      <c r="AB116" s="8">
        <v>1</v>
      </c>
      <c r="AC116" s="8"/>
      <c r="AD116" s="8"/>
      <c r="AE116" s="8"/>
      <c r="AF116" s="8"/>
      <c r="AG116" s="8"/>
      <c r="AH116" s="8"/>
      <c r="AI116" s="8"/>
      <c r="AJ116" s="8">
        <v>3</v>
      </c>
      <c r="AK116" s="8"/>
      <c r="AL116" s="8"/>
      <c r="AM116" s="21"/>
      <c r="AN116" s="8">
        <v>2</v>
      </c>
      <c r="AO116" s="8"/>
      <c r="AP116" s="8"/>
      <c r="AQ116" s="8"/>
      <c r="AR116" s="8"/>
      <c r="AS116" s="8"/>
      <c r="AT116" s="8"/>
      <c r="AU116" s="8">
        <f t="shared" si="0"/>
        <v>13</v>
      </c>
      <c r="AV116" s="8">
        <v>4</v>
      </c>
      <c r="AW116" s="8"/>
      <c r="AX116" s="8"/>
      <c r="AY116" s="8">
        <v>2</v>
      </c>
      <c r="AZ116" s="8">
        <v>1</v>
      </c>
      <c r="BA116" s="8"/>
      <c r="BB116" s="8">
        <v>1</v>
      </c>
      <c r="BC116" s="8"/>
      <c r="BD116" s="8">
        <v>1</v>
      </c>
      <c r="BE116" s="8"/>
      <c r="BF116" s="8"/>
      <c r="BG116" s="8"/>
      <c r="BH116" s="8"/>
      <c r="BI116" s="8"/>
      <c r="BJ116" s="8"/>
      <c r="BK116" s="8"/>
      <c r="BL116" s="8"/>
      <c r="BM116" s="8"/>
      <c r="BN116" s="8">
        <f t="shared" si="8"/>
        <v>9</v>
      </c>
      <c r="BO116" s="24">
        <f t="shared" si="7"/>
        <v>4</v>
      </c>
      <c r="BP116" s="23"/>
      <c r="BQ116" s="23"/>
    </row>
    <row r="117" spans="1:69" ht="15.5">
      <c r="A117" s="3" t="s">
        <v>238</v>
      </c>
      <c r="B117" s="3" t="s">
        <v>239</v>
      </c>
      <c r="C117" s="8">
        <v>1</v>
      </c>
      <c r="D117" s="8"/>
      <c r="E117" s="21"/>
      <c r="F117" s="21"/>
      <c r="G117" s="8"/>
      <c r="H117" s="8"/>
      <c r="I117" s="8"/>
      <c r="J117" s="8"/>
      <c r="K117" s="8"/>
      <c r="L117" s="8"/>
      <c r="M117" s="8"/>
      <c r="N117" s="21"/>
      <c r="O117" s="8"/>
      <c r="P117" s="8"/>
      <c r="Q117" s="8"/>
      <c r="R117" s="8"/>
      <c r="S117" s="8"/>
      <c r="T117" s="21"/>
      <c r="U117" s="8"/>
      <c r="V117" s="8">
        <v>1</v>
      </c>
      <c r="W117" s="8"/>
      <c r="X117" s="8"/>
      <c r="Y117" s="8">
        <v>2</v>
      </c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>
        <v>1</v>
      </c>
      <c r="AM117" s="21"/>
      <c r="AN117" s="8">
        <v>2</v>
      </c>
      <c r="AO117" s="8"/>
      <c r="AP117" s="8"/>
      <c r="AQ117" s="8"/>
      <c r="AR117" s="8"/>
      <c r="AS117" s="8"/>
      <c r="AT117" s="8"/>
      <c r="AU117" s="8">
        <f t="shared" si="0"/>
        <v>7</v>
      </c>
      <c r="AV117" s="8">
        <v>1</v>
      </c>
      <c r="AW117" s="8"/>
      <c r="AX117" s="8"/>
      <c r="AY117" s="8"/>
      <c r="AZ117" s="8"/>
      <c r="BA117" s="8"/>
      <c r="BB117" s="8">
        <v>1</v>
      </c>
      <c r="BC117" s="8"/>
      <c r="BD117" s="8">
        <v>2</v>
      </c>
      <c r="BE117" s="8"/>
      <c r="BF117" s="8"/>
      <c r="BG117" s="8"/>
      <c r="BH117" s="8"/>
      <c r="BI117" s="8"/>
      <c r="BJ117" s="8"/>
      <c r="BK117" s="8"/>
      <c r="BL117" s="8"/>
      <c r="BM117" s="8"/>
      <c r="BN117" s="8">
        <f t="shared" si="8"/>
        <v>4</v>
      </c>
      <c r="BO117" s="24">
        <f t="shared" si="7"/>
        <v>3</v>
      </c>
      <c r="BP117" s="23"/>
      <c r="BQ117" s="23"/>
    </row>
    <row r="118" spans="1:69" ht="15.5">
      <c r="A118" s="3" t="s">
        <v>240</v>
      </c>
      <c r="B118" s="3" t="s">
        <v>241</v>
      </c>
      <c r="C118" s="8">
        <v>1</v>
      </c>
      <c r="D118" s="8"/>
      <c r="E118" s="21"/>
      <c r="F118" s="21"/>
      <c r="G118" s="8">
        <v>1</v>
      </c>
      <c r="H118" s="8"/>
      <c r="I118" s="8"/>
      <c r="J118" s="8"/>
      <c r="K118" s="8"/>
      <c r="L118" s="8"/>
      <c r="M118" s="8"/>
      <c r="N118" s="21"/>
      <c r="O118" s="8"/>
      <c r="P118" s="8"/>
      <c r="Q118" s="8"/>
      <c r="R118" s="8"/>
      <c r="S118" s="8"/>
      <c r="T118" s="21"/>
      <c r="U118" s="8"/>
      <c r="V118" s="8">
        <v>1</v>
      </c>
      <c r="W118" s="8"/>
      <c r="X118" s="8"/>
      <c r="Y118" s="8">
        <v>2</v>
      </c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21"/>
      <c r="AN118" s="8"/>
      <c r="AO118" s="8"/>
      <c r="AP118" s="8"/>
      <c r="AQ118" s="8">
        <v>1</v>
      </c>
      <c r="AR118" s="8"/>
      <c r="AS118" s="8"/>
      <c r="AT118" s="8"/>
      <c r="AU118" s="8">
        <f t="shared" si="0"/>
        <v>6</v>
      </c>
      <c r="AV118" s="8">
        <v>2</v>
      </c>
      <c r="AW118" s="8"/>
      <c r="AX118" s="8"/>
      <c r="AY118" s="8">
        <v>1</v>
      </c>
      <c r="AZ118" s="8"/>
      <c r="BA118" s="8"/>
      <c r="BB118" s="8">
        <v>1</v>
      </c>
      <c r="BC118" s="8"/>
      <c r="BD118" s="8">
        <v>1</v>
      </c>
      <c r="BE118" s="8"/>
      <c r="BF118" s="8"/>
      <c r="BG118" s="8"/>
      <c r="BH118" s="8"/>
      <c r="BI118" s="8"/>
      <c r="BJ118" s="8"/>
      <c r="BK118" s="8"/>
      <c r="BL118" s="8"/>
      <c r="BM118" s="8"/>
      <c r="BN118" s="8">
        <f t="shared" si="8"/>
        <v>5</v>
      </c>
      <c r="BO118" s="24">
        <f t="shared" si="7"/>
        <v>1</v>
      </c>
      <c r="BP118" s="23"/>
      <c r="BQ118" s="23"/>
    </row>
    <row r="119" spans="1:69" ht="15.5">
      <c r="A119" s="3" t="s">
        <v>242</v>
      </c>
      <c r="B119" s="3" t="s">
        <v>243</v>
      </c>
      <c r="C119" s="8">
        <v>1</v>
      </c>
      <c r="D119" s="8"/>
      <c r="E119" s="21"/>
      <c r="F119" s="21"/>
      <c r="G119" s="8"/>
      <c r="H119" s="8"/>
      <c r="I119" s="8"/>
      <c r="J119" s="8"/>
      <c r="K119" s="8"/>
      <c r="L119" s="8"/>
      <c r="M119" s="8"/>
      <c r="N119" s="21"/>
      <c r="O119" s="8"/>
      <c r="P119" s="8"/>
      <c r="Q119" s="8"/>
      <c r="R119" s="8"/>
      <c r="S119" s="8"/>
      <c r="T119" s="21"/>
      <c r="U119" s="8"/>
      <c r="V119" s="8">
        <v>1</v>
      </c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>
        <v>1</v>
      </c>
      <c r="AM119" s="21"/>
      <c r="AN119" s="8"/>
      <c r="AO119" s="8"/>
      <c r="AP119" s="8"/>
      <c r="AQ119" s="8"/>
      <c r="AR119" s="8"/>
      <c r="AS119" s="8"/>
      <c r="AT119" s="8"/>
      <c r="AU119" s="8">
        <f t="shared" si="0"/>
        <v>3</v>
      </c>
      <c r="AV119" s="8"/>
      <c r="AW119" s="8"/>
      <c r="AX119" s="8"/>
      <c r="AY119" s="8">
        <v>1</v>
      </c>
      <c r="AZ119" s="8"/>
      <c r="BA119" s="8"/>
      <c r="BB119" s="8"/>
      <c r="BC119" s="8"/>
      <c r="BD119" s="8">
        <v>1</v>
      </c>
      <c r="BE119" s="8"/>
      <c r="BF119" s="8"/>
      <c r="BG119" s="8"/>
      <c r="BH119" s="8"/>
      <c r="BI119" s="8"/>
      <c r="BJ119" s="8"/>
      <c r="BK119" s="8"/>
      <c r="BL119" s="8"/>
      <c r="BM119" s="8"/>
      <c r="BN119" s="8">
        <f t="shared" si="8"/>
        <v>2</v>
      </c>
      <c r="BO119" s="24">
        <f t="shared" si="7"/>
        <v>1</v>
      </c>
      <c r="BP119" s="23"/>
      <c r="BQ119" s="23"/>
    </row>
    <row r="120" spans="1:69" ht="15.5">
      <c r="A120" s="3" t="s">
        <v>294</v>
      </c>
      <c r="B120" s="3" t="s">
        <v>295</v>
      </c>
      <c r="C120" s="8"/>
      <c r="D120" s="8"/>
      <c r="E120" s="21"/>
      <c r="F120" s="21"/>
      <c r="G120" s="8"/>
      <c r="H120" s="8"/>
      <c r="I120" s="8"/>
      <c r="J120" s="8"/>
      <c r="K120" s="8"/>
      <c r="L120" s="8"/>
      <c r="M120" s="8"/>
      <c r="N120" s="21"/>
      <c r="O120" s="8"/>
      <c r="P120" s="8"/>
      <c r="Q120" s="8"/>
      <c r="R120" s="8"/>
      <c r="S120" s="8"/>
      <c r="T120" s="21"/>
      <c r="U120" s="8"/>
      <c r="V120" s="8">
        <v>1</v>
      </c>
      <c r="W120" s="8"/>
      <c r="X120" s="8"/>
      <c r="Y120" s="8">
        <v>1</v>
      </c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>
        <v>1</v>
      </c>
      <c r="AK120" s="8"/>
      <c r="AL120" s="8"/>
      <c r="AM120" s="21"/>
      <c r="AN120" s="8"/>
      <c r="AO120" s="8"/>
      <c r="AP120" s="8"/>
      <c r="AQ120" s="8"/>
      <c r="AR120" s="8"/>
      <c r="AS120" s="8"/>
      <c r="AT120" s="8"/>
      <c r="AU120" s="8">
        <f t="shared" si="0"/>
        <v>3</v>
      </c>
      <c r="AV120" s="8"/>
      <c r="AW120" s="8"/>
      <c r="AX120" s="8"/>
      <c r="AY120" s="8"/>
      <c r="AZ120" s="8"/>
      <c r="BA120" s="8"/>
      <c r="BB120" s="8">
        <v>2</v>
      </c>
      <c r="BC120" s="8"/>
      <c r="BD120" s="8"/>
      <c r="BE120" s="8"/>
      <c r="BF120" s="8"/>
      <c r="BG120" s="8"/>
      <c r="BH120" s="8"/>
      <c r="BI120" s="8"/>
      <c r="BJ120" s="8"/>
      <c r="BK120" s="8"/>
      <c r="BL120" s="8"/>
      <c r="BM120" s="8"/>
      <c r="BN120" s="8">
        <f t="shared" si="8"/>
        <v>2</v>
      </c>
      <c r="BO120" s="24">
        <f t="shared" si="7"/>
        <v>1</v>
      </c>
      <c r="BP120" s="23"/>
      <c r="BQ120" s="23"/>
    </row>
    <row r="121" spans="1:69" ht="15.5">
      <c r="A121" s="3" t="s">
        <v>296</v>
      </c>
      <c r="B121" s="3" t="s">
        <v>297</v>
      </c>
      <c r="C121" s="8"/>
      <c r="D121" s="8"/>
      <c r="E121" s="21"/>
      <c r="F121" s="21"/>
      <c r="G121" s="8"/>
      <c r="H121" s="8"/>
      <c r="I121" s="8"/>
      <c r="J121" s="8"/>
      <c r="K121" s="8"/>
      <c r="L121" s="8"/>
      <c r="M121" s="8"/>
      <c r="N121" s="21"/>
      <c r="O121" s="8"/>
      <c r="P121" s="8"/>
      <c r="Q121" s="8"/>
      <c r="R121" s="8"/>
      <c r="S121" s="8"/>
      <c r="T121" s="21"/>
      <c r="U121" s="8"/>
      <c r="V121" s="8">
        <v>1</v>
      </c>
      <c r="W121" s="8"/>
      <c r="X121" s="8"/>
      <c r="Y121" s="8">
        <v>1</v>
      </c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>
        <v>1</v>
      </c>
      <c r="AK121" s="8"/>
      <c r="AL121" s="8"/>
      <c r="AM121" s="21"/>
      <c r="AN121" s="8"/>
      <c r="AO121" s="8"/>
      <c r="AP121" s="8"/>
      <c r="AQ121" s="8"/>
      <c r="AR121" s="8"/>
      <c r="AS121" s="8"/>
      <c r="AT121" s="8"/>
      <c r="AU121" s="8">
        <f t="shared" si="0"/>
        <v>3</v>
      </c>
      <c r="AV121" s="8"/>
      <c r="AW121" s="8"/>
      <c r="AX121" s="8"/>
      <c r="AY121" s="8"/>
      <c r="AZ121" s="8"/>
      <c r="BA121" s="8"/>
      <c r="BB121" s="8"/>
      <c r="BC121" s="8"/>
      <c r="BD121" s="8"/>
      <c r="BE121" s="8">
        <v>1</v>
      </c>
      <c r="BF121" s="8"/>
      <c r="BG121" s="8"/>
      <c r="BH121" s="8"/>
      <c r="BI121" s="8"/>
      <c r="BJ121" s="8"/>
      <c r="BK121" s="8"/>
      <c r="BL121" s="8"/>
      <c r="BM121" s="8"/>
      <c r="BN121" s="8">
        <f t="shared" si="8"/>
        <v>1</v>
      </c>
      <c r="BO121" s="24">
        <f t="shared" si="7"/>
        <v>2</v>
      </c>
      <c r="BP121" s="23"/>
      <c r="BQ121" s="23"/>
    </row>
    <row r="122" spans="1:69" ht="15.5">
      <c r="A122" s="3" t="s">
        <v>298</v>
      </c>
      <c r="B122" s="3" t="s">
        <v>299</v>
      </c>
      <c r="C122" s="8"/>
      <c r="D122" s="8"/>
      <c r="E122" s="21"/>
      <c r="F122" s="21"/>
      <c r="G122" s="8"/>
      <c r="H122" s="8"/>
      <c r="I122" s="8"/>
      <c r="J122" s="8"/>
      <c r="K122" s="8"/>
      <c r="L122" s="8"/>
      <c r="M122" s="8"/>
      <c r="N122" s="21"/>
      <c r="O122" s="8"/>
      <c r="P122" s="8"/>
      <c r="Q122" s="8"/>
      <c r="R122" s="8"/>
      <c r="S122" s="8"/>
      <c r="T122" s="21"/>
      <c r="U122" s="8"/>
      <c r="V122" s="8">
        <v>1</v>
      </c>
      <c r="W122" s="8"/>
      <c r="X122" s="8"/>
      <c r="Y122" s="8">
        <v>1</v>
      </c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>
        <v>3</v>
      </c>
      <c r="AK122" s="8"/>
      <c r="AL122" s="8"/>
      <c r="AM122" s="21"/>
      <c r="AN122" s="8"/>
      <c r="AO122" s="8"/>
      <c r="AP122" s="8"/>
      <c r="AQ122" s="8"/>
      <c r="AR122" s="8"/>
      <c r="AS122" s="8"/>
      <c r="AT122" s="8"/>
      <c r="AU122" s="8">
        <f t="shared" si="0"/>
        <v>5</v>
      </c>
      <c r="AV122" s="8"/>
      <c r="AW122" s="8"/>
      <c r="AX122" s="8"/>
      <c r="AY122" s="8"/>
      <c r="AZ122" s="8">
        <v>1</v>
      </c>
      <c r="BA122" s="8"/>
      <c r="BB122" s="8"/>
      <c r="BC122" s="8"/>
      <c r="BD122" s="8">
        <v>2</v>
      </c>
      <c r="BE122" s="8"/>
      <c r="BF122" s="8"/>
      <c r="BG122" s="8"/>
      <c r="BH122" s="8"/>
      <c r="BI122" s="8"/>
      <c r="BJ122" s="8"/>
      <c r="BK122" s="8"/>
      <c r="BL122" s="8"/>
      <c r="BM122" s="8"/>
      <c r="BN122" s="8">
        <f t="shared" si="8"/>
        <v>3</v>
      </c>
      <c r="BO122" s="24">
        <f t="shared" si="7"/>
        <v>2</v>
      </c>
      <c r="BP122" s="23"/>
      <c r="BQ122" s="23"/>
    </row>
    <row r="123" spans="1:69" ht="15.5">
      <c r="A123" s="3" t="s">
        <v>300</v>
      </c>
      <c r="B123" s="3" t="s">
        <v>301</v>
      </c>
      <c r="C123" s="8"/>
      <c r="D123" s="8"/>
      <c r="E123" s="21"/>
      <c r="F123" s="21"/>
      <c r="G123" s="8"/>
      <c r="H123" s="8"/>
      <c r="I123" s="8"/>
      <c r="J123" s="8"/>
      <c r="K123" s="8"/>
      <c r="L123" s="8"/>
      <c r="M123" s="8"/>
      <c r="N123" s="21"/>
      <c r="O123" s="8"/>
      <c r="P123" s="8"/>
      <c r="Q123" s="8"/>
      <c r="R123" s="8"/>
      <c r="S123" s="8"/>
      <c r="T123" s="21"/>
      <c r="U123" s="8"/>
      <c r="V123" s="8">
        <v>1</v>
      </c>
      <c r="W123" s="8"/>
      <c r="X123" s="8"/>
      <c r="Y123" s="8">
        <v>1</v>
      </c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>
        <v>1</v>
      </c>
      <c r="AK123" s="8"/>
      <c r="AL123" s="8"/>
      <c r="AM123" s="21"/>
      <c r="AN123" s="8"/>
      <c r="AO123" s="8"/>
      <c r="AP123" s="8"/>
      <c r="AQ123" s="8"/>
      <c r="AR123" s="8"/>
      <c r="AS123" s="8"/>
      <c r="AT123" s="8"/>
      <c r="AU123" s="8">
        <f t="shared" si="0"/>
        <v>3</v>
      </c>
      <c r="AV123" s="8"/>
      <c r="AW123" s="8"/>
      <c r="AX123" s="8"/>
      <c r="AY123" s="8"/>
      <c r="AZ123" s="8"/>
      <c r="BA123" s="8"/>
      <c r="BB123" s="8"/>
      <c r="BC123" s="8"/>
      <c r="BD123" s="8">
        <v>1</v>
      </c>
      <c r="BE123" s="8"/>
      <c r="BF123" s="8"/>
      <c r="BG123" s="8"/>
      <c r="BH123" s="8"/>
      <c r="BI123" s="8"/>
      <c r="BJ123" s="8"/>
      <c r="BK123" s="8"/>
      <c r="BL123" s="8"/>
      <c r="BM123" s="8"/>
      <c r="BN123" s="8">
        <f t="shared" si="8"/>
        <v>1</v>
      </c>
      <c r="BO123" s="24">
        <f t="shared" si="7"/>
        <v>2</v>
      </c>
      <c r="BP123" s="23"/>
      <c r="BQ123" s="23"/>
    </row>
    <row r="124" spans="1:69" ht="15.5">
      <c r="A124" s="3" t="s">
        <v>302</v>
      </c>
      <c r="B124" s="3" t="s">
        <v>303</v>
      </c>
      <c r="C124" s="8"/>
      <c r="D124" s="8"/>
      <c r="E124" s="21"/>
      <c r="F124" s="21"/>
      <c r="G124" s="8"/>
      <c r="H124" s="8"/>
      <c r="I124" s="8"/>
      <c r="J124" s="8"/>
      <c r="K124" s="8"/>
      <c r="L124" s="8"/>
      <c r="M124" s="8"/>
      <c r="N124" s="21"/>
      <c r="O124" s="8"/>
      <c r="P124" s="8"/>
      <c r="Q124" s="8"/>
      <c r="R124" s="8"/>
      <c r="S124" s="8"/>
      <c r="T124" s="21"/>
      <c r="U124" s="8"/>
      <c r="V124" s="8">
        <v>1</v>
      </c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>
        <v>1</v>
      </c>
      <c r="AK124" s="8"/>
      <c r="AL124" s="8"/>
      <c r="AM124" s="21"/>
      <c r="AN124" s="8"/>
      <c r="AO124" s="8"/>
      <c r="AP124" s="8"/>
      <c r="AQ124" s="8"/>
      <c r="AR124" s="8"/>
      <c r="AS124" s="8"/>
      <c r="AT124" s="8"/>
      <c r="AU124" s="8">
        <f t="shared" si="0"/>
        <v>2</v>
      </c>
      <c r="AV124" s="8"/>
      <c r="AW124" s="8"/>
      <c r="AX124" s="8"/>
      <c r="AY124" s="8"/>
      <c r="AZ124" s="8"/>
      <c r="BA124" s="8"/>
      <c r="BB124" s="8"/>
      <c r="BC124" s="8"/>
      <c r="BD124" s="8"/>
      <c r="BE124" s="8">
        <v>1</v>
      </c>
      <c r="BF124" s="8"/>
      <c r="BG124" s="8"/>
      <c r="BH124" s="8"/>
      <c r="BI124" s="8"/>
      <c r="BJ124" s="8"/>
      <c r="BK124" s="8"/>
      <c r="BL124" s="8"/>
      <c r="BM124" s="8"/>
      <c r="BN124" s="8">
        <f t="shared" si="8"/>
        <v>1</v>
      </c>
      <c r="BO124" s="24">
        <f t="shared" si="7"/>
        <v>1</v>
      </c>
      <c r="BP124" s="23"/>
      <c r="BQ124" s="23"/>
    </row>
    <row r="125" spans="1:69" ht="15.5">
      <c r="A125" s="3" t="s">
        <v>480</v>
      </c>
      <c r="B125" s="3" t="s">
        <v>481</v>
      </c>
      <c r="C125" s="8"/>
      <c r="D125" s="8"/>
      <c r="E125" s="21"/>
      <c r="F125" s="21"/>
      <c r="G125" s="8"/>
      <c r="H125" s="8"/>
      <c r="I125" s="8"/>
      <c r="J125" s="8"/>
      <c r="K125" s="8"/>
      <c r="L125" s="8"/>
      <c r="M125" s="8"/>
      <c r="N125" s="21"/>
      <c r="O125" s="8"/>
      <c r="P125" s="8"/>
      <c r="Q125" s="8"/>
      <c r="R125" s="8"/>
      <c r="S125" s="8"/>
      <c r="T125" s="21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>
        <v>1</v>
      </c>
      <c r="AK125" s="8"/>
      <c r="AL125" s="8"/>
      <c r="AM125" s="21"/>
      <c r="AN125" s="8"/>
      <c r="AO125" s="8"/>
      <c r="AP125" s="8"/>
      <c r="AQ125" s="8"/>
      <c r="AR125" s="8"/>
      <c r="AS125" s="8"/>
      <c r="AT125" s="8"/>
      <c r="AU125" s="8">
        <f t="shared" si="0"/>
        <v>1</v>
      </c>
      <c r="AV125" s="8"/>
      <c r="AW125" s="8"/>
      <c r="AX125" s="8"/>
      <c r="AY125" s="8"/>
      <c r="AZ125" s="8"/>
      <c r="BA125" s="8"/>
      <c r="BB125" s="8"/>
      <c r="BC125" s="8"/>
      <c r="BD125" s="8"/>
      <c r="BE125" s="8"/>
      <c r="BF125" s="8"/>
      <c r="BG125" s="8"/>
      <c r="BH125" s="8"/>
      <c r="BI125" s="8"/>
      <c r="BJ125" s="8"/>
      <c r="BK125" s="8"/>
      <c r="BL125" s="8"/>
      <c r="BM125" s="8"/>
      <c r="BN125" s="8">
        <f t="shared" si="8"/>
        <v>0</v>
      </c>
      <c r="BO125" s="24">
        <f t="shared" si="7"/>
        <v>1</v>
      </c>
      <c r="BP125" s="23"/>
      <c r="BQ125" s="23"/>
    </row>
    <row r="126" spans="1:69" ht="15.5">
      <c r="A126" s="3" t="s">
        <v>304</v>
      </c>
      <c r="B126" s="3" t="s">
        <v>305</v>
      </c>
      <c r="C126" s="8"/>
      <c r="D126" s="8"/>
      <c r="E126" s="21"/>
      <c r="F126" s="21"/>
      <c r="G126" s="8"/>
      <c r="H126" s="8"/>
      <c r="I126" s="8"/>
      <c r="J126" s="8"/>
      <c r="K126" s="8"/>
      <c r="L126" s="8"/>
      <c r="M126" s="8"/>
      <c r="N126" s="21"/>
      <c r="O126" s="8"/>
      <c r="P126" s="8"/>
      <c r="Q126" s="8"/>
      <c r="R126" s="8"/>
      <c r="S126" s="8"/>
      <c r="T126" s="21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>
        <v>2</v>
      </c>
      <c r="AK126" s="8"/>
      <c r="AL126" s="8"/>
      <c r="AM126" s="21"/>
      <c r="AN126" s="8"/>
      <c r="AO126" s="8"/>
      <c r="AP126" s="8"/>
      <c r="AQ126" s="8"/>
      <c r="AR126" s="8"/>
      <c r="AS126" s="8"/>
      <c r="AT126" s="8"/>
      <c r="AU126" s="8">
        <f t="shared" si="0"/>
        <v>2</v>
      </c>
      <c r="AV126" s="8"/>
      <c r="AW126" s="8"/>
      <c r="AX126" s="8"/>
      <c r="AY126" s="8"/>
      <c r="AZ126" s="8"/>
      <c r="BA126" s="8"/>
      <c r="BB126" s="8"/>
      <c r="BC126" s="8"/>
      <c r="BD126" s="8"/>
      <c r="BE126" s="8"/>
      <c r="BF126" s="8"/>
      <c r="BG126" s="8"/>
      <c r="BH126" s="8"/>
      <c r="BI126" s="8"/>
      <c r="BJ126" s="8"/>
      <c r="BK126" s="8"/>
      <c r="BL126" s="8"/>
      <c r="BM126" s="8"/>
      <c r="BN126" s="8">
        <f t="shared" si="8"/>
        <v>0</v>
      </c>
      <c r="BO126" s="24">
        <f t="shared" si="7"/>
        <v>2</v>
      </c>
      <c r="BP126" s="23"/>
      <c r="BQ126" s="23"/>
    </row>
    <row r="127" spans="1:69" ht="15.5">
      <c r="A127" s="3" t="s">
        <v>306</v>
      </c>
      <c r="B127" s="3" t="s">
        <v>307</v>
      </c>
      <c r="C127" s="8"/>
      <c r="D127" s="8"/>
      <c r="E127" s="21"/>
      <c r="F127" s="21"/>
      <c r="G127" s="8"/>
      <c r="H127" s="8"/>
      <c r="I127" s="8"/>
      <c r="J127" s="8"/>
      <c r="K127" s="8"/>
      <c r="L127" s="8"/>
      <c r="M127" s="8"/>
      <c r="N127" s="21"/>
      <c r="O127" s="8"/>
      <c r="P127" s="8"/>
      <c r="Q127" s="8"/>
      <c r="R127" s="8"/>
      <c r="S127" s="8"/>
      <c r="T127" s="21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>
        <v>2</v>
      </c>
      <c r="AK127" s="8"/>
      <c r="AL127" s="8"/>
      <c r="AM127" s="21"/>
      <c r="AN127" s="8"/>
      <c r="AO127" s="8"/>
      <c r="AP127" s="8"/>
      <c r="AQ127" s="8"/>
      <c r="AR127" s="8"/>
      <c r="AS127" s="8"/>
      <c r="AT127" s="8"/>
      <c r="AU127" s="8">
        <f t="shared" si="0"/>
        <v>2</v>
      </c>
      <c r="AV127" s="8"/>
      <c r="AW127" s="8"/>
      <c r="AX127" s="8"/>
      <c r="AY127" s="8"/>
      <c r="AZ127" s="8"/>
      <c r="BA127" s="8"/>
      <c r="BB127" s="8"/>
      <c r="BC127" s="8"/>
      <c r="BD127" s="8"/>
      <c r="BE127" s="8"/>
      <c r="BF127" s="8"/>
      <c r="BG127" s="8"/>
      <c r="BH127" s="8"/>
      <c r="BI127" s="8"/>
      <c r="BJ127" s="8"/>
      <c r="BK127" s="8"/>
      <c r="BL127" s="8"/>
      <c r="BM127" s="8"/>
      <c r="BN127" s="8">
        <f t="shared" si="8"/>
        <v>0</v>
      </c>
      <c r="BO127" s="24">
        <f t="shared" si="7"/>
        <v>2</v>
      </c>
      <c r="BP127" s="23"/>
      <c r="BQ127" s="23"/>
    </row>
    <row r="128" spans="1:69" ht="15.5">
      <c r="A128" s="3" t="s">
        <v>308</v>
      </c>
      <c r="B128" s="3" t="s">
        <v>309</v>
      </c>
      <c r="C128" s="8"/>
      <c r="D128" s="8"/>
      <c r="E128" s="21"/>
      <c r="F128" s="21"/>
      <c r="G128" s="8"/>
      <c r="H128" s="8"/>
      <c r="I128" s="8"/>
      <c r="J128" s="8"/>
      <c r="K128" s="8"/>
      <c r="L128" s="8"/>
      <c r="M128" s="8"/>
      <c r="N128" s="21"/>
      <c r="O128" s="8"/>
      <c r="P128" s="8"/>
      <c r="Q128" s="8"/>
      <c r="R128" s="8"/>
      <c r="S128" s="8"/>
      <c r="T128" s="21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>
        <v>2</v>
      </c>
      <c r="AK128" s="8"/>
      <c r="AL128" s="8"/>
      <c r="AM128" s="21"/>
      <c r="AN128" s="8"/>
      <c r="AO128" s="8"/>
      <c r="AP128" s="8"/>
      <c r="AQ128" s="8"/>
      <c r="AR128" s="8"/>
      <c r="AS128" s="8"/>
      <c r="AT128" s="8"/>
      <c r="AU128" s="8">
        <f t="shared" si="0"/>
        <v>2</v>
      </c>
      <c r="AV128" s="8"/>
      <c r="AW128" s="8"/>
      <c r="AX128" s="8"/>
      <c r="AY128" s="8"/>
      <c r="AZ128" s="8"/>
      <c r="BA128" s="8"/>
      <c r="BB128" s="8"/>
      <c r="BC128" s="8"/>
      <c r="BD128" s="8"/>
      <c r="BE128" s="8"/>
      <c r="BF128" s="8"/>
      <c r="BG128" s="8"/>
      <c r="BH128" s="8"/>
      <c r="BI128" s="8"/>
      <c r="BJ128" s="8"/>
      <c r="BK128" s="8"/>
      <c r="BL128" s="8"/>
      <c r="BM128" s="8"/>
      <c r="BN128" s="8">
        <f t="shared" si="8"/>
        <v>0</v>
      </c>
      <c r="BO128" s="24">
        <f t="shared" si="7"/>
        <v>2</v>
      </c>
      <c r="BP128" s="23"/>
      <c r="BQ128" s="23"/>
    </row>
    <row r="129" spans="1:69" ht="15.5">
      <c r="A129" s="3" t="s">
        <v>310</v>
      </c>
      <c r="B129" s="3" t="s">
        <v>311</v>
      </c>
      <c r="C129" s="8"/>
      <c r="D129" s="8"/>
      <c r="E129" s="21"/>
      <c r="F129" s="21"/>
      <c r="G129" s="8"/>
      <c r="H129" s="8"/>
      <c r="I129" s="8"/>
      <c r="J129" s="8"/>
      <c r="K129" s="8"/>
      <c r="L129" s="8"/>
      <c r="M129" s="8"/>
      <c r="N129" s="21"/>
      <c r="O129" s="8"/>
      <c r="P129" s="8"/>
      <c r="Q129" s="8"/>
      <c r="R129" s="8"/>
      <c r="S129" s="8"/>
      <c r="T129" s="21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>
        <v>2</v>
      </c>
      <c r="AK129" s="8"/>
      <c r="AL129" s="8"/>
      <c r="AM129" s="21"/>
      <c r="AN129" s="8"/>
      <c r="AO129" s="8"/>
      <c r="AP129" s="8"/>
      <c r="AQ129" s="8"/>
      <c r="AR129" s="8"/>
      <c r="AS129" s="8"/>
      <c r="AT129" s="8"/>
      <c r="AU129" s="8">
        <f t="shared" si="0"/>
        <v>2</v>
      </c>
      <c r="AV129" s="8"/>
      <c r="AW129" s="8"/>
      <c r="AX129" s="8"/>
      <c r="AY129" s="8"/>
      <c r="AZ129" s="8"/>
      <c r="BA129" s="8"/>
      <c r="BB129" s="8"/>
      <c r="BC129" s="8"/>
      <c r="BD129" s="8"/>
      <c r="BE129" s="8"/>
      <c r="BF129" s="8"/>
      <c r="BG129" s="8"/>
      <c r="BH129" s="8"/>
      <c r="BI129" s="8"/>
      <c r="BJ129" s="8"/>
      <c r="BK129" s="8"/>
      <c r="BL129" s="8"/>
      <c r="BM129" s="8"/>
      <c r="BN129" s="8">
        <f t="shared" si="8"/>
        <v>0</v>
      </c>
      <c r="BO129" s="24">
        <f t="shared" si="7"/>
        <v>2</v>
      </c>
      <c r="BP129" s="23"/>
      <c r="BQ129" s="23"/>
    </row>
    <row r="130" spans="1:69" ht="15.5">
      <c r="A130" s="3" t="s">
        <v>482</v>
      </c>
      <c r="B130" s="3" t="s">
        <v>483</v>
      </c>
      <c r="C130" s="8">
        <v>1</v>
      </c>
      <c r="D130" s="8"/>
      <c r="E130" s="21"/>
      <c r="F130" s="21"/>
      <c r="G130" s="8"/>
      <c r="H130" s="8"/>
      <c r="I130" s="8"/>
      <c r="J130" s="8"/>
      <c r="K130" s="8"/>
      <c r="L130" s="8"/>
      <c r="M130" s="8"/>
      <c r="N130" s="21"/>
      <c r="O130" s="8"/>
      <c r="P130" s="8"/>
      <c r="Q130" s="8"/>
      <c r="R130" s="8"/>
      <c r="S130" s="8"/>
      <c r="T130" s="21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21"/>
      <c r="AN130" s="8"/>
      <c r="AO130" s="8"/>
      <c r="AP130" s="8"/>
      <c r="AQ130" s="8"/>
      <c r="AR130" s="8"/>
      <c r="AS130" s="8"/>
      <c r="AT130" s="8"/>
      <c r="AU130" s="8">
        <f t="shared" si="0"/>
        <v>1</v>
      </c>
      <c r="AV130" s="8"/>
      <c r="AW130" s="8"/>
      <c r="AX130" s="8"/>
      <c r="AY130" s="8"/>
      <c r="AZ130" s="8"/>
      <c r="BA130" s="8"/>
      <c r="BB130" s="8"/>
      <c r="BC130" s="8"/>
      <c r="BD130" s="8">
        <v>1</v>
      </c>
      <c r="BE130" s="8"/>
      <c r="BF130" s="8"/>
      <c r="BG130" s="8"/>
      <c r="BH130" s="8"/>
      <c r="BI130" s="8"/>
      <c r="BJ130" s="8"/>
      <c r="BK130" s="8"/>
      <c r="BL130" s="8"/>
      <c r="BM130" s="8"/>
      <c r="BN130" s="8">
        <f t="shared" si="8"/>
        <v>1</v>
      </c>
      <c r="BO130" s="24">
        <f t="shared" si="7"/>
        <v>0</v>
      </c>
      <c r="BP130" s="23"/>
      <c r="BQ130" s="23"/>
    </row>
    <row r="131" spans="1:69" ht="15.5">
      <c r="A131" s="3" t="s">
        <v>484</v>
      </c>
      <c r="B131" s="3" t="s">
        <v>485</v>
      </c>
      <c r="C131" s="8">
        <v>1</v>
      </c>
      <c r="D131" s="8"/>
      <c r="E131" s="21"/>
      <c r="F131" s="21"/>
      <c r="G131" s="8"/>
      <c r="H131" s="8"/>
      <c r="I131" s="8"/>
      <c r="J131" s="8"/>
      <c r="K131" s="8"/>
      <c r="L131" s="8"/>
      <c r="M131" s="8"/>
      <c r="N131" s="21"/>
      <c r="O131" s="8"/>
      <c r="P131" s="8"/>
      <c r="Q131" s="8"/>
      <c r="R131" s="8"/>
      <c r="S131" s="8">
        <v>1</v>
      </c>
      <c r="T131" s="21"/>
      <c r="U131" s="8">
        <v>1</v>
      </c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21"/>
      <c r="AN131" s="8"/>
      <c r="AO131" s="8"/>
      <c r="AP131" s="8"/>
      <c r="AQ131" s="8"/>
      <c r="AR131" s="8"/>
      <c r="AS131" s="8"/>
      <c r="AT131" s="8"/>
      <c r="AU131" s="8">
        <f t="shared" si="0"/>
        <v>3</v>
      </c>
      <c r="AV131" s="8"/>
      <c r="AW131" s="8">
        <v>1</v>
      </c>
      <c r="AX131" s="8"/>
      <c r="AY131" s="8"/>
      <c r="AZ131" s="8"/>
      <c r="BA131" s="8"/>
      <c r="BB131" s="8"/>
      <c r="BC131" s="8"/>
      <c r="BD131" s="8"/>
      <c r="BE131" s="8"/>
      <c r="BF131" s="8"/>
      <c r="BG131" s="8"/>
      <c r="BH131" s="8"/>
      <c r="BI131" s="8"/>
      <c r="BJ131" s="8"/>
      <c r="BK131" s="8"/>
      <c r="BL131" s="8"/>
      <c r="BM131" s="8"/>
      <c r="BN131" s="8">
        <f t="shared" si="8"/>
        <v>1</v>
      </c>
      <c r="BO131" s="24">
        <f t="shared" si="7"/>
        <v>2</v>
      </c>
      <c r="BP131" s="23"/>
      <c r="BQ131" s="23"/>
    </row>
    <row r="132" spans="1:69" ht="15.5">
      <c r="A132" s="3" t="s">
        <v>486</v>
      </c>
      <c r="B132" s="3" t="s">
        <v>487</v>
      </c>
      <c r="C132" s="8">
        <v>1</v>
      </c>
      <c r="D132" s="8"/>
      <c r="E132" s="21"/>
      <c r="F132" s="21"/>
      <c r="G132" s="8"/>
      <c r="H132" s="8"/>
      <c r="I132" s="8"/>
      <c r="J132" s="8"/>
      <c r="K132" s="8"/>
      <c r="L132" s="8"/>
      <c r="M132" s="8"/>
      <c r="N132" s="21"/>
      <c r="O132" s="8"/>
      <c r="P132" s="8"/>
      <c r="Q132" s="8"/>
      <c r="R132" s="8"/>
      <c r="S132" s="8"/>
      <c r="T132" s="21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21"/>
      <c r="AN132" s="8"/>
      <c r="AO132" s="8"/>
      <c r="AP132" s="8"/>
      <c r="AQ132" s="8"/>
      <c r="AR132" s="8"/>
      <c r="AS132" s="8"/>
      <c r="AT132" s="8"/>
      <c r="AU132" s="8">
        <f t="shared" si="0"/>
        <v>1</v>
      </c>
      <c r="AV132" s="8">
        <v>1</v>
      </c>
      <c r="AW132" s="8"/>
      <c r="AX132" s="8"/>
      <c r="AY132" s="8"/>
      <c r="AZ132" s="8"/>
      <c r="BA132" s="8"/>
      <c r="BB132" s="8"/>
      <c r="BC132" s="8"/>
      <c r="BD132" s="8"/>
      <c r="BE132" s="8"/>
      <c r="BF132" s="8"/>
      <c r="BG132" s="8"/>
      <c r="BH132" s="8"/>
      <c r="BI132" s="8"/>
      <c r="BJ132" s="8"/>
      <c r="BK132" s="8"/>
      <c r="BL132" s="8"/>
      <c r="BM132" s="8"/>
      <c r="BN132" s="8">
        <f t="shared" si="8"/>
        <v>1</v>
      </c>
      <c r="BO132" s="24">
        <f t="shared" ref="BO132:BO195" si="9">IF(+AU132-BN132&lt;0,"",+AU132-BN132)</f>
        <v>0</v>
      </c>
      <c r="BP132" s="23"/>
      <c r="BQ132" s="23"/>
    </row>
    <row r="133" spans="1:69" ht="15.5">
      <c r="A133" s="3" t="s">
        <v>488</v>
      </c>
      <c r="B133" s="3" t="s">
        <v>489</v>
      </c>
      <c r="C133" s="8">
        <v>1</v>
      </c>
      <c r="D133" s="8"/>
      <c r="E133" s="21"/>
      <c r="F133" s="21"/>
      <c r="G133" s="8"/>
      <c r="H133" s="8"/>
      <c r="I133" s="8"/>
      <c r="J133" s="8"/>
      <c r="K133" s="8"/>
      <c r="L133" s="8"/>
      <c r="M133" s="8"/>
      <c r="N133" s="21"/>
      <c r="O133" s="8"/>
      <c r="P133" s="8"/>
      <c r="Q133" s="8"/>
      <c r="R133" s="8"/>
      <c r="S133" s="8"/>
      <c r="T133" s="21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21"/>
      <c r="AN133" s="8"/>
      <c r="AO133" s="8"/>
      <c r="AP133" s="8"/>
      <c r="AQ133" s="8"/>
      <c r="AR133" s="8"/>
      <c r="AS133" s="8"/>
      <c r="AT133" s="8"/>
      <c r="AU133" s="8">
        <f t="shared" si="0"/>
        <v>1</v>
      </c>
      <c r="AV133" s="8"/>
      <c r="AW133" s="8"/>
      <c r="AX133" s="8"/>
      <c r="AY133" s="8">
        <v>1</v>
      </c>
      <c r="AZ133" s="8"/>
      <c r="BA133" s="8"/>
      <c r="BB133" s="8"/>
      <c r="BC133" s="8"/>
      <c r="BD133" s="8"/>
      <c r="BE133" s="8"/>
      <c r="BF133" s="8"/>
      <c r="BG133" s="8"/>
      <c r="BH133" s="8"/>
      <c r="BI133" s="8"/>
      <c r="BJ133" s="8"/>
      <c r="BK133" s="8"/>
      <c r="BL133" s="8"/>
      <c r="BM133" s="8"/>
      <c r="BN133" s="8">
        <f t="shared" si="8"/>
        <v>1</v>
      </c>
      <c r="BO133" s="24">
        <f t="shared" si="9"/>
        <v>0</v>
      </c>
      <c r="BP133" s="23"/>
      <c r="BQ133" s="23"/>
    </row>
    <row r="134" spans="1:69" ht="15.5">
      <c r="A134" s="3" t="s">
        <v>490</v>
      </c>
      <c r="B134" s="3" t="s">
        <v>491</v>
      </c>
      <c r="C134" s="8">
        <v>1</v>
      </c>
      <c r="D134" s="8"/>
      <c r="E134" s="21"/>
      <c r="F134" s="21"/>
      <c r="G134" s="8"/>
      <c r="H134" s="8"/>
      <c r="I134" s="8"/>
      <c r="J134" s="8"/>
      <c r="K134" s="8"/>
      <c r="L134" s="8"/>
      <c r="M134" s="8"/>
      <c r="N134" s="21"/>
      <c r="O134" s="8"/>
      <c r="P134" s="8"/>
      <c r="Q134" s="8"/>
      <c r="R134" s="8"/>
      <c r="S134" s="8"/>
      <c r="T134" s="21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21"/>
      <c r="AN134" s="8"/>
      <c r="AO134" s="8"/>
      <c r="AP134" s="8"/>
      <c r="AQ134" s="8"/>
      <c r="AR134" s="8"/>
      <c r="AS134" s="8"/>
      <c r="AT134" s="8"/>
      <c r="AU134" s="8">
        <f t="shared" si="0"/>
        <v>1</v>
      </c>
      <c r="AV134" s="8"/>
      <c r="AW134" s="8"/>
      <c r="AX134" s="8"/>
      <c r="AY134" s="8"/>
      <c r="AZ134" s="8"/>
      <c r="BA134" s="8"/>
      <c r="BB134" s="8"/>
      <c r="BC134" s="8"/>
      <c r="BD134" s="8">
        <v>1</v>
      </c>
      <c r="BE134" s="8"/>
      <c r="BF134" s="8"/>
      <c r="BG134" s="8"/>
      <c r="BH134" s="8"/>
      <c r="BI134" s="8"/>
      <c r="BJ134" s="8"/>
      <c r="BK134" s="8"/>
      <c r="BL134" s="8"/>
      <c r="BM134" s="8"/>
      <c r="BN134" s="8">
        <f t="shared" si="8"/>
        <v>1</v>
      </c>
      <c r="BO134" s="24">
        <f t="shared" si="9"/>
        <v>0</v>
      </c>
      <c r="BP134" s="23"/>
      <c r="BQ134" s="23"/>
    </row>
    <row r="135" spans="1:69" ht="15.5">
      <c r="A135" s="3" t="s">
        <v>492</v>
      </c>
      <c r="B135" s="3" t="s">
        <v>493</v>
      </c>
      <c r="C135" s="8">
        <v>1</v>
      </c>
      <c r="D135" s="8"/>
      <c r="E135" s="21"/>
      <c r="F135" s="21"/>
      <c r="G135" s="8"/>
      <c r="H135" s="8"/>
      <c r="I135" s="8"/>
      <c r="J135" s="8"/>
      <c r="K135" s="8"/>
      <c r="L135" s="8"/>
      <c r="M135" s="8"/>
      <c r="N135" s="21"/>
      <c r="O135" s="8"/>
      <c r="P135" s="8"/>
      <c r="Q135" s="8"/>
      <c r="R135" s="8"/>
      <c r="S135" s="8">
        <v>1</v>
      </c>
      <c r="T135" s="21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21"/>
      <c r="AN135" s="8"/>
      <c r="AO135" s="8"/>
      <c r="AP135" s="8"/>
      <c r="AQ135" s="8"/>
      <c r="AR135" s="8"/>
      <c r="AS135" s="8"/>
      <c r="AT135" s="8"/>
      <c r="AU135" s="8">
        <f t="shared" si="0"/>
        <v>2</v>
      </c>
      <c r="AV135" s="8">
        <v>1</v>
      </c>
      <c r="AW135" s="8"/>
      <c r="AX135" s="8"/>
      <c r="AY135" s="8"/>
      <c r="AZ135" s="8"/>
      <c r="BA135" s="8"/>
      <c r="BB135" s="8">
        <v>1</v>
      </c>
      <c r="BC135" s="8"/>
      <c r="BD135" s="8"/>
      <c r="BE135" s="8"/>
      <c r="BF135" s="8"/>
      <c r="BG135" s="8"/>
      <c r="BH135" s="8"/>
      <c r="BI135" s="8"/>
      <c r="BJ135" s="8"/>
      <c r="BK135" s="8"/>
      <c r="BL135" s="8"/>
      <c r="BM135" s="8"/>
      <c r="BN135" s="8">
        <f t="shared" si="8"/>
        <v>2</v>
      </c>
      <c r="BO135" s="24">
        <f t="shared" si="9"/>
        <v>0</v>
      </c>
      <c r="BP135" s="23"/>
      <c r="BQ135" s="23"/>
    </row>
    <row r="136" spans="1:69" ht="15.5">
      <c r="A136" s="3" t="s">
        <v>494</v>
      </c>
      <c r="B136" s="3" t="s">
        <v>495</v>
      </c>
      <c r="C136" s="8">
        <v>1</v>
      </c>
      <c r="D136" s="8"/>
      <c r="E136" s="21"/>
      <c r="F136" s="21"/>
      <c r="G136" s="8"/>
      <c r="H136" s="8"/>
      <c r="I136" s="8"/>
      <c r="J136" s="8"/>
      <c r="K136" s="8"/>
      <c r="L136" s="8"/>
      <c r="M136" s="8"/>
      <c r="N136" s="21"/>
      <c r="O136" s="8"/>
      <c r="P136" s="8"/>
      <c r="Q136" s="8"/>
      <c r="R136" s="8"/>
      <c r="S136" s="8"/>
      <c r="T136" s="21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8"/>
      <c r="AJ136" s="8"/>
      <c r="AK136" s="8"/>
      <c r="AL136" s="8"/>
      <c r="AM136" s="21"/>
      <c r="AN136" s="8"/>
      <c r="AO136" s="8"/>
      <c r="AP136" s="8"/>
      <c r="AQ136" s="8"/>
      <c r="AR136" s="8"/>
      <c r="AS136" s="8"/>
      <c r="AT136" s="8"/>
      <c r="AU136" s="8">
        <f t="shared" si="0"/>
        <v>1</v>
      </c>
      <c r="AV136" s="8">
        <v>1</v>
      </c>
      <c r="AW136" s="8"/>
      <c r="AX136" s="8"/>
      <c r="AY136" s="8"/>
      <c r="AZ136" s="8"/>
      <c r="BA136" s="8"/>
      <c r="BB136" s="8"/>
      <c r="BC136" s="8"/>
      <c r="BD136" s="8"/>
      <c r="BE136" s="8"/>
      <c r="BF136" s="8"/>
      <c r="BG136" s="8"/>
      <c r="BH136" s="8"/>
      <c r="BI136" s="8"/>
      <c r="BJ136" s="8"/>
      <c r="BK136" s="8"/>
      <c r="BL136" s="8"/>
      <c r="BM136" s="8"/>
      <c r="BN136" s="8">
        <f t="shared" si="8"/>
        <v>1</v>
      </c>
      <c r="BO136" s="24">
        <f t="shared" si="9"/>
        <v>0</v>
      </c>
      <c r="BP136" s="23"/>
      <c r="BQ136" s="23"/>
    </row>
    <row r="137" spans="1:69" ht="15.5">
      <c r="A137" s="3" t="s">
        <v>496</v>
      </c>
      <c r="B137" s="3" t="s">
        <v>497</v>
      </c>
      <c r="C137" s="8">
        <v>1</v>
      </c>
      <c r="D137" s="8"/>
      <c r="E137" s="21"/>
      <c r="F137" s="21"/>
      <c r="G137" s="8"/>
      <c r="H137" s="8"/>
      <c r="I137" s="8"/>
      <c r="J137" s="8"/>
      <c r="K137" s="8"/>
      <c r="L137" s="8"/>
      <c r="M137" s="8"/>
      <c r="N137" s="21"/>
      <c r="O137" s="8"/>
      <c r="P137" s="8"/>
      <c r="Q137" s="8"/>
      <c r="R137" s="8">
        <v>1</v>
      </c>
      <c r="S137" s="8"/>
      <c r="T137" s="21"/>
      <c r="U137" s="8">
        <v>1</v>
      </c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  <c r="AI137" s="8"/>
      <c r="AJ137" s="8"/>
      <c r="AK137" s="8"/>
      <c r="AL137" s="8"/>
      <c r="AM137" s="21"/>
      <c r="AN137" s="8"/>
      <c r="AO137" s="8"/>
      <c r="AP137" s="8"/>
      <c r="AQ137" s="8"/>
      <c r="AR137" s="8"/>
      <c r="AS137" s="8"/>
      <c r="AT137" s="8"/>
      <c r="AU137" s="8">
        <f t="shared" si="0"/>
        <v>3</v>
      </c>
      <c r="AV137" s="8">
        <v>1</v>
      </c>
      <c r="AW137" s="8">
        <v>1</v>
      </c>
      <c r="AX137" s="8"/>
      <c r="AY137" s="8"/>
      <c r="AZ137" s="8"/>
      <c r="BA137" s="8"/>
      <c r="BB137" s="8"/>
      <c r="BC137" s="8"/>
      <c r="BD137" s="8">
        <v>1</v>
      </c>
      <c r="BE137" s="8"/>
      <c r="BF137" s="8"/>
      <c r="BG137" s="8"/>
      <c r="BH137" s="8"/>
      <c r="BI137" s="8"/>
      <c r="BJ137" s="8"/>
      <c r="BK137" s="8"/>
      <c r="BL137" s="8"/>
      <c r="BM137" s="8"/>
      <c r="BN137" s="8">
        <f t="shared" si="8"/>
        <v>3</v>
      </c>
      <c r="BO137" s="24">
        <f t="shared" si="9"/>
        <v>0</v>
      </c>
      <c r="BP137" s="23"/>
      <c r="BQ137" s="23"/>
    </row>
    <row r="138" spans="1:69" ht="15.5">
      <c r="A138" s="3" t="s">
        <v>498</v>
      </c>
      <c r="B138" s="3" t="s">
        <v>499</v>
      </c>
      <c r="C138" s="8">
        <v>1</v>
      </c>
      <c r="D138" s="8"/>
      <c r="E138" s="21"/>
      <c r="F138" s="21"/>
      <c r="G138" s="8"/>
      <c r="H138" s="8"/>
      <c r="I138" s="8"/>
      <c r="J138" s="8"/>
      <c r="K138" s="8"/>
      <c r="L138" s="8"/>
      <c r="M138" s="8"/>
      <c r="N138" s="21"/>
      <c r="O138" s="8"/>
      <c r="P138" s="8"/>
      <c r="Q138" s="8"/>
      <c r="R138" s="8"/>
      <c r="S138" s="8"/>
      <c r="T138" s="21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8"/>
      <c r="AJ138" s="8"/>
      <c r="AK138" s="8"/>
      <c r="AL138" s="8"/>
      <c r="AM138" s="21"/>
      <c r="AN138" s="8"/>
      <c r="AO138" s="8"/>
      <c r="AP138" s="8"/>
      <c r="AQ138" s="8"/>
      <c r="AR138" s="8"/>
      <c r="AS138" s="8"/>
      <c r="AT138" s="8"/>
      <c r="AU138" s="8">
        <f t="shared" si="0"/>
        <v>1</v>
      </c>
      <c r="AV138" s="8">
        <v>1</v>
      </c>
      <c r="AW138" s="8"/>
      <c r="AX138" s="8"/>
      <c r="AY138" s="8"/>
      <c r="AZ138" s="8"/>
      <c r="BA138" s="8"/>
      <c r="BB138" s="8"/>
      <c r="BC138" s="8"/>
      <c r="BD138" s="8"/>
      <c r="BE138" s="8"/>
      <c r="BF138" s="8"/>
      <c r="BG138" s="8"/>
      <c r="BH138" s="8"/>
      <c r="BI138" s="8"/>
      <c r="BJ138" s="8"/>
      <c r="BK138" s="8"/>
      <c r="BL138" s="8"/>
      <c r="BM138" s="8"/>
      <c r="BN138" s="8">
        <f t="shared" si="8"/>
        <v>1</v>
      </c>
      <c r="BO138" s="24">
        <f t="shared" si="9"/>
        <v>0</v>
      </c>
      <c r="BP138" s="23"/>
      <c r="BQ138" s="23"/>
    </row>
    <row r="139" spans="1:69" ht="15.5">
      <c r="A139" s="3" t="s">
        <v>500</v>
      </c>
      <c r="B139" s="3" t="s">
        <v>501</v>
      </c>
      <c r="C139" s="8">
        <v>1</v>
      </c>
      <c r="D139" s="8"/>
      <c r="E139" s="21"/>
      <c r="F139" s="21"/>
      <c r="G139" s="8"/>
      <c r="H139" s="8"/>
      <c r="I139" s="8"/>
      <c r="J139" s="8"/>
      <c r="K139" s="8"/>
      <c r="L139" s="8"/>
      <c r="M139" s="8"/>
      <c r="N139" s="21"/>
      <c r="O139" s="8"/>
      <c r="P139" s="8"/>
      <c r="Q139" s="8"/>
      <c r="R139" s="8"/>
      <c r="S139" s="8"/>
      <c r="T139" s="21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8"/>
      <c r="AJ139" s="8"/>
      <c r="AK139" s="8"/>
      <c r="AL139" s="8"/>
      <c r="AM139" s="21"/>
      <c r="AN139" s="8"/>
      <c r="AO139" s="8"/>
      <c r="AP139" s="8"/>
      <c r="AQ139" s="8"/>
      <c r="AR139" s="8"/>
      <c r="AS139" s="8"/>
      <c r="AT139" s="8"/>
      <c r="AU139" s="8">
        <f t="shared" si="0"/>
        <v>1</v>
      </c>
      <c r="AV139" s="8"/>
      <c r="AW139" s="8"/>
      <c r="AX139" s="8"/>
      <c r="AY139" s="8"/>
      <c r="AZ139" s="8"/>
      <c r="BA139" s="8">
        <v>1</v>
      </c>
      <c r="BB139" s="8"/>
      <c r="BC139" s="8"/>
      <c r="BD139" s="8"/>
      <c r="BE139" s="8"/>
      <c r="BF139" s="8"/>
      <c r="BG139" s="8"/>
      <c r="BH139" s="8"/>
      <c r="BI139" s="8"/>
      <c r="BJ139" s="8"/>
      <c r="BK139" s="8"/>
      <c r="BL139" s="8"/>
      <c r="BM139" s="8"/>
      <c r="BN139" s="8">
        <f t="shared" si="8"/>
        <v>1</v>
      </c>
      <c r="BO139" s="24">
        <f t="shared" si="9"/>
        <v>0</v>
      </c>
      <c r="BP139" s="23"/>
      <c r="BQ139" s="23"/>
    </row>
    <row r="140" spans="1:69" ht="15.5">
      <c r="A140" s="3" t="s">
        <v>502</v>
      </c>
      <c r="B140" s="3" t="s">
        <v>503</v>
      </c>
      <c r="C140" s="8">
        <v>1</v>
      </c>
      <c r="D140" s="8"/>
      <c r="E140" s="21"/>
      <c r="F140" s="21"/>
      <c r="G140" s="8"/>
      <c r="H140" s="8"/>
      <c r="I140" s="8"/>
      <c r="J140" s="8"/>
      <c r="K140" s="8"/>
      <c r="L140" s="8"/>
      <c r="M140" s="8"/>
      <c r="N140" s="21"/>
      <c r="O140" s="8"/>
      <c r="P140" s="8"/>
      <c r="Q140" s="8"/>
      <c r="R140" s="8"/>
      <c r="S140" s="8">
        <v>1</v>
      </c>
      <c r="T140" s="21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8"/>
      <c r="AI140" s="8"/>
      <c r="AJ140" s="8"/>
      <c r="AK140" s="8"/>
      <c r="AL140" s="8"/>
      <c r="AM140" s="21"/>
      <c r="AN140" s="8"/>
      <c r="AO140" s="8"/>
      <c r="AP140" s="8"/>
      <c r="AQ140" s="8"/>
      <c r="AR140" s="8"/>
      <c r="AS140" s="8">
        <v>-1</v>
      </c>
      <c r="AT140" s="8"/>
      <c r="AU140" s="8">
        <f t="shared" si="0"/>
        <v>1</v>
      </c>
      <c r="AV140" s="8">
        <v>1</v>
      </c>
      <c r="AW140" s="8"/>
      <c r="AX140" s="8"/>
      <c r="AY140" s="8"/>
      <c r="AZ140" s="8"/>
      <c r="BA140" s="8"/>
      <c r="BB140" s="8"/>
      <c r="BC140" s="8"/>
      <c r="BD140" s="8"/>
      <c r="BE140" s="8"/>
      <c r="BF140" s="8"/>
      <c r="BG140" s="8"/>
      <c r="BH140" s="8"/>
      <c r="BI140" s="8"/>
      <c r="BJ140" s="8"/>
      <c r="BK140" s="8"/>
      <c r="BL140" s="8"/>
      <c r="BM140" s="8"/>
      <c r="BN140" s="8">
        <f t="shared" si="8"/>
        <v>1</v>
      </c>
      <c r="BO140" s="24">
        <f t="shared" si="9"/>
        <v>0</v>
      </c>
      <c r="BP140" s="23"/>
      <c r="BQ140" s="23"/>
    </row>
    <row r="141" spans="1:69" ht="15.5">
      <c r="A141" s="3" t="s">
        <v>504</v>
      </c>
      <c r="B141" s="3" t="s">
        <v>505</v>
      </c>
      <c r="C141" s="8">
        <v>1</v>
      </c>
      <c r="D141" s="8"/>
      <c r="E141" s="21"/>
      <c r="F141" s="21"/>
      <c r="G141" s="8">
        <v>1</v>
      </c>
      <c r="H141" s="8"/>
      <c r="I141" s="8"/>
      <c r="J141" s="8"/>
      <c r="K141" s="8"/>
      <c r="L141" s="8"/>
      <c r="M141" s="8"/>
      <c r="N141" s="21"/>
      <c r="O141" s="8"/>
      <c r="P141" s="8"/>
      <c r="Q141" s="8"/>
      <c r="R141" s="8"/>
      <c r="S141" s="8">
        <v>1</v>
      </c>
      <c r="T141" s="21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  <c r="AI141" s="8"/>
      <c r="AJ141" s="8"/>
      <c r="AK141" s="8"/>
      <c r="AL141" s="8"/>
      <c r="AM141" s="21"/>
      <c r="AN141" s="8"/>
      <c r="AO141" s="8"/>
      <c r="AP141" s="8"/>
      <c r="AQ141" s="8"/>
      <c r="AR141" s="8"/>
      <c r="AS141" s="8"/>
      <c r="AT141" s="8"/>
      <c r="AU141" s="8">
        <f t="shared" si="0"/>
        <v>3</v>
      </c>
      <c r="AV141" s="8">
        <v>2</v>
      </c>
      <c r="AW141" s="8"/>
      <c r="AX141" s="8"/>
      <c r="AY141" s="8"/>
      <c r="AZ141" s="8"/>
      <c r="BA141" s="8">
        <v>1</v>
      </c>
      <c r="BB141" s="8"/>
      <c r="BC141" s="8"/>
      <c r="BD141" s="8"/>
      <c r="BE141" s="8"/>
      <c r="BF141" s="8"/>
      <c r="BG141" s="8"/>
      <c r="BH141" s="8"/>
      <c r="BI141" s="8"/>
      <c r="BJ141" s="8"/>
      <c r="BK141" s="8"/>
      <c r="BL141" s="8"/>
      <c r="BM141" s="8"/>
      <c r="BN141" s="8">
        <f t="shared" si="8"/>
        <v>3</v>
      </c>
      <c r="BO141" s="24">
        <f t="shared" si="9"/>
        <v>0</v>
      </c>
      <c r="BP141" s="23"/>
      <c r="BQ141" s="23"/>
    </row>
    <row r="142" spans="1:69" ht="15.5">
      <c r="A142" s="3" t="s">
        <v>506</v>
      </c>
      <c r="B142" s="3" t="s">
        <v>507</v>
      </c>
      <c r="C142" s="8">
        <v>1</v>
      </c>
      <c r="D142" s="8"/>
      <c r="E142" s="21"/>
      <c r="F142" s="21"/>
      <c r="G142" s="8"/>
      <c r="H142" s="8"/>
      <c r="I142" s="8"/>
      <c r="J142" s="8">
        <v>1</v>
      </c>
      <c r="K142" s="8"/>
      <c r="L142" s="8"/>
      <c r="M142" s="8"/>
      <c r="N142" s="21"/>
      <c r="O142" s="8"/>
      <c r="P142" s="8"/>
      <c r="Q142" s="8"/>
      <c r="R142" s="8"/>
      <c r="S142" s="8"/>
      <c r="T142" s="21"/>
      <c r="U142" s="8">
        <v>1</v>
      </c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  <c r="AI142" s="8"/>
      <c r="AJ142" s="8"/>
      <c r="AK142" s="8"/>
      <c r="AL142" s="8"/>
      <c r="AM142" s="21"/>
      <c r="AN142" s="8"/>
      <c r="AO142" s="8"/>
      <c r="AP142" s="8"/>
      <c r="AQ142" s="8"/>
      <c r="AR142" s="8"/>
      <c r="AS142" s="8"/>
      <c r="AT142" s="8"/>
      <c r="AU142" s="8">
        <f t="shared" si="0"/>
        <v>3</v>
      </c>
      <c r="AV142" s="8">
        <v>2</v>
      </c>
      <c r="AW142" s="8"/>
      <c r="AX142" s="8"/>
      <c r="AY142" s="8"/>
      <c r="AZ142" s="8"/>
      <c r="BA142" s="8"/>
      <c r="BB142" s="8"/>
      <c r="BC142" s="8"/>
      <c r="BD142" s="8">
        <v>1</v>
      </c>
      <c r="BE142" s="8"/>
      <c r="BF142" s="8"/>
      <c r="BG142" s="8"/>
      <c r="BH142" s="8"/>
      <c r="BI142" s="8"/>
      <c r="BJ142" s="8"/>
      <c r="BK142" s="8"/>
      <c r="BL142" s="8"/>
      <c r="BM142" s="8"/>
      <c r="BN142" s="8">
        <f t="shared" si="8"/>
        <v>3</v>
      </c>
      <c r="BO142" s="24">
        <f t="shared" si="9"/>
        <v>0</v>
      </c>
      <c r="BP142" s="23"/>
      <c r="BQ142" s="23"/>
    </row>
    <row r="143" spans="1:69" ht="15.5">
      <c r="A143" s="3" t="s">
        <v>508</v>
      </c>
      <c r="B143" s="3" t="s">
        <v>509</v>
      </c>
      <c r="C143" s="8">
        <v>1</v>
      </c>
      <c r="D143" s="8"/>
      <c r="E143" s="21"/>
      <c r="F143" s="21"/>
      <c r="G143" s="8"/>
      <c r="H143" s="8"/>
      <c r="I143" s="8"/>
      <c r="J143" s="8">
        <v>1</v>
      </c>
      <c r="K143" s="8"/>
      <c r="L143" s="8"/>
      <c r="M143" s="8">
        <v>1</v>
      </c>
      <c r="N143" s="21"/>
      <c r="O143" s="8"/>
      <c r="P143" s="8"/>
      <c r="Q143" s="8"/>
      <c r="R143" s="8"/>
      <c r="S143" s="8"/>
      <c r="T143" s="21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  <c r="AI143" s="8"/>
      <c r="AJ143" s="8"/>
      <c r="AK143" s="8"/>
      <c r="AL143" s="8"/>
      <c r="AM143" s="21"/>
      <c r="AN143" s="8"/>
      <c r="AO143" s="8"/>
      <c r="AP143" s="8"/>
      <c r="AQ143" s="8"/>
      <c r="AR143" s="8"/>
      <c r="AS143" s="8">
        <v>-2</v>
      </c>
      <c r="AT143" s="8"/>
      <c r="AU143" s="8">
        <f t="shared" si="0"/>
        <v>1</v>
      </c>
      <c r="AV143" s="8">
        <v>1</v>
      </c>
      <c r="AW143" s="8"/>
      <c r="AX143" s="8"/>
      <c r="AY143" s="8"/>
      <c r="AZ143" s="8"/>
      <c r="BA143" s="8"/>
      <c r="BB143" s="8"/>
      <c r="BC143" s="8"/>
      <c r="BD143" s="8"/>
      <c r="BE143" s="8"/>
      <c r="BF143" s="8"/>
      <c r="BG143" s="8"/>
      <c r="BH143" s="8"/>
      <c r="BI143" s="8"/>
      <c r="BJ143" s="8"/>
      <c r="BK143" s="8"/>
      <c r="BL143" s="8"/>
      <c r="BM143" s="8"/>
      <c r="BN143" s="8">
        <f t="shared" si="8"/>
        <v>1</v>
      </c>
      <c r="BO143" s="24">
        <f t="shared" si="9"/>
        <v>0</v>
      </c>
      <c r="BP143" s="23"/>
      <c r="BQ143" s="23"/>
    </row>
    <row r="144" spans="1:69" ht="15.5">
      <c r="A144" s="3" t="s">
        <v>510</v>
      </c>
      <c r="B144" s="3" t="s">
        <v>511</v>
      </c>
      <c r="C144" s="8">
        <v>1</v>
      </c>
      <c r="D144" s="8"/>
      <c r="E144" s="21"/>
      <c r="F144" s="21"/>
      <c r="G144" s="8"/>
      <c r="H144" s="8"/>
      <c r="I144" s="8"/>
      <c r="J144" s="8"/>
      <c r="K144" s="8"/>
      <c r="L144" s="8"/>
      <c r="M144" s="8"/>
      <c r="N144" s="21"/>
      <c r="O144" s="8"/>
      <c r="P144" s="8"/>
      <c r="Q144" s="8"/>
      <c r="R144" s="8">
        <v>1</v>
      </c>
      <c r="S144" s="8"/>
      <c r="T144" s="21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  <c r="AI144" s="8"/>
      <c r="AJ144" s="8"/>
      <c r="AK144" s="8"/>
      <c r="AL144" s="8"/>
      <c r="AM144" s="21"/>
      <c r="AN144" s="8"/>
      <c r="AO144" s="8"/>
      <c r="AP144" s="8"/>
      <c r="AQ144" s="8"/>
      <c r="AR144" s="8"/>
      <c r="AS144" s="8">
        <v>-1</v>
      </c>
      <c r="AT144" s="8"/>
      <c r="AU144" s="8">
        <f t="shared" si="0"/>
        <v>1</v>
      </c>
      <c r="AV144" s="8">
        <v>1</v>
      </c>
      <c r="AW144" s="8"/>
      <c r="AX144" s="8"/>
      <c r="AY144" s="8"/>
      <c r="AZ144" s="8"/>
      <c r="BA144" s="8"/>
      <c r="BB144" s="8"/>
      <c r="BC144" s="8"/>
      <c r="BD144" s="8"/>
      <c r="BE144" s="8"/>
      <c r="BF144" s="8"/>
      <c r="BG144" s="8"/>
      <c r="BH144" s="8"/>
      <c r="BI144" s="8"/>
      <c r="BJ144" s="8"/>
      <c r="BK144" s="8"/>
      <c r="BL144" s="8"/>
      <c r="BM144" s="8"/>
      <c r="BN144" s="8">
        <f t="shared" si="8"/>
        <v>1</v>
      </c>
      <c r="BO144" s="24">
        <f t="shared" si="9"/>
        <v>0</v>
      </c>
      <c r="BP144" s="23"/>
      <c r="BQ144" s="23"/>
    </row>
    <row r="145" spans="1:69" ht="15.5">
      <c r="A145" s="3" t="s">
        <v>512</v>
      </c>
      <c r="B145" s="3" t="s">
        <v>513</v>
      </c>
      <c r="C145" s="8">
        <v>1</v>
      </c>
      <c r="D145" s="8"/>
      <c r="E145" s="21"/>
      <c r="F145" s="21"/>
      <c r="G145" s="8">
        <v>1</v>
      </c>
      <c r="H145" s="8"/>
      <c r="I145" s="8">
        <v>1</v>
      </c>
      <c r="J145" s="8"/>
      <c r="K145" s="8"/>
      <c r="L145" s="8"/>
      <c r="M145" s="8"/>
      <c r="N145" s="21"/>
      <c r="O145" s="8"/>
      <c r="P145" s="8"/>
      <c r="Q145" s="8"/>
      <c r="R145" s="8">
        <v>1</v>
      </c>
      <c r="S145" s="8"/>
      <c r="T145" s="21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8"/>
      <c r="AJ145" s="8"/>
      <c r="AK145" s="8"/>
      <c r="AL145" s="8"/>
      <c r="AM145" s="21"/>
      <c r="AN145" s="8"/>
      <c r="AO145" s="8"/>
      <c r="AP145" s="8"/>
      <c r="AQ145" s="8"/>
      <c r="AR145" s="8"/>
      <c r="AS145" s="8"/>
      <c r="AT145" s="8"/>
      <c r="AU145" s="8">
        <f t="shared" si="0"/>
        <v>4</v>
      </c>
      <c r="AV145" s="8">
        <v>3</v>
      </c>
      <c r="AW145" s="8"/>
      <c r="AX145" s="8"/>
      <c r="AY145" s="8"/>
      <c r="AZ145" s="8"/>
      <c r="BA145" s="8">
        <v>1</v>
      </c>
      <c r="BB145" s="8"/>
      <c r="BC145" s="8"/>
      <c r="BD145" s="8"/>
      <c r="BE145" s="8"/>
      <c r="BF145" s="8"/>
      <c r="BG145" s="8"/>
      <c r="BH145" s="8"/>
      <c r="BI145" s="8"/>
      <c r="BJ145" s="8"/>
      <c r="BK145" s="8"/>
      <c r="BL145" s="8"/>
      <c r="BM145" s="8"/>
      <c r="BN145" s="8">
        <f t="shared" si="8"/>
        <v>4</v>
      </c>
      <c r="BO145" s="24">
        <f t="shared" si="9"/>
        <v>0</v>
      </c>
      <c r="BP145" s="23"/>
      <c r="BQ145" s="23"/>
    </row>
    <row r="146" spans="1:69" ht="15.5">
      <c r="A146" s="3" t="s">
        <v>514</v>
      </c>
      <c r="B146" s="3" t="s">
        <v>515</v>
      </c>
      <c r="C146" s="8">
        <v>1</v>
      </c>
      <c r="D146" s="8">
        <v>1</v>
      </c>
      <c r="E146" s="21"/>
      <c r="F146" s="21"/>
      <c r="G146" s="8"/>
      <c r="H146" s="8"/>
      <c r="I146" s="8"/>
      <c r="J146" s="8"/>
      <c r="K146" s="8"/>
      <c r="L146" s="8"/>
      <c r="M146" s="8"/>
      <c r="N146" s="21"/>
      <c r="O146" s="8"/>
      <c r="P146" s="8"/>
      <c r="Q146" s="8"/>
      <c r="R146" s="8"/>
      <c r="S146" s="8"/>
      <c r="T146" s="21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  <c r="AI146" s="8"/>
      <c r="AJ146" s="8"/>
      <c r="AK146" s="8"/>
      <c r="AL146" s="8"/>
      <c r="AM146" s="21"/>
      <c r="AN146" s="8"/>
      <c r="AO146" s="8"/>
      <c r="AP146" s="8"/>
      <c r="AQ146" s="8"/>
      <c r="AR146" s="8"/>
      <c r="AS146" s="8"/>
      <c r="AT146" s="8"/>
      <c r="AU146" s="8">
        <f t="shared" si="0"/>
        <v>2</v>
      </c>
      <c r="AV146" s="8">
        <v>2</v>
      </c>
      <c r="AW146" s="8"/>
      <c r="AX146" s="8"/>
      <c r="AY146" s="8"/>
      <c r="AZ146" s="8"/>
      <c r="BA146" s="8"/>
      <c r="BB146" s="8"/>
      <c r="BC146" s="8"/>
      <c r="BD146" s="8"/>
      <c r="BE146" s="8"/>
      <c r="BF146" s="8"/>
      <c r="BG146" s="8"/>
      <c r="BH146" s="8"/>
      <c r="BI146" s="8"/>
      <c r="BJ146" s="8"/>
      <c r="BK146" s="8"/>
      <c r="BL146" s="8"/>
      <c r="BM146" s="8"/>
      <c r="BN146" s="8">
        <f t="shared" si="8"/>
        <v>2</v>
      </c>
      <c r="BO146" s="24">
        <f t="shared" si="9"/>
        <v>0</v>
      </c>
      <c r="BP146" s="23"/>
      <c r="BQ146" s="23"/>
    </row>
    <row r="147" spans="1:69" ht="15.5">
      <c r="A147" s="3" t="s">
        <v>516</v>
      </c>
      <c r="B147" s="3" t="s">
        <v>517</v>
      </c>
      <c r="C147" s="8">
        <v>1</v>
      </c>
      <c r="D147" s="8"/>
      <c r="E147" s="21">
        <v>-1</v>
      </c>
      <c r="F147" s="21"/>
      <c r="G147" s="8"/>
      <c r="H147" s="8"/>
      <c r="I147" s="8"/>
      <c r="J147" s="8"/>
      <c r="K147" s="8"/>
      <c r="L147" s="8"/>
      <c r="M147" s="8"/>
      <c r="N147" s="21"/>
      <c r="O147" s="8"/>
      <c r="P147" s="8"/>
      <c r="Q147" s="8"/>
      <c r="R147" s="8"/>
      <c r="S147" s="8"/>
      <c r="T147" s="21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  <c r="AI147" s="8"/>
      <c r="AJ147" s="8"/>
      <c r="AK147" s="8"/>
      <c r="AL147" s="8"/>
      <c r="AM147" s="21"/>
      <c r="AN147" s="8"/>
      <c r="AO147" s="8"/>
      <c r="AP147" s="8"/>
      <c r="AQ147" s="8"/>
      <c r="AR147" s="8"/>
      <c r="AS147" s="8"/>
      <c r="AT147" s="8"/>
      <c r="AU147" s="8">
        <f t="shared" si="0"/>
        <v>0</v>
      </c>
      <c r="AV147" s="8"/>
      <c r="AW147" s="8"/>
      <c r="AX147" s="8"/>
      <c r="AY147" s="8"/>
      <c r="AZ147" s="8"/>
      <c r="BA147" s="8"/>
      <c r="BB147" s="8"/>
      <c r="BC147" s="8"/>
      <c r="BD147" s="8"/>
      <c r="BE147" s="8"/>
      <c r="BF147" s="8"/>
      <c r="BG147" s="8"/>
      <c r="BH147" s="8"/>
      <c r="BI147" s="8"/>
      <c r="BJ147" s="8"/>
      <c r="BK147" s="8"/>
      <c r="BL147" s="8"/>
      <c r="BM147" s="8"/>
      <c r="BN147" s="8">
        <f t="shared" si="8"/>
        <v>0</v>
      </c>
      <c r="BO147" s="24">
        <f t="shared" si="9"/>
        <v>0</v>
      </c>
      <c r="BP147" s="23"/>
      <c r="BQ147" s="23"/>
    </row>
    <row r="148" spans="1:69" ht="15.5">
      <c r="A148" s="3" t="s">
        <v>518</v>
      </c>
      <c r="B148" s="3" t="s">
        <v>519</v>
      </c>
      <c r="C148" s="8">
        <v>1</v>
      </c>
      <c r="D148" s="8"/>
      <c r="E148" s="21"/>
      <c r="F148" s="21"/>
      <c r="G148" s="8"/>
      <c r="H148" s="8"/>
      <c r="I148" s="8"/>
      <c r="J148" s="8">
        <v>2</v>
      </c>
      <c r="K148" s="8"/>
      <c r="L148" s="8"/>
      <c r="M148" s="8"/>
      <c r="N148" s="21"/>
      <c r="O148" s="8"/>
      <c r="P148" s="8"/>
      <c r="Q148" s="8"/>
      <c r="R148" s="8"/>
      <c r="S148" s="8"/>
      <c r="T148" s="21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8"/>
      <c r="AJ148" s="8"/>
      <c r="AK148" s="8"/>
      <c r="AL148" s="8"/>
      <c r="AM148" s="21"/>
      <c r="AN148" s="8"/>
      <c r="AO148" s="8"/>
      <c r="AP148" s="8"/>
      <c r="AQ148" s="8"/>
      <c r="AR148" s="8"/>
      <c r="AS148" s="8">
        <v>-1</v>
      </c>
      <c r="AT148" s="8"/>
      <c r="AU148" s="8">
        <f t="shared" si="0"/>
        <v>2</v>
      </c>
      <c r="AV148" s="8">
        <v>1</v>
      </c>
      <c r="AW148" s="8"/>
      <c r="AX148" s="8"/>
      <c r="AY148" s="8"/>
      <c r="AZ148" s="8">
        <v>1</v>
      </c>
      <c r="BA148" s="8"/>
      <c r="BB148" s="8"/>
      <c r="BC148" s="8"/>
      <c r="BD148" s="8"/>
      <c r="BE148" s="8"/>
      <c r="BF148" s="8"/>
      <c r="BG148" s="8"/>
      <c r="BH148" s="8"/>
      <c r="BI148" s="8"/>
      <c r="BJ148" s="8"/>
      <c r="BK148" s="8"/>
      <c r="BL148" s="8"/>
      <c r="BM148" s="8"/>
      <c r="BN148" s="8">
        <f t="shared" si="8"/>
        <v>2</v>
      </c>
      <c r="BO148" s="24">
        <f t="shared" si="9"/>
        <v>0</v>
      </c>
      <c r="BP148" s="23"/>
      <c r="BQ148" s="23"/>
    </row>
    <row r="149" spans="1:69" ht="15.5">
      <c r="A149" s="3" t="s">
        <v>520</v>
      </c>
      <c r="B149" s="3" t="s">
        <v>521</v>
      </c>
      <c r="C149" s="8"/>
      <c r="D149" s="8"/>
      <c r="E149" s="21"/>
      <c r="F149" s="21"/>
      <c r="G149" s="8"/>
      <c r="H149" s="8"/>
      <c r="I149" s="8"/>
      <c r="J149" s="8"/>
      <c r="K149" s="8">
        <v>1</v>
      </c>
      <c r="L149" s="8"/>
      <c r="M149" s="8"/>
      <c r="N149" s="21"/>
      <c r="O149" s="8"/>
      <c r="P149" s="8"/>
      <c r="Q149" s="8"/>
      <c r="R149" s="8"/>
      <c r="S149" s="8"/>
      <c r="T149" s="21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  <c r="AI149" s="8"/>
      <c r="AJ149" s="8"/>
      <c r="AK149" s="8"/>
      <c r="AL149" s="8"/>
      <c r="AM149" s="21"/>
      <c r="AN149" s="8"/>
      <c r="AO149" s="8"/>
      <c r="AP149" s="8"/>
      <c r="AQ149" s="8"/>
      <c r="AR149" s="8"/>
      <c r="AS149" s="8"/>
      <c r="AT149" s="8"/>
      <c r="AU149" s="8">
        <f t="shared" si="0"/>
        <v>1</v>
      </c>
      <c r="AV149" s="8">
        <v>1</v>
      </c>
      <c r="AW149" s="8"/>
      <c r="AX149" s="8"/>
      <c r="AY149" s="8"/>
      <c r="AZ149" s="8"/>
      <c r="BA149" s="8"/>
      <c r="BB149" s="8"/>
      <c r="BC149" s="8"/>
      <c r="BD149" s="8"/>
      <c r="BE149" s="8"/>
      <c r="BF149" s="8"/>
      <c r="BG149" s="8"/>
      <c r="BH149" s="8"/>
      <c r="BI149" s="8"/>
      <c r="BJ149" s="8"/>
      <c r="BK149" s="8"/>
      <c r="BL149" s="8"/>
      <c r="BM149" s="8"/>
      <c r="BN149" s="8">
        <f t="shared" si="8"/>
        <v>1</v>
      </c>
      <c r="BO149" s="24">
        <f t="shared" si="9"/>
        <v>0</v>
      </c>
      <c r="BP149" s="23"/>
      <c r="BQ149" s="23"/>
    </row>
    <row r="150" spans="1:69" ht="15.5">
      <c r="A150" s="3" t="s">
        <v>118</v>
      </c>
      <c r="B150" s="3" t="s">
        <v>119</v>
      </c>
      <c r="C150" s="8">
        <v>1</v>
      </c>
      <c r="D150" s="8"/>
      <c r="E150" s="21"/>
      <c r="F150" s="21"/>
      <c r="G150" s="8"/>
      <c r="H150" s="8"/>
      <c r="I150" s="8"/>
      <c r="J150" s="8"/>
      <c r="K150" s="8">
        <v>1</v>
      </c>
      <c r="L150" s="8"/>
      <c r="M150" s="8"/>
      <c r="N150" s="21"/>
      <c r="O150" s="8"/>
      <c r="P150" s="8"/>
      <c r="Q150" s="8"/>
      <c r="R150" s="8"/>
      <c r="S150" s="8"/>
      <c r="T150" s="21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8"/>
      <c r="AJ150" s="8"/>
      <c r="AK150" s="8"/>
      <c r="AL150" s="8"/>
      <c r="AM150" s="21"/>
      <c r="AN150" s="8"/>
      <c r="AO150" s="8"/>
      <c r="AP150" s="8"/>
      <c r="AQ150" s="8"/>
      <c r="AR150" s="8"/>
      <c r="AS150" s="8"/>
      <c r="AT150" s="8"/>
      <c r="AU150" s="8">
        <f t="shared" si="0"/>
        <v>2</v>
      </c>
      <c r="AV150" s="8">
        <v>1</v>
      </c>
      <c r="AW150" s="8"/>
      <c r="AX150" s="8"/>
      <c r="AY150" s="8"/>
      <c r="AZ150" s="8"/>
      <c r="BA150" s="8">
        <v>1</v>
      </c>
      <c r="BB150" s="8"/>
      <c r="BC150" s="8"/>
      <c r="BD150" s="8"/>
      <c r="BE150" s="8"/>
      <c r="BF150" s="8"/>
      <c r="BG150" s="8"/>
      <c r="BH150" s="8"/>
      <c r="BI150" s="8"/>
      <c r="BJ150" s="8"/>
      <c r="BK150" s="8"/>
      <c r="BL150" s="8"/>
      <c r="BM150" s="8"/>
      <c r="BN150" s="8">
        <f t="shared" si="8"/>
        <v>2</v>
      </c>
      <c r="BO150" s="24">
        <f t="shared" si="9"/>
        <v>0</v>
      </c>
      <c r="BP150" s="23"/>
      <c r="BQ150" s="23"/>
    </row>
    <row r="151" spans="1:69" ht="15.5">
      <c r="A151" s="3" t="s">
        <v>120</v>
      </c>
      <c r="B151" s="3" t="s">
        <v>121</v>
      </c>
      <c r="C151" s="8">
        <v>1</v>
      </c>
      <c r="D151" s="8"/>
      <c r="E151" s="21"/>
      <c r="F151" s="21"/>
      <c r="G151" s="8"/>
      <c r="H151" s="8"/>
      <c r="I151" s="8"/>
      <c r="J151" s="8">
        <v>1</v>
      </c>
      <c r="K151" s="8">
        <v>1</v>
      </c>
      <c r="L151" s="8"/>
      <c r="M151" s="8"/>
      <c r="N151" s="21"/>
      <c r="O151" s="8"/>
      <c r="P151" s="8"/>
      <c r="Q151" s="8"/>
      <c r="R151" s="8"/>
      <c r="S151" s="8"/>
      <c r="T151" s="21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8"/>
      <c r="AI151" s="8"/>
      <c r="AJ151" s="8"/>
      <c r="AK151" s="8"/>
      <c r="AL151" s="8"/>
      <c r="AM151" s="21"/>
      <c r="AN151" s="8"/>
      <c r="AO151" s="8"/>
      <c r="AP151" s="8"/>
      <c r="AQ151" s="8"/>
      <c r="AR151" s="8"/>
      <c r="AS151" s="8"/>
      <c r="AT151" s="8"/>
      <c r="AU151" s="8">
        <f t="shared" si="0"/>
        <v>3</v>
      </c>
      <c r="AV151" s="8">
        <v>3</v>
      </c>
      <c r="AW151" s="8"/>
      <c r="AX151" s="8"/>
      <c r="AY151" s="8"/>
      <c r="AZ151" s="8"/>
      <c r="BA151" s="8"/>
      <c r="BB151" s="8"/>
      <c r="BC151" s="8"/>
      <c r="BD151" s="8"/>
      <c r="BE151" s="8"/>
      <c r="BF151" s="8"/>
      <c r="BG151" s="8"/>
      <c r="BH151" s="8"/>
      <c r="BI151" s="8"/>
      <c r="BJ151" s="8"/>
      <c r="BK151" s="8"/>
      <c r="BL151" s="8"/>
      <c r="BM151" s="8"/>
      <c r="BN151" s="8">
        <f t="shared" si="8"/>
        <v>3</v>
      </c>
      <c r="BO151" s="24">
        <f t="shared" si="9"/>
        <v>0</v>
      </c>
      <c r="BP151" s="23"/>
      <c r="BQ151" s="23"/>
    </row>
    <row r="152" spans="1:69" ht="15.5">
      <c r="A152" s="3" t="s">
        <v>122</v>
      </c>
      <c r="B152" s="3" t="s">
        <v>123</v>
      </c>
      <c r="C152" s="8">
        <v>1</v>
      </c>
      <c r="D152" s="8"/>
      <c r="E152" s="21"/>
      <c r="F152" s="21"/>
      <c r="G152" s="8"/>
      <c r="H152" s="8"/>
      <c r="I152" s="8"/>
      <c r="J152" s="8">
        <v>1</v>
      </c>
      <c r="K152" s="8">
        <v>1</v>
      </c>
      <c r="L152" s="8"/>
      <c r="M152" s="8"/>
      <c r="N152" s="21"/>
      <c r="O152" s="8"/>
      <c r="P152" s="8"/>
      <c r="Q152" s="8"/>
      <c r="R152" s="8"/>
      <c r="S152" s="8"/>
      <c r="T152" s="21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8"/>
      <c r="AI152" s="8"/>
      <c r="AJ152" s="8"/>
      <c r="AK152" s="8"/>
      <c r="AL152" s="8"/>
      <c r="AM152" s="21"/>
      <c r="AN152" s="8"/>
      <c r="AO152" s="8"/>
      <c r="AP152" s="8"/>
      <c r="AQ152" s="8"/>
      <c r="AR152" s="8"/>
      <c r="AS152" s="8">
        <v>-3</v>
      </c>
      <c r="AT152" s="8"/>
      <c r="AU152" s="8">
        <f t="shared" si="0"/>
        <v>0</v>
      </c>
      <c r="AV152" s="8"/>
      <c r="AW152" s="8"/>
      <c r="AX152" s="8"/>
      <c r="AY152" s="8"/>
      <c r="AZ152" s="8"/>
      <c r="BA152" s="8"/>
      <c r="BB152" s="8"/>
      <c r="BC152" s="8"/>
      <c r="BD152" s="8"/>
      <c r="BE152" s="8"/>
      <c r="BF152" s="8"/>
      <c r="BG152" s="8"/>
      <c r="BH152" s="8"/>
      <c r="BI152" s="8"/>
      <c r="BJ152" s="8"/>
      <c r="BK152" s="8"/>
      <c r="BL152" s="8"/>
      <c r="BM152" s="8"/>
      <c r="BN152" s="8">
        <f t="shared" si="8"/>
        <v>0</v>
      </c>
      <c r="BO152" s="24">
        <f t="shared" si="9"/>
        <v>0</v>
      </c>
      <c r="BP152" s="23"/>
      <c r="BQ152" s="23"/>
    </row>
    <row r="153" spans="1:69" ht="15.5">
      <c r="A153" s="3" t="s">
        <v>124</v>
      </c>
      <c r="B153" s="3" t="s">
        <v>125</v>
      </c>
      <c r="C153" s="8">
        <v>1</v>
      </c>
      <c r="D153" s="8"/>
      <c r="E153" s="21"/>
      <c r="F153" s="21"/>
      <c r="G153" s="8">
        <v>1</v>
      </c>
      <c r="H153" s="8"/>
      <c r="I153" s="8"/>
      <c r="J153" s="8"/>
      <c r="K153" s="8">
        <v>2</v>
      </c>
      <c r="L153" s="8"/>
      <c r="M153" s="8"/>
      <c r="N153" s="21"/>
      <c r="O153" s="8">
        <v>1</v>
      </c>
      <c r="P153" s="8"/>
      <c r="Q153" s="8"/>
      <c r="R153" s="8"/>
      <c r="S153" s="8"/>
      <c r="T153" s="21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8"/>
      <c r="AJ153" s="8"/>
      <c r="AK153" s="8"/>
      <c r="AL153" s="8"/>
      <c r="AM153" s="21"/>
      <c r="AN153" s="8"/>
      <c r="AO153" s="8"/>
      <c r="AP153" s="8"/>
      <c r="AQ153" s="8"/>
      <c r="AR153" s="8"/>
      <c r="AS153" s="8">
        <v>-3</v>
      </c>
      <c r="AT153" s="8"/>
      <c r="AU153" s="8">
        <f t="shared" si="0"/>
        <v>2</v>
      </c>
      <c r="AV153" s="8">
        <v>2</v>
      </c>
      <c r="AW153" s="8"/>
      <c r="AX153" s="8"/>
      <c r="AY153" s="8"/>
      <c r="AZ153" s="8"/>
      <c r="BA153" s="8"/>
      <c r="BB153" s="8"/>
      <c r="BC153" s="8"/>
      <c r="BD153" s="8"/>
      <c r="BE153" s="8"/>
      <c r="BF153" s="8"/>
      <c r="BG153" s="8"/>
      <c r="BH153" s="8"/>
      <c r="BI153" s="8"/>
      <c r="BJ153" s="8"/>
      <c r="BK153" s="8"/>
      <c r="BL153" s="8"/>
      <c r="BM153" s="8"/>
      <c r="BN153" s="8">
        <f t="shared" si="8"/>
        <v>2</v>
      </c>
      <c r="BO153" s="24">
        <f t="shared" si="9"/>
        <v>0</v>
      </c>
      <c r="BP153" s="23"/>
      <c r="BQ153" s="23"/>
    </row>
    <row r="154" spans="1:69" ht="15.5">
      <c r="A154" s="3" t="s">
        <v>126</v>
      </c>
      <c r="B154" s="3" t="s">
        <v>127</v>
      </c>
      <c r="C154" s="8">
        <v>1</v>
      </c>
      <c r="D154" s="8"/>
      <c r="E154" s="21"/>
      <c r="F154" s="21"/>
      <c r="G154" s="8"/>
      <c r="H154" s="8"/>
      <c r="I154" s="8"/>
      <c r="J154" s="8"/>
      <c r="K154" s="8">
        <v>1</v>
      </c>
      <c r="L154" s="8"/>
      <c r="M154" s="8"/>
      <c r="N154" s="21"/>
      <c r="O154" s="8"/>
      <c r="P154" s="8"/>
      <c r="Q154" s="8"/>
      <c r="R154" s="8"/>
      <c r="S154" s="8"/>
      <c r="T154" s="21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8"/>
      <c r="AI154" s="8"/>
      <c r="AJ154" s="8"/>
      <c r="AK154" s="8"/>
      <c r="AL154" s="8"/>
      <c r="AM154" s="21"/>
      <c r="AN154" s="8"/>
      <c r="AO154" s="8"/>
      <c r="AP154" s="8"/>
      <c r="AQ154" s="8"/>
      <c r="AR154" s="8"/>
      <c r="AS154" s="8">
        <v>-1</v>
      </c>
      <c r="AT154" s="8"/>
      <c r="AU154" s="8">
        <f t="shared" si="0"/>
        <v>1</v>
      </c>
      <c r="AV154" s="8">
        <v>1</v>
      </c>
      <c r="AW154" s="8"/>
      <c r="AX154" s="8"/>
      <c r="AY154" s="8"/>
      <c r="AZ154" s="8"/>
      <c r="BA154" s="8"/>
      <c r="BB154" s="8"/>
      <c r="BC154" s="8"/>
      <c r="BD154" s="8"/>
      <c r="BE154" s="8"/>
      <c r="BF154" s="8"/>
      <c r="BG154" s="8"/>
      <c r="BH154" s="8"/>
      <c r="BI154" s="8"/>
      <c r="BJ154" s="8"/>
      <c r="BK154" s="8"/>
      <c r="BL154" s="8"/>
      <c r="BM154" s="8"/>
      <c r="BN154" s="8">
        <f t="shared" si="8"/>
        <v>1</v>
      </c>
      <c r="BO154" s="24">
        <f t="shared" si="9"/>
        <v>0</v>
      </c>
      <c r="BP154" s="23"/>
      <c r="BQ154" s="23"/>
    </row>
    <row r="155" spans="1:69" ht="15.5">
      <c r="A155" s="3" t="s">
        <v>134</v>
      </c>
      <c r="B155" s="3" t="s">
        <v>135</v>
      </c>
      <c r="C155" s="8">
        <v>1</v>
      </c>
      <c r="D155" s="8"/>
      <c r="E155" s="21"/>
      <c r="F155" s="21"/>
      <c r="G155" s="8"/>
      <c r="H155" s="8"/>
      <c r="I155" s="8"/>
      <c r="J155" s="8"/>
      <c r="K155" s="8"/>
      <c r="L155" s="8"/>
      <c r="M155" s="8"/>
      <c r="N155" s="21"/>
      <c r="O155" s="8"/>
      <c r="P155" s="8"/>
      <c r="Q155" s="8"/>
      <c r="R155" s="8"/>
      <c r="S155" s="8"/>
      <c r="T155" s="21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  <c r="AI155" s="8"/>
      <c r="AJ155" s="8"/>
      <c r="AK155" s="8"/>
      <c r="AL155" s="8"/>
      <c r="AM155" s="21"/>
      <c r="AN155" s="8"/>
      <c r="AO155" s="8"/>
      <c r="AP155" s="8"/>
      <c r="AQ155" s="8"/>
      <c r="AR155" s="8"/>
      <c r="AS155" s="8"/>
      <c r="AT155" s="8"/>
      <c r="AU155" s="8">
        <f t="shared" si="0"/>
        <v>1</v>
      </c>
      <c r="AV155" s="8">
        <v>1</v>
      </c>
      <c r="AW155" s="8"/>
      <c r="AX155" s="8"/>
      <c r="AY155" s="8"/>
      <c r="AZ155" s="8"/>
      <c r="BA155" s="8"/>
      <c r="BB155" s="8"/>
      <c r="BC155" s="8"/>
      <c r="BD155" s="8"/>
      <c r="BE155" s="8"/>
      <c r="BF155" s="8"/>
      <c r="BG155" s="8"/>
      <c r="BH155" s="8"/>
      <c r="BI155" s="8"/>
      <c r="BJ155" s="8"/>
      <c r="BK155" s="8"/>
      <c r="BL155" s="8"/>
      <c r="BM155" s="8"/>
      <c r="BN155" s="8">
        <f t="shared" si="8"/>
        <v>1</v>
      </c>
      <c r="BO155" s="24">
        <f t="shared" si="9"/>
        <v>0</v>
      </c>
      <c r="BP155" s="23"/>
      <c r="BQ155" s="23"/>
    </row>
    <row r="156" spans="1:69" ht="15.5">
      <c r="A156" s="3" t="s">
        <v>136</v>
      </c>
      <c r="B156" s="3" t="s">
        <v>137</v>
      </c>
      <c r="C156" s="8">
        <v>1</v>
      </c>
      <c r="D156" s="8"/>
      <c r="E156" s="21"/>
      <c r="F156" s="21"/>
      <c r="G156" s="8"/>
      <c r="H156" s="8"/>
      <c r="I156" s="8"/>
      <c r="J156" s="8"/>
      <c r="K156" s="8"/>
      <c r="L156" s="8"/>
      <c r="M156" s="8"/>
      <c r="N156" s="21"/>
      <c r="O156" s="8"/>
      <c r="P156" s="8"/>
      <c r="Q156" s="8"/>
      <c r="R156" s="8"/>
      <c r="S156" s="8"/>
      <c r="T156" s="21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8"/>
      <c r="AI156" s="8"/>
      <c r="AJ156" s="8"/>
      <c r="AK156" s="8"/>
      <c r="AL156" s="8"/>
      <c r="AM156" s="21"/>
      <c r="AN156" s="8"/>
      <c r="AO156" s="8"/>
      <c r="AP156" s="8"/>
      <c r="AQ156" s="8"/>
      <c r="AR156" s="8"/>
      <c r="AS156" s="8"/>
      <c r="AT156" s="8"/>
      <c r="AU156" s="8">
        <f t="shared" si="0"/>
        <v>1</v>
      </c>
      <c r="AV156" s="8">
        <v>1</v>
      </c>
      <c r="AW156" s="8"/>
      <c r="AX156" s="8"/>
      <c r="AY156" s="8"/>
      <c r="AZ156" s="8"/>
      <c r="BA156" s="8"/>
      <c r="BB156" s="8"/>
      <c r="BC156" s="8"/>
      <c r="BD156" s="8"/>
      <c r="BE156" s="8"/>
      <c r="BF156" s="8"/>
      <c r="BG156" s="8"/>
      <c r="BH156" s="8"/>
      <c r="BI156" s="8"/>
      <c r="BJ156" s="8"/>
      <c r="BK156" s="8"/>
      <c r="BL156" s="8"/>
      <c r="BM156" s="8"/>
      <c r="BN156" s="8">
        <f t="shared" si="8"/>
        <v>1</v>
      </c>
      <c r="BO156" s="24">
        <f t="shared" si="9"/>
        <v>0</v>
      </c>
      <c r="BP156" s="23"/>
      <c r="BQ156" s="23"/>
    </row>
    <row r="157" spans="1:69" ht="15.5">
      <c r="A157" s="3" t="s">
        <v>138</v>
      </c>
      <c r="B157" s="3" t="s">
        <v>139</v>
      </c>
      <c r="C157" s="8">
        <v>1</v>
      </c>
      <c r="D157" s="8"/>
      <c r="E157" s="21"/>
      <c r="F157" s="21"/>
      <c r="G157" s="8"/>
      <c r="H157" s="8"/>
      <c r="I157" s="8"/>
      <c r="J157" s="8"/>
      <c r="K157" s="8"/>
      <c r="L157" s="8"/>
      <c r="M157" s="8"/>
      <c r="N157" s="21"/>
      <c r="O157" s="8"/>
      <c r="P157" s="8"/>
      <c r="Q157" s="8"/>
      <c r="R157" s="8"/>
      <c r="S157" s="8"/>
      <c r="T157" s="21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8"/>
      <c r="AJ157" s="8"/>
      <c r="AK157" s="8"/>
      <c r="AL157" s="8"/>
      <c r="AM157" s="21"/>
      <c r="AN157" s="8"/>
      <c r="AO157" s="8"/>
      <c r="AP157" s="8"/>
      <c r="AQ157" s="8"/>
      <c r="AR157" s="8"/>
      <c r="AS157" s="8"/>
      <c r="AT157" s="8"/>
      <c r="AU157" s="8">
        <f t="shared" si="0"/>
        <v>1</v>
      </c>
      <c r="AV157" s="8"/>
      <c r="AW157" s="8"/>
      <c r="AX157" s="8">
        <v>1</v>
      </c>
      <c r="AY157" s="8"/>
      <c r="AZ157" s="8"/>
      <c r="BA157" s="8"/>
      <c r="BB157" s="8"/>
      <c r="BC157" s="8"/>
      <c r="BD157" s="8"/>
      <c r="BE157" s="8"/>
      <c r="BF157" s="8"/>
      <c r="BG157" s="8"/>
      <c r="BH157" s="8"/>
      <c r="BI157" s="8"/>
      <c r="BJ157" s="8"/>
      <c r="BK157" s="8"/>
      <c r="BL157" s="8"/>
      <c r="BM157" s="8"/>
      <c r="BN157" s="8">
        <f t="shared" si="8"/>
        <v>1</v>
      </c>
      <c r="BO157" s="24">
        <f t="shared" si="9"/>
        <v>0</v>
      </c>
      <c r="BP157" s="23"/>
      <c r="BQ157" s="23"/>
    </row>
    <row r="158" spans="1:69" ht="15.5">
      <c r="A158" s="3" t="s">
        <v>522</v>
      </c>
      <c r="B158" s="3" t="s">
        <v>523</v>
      </c>
      <c r="C158" s="8">
        <v>1</v>
      </c>
      <c r="D158" s="8"/>
      <c r="E158" s="21"/>
      <c r="F158" s="21"/>
      <c r="G158" s="8"/>
      <c r="H158" s="8"/>
      <c r="I158" s="8"/>
      <c r="J158" s="8"/>
      <c r="K158" s="8">
        <v>1</v>
      </c>
      <c r="L158" s="8"/>
      <c r="M158" s="8"/>
      <c r="N158" s="21"/>
      <c r="O158" s="8"/>
      <c r="P158" s="8"/>
      <c r="Q158" s="8"/>
      <c r="R158" s="8"/>
      <c r="S158" s="8"/>
      <c r="T158" s="21"/>
      <c r="U158" s="8"/>
      <c r="V158" s="8"/>
      <c r="W158" s="8"/>
      <c r="X158" s="8"/>
      <c r="Y158" s="8"/>
      <c r="Z158" s="8"/>
      <c r="AA158" s="8"/>
      <c r="AB158" s="8"/>
      <c r="AC158" s="8">
        <v>1</v>
      </c>
      <c r="AD158" s="8"/>
      <c r="AE158" s="8"/>
      <c r="AF158" s="8"/>
      <c r="AG158" s="8"/>
      <c r="AH158" s="8"/>
      <c r="AI158" s="8"/>
      <c r="AJ158" s="8"/>
      <c r="AK158" s="8"/>
      <c r="AL158" s="8"/>
      <c r="AM158" s="21"/>
      <c r="AN158" s="8"/>
      <c r="AO158" s="8"/>
      <c r="AP158" s="8"/>
      <c r="AQ158" s="8"/>
      <c r="AR158" s="8"/>
      <c r="AS158" s="8">
        <v>-2</v>
      </c>
      <c r="AT158" s="8"/>
      <c r="AU158" s="8">
        <f t="shared" si="0"/>
        <v>1</v>
      </c>
      <c r="AV158" s="8"/>
      <c r="AW158" s="8"/>
      <c r="AX158" s="8"/>
      <c r="AY158" s="8"/>
      <c r="AZ158" s="8">
        <v>1</v>
      </c>
      <c r="BA158" s="8"/>
      <c r="BB158" s="8"/>
      <c r="BC158" s="8"/>
      <c r="BD158" s="8"/>
      <c r="BE158" s="8"/>
      <c r="BF158" s="8"/>
      <c r="BG158" s="8"/>
      <c r="BH158" s="8"/>
      <c r="BI158" s="8"/>
      <c r="BJ158" s="8"/>
      <c r="BK158" s="8"/>
      <c r="BL158" s="8"/>
      <c r="BM158" s="8"/>
      <c r="BN158" s="8">
        <f t="shared" si="8"/>
        <v>1</v>
      </c>
      <c r="BO158" s="24">
        <f t="shared" si="9"/>
        <v>0</v>
      </c>
      <c r="BP158" s="23"/>
      <c r="BQ158" s="23"/>
    </row>
    <row r="159" spans="1:69" ht="15.5">
      <c r="A159" s="3" t="s">
        <v>524</v>
      </c>
      <c r="B159" s="3" t="s">
        <v>525</v>
      </c>
      <c r="C159" s="8">
        <v>1</v>
      </c>
      <c r="D159" s="8"/>
      <c r="E159" s="21"/>
      <c r="F159" s="21"/>
      <c r="G159" s="8"/>
      <c r="H159" s="8"/>
      <c r="I159" s="8"/>
      <c r="J159" s="8">
        <v>1</v>
      </c>
      <c r="K159" s="8">
        <v>1</v>
      </c>
      <c r="L159" s="8"/>
      <c r="M159" s="8"/>
      <c r="N159" s="21"/>
      <c r="O159" s="8"/>
      <c r="P159" s="8"/>
      <c r="Q159" s="8"/>
      <c r="R159" s="8"/>
      <c r="S159" s="8">
        <v>1</v>
      </c>
      <c r="T159" s="21"/>
      <c r="U159" s="8"/>
      <c r="V159" s="8"/>
      <c r="W159" s="8">
        <v>1</v>
      </c>
      <c r="X159" s="8"/>
      <c r="Y159" s="8"/>
      <c r="Z159" s="8"/>
      <c r="AA159" s="8"/>
      <c r="AB159" s="8"/>
      <c r="AC159" s="8"/>
      <c r="AD159" s="8"/>
      <c r="AE159" s="8"/>
      <c r="AF159" s="8"/>
      <c r="AG159" s="8"/>
      <c r="AH159" s="8"/>
      <c r="AI159" s="8"/>
      <c r="AJ159" s="8"/>
      <c r="AK159" s="8"/>
      <c r="AL159" s="8"/>
      <c r="AM159" s="21"/>
      <c r="AN159" s="8"/>
      <c r="AO159" s="8"/>
      <c r="AP159" s="8"/>
      <c r="AQ159" s="8"/>
      <c r="AR159" s="8"/>
      <c r="AS159" s="8"/>
      <c r="AT159" s="8"/>
      <c r="AU159" s="8">
        <f t="shared" si="0"/>
        <v>5</v>
      </c>
      <c r="AV159" s="8">
        <v>3</v>
      </c>
      <c r="AW159" s="8"/>
      <c r="AX159" s="8">
        <v>1</v>
      </c>
      <c r="AY159" s="8"/>
      <c r="AZ159" s="8">
        <v>1</v>
      </c>
      <c r="BA159" s="8"/>
      <c r="BB159" s="8"/>
      <c r="BC159" s="8"/>
      <c r="BD159" s="8"/>
      <c r="BE159" s="8"/>
      <c r="BF159" s="8"/>
      <c r="BG159" s="8"/>
      <c r="BH159" s="8"/>
      <c r="BI159" s="8"/>
      <c r="BJ159" s="8"/>
      <c r="BK159" s="8"/>
      <c r="BL159" s="8"/>
      <c r="BM159" s="8"/>
      <c r="BN159" s="8">
        <f t="shared" si="8"/>
        <v>5</v>
      </c>
      <c r="BO159" s="24">
        <f t="shared" si="9"/>
        <v>0</v>
      </c>
      <c r="BP159" s="23"/>
      <c r="BQ159" s="23"/>
    </row>
    <row r="160" spans="1:69" ht="15.5">
      <c r="A160" s="3" t="s">
        <v>526</v>
      </c>
      <c r="B160" s="3" t="s">
        <v>527</v>
      </c>
      <c r="C160" s="8">
        <v>1</v>
      </c>
      <c r="D160" s="8"/>
      <c r="E160" s="21"/>
      <c r="F160" s="21"/>
      <c r="G160" s="8"/>
      <c r="H160" s="8"/>
      <c r="I160" s="8"/>
      <c r="J160" s="8">
        <v>1</v>
      </c>
      <c r="K160" s="8">
        <v>1</v>
      </c>
      <c r="L160" s="8"/>
      <c r="M160" s="8"/>
      <c r="N160" s="21"/>
      <c r="O160" s="8">
        <v>1</v>
      </c>
      <c r="P160" s="8"/>
      <c r="Q160" s="8"/>
      <c r="R160" s="8"/>
      <c r="S160" s="8"/>
      <c r="T160" s="21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  <c r="AH160" s="8"/>
      <c r="AI160" s="8"/>
      <c r="AJ160" s="8"/>
      <c r="AK160" s="8"/>
      <c r="AL160" s="8"/>
      <c r="AM160" s="21"/>
      <c r="AN160" s="8"/>
      <c r="AO160" s="8"/>
      <c r="AP160" s="8"/>
      <c r="AQ160" s="8"/>
      <c r="AR160" s="8"/>
      <c r="AS160" s="8">
        <v>-3</v>
      </c>
      <c r="AT160" s="8"/>
      <c r="AU160" s="8">
        <f t="shared" si="0"/>
        <v>1</v>
      </c>
      <c r="AV160" s="8">
        <v>1</v>
      </c>
      <c r="AW160" s="8"/>
      <c r="AX160" s="8"/>
      <c r="AY160" s="8"/>
      <c r="AZ160" s="8"/>
      <c r="BA160" s="8"/>
      <c r="BB160" s="8"/>
      <c r="BC160" s="8"/>
      <c r="BD160" s="8"/>
      <c r="BE160" s="8"/>
      <c r="BF160" s="8"/>
      <c r="BG160" s="8"/>
      <c r="BH160" s="8"/>
      <c r="BI160" s="8"/>
      <c r="BJ160" s="8"/>
      <c r="BK160" s="8"/>
      <c r="BL160" s="8"/>
      <c r="BM160" s="8"/>
      <c r="BN160" s="8">
        <f t="shared" si="8"/>
        <v>1</v>
      </c>
      <c r="BO160" s="24">
        <f t="shared" si="9"/>
        <v>0</v>
      </c>
      <c r="BP160" s="23"/>
      <c r="BQ160" s="23"/>
    </row>
    <row r="161" spans="1:69" ht="15.5">
      <c r="A161" s="3" t="s">
        <v>528</v>
      </c>
      <c r="B161" s="3" t="s">
        <v>529</v>
      </c>
      <c r="C161" s="8">
        <v>1</v>
      </c>
      <c r="D161" s="8"/>
      <c r="E161" s="21"/>
      <c r="F161" s="21"/>
      <c r="G161" s="8"/>
      <c r="H161" s="8"/>
      <c r="I161" s="8"/>
      <c r="J161" s="8"/>
      <c r="K161" s="8">
        <v>1</v>
      </c>
      <c r="L161" s="8"/>
      <c r="M161" s="8"/>
      <c r="N161" s="21"/>
      <c r="O161" s="8"/>
      <c r="P161" s="8"/>
      <c r="Q161" s="8"/>
      <c r="R161" s="8"/>
      <c r="S161" s="8"/>
      <c r="T161" s="21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>
        <v>1</v>
      </c>
      <c r="AF161" s="8"/>
      <c r="AG161" s="8"/>
      <c r="AH161" s="8"/>
      <c r="AI161" s="8"/>
      <c r="AJ161" s="8"/>
      <c r="AK161" s="8"/>
      <c r="AL161" s="8"/>
      <c r="AM161" s="21"/>
      <c r="AN161" s="8"/>
      <c r="AO161" s="8"/>
      <c r="AP161" s="8"/>
      <c r="AQ161" s="8"/>
      <c r="AR161" s="8"/>
      <c r="AS161" s="8">
        <v>-1</v>
      </c>
      <c r="AT161" s="8"/>
      <c r="AU161" s="8">
        <f t="shared" si="0"/>
        <v>2</v>
      </c>
      <c r="AV161" s="8">
        <v>1</v>
      </c>
      <c r="AW161" s="8"/>
      <c r="AX161" s="8">
        <v>1</v>
      </c>
      <c r="AY161" s="8"/>
      <c r="AZ161" s="8"/>
      <c r="BA161" s="8"/>
      <c r="BB161" s="8"/>
      <c r="BC161" s="8"/>
      <c r="BD161" s="8"/>
      <c r="BE161" s="8"/>
      <c r="BF161" s="8"/>
      <c r="BG161" s="8"/>
      <c r="BH161" s="8"/>
      <c r="BI161" s="8"/>
      <c r="BJ161" s="8"/>
      <c r="BK161" s="8"/>
      <c r="BL161" s="8"/>
      <c r="BM161" s="8"/>
      <c r="BN161" s="8">
        <f t="shared" si="8"/>
        <v>2</v>
      </c>
      <c r="BO161" s="24">
        <f t="shared" si="9"/>
        <v>0</v>
      </c>
      <c r="BP161" s="23"/>
      <c r="BQ161" s="23"/>
    </row>
    <row r="162" spans="1:69" ht="15.5">
      <c r="A162" s="3" t="s">
        <v>530</v>
      </c>
      <c r="B162" s="3" t="s">
        <v>531</v>
      </c>
      <c r="C162" s="8">
        <v>1</v>
      </c>
      <c r="D162" s="8"/>
      <c r="E162" s="21"/>
      <c r="F162" s="21"/>
      <c r="G162" s="8"/>
      <c r="H162" s="8"/>
      <c r="I162" s="8"/>
      <c r="J162" s="8"/>
      <c r="K162" s="8"/>
      <c r="L162" s="8"/>
      <c r="M162" s="8"/>
      <c r="N162" s="21"/>
      <c r="O162" s="8"/>
      <c r="P162" s="8"/>
      <c r="Q162" s="8"/>
      <c r="R162" s="8"/>
      <c r="S162" s="8"/>
      <c r="T162" s="21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  <c r="AH162" s="8"/>
      <c r="AI162" s="8"/>
      <c r="AJ162" s="8"/>
      <c r="AK162" s="8"/>
      <c r="AL162" s="8"/>
      <c r="AM162" s="21"/>
      <c r="AN162" s="8"/>
      <c r="AO162" s="8"/>
      <c r="AP162" s="8"/>
      <c r="AQ162" s="8"/>
      <c r="AR162" s="8"/>
      <c r="AS162" s="8"/>
      <c r="AT162" s="8"/>
      <c r="AU162" s="8">
        <f t="shared" si="0"/>
        <v>1</v>
      </c>
      <c r="AV162" s="8">
        <v>1</v>
      </c>
      <c r="AW162" s="8"/>
      <c r="AX162" s="8"/>
      <c r="AY162" s="8"/>
      <c r="AZ162" s="8"/>
      <c r="BA162" s="8"/>
      <c r="BB162" s="8"/>
      <c r="BC162" s="8"/>
      <c r="BD162" s="8"/>
      <c r="BE162" s="8"/>
      <c r="BF162" s="8"/>
      <c r="BG162" s="8"/>
      <c r="BH162" s="8"/>
      <c r="BI162" s="8"/>
      <c r="BJ162" s="8"/>
      <c r="BK162" s="8"/>
      <c r="BL162" s="8"/>
      <c r="BM162" s="8"/>
      <c r="BN162" s="8">
        <f t="shared" si="8"/>
        <v>1</v>
      </c>
      <c r="BO162" s="24">
        <f t="shared" si="9"/>
        <v>0</v>
      </c>
      <c r="BP162" s="23"/>
      <c r="BQ162" s="23"/>
    </row>
    <row r="163" spans="1:69" ht="15.5">
      <c r="A163" s="3" t="s">
        <v>532</v>
      </c>
      <c r="B163" s="3" t="s">
        <v>533</v>
      </c>
      <c r="C163" s="8">
        <v>1</v>
      </c>
      <c r="D163" s="8"/>
      <c r="E163" s="21"/>
      <c r="F163" s="21"/>
      <c r="G163" s="8"/>
      <c r="H163" s="8"/>
      <c r="I163" s="8"/>
      <c r="J163" s="8"/>
      <c r="K163" s="8"/>
      <c r="L163" s="8"/>
      <c r="M163" s="8"/>
      <c r="N163" s="21"/>
      <c r="O163" s="8"/>
      <c r="P163" s="8"/>
      <c r="Q163" s="8"/>
      <c r="R163" s="8"/>
      <c r="S163" s="8"/>
      <c r="T163" s="21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  <c r="AH163" s="8"/>
      <c r="AI163" s="8"/>
      <c r="AJ163" s="8"/>
      <c r="AK163" s="8"/>
      <c r="AL163" s="8"/>
      <c r="AM163" s="21"/>
      <c r="AN163" s="8"/>
      <c r="AO163" s="8"/>
      <c r="AP163" s="8"/>
      <c r="AQ163" s="8"/>
      <c r="AR163" s="8"/>
      <c r="AS163" s="8"/>
      <c r="AT163" s="8"/>
      <c r="AU163" s="8">
        <f t="shared" si="0"/>
        <v>1</v>
      </c>
      <c r="AV163" s="8">
        <v>1</v>
      </c>
      <c r="AW163" s="8"/>
      <c r="AX163" s="8"/>
      <c r="AY163" s="8"/>
      <c r="AZ163" s="8"/>
      <c r="BA163" s="8"/>
      <c r="BB163" s="8"/>
      <c r="BC163" s="8"/>
      <c r="BD163" s="8"/>
      <c r="BE163" s="8"/>
      <c r="BF163" s="8"/>
      <c r="BG163" s="8"/>
      <c r="BH163" s="8"/>
      <c r="BI163" s="8"/>
      <c r="BJ163" s="8"/>
      <c r="BK163" s="8"/>
      <c r="BL163" s="8"/>
      <c r="BM163" s="8"/>
      <c r="BN163" s="8">
        <f t="shared" si="8"/>
        <v>1</v>
      </c>
      <c r="BO163" s="24">
        <f t="shared" si="9"/>
        <v>0</v>
      </c>
      <c r="BP163" s="23"/>
      <c r="BQ163" s="23"/>
    </row>
    <row r="164" spans="1:69" ht="15.5">
      <c r="A164" s="3" t="s">
        <v>534</v>
      </c>
      <c r="B164" s="3" t="s">
        <v>535</v>
      </c>
      <c r="C164" s="8">
        <v>1</v>
      </c>
      <c r="D164" s="8"/>
      <c r="E164" s="21"/>
      <c r="F164" s="21"/>
      <c r="G164" s="8"/>
      <c r="H164" s="8"/>
      <c r="I164" s="8"/>
      <c r="J164" s="8">
        <v>2</v>
      </c>
      <c r="K164" s="8">
        <v>1</v>
      </c>
      <c r="L164" s="8"/>
      <c r="M164" s="8"/>
      <c r="N164" s="21"/>
      <c r="O164" s="8"/>
      <c r="P164" s="8"/>
      <c r="Q164" s="8"/>
      <c r="R164" s="8">
        <v>1</v>
      </c>
      <c r="S164" s="8"/>
      <c r="T164" s="21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8"/>
      <c r="AI164" s="8"/>
      <c r="AJ164" s="8"/>
      <c r="AK164" s="8"/>
      <c r="AL164" s="8"/>
      <c r="AM164" s="21"/>
      <c r="AN164" s="8"/>
      <c r="AO164" s="8"/>
      <c r="AP164" s="8"/>
      <c r="AQ164" s="8"/>
      <c r="AR164" s="8"/>
      <c r="AS164" s="8"/>
      <c r="AT164" s="8"/>
      <c r="AU164" s="8">
        <f t="shared" si="0"/>
        <v>5</v>
      </c>
      <c r="AV164" s="8">
        <v>5</v>
      </c>
      <c r="AW164" s="8"/>
      <c r="AX164" s="8"/>
      <c r="AY164" s="8"/>
      <c r="AZ164" s="8"/>
      <c r="BA164" s="8"/>
      <c r="BB164" s="8"/>
      <c r="BC164" s="8"/>
      <c r="BD164" s="8"/>
      <c r="BE164" s="8"/>
      <c r="BF164" s="8"/>
      <c r="BG164" s="8"/>
      <c r="BH164" s="8"/>
      <c r="BI164" s="8"/>
      <c r="BJ164" s="8"/>
      <c r="BK164" s="8"/>
      <c r="BL164" s="8"/>
      <c r="BM164" s="8"/>
      <c r="BN164" s="8">
        <f t="shared" si="8"/>
        <v>5</v>
      </c>
      <c r="BO164" s="24">
        <f t="shared" si="9"/>
        <v>0</v>
      </c>
      <c r="BP164" s="23"/>
      <c r="BQ164" s="23"/>
    </row>
    <row r="165" spans="1:69" ht="15.5">
      <c r="A165" s="3" t="s">
        <v>536</v>
      </c>
      <c r="B165" s="3" t="s">
        <v>537</v>
      </c>
      <c r="C165" s="8">
        <v>1</v>
      </c>
      <c r="D165" s="8"/>
      <c r="E165" s="21"/>
      <c r="F165" s="21"/>
      <c r="G165" s="8"/>
      <c r="H165" s="8"/>
      <c r="I165" s="8"/>
      <c r="J165" s="8">
        <v>2</v>
      </c>
      <c r="K165" s="8">
        <v>1</v>
      </c>
      <c r="L165" s="8"/>
      <c r="M165" s="8"/>
      <c r="N165" s="21"/>
      <c r="O165" s="8">
        <v>1</v>
      </c>
      <c r="P165" s="8"/>
      <c r="Q165" s="8"/>
      <c r="R165" s="8"/>
      <c r="S165" s="8"/>
      <c r="T165" s="21"/>
      <c r="U165" s="8">
        <v>1</v>
      </c>
      <c r="V165" s="8"/>
      <c r="W165" s="8">
        <v>1</v>
      </c>
      <c r="X165" s="8"/>
      <c r="Y165" s="8"/>
      <c r="Z165" s="8"/>
      <c r="AA165" s="8"/>
      <c r="AB165" s="8"/>
      <c r="AC165" s="8"/>
      <c r="AD165" s="8"/>
      <c r="AE165" s="8"/>
      <c r="AF165" s="8"/>
      <c r="AG165" s="8">
        <v>1</v>
      </c>
      <c r="AH165" s="8"/>
      <c r="AI165" s="8"/>
      <c r="AJ165" s="8"/>
      <c r="AK165" s="8"/>
      <c r="AL165" s="8"/>
      <c r="AM165" s="21"/>
      <c r="AN165" s="8"/>
      <c r="AO165" s="8"/>
      <c r="AP165" s="8"/>
      <c r="AQ165" s="8"/>
      <c r="AR165" s="8"/>
      <c r="AS165" s="8">
        <v>-2</v>
      </c>
      <c r="AT165" s="8"/>
      <c r="AU165" s="8">
        <f t="shared" si="0"/>
        <v>6</v>
      </c>
      <c r="AV165" s="8">
        <v>2</v>
      </c>
      <c r="AW165" s="8">
        <v>2</v>
      </c>
      <c r="AX165" s="8">
        <v>1</v>
      </c>
      <c r="AY165" s="8">
        <v>1</v>
      </c>
      <c r="AZ165" s="8"/>
      <c r="BA165" s="8"/>
      <c r="BB165" s="8"/>
      <c r="BC165" s="8"/>
      <c r="BD165" s="8"/>
      <c r="BE165" s="8"/>
      <c r="BF165" s="8"/>
      <c r="BG165" s="8"/>
      <c r="BH165" s="8"/>
      <c r="BI165" s="8"/>
      <c r="BJ165" s="8"/>
      <c r="BK165" s="8"/>
      <c r="BL165" s="8"/>
      <c r="BM165" s="8"/>
      <c r="BN165" s="8">
        <f t="shared" si="8"/>
        <v>6</v>
      </c>
      <c r="BO165" s="24">
        <f t="shared" si="9"/>
        <v>0</v>
      </c>
      <c r="BP165" s="23"/>
      <c r="BQ165" s="23"/>
    </row>
    <row r="166" spans="1:69" ht="15.5">
      <c r="A166" s="3" t="s">
        <v>538</v>
      </c>
      <c r="B166" s="3" t="s">
        <v>539</v>
      </c>
      <c r="C166" s="8">
        <v>1</v>
      </c>
      <c r="D166" s="8">
        <v>1</v>
      </c>
      <c r="E166" s="21"/>
      <c r="F166" s="21"/>
      <c r="G166" s="8"/>
      <c r="H166" s="8"/>
      <c r="I166" s="8"/>
      <c r="J166" s="8"/>
      <c r="K166" s="8"/>
      <c r="L166" s="8"/>
      <c r="M166" s="8"/>
      <c r="N166" s="21"/>
      <c r="O166" s="8"/>
      <c r="P166" s="8"/>
      <c r="Q166" s="8"/>
      <c r="R166" s="8"/>
      <c r="S166" s="8"/>
      <c r="T166" s="21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  <c r="AH166" s="8"/>
      <c r="AI166" s="8"/>
      <c r="AJ166" s="8"/>
      <c r="AK166" s="8"/>
      <c r="AL166" s="8"/>
      <c r="AM166" s="21"/>
      <c r="AN166" s="8"/>
      <c r="AO166" s="8"/>
      <c r="AP166" s="8"/>
      <c r="AQ166" s="8"/>
      <c r="AR166" s="8"/>
      <c r="AS166" s="8"/>
      <c r="AT166" s="8"/>
      <c r="AU166" s="8">
        <f t="shared" si="0"/>
        <v>2</v>
      </c>
      <c r="AV166" s="8">
        <v>2</v>
      </c>
      <c r="AW166" s="8"/>
      <c r="AX166" s="8"/>
      <c r="AY166" s="8"/>
      <c r="AZ166" s="8"/>
      <c r="BA166" s="8"/>
      <c r="BB166" s="8"/>
      <c r="BC166" s="8"/>
      <c r="BD166" s="8"/>
      <c r="BE166" s="8"/>
      <c r="BF166" s="8"/>
      <c r="BG166" s="8"/>
      <c r="BH166" s="8"/>
      <c r="BI166" s="8"/>
      <c r="BJ166" s="8"/>
      <c r="BK166" s="8"/>
      <c r="BL166" s="8"/>
      <c r="BM166" s="8"/>
      <c r="BN166" s="8">
        <f t="shared" si="8"/>
        <v>2</v>
      </c>
      <c r="BO166" s="24">
        <f t="shared" si="9"/>
        <v>0</v>
      </c>
      <c r="BP166" s="23"/>
      <c r="BQ166" s="23"/>
    </row>
    <row r="167" spans="1:69" ht="15.5">
      <c r="A167" s="3" t="s">
        <v>540</v>
      </c>
      <c r="B167" s="3" t="s">
        <v>541</v>
      </c>
      <c r="C167" s="8">
        <v>1</v>
      </c>
      <c r="D167" s="8"/>
      <c r="E167" s="21"/>
      <c r="F167" s="21"/>
      <c r="G167" s="8"/>
      <c r="H167" s="8"/>
      <c r="I167" s="8"/>
      <c r="J167" s="8"/>
      <c r="K167" s="8"/>
      <c r="L167" s="8"/>
      <c r="M167" s="8"/>
      <c r="N167" s="21"/>
      <c r="O167" s="8"/>
      <c r="P167" s="8"/>
      <c r="Q167" s="8"/>
      <c r="R167" s="8"/>
      <c r="S167" s="8"/>
      <c r="T167" s="21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>
        <v>1</v>
      </c>
      <c r="AH167" s="8"/>
      <c r="AI167" s="8"/>
      <c r="AJ167" s="8"/>
      <c r="AK167" s="8"/>
      <c r="AL167" s="8"/>
      <c r="AM167" s="21"/>
      <c r="AN167" s="8"/>
      <c r="AO167" s="8"/>
      <c r="AP167" s="8"/>
      <c r="AQ167" s="8"/>
      <c r="AR167" s="8"/>
      <c r="AS167" s="8"/>
      <c r="AT167" s="8"/>
      <c r="AU167" s="8">
        <f t="shared" si="0"/>
        <v>2</v>
      </c>
      <c r="AV167" s="8">
        <v>1</v>
      </c>
      <c r="AW167" s="8"/>
      <c r="AX167" s="8"/>
      <c r="AY167" s="8"/>
      <c r="AZ167" s="8"/>
      <c r="BA167" s="8"/>
      <c r="BB167" s="8"/>
      <c r="BC167" s="8"/>
      <c r="BD167" s="8">
        <v>1</v>
      </c>
      <c r="BE167" s="8"/>
      <c r="BF167" s="8"/>
      <c r="BG167" s="8"/>
      <c r="BH167" s="8"/>
      <c r="BI167" s="8"/>
      <c r="BJ167" s="8"/>
      <c r="BK167" s="8"/>
      <c r="BL167" s="8"/>
      <c r="BM167" s="8"/>
      <c r="BN167" s="8">
        <f t="shared" si="8"/>
        <v>2</v>
      </c>
      <c r="BO167" s="24">
        <f t="shared" si="9"/>
        <v>0</v>
      </c>
      <c r="BP167" s="23"/>
      <c r="BQ167" s="23"/>
    </row>
    <row r="168" spans="1:69" ht="15.5">
      <c r="A168" s="3" t="s">
        <v>542</v>
      </c>
      <c r="B168" s="3" t="s">
        <v>543</v>
      </c>
      <c r="C168" s="8">
        <v>1</v>
      </c>
      <c r="D168" s="8"/>
      <c r="E168" s="21"/>
      <c r="F168" s="21"/>
      <c r="G168" s="8"/>
      <c r="H168" s="8"/>
      <c r="I168" s="8"/>
      <c r="J168" s="8"/>
      <c r="K168" s="8"/>
      <c r="L168" s="8"/>
      <c r="M168" s="8"/>
      <c r="N168" s="21"/>
      <c r="O168" s="8"/>
      <c r="P168" s="8"/>
      <c r="Q168" s="8"/>
      <c r="R168" s="8">
        <v>1</v>
      </c>
      <c r="S168" s="8"/>
      <c r="T168" s="21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  <c r="AH168" s="8"/>
      <c r="AI168" s="8"/>
      <c r="AJ168" s="8"/>
      <c r="AK168" s="8"/>
      <c r="AL168" s="8"/>
      <c r="AM168" s="21"/>
      <c r="AN168" s="8"/>
      <c r="AO168" s="8"/>
      <c r="AP168" s="8"/>
      <c r="AQ168" s="8"/>
      <c r="AR168" s="8"/>
      <c r="AS168" s="8"/>
      <c r="AT168" s="8"/>
      <c r="AU168" s="8">
        <f t="shared" si="0"/>
        <v>2</v>
      </c>
      <c r="AV168" s="8">
        <v>1</v>
      </c>
      <c r="AW168" s="8"/>
      <c r="AX168" s="8"/>
      <c r="AY168" s="8"/>
      <c r="AZ168" s="8"/>
      <c r="BA168" s="8">
        <v>1</v>
      </c>
      <c r="BB168" s="8"/>
      <c r="BC168" s="8"/>
      <c r="BD168" s="8"/>
      <c r="BE168" s="8"/>
      <c r="BF168" s="8"/>
      <c r="BG168" s="8"/>
      <c r="BH168" s="8"/>
      <c r="BI168" s="8"/>
      <c r="BJ168" s="8"/>
      <c r="BK168" s="8"/>
      <c r="BL168" s="8"/>
      <c r="BM168" s="8"/>
      <c r="BN168" s="8">
        <f t="shared" si="8"/>
        <v>2</v>
      </c>
      <c r="BO168" s="24">
        <f t="shared" si="9"/>
        <v>0</v>
      </c>
      <c r="BP168" s="23"/>
      <c r="BQ168" s="23"/>
    </row>
    <row r="169" spans="1:69" ht="15.5">
      <c r="A169" s="3" t="s">
        <v>544</v>
      </c>
      <c r="B169" s="3" t="s">
        <v>545</v>
      </c>
      <c r="C169" s="8"/>
      <c r="D169" s="8"/>
      <c r="E169" s="21"/>
      <c r="F169" s="21"/>
      <c r="G169" s="8"/>
      <c r="H169" s="8"/>
      <c r="I169" s="8"/>
      <c r="J169" s="8"/>
      <c r="K169" s="8">
        <v>1</v>
      </c>
      <c r="L169" s="8"/>
      <c r="M169" s="8"/>
      <c r="N169" s="21"/>
      <c r="O169" s="8"/>
      <c r="P169" s="8"/>
      <c r="Q169" s="8"/>
      <c r="R169" s="8"/>
      <c r="S169" s="8"/>
      <c r="T169" s="21"/>
      <c r="U169" s="8">
        <v>1</v>
      </c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  <c r="AH169" s="8"/>
      <c r="AI169" s="8"/>
      <c r="AJ169" s="8"/>
      <c r="AK169" s="8"/>
      <c r="AL169" s="8"/>
      <c r="AM169" s="21"/>
      <c r="AN169" s="8"/>
      <c r="AO169" s="8"/>
      <c r="AP169" s="8"/>
      <c r="AQ169" s="8"/>
      <c r="AR169" s="8"/>
      <c r="AS169" s="8"/>
      <c r="AT169" s="8"/>
      <c r="AU169" s="8">
        <f t="shared" si="0"/>
        <v>2</v>
      </c>
      <c r="AV169" s="8"/>
      <c r="AW169" s="8">
        <v>1</v>
      </c>
      <c r="AX169" s="8"/>
      <c r="AY169" s="8"/>
      <c r="AZ169" s="8"/>
      <c r="BA169" s="8">
        <v>1</v>
      </c>
      <c r="BB169" s="8"/>
      <c r="BC169" s="8"/>
      <c r="BD169" s="8"/>
      <c r="BE169" s="8"/>
      <c r="BF169" s="8"/>
      <c r="BG169" s="8"/>
      <c r="BH169" s="8"/>
      <c r="BI169" s="8"/>
      <c r="BJ169" s="8"/>
      <c r="BK169" s="8"/>
      <c r="BL169" s="8"/>
      <c r="BM169" s="8"/>
      <c r="BN169" s="8">
        <f t="shared" si="8"/>
        <v>2</v>
      </c>
      <c r="BO169" s="24">
        <f t="shared" si="9"/>
        <v>0</v>
      </c>
      <c r="BP169" s="23"/>
      <c r="BQ169" s="23"/>
    </row>
    <row r="170" spans="1:69" ht="15.5">
      <c r="A170" s="3" t="s">
        <v>546</v>
      </c>
      <c r="B170" s="3" t="s">
        <v>547</v>
      </c>
      <c r="C170" s="8"/>
      <c r="D170" s="8"/>
      <c r="E170" s="21"/>
      <c r="F170" s="21"/>
      <c r="G170" s="8"/>
      <c r="H170" s="8"/>
      <c r="I170" s="8"/>
      <c r="J170" s="8"/>
      <c r="K170" s="8">
        <v>1</v>
      </c>
      <c r="L170" s="8"/>
      <c r="M170" s="8"/>
      <c r="N170" s="21"/>
      <c r="O170" s="8"/>
      <c r="P170" s="8"/>
      <c r="Q170" s="8"/>
      <c r="R170" s="8"/>
      <c r="S170" s="8">
        <v>1</v>
      </c>
      <c r="T170" s="21"/>
      <c r="U170" s="8"/>
      <c r="V170" s="8"/>
      <c r="W170" s="8">
        <v>1</v>
      </c>
      <c r="X170" s="8"/>
      <c r="Y170" s="8"/>
      <c r="Z170" s="8"/>
      <c r="AA170" s="8"/>
      <c r="AB170" s="8"/>
      <c r="AC170" s="8"/>
      <c r="AD170" s="8"/>
      <c r="AE170" s="8"/>
      <c r="AF170" s="8"/>
      <c r="AG170" s="8"/>
      <c r="AH170" s="8"/>
      <c r="AI170" s="8"/>
      <c r="AJ170" s="8"/>
      <c r="AK170" s="8"/>
      <c r="AL170" s="8"/>
      <c r="AM170" s="21"/>
      <c r="AN170" s="8"/>
      <c r="AO170" s="8"/>
      <c r="AP170" s="8"/>
      <c r="AQ170" s="8"/>
      <c r="AR170" s="8"/>
      <c r="AS170" s="8"/>
      <c r="AT170" s="8"/>
      <c r="AU170" s="8">
        <f t="shared" si="0"/>
        <v>3</v>
      </c>
      <c r="AV170" s="8"/>
      <c r="AW170" s="8"/>
      <c r="AX170" s="8">
        <v>1</v>
      </c>
      <c r="AY170" s="8"/>
      <c r="AZ170" s="8"/>
      <c r="BA170" s="8">
        <v>1</v>
      </c>
      <c r="BB170" s="8">
        <v>1</v>
      </c>
      <c r="BC170" s="8"/>
      <c r="BD170" s="8"/>
      <c r="BE170" s="8"/>
      <c r="BF170" s="8"/>
      <c r="BG170" s="8"/>
      <c r="BH170" s="8"/>
      <c r="BI170" s="8"/>
      <c r="BJ170" s="8"/>
      <c r="BK170" s="8"/>
      <c r="BL170" s="8"/>
      <c r="BM170" s="8"/>
      <c r="BN170" s="8">
        <f t="shared" si="8"/>
        <v>3</v>
      </c>
      <c r="BO170" s="24">
        <f t="shared" si="9"/>
        <v>0</v>
      </c>
      <c r="BP170" s="23"/>
      <c r="BQ170" s="23"/>
    </row>
    <row r="171" spans="1:69" ht="15.5">
      <c r="A171" s="3" t="s">
        <v>548</v>
      </c>
      <c r="B171" s="3" t="s">
        <v>549</v>
      </c>
      <c r="C171" s="8"/>
      <c r="D171" s="8"/>
      <c r="E171" s="21"/>
      <c r="F171" s="21"/>
      <c r="G171" s="8"/>
      <c r="H171" s="8"/>
      <c r="I171" s="8"/>
      <c r="J171" s="8"/>
      <c r="K171" s="8">
        <v>1</v>
      </c>
      <c r="L171" s="8"/>
      <c r="M171" s="8"/>
      <c r="N171" s="21"/>
      <c r="O171" s="8"/>
      <c r="P171" s="8"/>
      <c r="Q171" s="8"/>
      <c r="R171" s="8"/>
      <c r="S171" s="8"/>
      <c r="T171" s="21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  <c r="AH171" s="8"/>
      <c r="AI171" s="8"/>
      <c r="AJ171" s="8"/>
      <c r="AK171" s="8"/>
      <c r="AL171" s="8"/>
      <c r="AM171" s="21"/>
      <c r="AN171" s="8"/>
      <c r="AO171" s="8"/>
      <c r="AP171" s="8"/>
      <c r="AQ171" s="8"/>
      <c r="AR171" s="8"/>
      <c r="AS171" s="8">
        <v>-1</v>
      </c>
      <c r="AT171" s="8"/>
      <c r="AU171" s="8">
        <f t="shared" si="0"/>
        <v>0</v>
      </c>
      <c r="AV171" s="8"/>
      <c r="AW171" s="8"/>
      <c r="AX171" s="8"/>
      <c r="AY171" s="8"/>
      <c r="AZ171" s="8"/>
      <c r="BA171" s="8"/>
      <c r="BB171" s="8"/>
      <c r="BC171" s="8"/>
      <c r="BD171" s="8"/>
      <c r="BE171" s="8"/>
      <c r="BF171" s="8"/>
      <c r="BG171" s="8"/>
      <c r="BH171" s="8"/>
      <c r="BI171" s="8"/>
      <c r="BJ171" s="8"/>
      <c r="BK171" s="8"/>
      <c r="BL171" s="8"/>
      <c r="BM171" s="8"/>
      <c r="BN171" s="8">
        <f t="shared" si="8"/>
        <v>0</v>
      </c>
      <c r="BO171" s="24">
        <f t="shared" si="9"/>
        <v>0</v>
      </c>
      <c r="BP171" s="23"/>
      <c r="BQ171" s="23"/>
    </row>
    <row r="172" spans="1:69" ht="15.5">
      <c r="A172" s="3" t="s">
        <v>550</v>
      </c>
      <c r="B172" s="3" t="s">
        <v>551</v>
      </c>
      <c r="C172" s="8"/>
      <c r="D172" s="8"/>
      <c r="E172" s="21"/>
      <c r="F172" s="21"/>
      <c r="G172" s="8"/>
      <c r="H172" s="8"/>
      <c r="I172" s="8"/>
      <c r="J172" s="8"/>
      <c r="K172" s="8">
        <v>1</v>
      </c>
      <c r="L172" s="8"/>
      <c r="M172" s="8"/>
      <c r="N172" s="21"/>
      <c r="O172" s="8"/>
      <c r="P172" s="8"/>
      <c r="Q172" s="8"/>
      <c r="R172" s="8">
        <v>1</v>
      </c>
      <c r="S172" s="8"/>
      <c r="T172" s="21"/>
      <c r="U172" s="8"/>
      <c r="V172" s="8"/>
      <c r="W172" s="8"/>
      <c r="X172" s="8"/>
      <c r="Y172" s="8"/>
      <c r="Z172" s="8"/>
      <c r="AA172" s="8"/>
      <c r="AB172" s="8"/>
      <c r="AC172" s="30">
        <v>1</v>
      </c>
      <c r="AD172" s="8"/>
      <c r="AE172" s="8"/>
      <c r="AF172" s="8"/>
      <c r="AG172" s="8"/>
      <c r="AH172" s="8"/>
      <c r="AI172" s="8"/>
      <c r="AJ172" s="8"/>
      <c r="AK172" s="8"/>
      <c r="AL172" s="8"/>
      <c r="AM172" s="21"/>
      <c r="AN172" s="8"/>
      <c r="AO172" s="8"/>
      <c r="AP172" s="8"/>
      <c r="AQ172" s="8"/>
      <c r="AR172" s="8"/>
      <c r="AS172" s="8"/>
      <c r="AT172" s="8"/>
      <c r="AU172" s="8">
        <f t="shared" si="0"/>
        <v>3</v>
      </c>
      <c r="AV172" s="8">
        <v>2</v>
      </c>
      <c r="AW172" s="8"/>
      <c r="AX172" s="8"/>
      <c r="AY172" s="8"/>
      <c r="AZ172" s="8"/>
      <c r="BA172" s="8"/>
      <c r="BB172" s="8"/>
      <c r="BC172" s="8"/>
      <c r="BD172" s="8"/>
      <c r="BE172" s="8"/>
      <c r="BF172" s="8"/>
      <c r="BG172" s="8"/>
      <c r="BH172" s="8"/>
      <c r="BI172" s="8"/>
      <c r="BJ172" s="8"/>
      <c r="BK172" s="8"/>
      <c r="BL172" s="8"/>
      <c r="BM172" s="8"/>
      <c r="BN172" s="8">
        <f t="shared" si="8"/>
        <v>2</v>
      </c>
      <c r="BO172" s="24">
        <f t="shared" si="9"/>
        <v>1</v>
      </c>
      <c r="BP172" s="23">
        <v>0</v>
      </c>
      <c r="BQ172" s="23"/>
    </row>
    <row r="173" spans="1:69" ht="15.5">
      <c r="A173" s="3" t="s">
        <v>552</v>
      </c>
      <c r="B173" s="3" t="s">
        <v>553</v>
      </c>
      <c r="C173" s="8"/>
      <c r="D173" s="8"/>
      <c r="E173" s="21"/>
      <c r="F173" s="21"/>
      <c r="G173" s="8"/>
      <c r="H173" s="8"/>
      <c r="I173" s="8"/>
      <c r="J173" s="8"/>
      <c r="K173" s="8">
        <v>1</v>
      </c>
      <c r="L173" s="8"/>
      <c r="M173" s="8"/>
      <c r="N173" s="21"/>
      <c r="O173" s="8"/>
      <c r="P173" s="8"/>
      <c r="Q173" s="8"/>
      <c r="R173" s="8"/>
      <c r="S173" s="8"/>
      <c r="T173" s="21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  <c r="AH173" s="8"/>
      <c r="AI173" s="8"/>
      <c r="AJ173" s="8"/>
      <c r="AK173" s="8"/>
      <c r="AL173" s="8"/>
      <c r="AM173" s="21"/>
      <c r="AN173" s="8"/>
      <c r="AO173" s="8"/>
      <c r="AP173" s="8"/>
      <c r="AQ173" s="8"/>
      <c r="AR173" s="8"/>
      <c r="AS173" s="8"/>
      <c r="AT173" s="8"/>
      <c r="AU173" s="8">
        <f t="shared" si="0"/>
        <v>1</v>
      </c>
      <c r="AV173" s="8">
        <v>1</v>
      </c>
      <c r="AW173" s="8"/>
      <c r="AX173" s="8"/>
      <c r="AY173" s="8"/>
      <c r="AZ173" s="8"/>
      <c r="BA173" s="8"/>
      <c r="BB173" s="8"/>
      <c r="BC173" s="8"/>
      <c r="BD173" s="8"/>
      <c r="BE173" s="8"/>
      <c r="BF173" s="8"/>
      <c r="BG173" s="8"/>
      <c r="BH173" s="8"/>
      <c r="BI173" s="8"/>
      <c r="BJ173" s="8"/>
      <c r="BK173" s="8"/>
      <c r="BL173" s="8"/>
      <c r="BM173" s="8"/>
      <c r="BN173" s="8">
        <f t="shared" si="8"/>
        <v>1</v>
      </c>
      <c r="BO173" s="24">
        <f t="shared" si="9"/>
        <v>0</v>
      </c>
      <c r="BP173" s="23"/>
      <c r="BQ173" s="23"/>
    </row>
    <row r="174" spans="1:69" ht="15.5">
      <c r="A174" s="3" t="s">
        <v>554</v>
      </c>
      <c r="B174" s="3" t="s">
        <v>555</v>
      </c>
      <c r="C174" s="8"/>
      <c r="D174" s="8"/>
      <c r="E174" s="21"/>
      <c r="F174" s="21"/>
      <c r="G174" s="8"/>
      <c r="H174" s="8"/>
      <c r="I174" s="8"/>
      <c r="J174" s="8"/>
      <c r="K174" s="8">
        <v>1</v>
      </c>
      <c r="L174" s="8"/>
      <c r="M174" s="8"/>
      <c r="N174" s="21"/>
      <c r="O174" s="8"/>
      <c r="P174" s="8"/>
      <c r="Q174" s="8"/>
      <c r="R174" s="8"/>
      <c r="S174" s="8"/>
      <c r="T174" s="21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  <c r="AG174" s="8"/>
      <c r="AH174" s="8"/>
      <c r="AI174" s="8"/>
      <c r="AJ174" s="8"/>
      <c r="AK174" s="8"/>
      <c r="AL174" s="8"/>
      <c r="AM174" s="21"/>
      <c r="AN174" s="8"/>
      <c r="AO174" s="8"/>
      <c r="AP174" s="8"/>
      <c r="AQ174" s="8"/>
      <c r="AR174" s="8"/>
      <c r="AS174" s="8"/>
      <c r="AT174" s="8"/>
      <c r="AU174" s="8">
        <f t="shared" si="0"/>
        <v>1</v>
      </c>
      <c r="AV174" s="8">
        <v>1</v>
      </c>
      <c r="AW174" s="8"/>
      <c r="AX174" s="8"/>
      <c r="AY174" s="8"/>
      <c r="AZ174" s="8"/>
      <c r="BA174" s="8"/>
      <c r="BB174" s="8"/>
      <c r="BC174" s="8"/>
      <c r="BD174" s="8"/>
      <c r="BE174" s="8"/>
      <c r="BF174" s="8"/>
      <c r="BG174" s="8"/>
      <c r="BH174" s="8"/>
      <c r="BI174" s="8"/>
      <c r="BJ174" s="8"/>
      <c r="BK174" s="8"/>
      <c r="BL174" s="8"/>
      <c r="BM174" s="8"/>
      <c r="BN174" s="8">
        <f t="shared" si="8"/>
        <v>1</v>
      </c>
      <c r="BO174" s="24">
        <f t="shared" si="9"/>
        <v>0</v>
      </c>
      <c r="BP174" s="23"/>
      <c r="BQ174" s="23"/>
    </row>
    <row r="175" spans="1:69" ht="15.5">
      <c r="A175" s="3" t="s">
        <v>556</v>
      </c>
      <c r="B175" s="3" t="s">
        <v>557</v>
      </c>
      <c r="C175" s="8"/>
      <c r="D175" s="8"/>
      <c r="E175" s="21"/>
      <c r="F175" s="21"/>
      <c r="G175" s="8"/>
      <c r="H175" s="8"/>
      <c r="I175" s="8"/>
      <c r="J175" s="8"/>
      <c r="K175" s="8">
        <v>1</v>
      </c>
      <c r="L175" s="8"/>
      <c r="M175" s="8"/>
      <c r="N175" s="21"/>
      <c r="O175" s="8"/>
      <c r="P175" s="8"/>
      <c r="Q175" s="8"/>
      <c r="R175" s="8"/>
      <c r="S175" s="8"/>
      <c r="T175" s="21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8"/>
      <c r="AH175" s="8"/>
      <c r="AI175" s="8"/>
      <c r="AJ175" s="8"/>
      <c r="AK175" s="8"/>
      <c r="AL175" s="8"/>
      <c r="AM175" s="21"/>
      <c r="AN175" s="8"/>
      <c r="AO175" s="8"/>
      <c r="AP175" s="8"/>
      <c r="AQ175" s="8">
        <v>1</v>
      </c>
      <c r="AR175" s="8"/>
      <c r="AS175" s="8"/>
      <c r="AT175" s="8"/>
      <c r="AU175" s="8">
        <f t="shared" si="0"/>
        <v>2</v>
      </c>
      <c r="AV175" s="8"/>
      <c r="AW175" s="8">
        <v>1</v>
      </c>
      <c r="AX175" s="8"/>
      <c r="AY175" s="8"/>
      <c r="AZ175" s="8"/>
      <c r="BA175" s="8"/>
      <c r="BB175" s="8"/>
      <c r="BC175" s="8"/>
      <c r="BD175" s="8"/>
      <c r="BE175" s="8"/>
      <c r="BF175" s="8"/>
      <c r="BG175" s="8"/>
      <c r="BH175" s="8"/>
      <c r="BI175" s="8"/>
      <c r="BJ175" s="8"/>
      <c r="BK175" s="8"/>
      <c r="BL175" s="8"/>
      <c r="BM175" s="8"/>
      <c r="BN175" s="8">
        <f t="shared" si="8"/>
        <v>1</v>
      </c>
      <c r="BO175" s="24">
        <f t="shared" si="9"/>
        <v>1</v>
      </c>
      <c r="BP175" s="23"/>
      <c r="BQ175" s="23"/>
    </row>
    <row r="176" spans="1:69" ht="15.5">
      <c r="A176" s="3" t="s">
        <v>558</v>
      </c>
      <c r="B176" s="3" t="s">
        <v>559</v>
      </c>
      <c r="C176" s="8"/>
      <c r="D176" s="8"/>
      <c r="E176" s="21"/>
      <c r="F176" s="21"/>
      <c r="G176" s="8"/>
      <c r="H176" s="8"/>
      <c r="I176" s="8"/>
      <c r="J176" s="8"/>
      <c r="K176" s="8">
        <v>1</v>
      </c>
      <c r="L176" s="8"/>
      <c r="M176" s="8"/>
      <c r="N176" s="21"/>
      <c r="O176" s="8"/>
      <c r="P176" s="8"/>
      <c r="Q176" s="8"/>
      <c r="R176" s="8">
        <v>1</v>
      </c>
      <c r="S176" s="8"/>
      <c r="T176" s="21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8"/>
      <c r="AH176" s="8"/>
      <c r="AI176" s="8"/>
      <c r="AJ176" s="8"/>
      <c r="AK176" s="8"/>
      <c r="AL176" s="8"/>
      <c r="AM176" s="21"/>
      <c r="AN176" s="8"/>
      <c r="AO176" s="8"/>
      <c r="AP176" s="8"/>
      <c r="AQ176" s="8"/>
      <c r="AR176" s="8"/>
      <c r="AS176" s="8"/>
      <c r="AT176" s="8"/>
      <c r="AU176" s="8">
        <f t="shared" si="0"/>
        <v>2</v>
      </c>
      <c r="AV176" s="8">
        <v>1</v>
      </c>
      <c r="AW176" s="8"/>
      <c r="AX176" s="8"/>
      <c r="AY176" s="8"/>
      <c r="AZ176" s="8"/>
      <c r="BA176" s="8"/>
      <c r="BB176" s="8"/>
      <c r="BC176" s="8"/>
      <c r="BD176" s="8"/>
      <c r="BE176" s="8"/>
      <c r="BF176" s="8"/>
      <c r="BG176" s="8"/>
      <c r="BH176" s="8"/>
      <c r="BI176" s="8"/>
      <c r="BJ176" s="8"/>
      <c r="BK176" s="8"/>
      <c r="BL176" s="8"/>
      <c r="BM176" s="8"/>
      <c r="BN176" s="8">
        <f t="shared" si="8"/>
        <v>1</v>
      </c>
      <c r="BO176" s="24">
        <f t="shared" si="9"/>
        <v>1</v>
      </c>
      <c r="BP176" s="23"/>
      <c r="BQ176" s="23"/>
    </row>
    <row r="177" spans="1:69" ht="15.5">
      <c r="A177" s="3" t="s">
        <v>560</v>
      </c>
      <c r="B177" s="3" t="s">
        <v>561</v>
      </c>
      <c r="C177" s="8"/>
      <c r="D177" s="8"/>
      <c r="E177" s="21"/>
      <c r="F177" s="21"/>
      <c r="G177" s="8"/>
      <c r="H177" s="8"/>
      <c r="I177" s="8"/>
      <c r="J177" s="8"/>
      <c r="K177" s="8"/>
      <c r="L177" s="8"/>
      <c r="M177" s="8"/>
      <c r="N177" s="21"/>
      <c r="O177" s="8"/>
      <c r="P177" s="8"/>
      <c r="Q177" s="8"/>
      <c r="R177" s="8"/>
      <c r="S177" s="8"/>
      <c r="T177" s="21"/>
      <c r="U177" s="8"/>
      <c r="V177" s="8"/>
      <c r="W177" s="8"/>
      <c r="X177" s="8"/>
      <c r="Y177" s="8"/>
      <c r="Z177" s="8"/>
      <c r="AA177" s="8"/>
      <c r="AB177" s="8">
        <v>1</v>
      </c>
      <c r="AC177" s="8">
        <v>1</v>
      </c>
      <c r="AD177" s="8"/>
      <c r="AE177" s="8">
        <v>1</v>
      </c>
      <c r="AF177" s="8"/>
      <c r="AG177" s="8"/>
      <c r="AH177" s="8"/>
      <c r="AI177" s="8">
        <v>1</v>
      </c>
      <c r="AJ177" s="8"/>
      <c r="AK177" s="8"/>
      <c r="AL177" s="8"/>
      <c r="AM177" s="21"/>
      <c r="AN177" s="8"/>
      <c r="AO177" s="8"/>
      <c r="AP177" s="8"/>
      <c r="AQ177" s="8"/>
      <c r="AR177" s="8"/>
      <c r="AS177" s="8"/>
      <c r="AT177" s="8"/>
      <c r="AU177" s="8">
        <f t="shared" si="0"/>
        <v>4</v>
      </c>
      <c r="AV177" s="8"/>
      <c r="AW177" s="8"/>
      <c r="AX177" s="8"/>
      <c r="AY177" s="8"/>
      <c r="AZ177" s="8">
        <v>2</v>
      </c>
      <c r="BA177" s="8"/>
      <c r="BB177" s="8">
        <v>2</v>
      </c>
      <c r="BC177" s="8"/>
      <c r="BD177" s="8"/>
      <c r="BE177" s="8"/>
      <c r="BF177" s="8"/>
      <c r="BG177" s="8"/>
      <c r="BH177" s="8"/>
      <c r="BI177" s="8"/>
      <c r="BJ177" s="8"/>
      <c r="BK177" s="8"/>
      <c r="BL177" s="8"/>
      <c r="BM177" s="8"/>
      <c r="BN177" s="8">
        <f t="shared" si="8"/>
        <v>4</v>
      </c>
      <c r="BO177" s="24">
        <f t="shared" si="9"/>
        <v>0</v>
      </c>
      <c r="BP177" s="23"/>
      <c r="BQ177" s="23"/>
    </row>
    <row r="178" spans="1:69" ht="15.5">
      <c r="A178" s="3" t="s">
        <v>562</v>
      </c>
      <c r="B178" s="3" t="s">
        <v>563</v>
      </c>
      <c r="C178" s="8"/>
      <c r="D178" s="8"/>
      <c r="E178" s="21"/>
      <c r="F178" s="21"/>
      <c r="G178" s="8"/>
      <c r="H178" s="8"/>
      <c r="I178" s="8"/>
      <c r="J178" s="8"/>
      <c r="K178" s="8"/>
      <c r="L178" s="8"/>
      <c r="M178" s="8"/>
      <c r="N178" s="21"/>
      <c r="O178" s="8"/>
      <c r="P178" s="8"/>
      <c r="Q178" s="8"/>
      <c r="R178" s="8"/>
      <c r="S178" s="8"/>
      <c r="T178" s="21"/>
      <c r="U178" s="8"/>
      <c r="V178" s="8"/>
      <c r="W178" s="8"/>
      <c r="X178" s="8"/>
      <c r="Y178" s="8"/>
      <c r="Z178" s="8"/>
      <c r="AA178" s="8"/>
      <c r="AB178" s="8">
        <v>1</v>
      </c>
      <c r="AC178" s="8"/>
      <c r="AD178" s="8"/>
      <c r="AE178" s="8"/>
      <c r="AF178" s="8"/>
      <c r="AG178" s="8">
        <v>1</v>
      </c>
      <c r="AH178" s="8"/>
      <c r="AI178" s="8"/>
      <c r="AJ178" s="8"/>
      <c r="AK178" s="8"/>
      <c r="AL178" s="8"/>
      <c r="AM178" s="21"/>
      <c r="AN178" s="8"/>
      <c r="AO178" s="8"/>
      <c r="AP178" s="8"/>
      <c r="AQ178" s="8"/>
      <c r="AR178" s="8"/>
      <c r="AS178" s="8"/>
      <c r="AT178" s="8"/>
      <c r="AU178" s="8">
        <f t="shared" si="0"/>
        <v>2</v>
      </c>
      <c r="AV178" s="8"/>
      <c r="AW178" s="8"/>
      <c r="AX178" s="8"/>
      <c r="AY178" s="8"/>
      <c r="AZ178" s="8"/>
      <c r="BA178" s="8">
        <v>2</v>
      </c>
      <c r="BB178" s="8"/>
      <c r="BC178" s="8"/>
      <c r="BD178" s="8"/>
      <c r="BE178" s="8"/>
      <c r="BF178" s="8"/>
      <c r="BG178" s="8"/>
      <c r="BH178" s="8"/>
      <c r="BI178" s="8"/>
      <c r="BJ178" s="8"/>
      <c r="BK178" s="8"/>
      <c r="BL178" s="8"/>
      <c r="BM178" s="8"/>
      <c r="BN178" s="8">
        <f t="shared" si="8"/>
        <v>2</v>
      </c>
      <c r="BO178" s="24">
        <f t="shared" si="9"/>
        <v>0</v>
      </c>
      <c r="BP178" s="23"/>
      <c r="BQ178" s="23"/>
    </row>
    <row r="179" spans="1:69" ht="15.5">
      <c r="A179" s="3" t="s">
        <v>564</v>
      </c>
      <c r="B179" s="3" t="s">
        <v>565</v>
      </c>
      <c r="C179" s="8"/>
      <c r="D179" s="8"/>
      <c r="E179" s="21"/>
      <c r="F179" s="21"/>
      <c r="G179" s="8"/>
      <c r="H179" s="8"/>
      <c r="I179" s="8"/>
      <c r="J179" s="8"/>
      <c r="K179" s="8"/>
      <c r="L179" s="8"/>
      <c r="M179" s="8"/>
      <c r="N179" s="21"/>
      <c r="O179" s="8"/>
      <c r="P179" s="8"/>
      <c r="Q179" s="8"/>
      <c r="R179" s="8"/>
      <c r="S179" s="8"/>
      <c r="T179" s="21"/>
      <c r="U179" s="8"/>
      <c r="V179" s="8"/>
      <c r="W179" s="8"/>
      <c r="X179" s="8"/>
      <c r="Y179" s="8"/>
      <c r="Z179" s="8"/>
      <c r="AA179" s="8"/>
      <c r="AB179" s="8">
        <v>1</v>
      </c>
      <c r="AC179" s="8">
        <v>1</v>
      </c>
      <c r="AD179" s="8"/>
      <c r="AE179" s="8"/>
      <c r="AF179" s="8"/>
      <c r="AG179" s="8"/>
      <c r="AH179" s="8">
        <v>1</v>
      </c>
      <c r="AI179" s="8">
        <v>1</v>
      </c>
      <c r="AJ179" s="8"/>
      <c r="AK179" s="8"/>
      <c r="AL179" s="8"/>
      <c r="AM179" s="21"/>
      <c r="AN179" s="8"/>
      <c r="AO179" s="8"/>
      <c r="AP179" s="8"/>
      <c r="AQ179" s="8"/>
      <c r="AR179" s="8"/>
      <c r="AS179" s="8"/>
      <c r="AT179" s="8"/>
      <c r="AU179" s="8">
        <f t="shared" si="0"/>
        <v>4</v>
      </c>
      <c r="AV179" s="8"/>
      <c r="AW179" s="8"/>
      <c r="AX179" s="8"/>
      <c r="AY179" s="8"/>
      <c r="AZ179" s="8">
        <v>1</v>
      </c>
      <c r="BA179" s="8"/>
      <c r="BB179" s="8">
        <v>1</v>
      </c>
      <c r="BC179" s="8"/>
      <c r="BD179" s="8"/>
      <c r="BE179" s="8">
        <v>1</v>
      </c>
      <c r="BF179" s="8"/>
      <c r="BG179" s="8"/>
      <c r="BH179" s="8"/>
      <c r="BI179" s="8"/>
      <c r="BJ179" s="8"/>
      <c r="BK179" s="8"/>
      <c r="BL179" s="8"/>
      <c r="BM179" s="8"/>
      <c r="BN179" s="8">
        <f t="shared" si="8"/>
        <v>3</v>
      </c>
      <c r="BO179" s="24">
        <f t="shared" si="9"/>
        <v>1</v>
      </c>
      <c r="BP179" s="23"/>
      <c r="BQ179" s="23"/>
    </row>
    <row r="180" spans="1:69" ht="15.5">
      <c r="A180" s="3" t="s">
        <v>566</v>
      </c>
      <c r="B180" s="3" t="s">
        <v>567</v>
      </c>
      <c r="C180" s="8"/>
      <c r="D180" s="8"/>
      <c r="E180" s="21"/>
      <c r="F180" s="21"/>
      <c r="G180" s="8"/>
      <c r="H180" s="8"/>
      <c r="I180" s="8"/>
      <c r="J180" s="8"/>
      <c r="K180" s="8"/>
      <c r="L180" s="8"/>
      <c r="M180" s="8"/>
      <c r="N180" s="21"/>
      <c r="O180" s="8"/>
      <c r="P180" s="8"/>
      <c r="Q180" s="8"/>
      <c r="R180" s="8"/>
      <c r="S180" s="8"/>
      <c r="T180" s="21"/>
      <c r="U180" s="8"/>
      <c r="V180" s="8"/>
      <c r="W180" s="8"/>
      <c r="X180" s="8"/>
      <c r="Y180" s="8"/>
      <c r="Z180" s="8"/>
      <c r="AA180" s="8"/>
      <c r="AB180" s="8">
        <v>1</v>
      </c>
      <c r="AC180" s="8"/>
      <c r="AD180" s="8"/>
      <c r="AE180" s="8"/>
      <c r="AF180" s="8"/>
      <c r="AG180" s="8"/>
      <c r="AH180" s="8">
        <v>1</v>
      </c>
      <c r="AI180" s="8">
        <v>1</v>
      </c>
      <c r="AJ180" s="8">
        <v>1</v>
      </c>
      <c r="AK180" s="8"/>
      <c r="AL180" s="8"/>
      <c r="AM180" s="21"/>
      <c r="AN180" s="8"/>
      <c r="AO180" s="8"/>
      <c r="AP180" s="8"/>
      <c r="AQ180" s="8"/>
      <c r="AR180" s="8"/>
      <c r="AS180" s="8"/>
      <c r="AT180" s="8"/>
      <c r="AU180" s="8">
        <f t="shared" si="0"/>
        <v>4</v>
      </c>
      <c r="AV180" s="8"/>
      <c r="AW180" s="8"/>
      <c r="AX180" s="8"/>
      <c r="AY180" s="8"/>
      <c r="AZ180" s="8"/>
      <c r="BA180" s="8"/>
      <c r="BB180" s="8">
        <v>3</v>
      </c>
      <c r="BC180" s="8"/>
      <c r="BD180" s="8"/>
      <c r="BE180" s="8"/>
      <c r="BF180" s="8"/>
      <c r="BG180" s="8"/>
      <c r="BH180" s="8"/>
      <c r="BI180" s="8"/>
      <c r="BJ180" s="8"/>
      <c r="BK180" s="8"/>
      <c r="BL180" s="8"/>
      <c r="BM180" s="8"/>
      <c r="BN180" s="8">
        <f t="shared" si="8"/>
        <v>3</v>
      </c>
      <c r="BO180" s="24">
        <f t="shared" si="9"/>
        <v>1</v>
      </c>
      <c r="BP180" s="23"/>
      <c r="BQ180" s="23"/>
    </row>
    <row r="181" spans="1:69" ht="15.5">
      <c r="A181" s="3" t="s">
        <v>568</v>
      </c>
      <c r="B181" s="3" t="s">
        <v>569</v>
      </c>
      <c r="C181" s="8"/>
      <c r="D181" s="8"/>
      <c r="E181" s="21"/>
      <c r="F181" s="21"/>
      <c r="G181" s="8"/>
      <c r="H181" s="8"/>
      <c r="I181" s="8"/>
      <c r="J181" s="8"/>
      <c r="K181" s="8"/>
      <c r="L181" s="8"/>
      <c r="M181" s="8"/>
      <c r="N181" s="21"/>
      <c r="O181" s="8"/>
      <c r="P181" s="8"/>
      <c r="Q181" s="8"/>
      <c r="R181" s="8"/>
      <c r="S181" s="8"/>
      <c r="T181" s="21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  <c r="AH181" s="8"/>
      <c r="AI181" s="8">
        <v>1</v>
      </c>
      <c r="AJ181" s="8"/>
      <c r="AK181" s="8"/>
      <c r="AL181" s="8"/>
      <c r="AM181" s="21"/>
      <c r="AN181" s="8"/>
      <c r="AO181" s="8"/>
      <c r="AP181" s="8"/>
      <c r="AQ181" s="8"/>
      <c r="AR181" s="8"/>
      <c r="AS181" s="8"/>
      <c r="AT181" s="8"/>
      <c r="AU181" s="8">
        <f t="shared" si="0"/>
        <v>1</v>
      </c>
      <c r="AV181" s="8"/>
      <c r="AW181" s="8"/>
      <c r="AX181" s="8"/>
      <c r="AY181" s="8"/>
      <c r="AZ181" s="8"/>
      <c r="BA181" s="8"/>
      <c r="BB181" s="8"/>
      <c r="BC181" s="8"/>
      <c r="BD181" s="8">
        <v>1</v>
      </c>
      <c r="BE181" s="8"/>
      <c r="BF181" s="8"/>
      <c r="BG181" s="8"/>
      <c r="BH181" s="8"/>
      <c r="BI181" s="8"/>
      <c r="BJ181" s="8"/>
      <c r="BK181" s="8"/>
      <c r="BL181" s="8"/>
      <c r="BM181" s="8"/>
      <c r="BN181" s="8">
        <f t="shared" si="8"/>
        <v>1</v>
      </c>
      <c r="BO181" s="24">
        <f t="shared" si="9"/>
        <v>0</v>
      </c>
      <c r="BP181" s="23"/>
      <c r="BQ181" s="23"/>
    </row>
    <row r="182" spans="1:69" ht="15.5">
      <c r="A182" s="3" t="s">
        <v>570</v>
      </c>
      <c r="B182" s="3" t="s">
        <v>571</v>
      </c>
      <c r="C182" s="8"/>
      <c r="D182" s="8"/>
      <c r="E182" s="21"/>
      <c r="F182" s="21"/>
      <c r="G182" s="8"/>
      <c r="H182" s="8"/>
      <c r="I182" s="8"/>
      <c r="J182" s="8"/>
      <c r="K182" s="8"/>
      <c r="L182" s="8"/>
      <c r="M182" s="8"/>
      <c r="N182" s="21"/>
      <c r="O182" s="8"/>
      <c r="P182" s="8"/>
      <c r="Q182" s="8"/>
      <c r="R182" s="8"/>
      <c r="S182" s="8"/>
      <c r="T182" s="21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  <c r="AH182" s="8"/>
      <c r="AI182" s="8"/>
      <c r="AJ182" s="8"/>
      <c r="AK182" s="8"/>
      <c r="AL182" s="8"/>
      <c r="AM182" s="21"/>
      <c r="AN182" s="8"/>
      <c r="AO182" s="8"/>
      <c r="AP182" s="8"/>
      <c r="AQ182" s="8"/>
      <c r="AR182" s="8"/>
      <c r="AS182" s="8"/>
      <c r="AT182" s="8"/>
      <c r="AU182" s="8">
        <f t="shared" si="0"/>
        <v>0</v>
      </c>
      <c r="AV182" s="8"/>
      <c r="AW182" s="8"/>
      <c r="AX182" s="8"/>
      <c r="AY182" s="8"/>
      <c r="AZ182" s="8"/>
      <c r="BA182" s="8"/>
      <c r="BB182" s="8"/>
      <c r="BC182" s="8"/>
      <c r="BD182" s="8"/>
      <c r="BE182" s="8"/>
      <c r="BF182" s="8"/>
      <c r="BG182" s="8"/>
      <c r="BH182" s="8"/>
      <c r="BI182" s="8"/>
      <c r="BJ182" s="8"/>
      <c r="BK182" s="8"/>
      <c r="BL182" s="8"/>
      <c r="BM182" s="8"/>
      <c r="BN182" s="8">
        <f t="shared" si="8"/>
        <v>0</v>
      </c>
      <c r="BO182" s="24">
        <f t="shared" si="9"/>
        <v>0</v>
      </c>
      <c r="BP182" s="23"/>
      <c r="BQ182" s="23"/>
    </row>
    <row r="183" spans="1:69" ht="15.5">
      <c r="A183" s="3" t="s">
        <v>572</v>
      </c>
      <c r="B183" s="3" t="s">
        <v>573</v>
      </c>
      <c r="C183" s="8"/>
      <c r="D183" s="8"/>
      <c r="E183" s="21"/>
      <c r="F183" s="21"/>
      <c r="G183" s="8"/>
      <c r="H183" s="8"/>
      <c r="I183" s="8"/>
      <c r="J183" s="8"/>
      <c r="K183" s="8"/>
      <c r="L183" s="8"/>
      <c r="M183" s="8"/>
      <c r="N183" s="21"/>
      <c r="O183" s="8"/>
      <c r="P183" s="8"/>
      <c r="Q183" s="8"/>
      <c r="R183" s="8"/>
      <c r="S183" s="8"/>
      <c r="T183" s="21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  <c r="AH183" s="8"/>
      <c r="AI183" s="8"/>
      <c r="AJ183" s="8"/>
      <c r="AK183" s="8"/>
      <c r="AL183" s="8"/>
      <c r="AM183" s="21"/>
      <c r="AN183" s="8"/>
      <c r="AO183" s="8"/>
      <c r="AP183" s="8"/>
      <c r="AQ183" s="8"/>
      <c r="AR183" s="8"/>
      <c r="AS183" s="8"/>
      <c r="AT183" s="8"/>
      <c r="AU183" s="8">
        <f t="shared" si="0"/>
        <v>0</v>
      </c>
      <c r="AV183" s="8"/>
      <c r="AW183" s="8"/>
      <c r="AX183" s="8"/>
      <c r="AY183" s="8"/>
      <c r="AZ183" s="8"/>
      <c r="BA183" s="8"/>
      <c r="BB183" s="8"/>
      <c r="BC183" s="8"/>
      <c r="BD183" s="8"/>
      <c r="BE183" s="8"/>
      <c r="BF183" s="8"/>
      <c r="BG183" s="8"/>
      <c r="BH183" s="8"/>
      <c r="BI183" s="8"/>
      <c r="BJ183" s="8"/>
      <c r="BK183" s="8"/>
      <c r="BL183" s="8"/>
      <c r="BM183" s="8"/>
      <c r="BN183" s="8">
        <f t="shared" si="8"/>
        <v>0</v>
      </c>
      <c r="BO183" s="24">
        <f t="shared" si="9"/>
        <v>0</v>
      </c>
      <c r="BP183" s="23"/>
      <c r="BQ183" s="23"/>
    </row>
    <row r="184" spans="1:69" ht="15.5">
      <c r="A184" s="3" t="s">
        <v>574</v>
      </c>
      <c r="B184" s="3" t="s">
        <v>575</v>
      </c>
      <c r="C184" s="8"/>
      <c r="D184" s="8"/>
      <c r="E184" s="21"/>
      <c r="F184" s="21"/>
      <c r="G184" s="8"/>
      <c r="H184" s="8"/>
      <c r="I184" s="8"/>
      <c r="J184" s="8"/>
      <c r="K184" s="8"/>
      <c r="L184" s="8"/>
      <c r="M184" s="8"/>
      <c r="N184" s="21"/>
      <c r="O184" s="8"/>
      <c r="P184" s="8"/>
      <c r="Q184" s="8"/>
      <c r="R184" s="8"/>
      <c r="S184" s="8"/>
      <c r="T184" s="21"/>
      <c r="U184" s="8"/>
      <c r="V184" s="8"/>
      <c r="W184" s="8"/>
      <c r="X184" s="8"/>
      <c r="Y184" s="8"/>
      <c r="Z184" s="8"/>
      <c r="AA184" s="8"/>
      <c r="AB184" s="8">
        <v>1</v>
      </c>
      <c r="AC184" s="8"/>
      <c r="AD184" s="8"/>
      <c r="AE184" s="8">
        <v>1</v>
      </c>
      <c r="AF184" s="8"/>
      <c r="AG184" s="8"/>
      <c r="AH184" s="8"/>
      <c r="AI184" s="8"/>
      <c r="AJ184" s="8"/>
      <c r="AK184" s="8"/>
      <c r="AL184" s="8"/>
      <c r="AM184" s="21"/>
      <c r="AN184" s="8"/>
      <c r="AO184" s="8"/>
      <c r="AP184" s="8"/>
      <c r="AQ184" s="8"/>
      <c r="AR184" s="8"/>
      <c r="AS184" s="8"/>
      <c r="AT184" s="8"/>
      <c r="AU184" s="8">
        <f t="shared" si="0"/>
        <v>2</v>
      </c>
      <c r="AV184" s="8"/>
      <c r="AW184" s="8"/>
      <c r="AX184" s="8"/>
      <c r="AY184" s="8"/>
      <c r="AZ184" s="8"/>
      <c r="BA184" s="8"/>
      <c r="BB184" s="8"/>
      <c r="BC184" s="8"/>
      <c r="BD184" s="8">
        <v>1</v>
      </c>
      <c r="BE184" s="8"/>
      <c r="BF184" s="8"/>
      <c r="BG184" s="8"/>
      <c r="BH184" s="8"/>
      <c r="BI184" s="8"/>
      <c r="BJ184" s="8"/>
      <c r="BK184" s="8"/>
      <c r="BL184" s="8"/>
      <c r="BM184" s="8"/>
      <c r="BN184" s="8">
        <f t="shared" si="8"/>
        <v>1</v>
      </c>
      <c r="BO184" s="24">
        <f t="shared" si="9"/>
        <v>1</v>
      </c>
      <c r="BP184" s="23"/>
      <c r="BQ184" s="23"/>
    </row>
    <row r="185" spans="1:69" ht="15.5">
      <c r="A185" s="3" t="s">
        <v>576</v>
      </c>
      <c r="B185" s="3" t="s">
        <v>577</v>
      </c>
      <c r="C185" s="8"/>
      <c r="D185" s="8"/>
      <c r="E185" s="21"/>
      <c r="F185" s="21"/>
      <c r="G185" s="8"/>
      <c r="H185" s="8"/>
      <c r="I185" s="8"/>
      <c r="J185" s="8"/>
      <c r="K185" s="8"/>
      <c r="L185" s="8"/>
      <c r="M185" s="8"/>
      <c r="N185" s="21"/>
      <c r="O185" s="8"/>
      <c r="P185" s="8"/>
      <c r="Q185" s="8"/>
      <c r="R185" s="8"/>
      <c r="S185" s="8"/>
      <c r="T185" s="21"/>
      <c r="U185" s="8"/>
      <c r="V185" s="8"/>
      <c r="W185" s="8"/>
      <c r="X185" s="8"/>
      <c r="Y185" s="8"/>
      <c r="Z185" s="8"/>
      <c r="AA185" s="8"/>
      <c r="AB185" s="8">
        <v>1</v>
      </c>
      <c r="AC185" s="8"/>
      <c r="AD185" s="8"/>
      <c r="AE185" s="8">
        <v>1</v>
      </c>
      <c r="AF185" s="8"/>
      <c r="AG185" s="8"/>
      <c r="AH185" s="8"/>
      <c r="AI185" s="8"/>
      <c r="AJ185" s="8"/>
      <c r="AK185" s="8"/>
      <c r="AL185" s="8"/>
      <c r="AM185" s="21"/>
      <c r="AN185" s="8"/>
      <c r="AO185" s="8">
        <v>1</v>
      </c>
      <c r="AP185" s="8"/>
      <c r="AQ185" s="8"/>
      <c r="AR185" s="8"/>
      <c r="AS185" s="8"/>
      <c r="AT185" s="8"/>
      <c r="AU185" s="8">
        <f t="shared" si="0"/>
        <v>3</v>
      </c>
      <c r="AV185" s="8"/>
      <c r="AW185" s="8"/>
      <c r="AX185" s="8"/>
      <c r="AY185" s="8"/>
      <c r="AZ185" s="8">
        <v>1</v>
      </c>
      <c r="BA185" s="8"/>
      <c r="BB185" s="8"/>
      <c r="BC185" s="8"/>
      <c r="BD185" s="8"/>
      <c r="BE185" s="8"/>
      <c r="BF185" s="8"/>
      <c r="BG185" s="8"/>
      <c r="BH185" s="8"/>
      <c r="BI185" s="8"/>
      <c r="BJ185" s="8"/>
      <c r="BK185" s="8"/>
      <c r="BL185" s="8"/>
      <c r="BM185" s="8"/>
      <c r="BN185" s="8">
        <f t="shared" si="8"/>
        <v>1</v>
      </c>
      <c r="BO185" s="24">
        <f t="shared" si="9"/>
        <v>2</v>
      </c>
      <c r="BP185" s="23">
        <v>2</v>
      </c>
      <c r="BQ185" s="23"/>
    </row>
    <row r="186" spans="1:69" ht="15.5">
      <c r="A186" s="3" t="s">
        <v>578</v>
      </c>
      <c r="B186" s="3" t="s">
        <v>579</v>
      </c>
      <c r="C186" s="8"/>
      <c r="D186" s="8"/>
      <c r="E186" s="21"/>
      <c r="F186" s="21"/>
      <c r="G186" s="8"/>
      <c r="H186" s="8"/>
      <c r="I186" s="8"/>
      <c r="J186" s="8"/>
      <c r="K186" s="8"/>
      <c r="L186" s="8"/>
      <c r="M186" s="8"/>
      <c r="N186" s="21"/>
      <c r="O186" s="8"/>
      <c r="P186" s="8"/>
      <c r="Q186" s="8"/>
      <c r="R186" s="8"/>
      <c r="S186" s="8"/>
      <c r="T186" s="21"/>
      <c r="U186" s="8"/>
      <c r="V186" s="8"/>
      <c r="W186" s="8"/>
      <c r="X186" s="8"/>
      <c r="Y186" s="8"/>
      <c r="Z186" s="8"/>
      <c r="AA186" s="8"/>
      <c r="AB186" s="8">
        <v>1</v>
      </c>
      <c r="AC186" s="8"/>
      <c r="AD186" s="8"/>
      <c r="AE186" s="8">
        <v>1</v>
      </c>
      <c r="AF186" s="8"/>
      <c r="AG186" s="8"/>
      <c r="AH186" s="8"/>
      <c r="AI186" s="8"/>
      <c r="AJ186" s="8"/>
      <c r="AK186" s="8"/>
      <c r="AL186" s="8"/>
      <c r="AM186" s="21"/>
      <c r="AN186" s="8"/>
      <c r="AO186" s="8"/>
      <c r="AP186" s="8"/>
      <c r="AQ186" s="8"/>
      <c r="AR186" s="8"/>
      <c r="AS186" s="8"/>
      <c r="AT186" s="8"/>
      <c r="AU186" s="8">
        <f t="shared" si="0"/>
        <v>2</v>
      </c>
      <c r="AV186" s="8"/>
      <c r="AW186" s="8"/>
      <c r="AX186" s="8"/>
      <c r="AY186" s="8"/>
      <c r="AZ186" s="8"/>
      <c r="BA186" s="8">
        <v>1</v>
      </c>
      <c r="BB186" s="8"/>
      <c r="BC186" s="8"/>
      <c r="BD186" s="8">
        <v>1</v>
      </c>
      <c r="BE186" s="8"/>
      <c r="BF186" s="8"/>
      <c r="BG186" s="8"/>
      <c r="BH186" s="8"/>
      <c r="BI186" s="8"/>
      <c r="BJ186" s="8"/>
      <c r="BK186" s="8"/>
      <c r="BL186" s="8"/>
      <c r="BM186" s="8"/>
      <c r="BN186" s="8">
        <f t="shared" si="8"/>
        <v>2</v>
      </c>
      <c r="BO186" s="24">
        <f t="shared" si="9"/>
        <v>0</v>
      </c>
      <c r="BP186" s="23"/>
      <c r="BQ186" s="23"/>
    </row>
    <row r="187" spans="1:69" ht="15.5">
      <c r="A187" s="3" t="s">
        <v>580</v>
      </c>
      <c r="B187" s="3" t="s">
        <v>581</v>
      </c>
      <c r="C187" s="8"/>
      <c r="D187" s="8"/>
      <c r="E187" s="21"/>
      <c r="F187" s="21"/>
      <c r="G187" s="8"/>
      <c r="H187" s="8"/>
      <c r="I187" s="8"/>
      <c r="J187" s="8"/>
      <c r="K187" s="8"/>
      <c r="L187" s="8"/>
      <c r="M187" s="8"/>
      <c r="N187" s="21"/>
      <c r="O187" s="8"/>
      <c r="P187" s="8"/>
      <c r="Q187" s="8"/>
      <c r="R187" s="8"/>
      <c r="S187" s="8"/>
      <c r="T187" s="21"/>
      <c r="U187" s="8"/>
      <c r="V187" s="8"/>
      <c r="W187" s="8"/>
      <c r="X187" s="8"/>
      <c r="Y187" s="8"/>
      <c r="Z187" s="8"/>
      <c r="AA187" s="8"/>
      <c r="AB187" s="8">
        <v>1</v>
      </c>
      <c r="AC187" s="8"/>
      <c r="AD187" s="8"/>
      <c r="AE187" s="8">
        <v>1</v>
      </c>
      <c r="AF187" s="8"/>
      <c r="AG187" s="8">
        <v>1</v>
      </c>
      <c r="AH187" s="8"/>
      <c r="AI187" s="8"/>
      <c r="AJ187" s="8"/>
      <c r="AK187" s="8"/>
      <c r="AL187" s="8"/>
      <c r="AM187" s="21"/>
      <c r="AN187" s="8"/>
      <c r="AO187" s="8"/>
      <c r="AP187" s="8"/>
      <c r="AQ187" s="8"/>
      <c r="AR187" s="8"/>
      <c r="AS187" s="8"/>
      <c r="AT187" s="8"/>
      <c r="AU187" s="8">
        <f t="shared" si="0"/>
        <v>3</v>
      </c>
      <c r="AV187" s="8"/>
      <c r="AW187" s="8"/>
      <c r="AX187" s="8"/>
      <c r="AY187" s="8"/>
      <c r="AZ187" s="8"/>
      <c r="BA187" s="8">
        <v>1</v>
      </c>
      <c r="BB187" s="8"/>
      <c r="BC187" s="8"/>
      <c r="BD187" s="8">
        <v>1</v>
      </c>
      <c r="BE187" s="8"/>
      <c r="BF187" s="8"/>
      <c r="BG187" s="8"/>
      <c r="BH187" s="8"/>
      <c r="BI187" s="8"/>
      <c r="BJ187" s="8"/>
      <c r="BK187" s="8"/>
      <c r="BL187" s="8"/>
      <c r="BM187" s="8"/>
      <c r="BN187" s="8">
        <f t="shared" si="8"/>
        <v>2</v>
      </c>
      <c r="BO187" s="24">
        <f t="shared" si="9"/>
        <v>1</v>
      </c>
      <c r="BP187" s="23"/>
      <c r="BQ187" s="23"/>
    </row>
    <row r="188" spans="1:69" ht="15.5">
      <c r="A188" s="3" t="s">
        <v>582</v>
      </c>
      <c r="B188" s="3" t="s">
        <v>583</v>
      </c>
      <c r="C188" s="8"/>
      <c r="D188" s="8"/>
      <c r="E188" s="21"/>
      <c r="F188" s="21"/>
      <c r="G188" s="8"/>
      <c r="H188" s="8"/>
      <c r="I188" s="8"/>
      <c r="J188" s="8"/>
      <c r="K188" s="8"/>
      <c r="L188" s="8"/>
      <c r="M188" s="8"/>
      <c r="N188" s="21"/>
      <c r="O188" s="8"/>
      <c r="P188" s="8"/>
      <c r="Q188" s="8"/>
      <c r="R188" s="8"/>
      <c r="S188" s="8"/>
      <c r="T188" s="21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>
        <v>1</v>
      </c>
      <c r="AF188" s="8"/>
      <c r="AG188" s="8"/>
      <c r="AH188" s="8"/>
      <c r="AI188" s="8"/>
      <c r="AJ188" s="8"/>
      <c r="AK188" s="8"/>
      <c r="AL188" s="8"/>
      <c r="AM188" s="21"/>
      <c r="AN188" s="8"/>
      <c r="AO188" s="8"/>
      <c r="AP188" s="8"/>
      <c r="AQ188" s="8"/>
      <c r="AR188" s="8"/>
      <c r="AS188" s="8"/>
      <c r="AT188" s="8"/>
      <c r="AU188" s="8">
        <f t="shared" si="0"/>
        <v>1</v>
      </c>
      <c r="AV188" s="8"/>
      <c r="AW188" s="8"/>
      <c r="AX188" s="8"/>
      <c r="AY188" s="8"/>
      <c r="AZ188" s="8"/>
      <c r="BA188" s="8"/>
      <c r="BB188" s="8"/>
      <c r="BC188" s="8"/>
      <c r="BD188" s="8"/>
      <c r="BE188" s="8"/>
      <c r="BF188" s="8"/>
      <c r="BG188" s="8"/>
      <c r="BH188" s="8"/>
      <c r="BI188" s="8"/>
      <c r="BJ188" s="8"/>
      <c r="BK188" s="8"/>
      <c r="BL188" s="8"/>
      <c r="BM188" s="8"/>
      <c r="BN188" s="8">
        <f t="shared" si="8"/>
        <v>0</v>
      </c>
      <c r="BO188" s="24">
        <f t="shared" si="9"/>
        <v>1</v>
      </c>
      <c r="BP188" s="23"/>
      <c r="BQ188" s="23"/>
    </row>
    <row r="189" spans="1:69" ht="15.5">
      <c r="A189" s="3" t="s">
        <v>584</v>
      </c>
      <c r="B189" s="3" t="s">
        <v>585</v>
      </c>
      <c r="C189" s="8"/>
      <c r="D189" s="8"/>
      <c r="E189" s="21"/>
      <c r="F189" s="21"/>
      <c r="G189" s="8"/>
      <c r="H189" s="8"/>
      <c r="I189" s="8"/>
      <c r="J189" s="8"/>
      <c r="K189" s="8"/>
      <c r="L189" s="8"/>
      <c r="M189" s="8"/>
      <c r="N189" s="21"/>
      <c r="O189" s="8"/>
      <c r="P189" s="8"/>
      <c r="Q189" s="8"/>
      <c r="R189" s="8"/>
      <c r="S189" s="8"/>
      <c r="T189" s="21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>
        <v>1</v>
      </c>
      <c r="AF189" s="8"/>
      <c r="AG189" s="8"/>
      <c r="AH189" s="8"/>
      <c r="AI189" s="8"/>
      <c r="AJ189" s="8"/>
      <c r="AK189" s="8"/>
      <c r="AL189" s="8"/>
      <c r="AM189" s="21"/>
      <c r="AN189" s="8"/>
      <c r="AO189" s="8"/>
      <c r="AP189" s="8"/>
      <c r="AQ189" s="8"/>
      <c r="AR189" s="8"/>
      <c r="AS189" s="8"/>
      <c r="AT189" s="8"/>
      <c r="AU189" s="8">
        <f t="shared" si="0"/>
        <v>1</v>
      </c>
      <c r="AV189" s="8"/>
      <c r="AW189" s="8"/>
      <c r="AX189" s="8"/>
      <c r="AY189" s="8"/>
      <c r="AZ189" s="8"/>
      <c r="BA189" s="8"/>
      <c r="BB189" s="8"/>
      <c r="BC189" s="8"/>
      <c r="BD189" s="8"/>
      <c r="BE189" s="8"/>
      <c r="BF189" s="8"/>
      <c r="BG189" s="8"/>
      <c r="BH189" s="8"/>
      <c r="BI189" s="8"/>
      <c r="BJ189" s="8"/>
      <c r="BK189" s="8"/>
      <c r="BL189" s="8"/>
      <c r="BM189" s="8"/>
      <c r="BN189" s="8">
        <f t="shared" si="8"/>
        <v>0</v>
      </c>
      <c r="BO189" s="24">
        <f t="shared" si="9"/>
        <v>1</v>
      </c>
      <c r="BP189" s="23"/>
      <c r="BQ189" s="23"/>
    </row>
    <row r="190" spans="1:69" ht="15.5">
      <c r="A190" s="3" t="s">
        <v>586</v>
      </c>
      <c r="B190" s="3" t="s">
        <v>587</v>
      </c>
      <c r="C190" s="8"/>
      <c r="D190" s="8"/>
      <c r="E190" s="21"/>
      <c r="F190" s="21"/>
      <c r="G190" s="8"/>
      <c r="H190" s="8"/>
      <c r="I190" s="8"/>
      <c r="J190" s="8"/>
      <c r="K190" s="8"/>
      <c r="L190" s="8"/>
      <c r="M190" s="8"/>
      <c r="N190" s="21"/>
      <c r="O190" s="8"/>
      <c r="P190" s="8"/>
      <c r="Q190" s="8"/>
      <c r="R190" s="8"/>
      <c r="S190" s="8"/>
      <c r="T190" s="21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  <c r="AH190" s="8"/>
      <c r="AI190" s="8"/>
      <c r="AJ190" s="8"/>
      <c r="AK190" s="8"/>
      <c r="AL190" s="8"/>
      <c r="AM190" s="21"/>
      <c r="AN190" s="8"/>
      <c r="AO190" s="8"/>
      <c r="AP190" s="8"/>
      <c r="AQ190" s="8"/>
      <c r="AR190" s="8"/>
      <c r="AS190" s="8"/>
      <c r="AT190" s="8"/>
      <c r="AU190" s="8">
        <f t="shared" si="0"/>
        <v>0</v>
      </c>
      <c r="AV190" s="8"/>
      <c r="AW190" s="8"/>
      <c r="AX190" s="8"/>
      <c r="AY190" s="8"/>
      <c r="AZ190" s="8"/>
      <c r="BA190" s="8"/>
      <c r="BB190" s="8"/>
      <c r="BC190" s="8"/>
      <c r="BD190" s="8"/>
      <c r="BE190" s="8"/>
      <c r="BF190" s="8"/>
      <c r="BG190" s="8"/>
      <c r="BH190" s="8"/>
      <c r="BI190" s="8"/>
      <c r="BJ190" s="8"/>
      <c r="BK190" s="8"/>
      <c r="BL190" s="8"/>
      <c r="BM190" s="8"/>
      <c r="BN190" s="8">
        <f t="shared" si="8"/>
        <v>0</v>
      </c>
      <c r="BO190" s="24">
        <f t="shared" si="9"/>
        <v>0</v>
      </c>
      <c r="BP190" s="23"/>
      <c r="BQ190" s="23"/>
    </row>
    <row r="191" spans="1:69" ht="15.5">
      <c r="A191" s="3" t="s">
        <v>588</v>
      </c>
      <c r="B191" s="3" t="s">
        <v>589</v>
      </c>
      <c r="C191" s="8"/>
      <c r="D191" s="8"/>
      <c r="E191" s="21"/>
      <c r="F191" s="21"/>
      <c r="G191" s="8"/>
      <c r="H191" s="8"/>
      <c r="I191" s="8"/>
      <c r="J191" s="8"/>
      <c r="K191" s="8"/>
      <c r="L191" s="8"/>
      <c r="M191" s="8"/>
      <c r="N191" s="21"/>
      <c r="O191" s="8"/>
      <c r="P191" s="8"/>
      <c r="Q191" s="8"/>
      <c r="R191" s="8"/>
      <c r="S191" s="8"/>
      <c r="T191" s="21"/>
      <c r="U191" s="8"/>
      <c r="V191" s="8"/>
      <c r="W191" s="8"/>
      <c r="X191" s="8"/>
      <c r="Y191" s="8"/>
      <c r="Z191" s="8"/>
      <c r="AA191" s="8"/>
      <c r="AB191" s="8"/>
      <c r="AC191" s="8"/>
      <c r="AD191" s="8">
        <v>1</v>
      </c>
      <c r="AE191" s="8"/>
      <c r="AF191" s="8"/>
      <c r="AG191" s="8"/>
      <c r="AH191" s="8"/>
      <c r="AI191" s="8"/>
      <c r="AJ191" s="8"/>
      <c r="AK191" s="8"/>
      <c r="AL191" s="8"/>
      <c r="AM191" s="21"/>
      <c r="AN191" s="8"/>
      <c r="AO191" s="8"/>
      <c r="AP191" s="8"/>
      <c r="AQ191" s="8"/>
      <c r="AR191" s="8"/>
      <c r="AS191" s="8"/>
      <c r="AT191" s="8"/>
      <c r="AU191" s="8">
        <f t="shared" si="0"/>
        <v>1</v>
      </c>
      <c r="AV191" s="8"/>
      <c r="AW191" s="8"/>
      <c r="AX191" s="8"/>
      <c r="AY191" s="8"/>
      <c r="AZ191" s="8"/>
      <c r="BA191" s="8"/>
      <c r="BB191" s="8"/>
      <c r="BC191" s="8"/>
      <c r="BD191" s="8"/>
      <c r="BE191" s="8">
        <v>1</v>
      </c>
      <c r="BF191" s="8"/>
      <c r="BG191" s="8"/>
      <c r="BH191" s="8"/>
      <c r="BI191" s="8"/>
      <c r="BJ191" s="8"/>
      <c r="BK191" s="8"/>
      <c r="BL191" s="8"/>
      <c r="BM191" s="8"/>
      <c r="BN191" s="8">
        <f t="shared" si="8"/>
        <v>1</v>
      </c>
      <c r="BO191" s="24">
        <f t="shared" si="9"/>
        <v>0</v>
      </c>
      <c r="BP191" s="23"/>
      <c r="BQ191" s="23"/>
    </row>
    <row r="192" spans="1:69" ht="15.5">
      <c r="A192" s="3" t="s">
        <v>592</v>
      </c>
      <c r="B192" s="3" t="s">
        <v>593</v>
      </c>
      <c r="C192" s="8"/>
      <c r="D192" s="8"/>
      <c r="E192" s="21"/>
      <c r="F192" s="21"/>
      <c r="G192" s="8"/>
      <c r="H192" s="8"/>
      <c r="I192" s="8"/>
      <c r="J192" s="8"/>
      <c r="K192" s="8"/>
      <c r="L192" s="8"/>
      <c r="M192" s="8"/>
      <c r="N192" s="21"/>
      <c r="O192" s="8"/>
      <c r="P192" s="8"/>
      <c r="Q192" s="8"/>
      <c r="R192" s="8"/>
      <c r="S192" s="8"/>
      <c r="T192" s="21"/>
      <c r="U192" s="8"/>
      <c r="V192" s="8"/>
      <c r="W192" s="8"/>
      <c r="X192" s="8"/>
      <c r="Y192" s="8"/>
      <c r="Z192" s="8"/>
      <c r="AA192" s="8"/>
      <c r="AB192" s="8"/>
      <c r="AC192" s="8"/>
      <c r="AD192" s="8">
        <v>1</v>
      </c>
      <c r="AE192" s="8"/>
      <c r="AF192" s="8"/>
      <c r="AG192" s="8"/>
      <c r="AH192" s="8"/>
      <c r="AI192" s="8"/>
      <c r="AJ192" s="8"/>
      <c r="AK192" s="8">
        <v>1</v>
      </c>
      <c r="AL192" s="8"/>
      <c r="AM192" s="21"/>
      <c r="AN192" s="8"/>
      <c r="AO192" s="8"/>
      <c r="AP192" s="8"/>
      <c r="AQ192" s="8"/>
      <c r="AR192" s="8">
        <v>1</v>
      </c>
      <c r="AS192" s="8"/>
      <c r="AT192" s="8"/>
      <c r="AU192" s="8">
        <f t="shared" si="0"/>
        <v>3</v>
      </c>
      <c r="AV192" s="8"/>
      <c r="AW192" s="8"/>
      <c r="AX192" s="8"/>
      <c r="AY192" s="8"/>
      <c r="AZ192" s="8"/>
      <c r="BA192" s="8"/>
      <c r="BB192" s="8">
        <v>1</v>
      </c>
      <c r="BC192" s="8"/>
      <c r="BD192" s="8"/>
      <c r="BE192" s="8">
        <v>1</v>
      </c>
      <c r="BF192" s="8"/>
      <c r="BG192" s="8"/>
      <c r="BH192" s="8"/>
      <c r="BI192" s="8"/>
      <c r="BJ192" s="8"/>
      <c r="BK192" s="8"/>
      <c r="BL192" s="8"/>
      <c r="BM192" s="8"/>
      <c r="BN192" s="8">
        <f t="shared" si="8"/>
        <v>2</v>
      </c>
      <c r="BO192" s="24">
        <f t="shared" si="9"/>
        <v>1</v>
      </c>
      <c r="BP192" s="23"/>
      <c r="BQ192" s="23"/>
    </row>
    <row r="193" spans="1:69" ht="15.5">
      <c r="A193" s="3" t="s">
        <v>596</v>
      </c>
      <c r="B193" s="3" t="s">
        <v>597</v>
      </c>
      <c r="C193" s="8"/>
      <c r="D193" s="8"/>
      <c r="E193" s="21"/>
      <c r="F193" s="21"/>
      <c r="G193" s="8"/>
      <c r="H193" s="8"/>
      <c r="I193" s="8"/>
      <c r="J193" s="8"/>
      <c r="K193" s="8"/>
      <c r="L193" s="8"/>
      <c r="M193" s="8"/>
      <c r="N193" s="21"/>
      <c r="O193" s="8"/>
      <c r="P193" s="8"/>
      <c r="Q193" s="8"/>
      <c r="R193" s="8"/>
      <c r="S193" s="8"/>
      <c r="T193" s="21"/>
      <c r="U193" s="8"/>
      <c r="V193" s="8"/>
      <c r="W193" s="8"/>
      <c r="X193" s="8"/>
      <c r="Y193" s="8"/>
      <c r="Z193" s="8"/>
      <c r="AA193" s="8"/>
      <c r="AB193" s="8"/>
      <c r="AC193" s="8"/>
      <c r="AD193" s="8">
        <v>1</v>
      </c>
      <c r="AE193" s="8"/>
      <c r="AF193" s="8"/>
      <c r="AG193" s="8"/>
      <c r="AH193" s="8"/>
      <c r="AI193" s="8"/>
      <c r="AJ193" s="8"/>
      <c r="AK193" s="8"/>
      <c r="AL193" s="8"/>
      <c r="AM193" s="21"/>
      <c r="AN193" s="8"/>
      <c r="AO193" s="8"/>
      <c r="AP193" s="8"/>
      <c r="AQ193" s="8"/>
      <c r="AR193" s="8"/>
      <c r="AS193" s="8"/>
      <c r="AT193" s="8"/>
      <c r="AU193" s="8">
        <f t="shared" si="0"/>
        <v>1</v>
      </c>
      <c r="AV193" s="8"/>
      <c r="AW193" s="8"/>
      <c r="AX193" s="8"/>
      <c r="AY193" s="8"/>
      <c r="AZ193" s="8"/>
      <c r="BA193" s="8"/>
      <c r="BB193" s="8">
        <v>1</v>
      </c>
      <c r="BC193" s="8"/>
      <c r="BD193" s="8"/>
      <c r="BE193" s="8"/>
      <c r="BF193" s="8"/>
      <c r="BG193" s="8"/>
      <c r="BH193" s="8"/>
      <c r="BI193" s="8"/>
      <c r="BJ193" s="8"/>
      <c r="BK193" s="8"/>
      <c r="BL193" s="8"/>
      <c r="BM193" s="8"/>
      <c r="BN193" s="8">
        <f t="shared" si="8"/>
        <v>1</v>
      </c>
      <c r="BO193" s="24">
        <f t="shared" si="9"/>
        <v>0</v>
      </c>
      <c r="BP193" s="23"/>
      <c r="BQ193" s="23"/>
    </row>
    <row r="194" spans="1:69" ht="15.5">
      <c r="A194" s="3" t="s">
        <v>602</v>
      </c>
      <c r="B194" s="3" t="s">
        <v>603</v>
      </c>
      <c r="C194" s="8"/>
      <c r="D194" s="8"/>
      <c r="E194" s="21"/>
      <c r="F194" s="21"/>
      <c r="G194" s="8"/>
      <c r="H194" s="8"/>
      <c r="I194" s="8"/>
      <c r="J194" s="8"/>
      <c r="K194" s="8"/>
      <c r="L194" s="8"/>
      <c r="M194" s="8"/>
      <c r="N194" s="21"/>
      <c r="O194" s="8"/>
      <c r="P194" s="8"/>
      <c r="Q194" s="8"/>
      <c r="R194" s="8"/>
      <c r="S194" s="8"/>
      <c r="T194" s="21"/>
      <c r="U194" s="8"/>
      <c r="V194" s="8"/>
      <c r="W194" s="8"/>
      <c r="X194" s="8"/>
      <c r="Y194" s="8"/>
      <c r="Z194" s="8"/>
      <c r="AA194" s="8"/>
      <c r="AB194" s="8"/>
      <c r="AC194" s="8"/>
      <c r="AD194" s="8">
        <v>1</v>
      </c>
      <c r="AE194" s="8"/>
      <c r="AF194" s="8"/>
      <c r="AG194" s="8"/>
      <c r="AH194" s="8"/>
      <c r="AI194" s="8"/>
      <c r="AJ194" s="8"/>
      <c r="AK194" s="8"/>
      <c r="AL194" s="8"/>
      <c r="AM194" s="21"/>
      <c r="AN194" s="8"/>
      <c r="AO194" s="8"/>
      <c r="AP194" s="8"/>
      <c r="AQ194" s="8"/>
      <c r="AR194" s="8"/>
      <c r="AS194" s="8"/>
      <c r="AT194" s="8"/>
      <c r="AU194" s="8">
        <f t="shared" si="0"/>
        <v>1</v>
      </c>
      <c r="AV194" s="8"/>
      <c r="AW194" s="8"/>
      <c r="AX194" s="8"/>
      <c r="AY194" s="8"/>
      <c r="AZ194" s="8"/>
      <c r="BA194" s="8"/>
      <c r="BB194" s="8"/>
      <c r="BC194" s="8"/>
      <c r="BD194" s="8"/>
      <c r="BE194" s="8"/>
      <c r="BF194" s="8"/>
      <c r="BG194" s="8"/>
      <c r="BH194" s="8"/>
      <c r="BI194" s="8"/>
      <c r="BJ194" s="8"/>
      <c r="BK194" s="8"/>
      <c r="BL194" s="8"/>
      <c r="BM194" s="8"/>
      <c r="BN194" s="8">
        <f t="shared" si="8"/>
        <v>0</v>
      </c>
      <c r="BO194" s="24">
        <f t="shared" si="9"/>
        <v>1</v>
      </c>
      <c r="BP194" s="23"/>
      <c r="BQ194" s="23"/>
    </row>
    <row r="195" spans="1:69" ht="15.5">
      <c r="A195" s="3" t="s">
        <v>606</v>
      </c>
      <c r="B195" s="3" t="s">
        <v>607</v>
      </c>
      <c r="C195" s="8"/>
      <c r="D195" s="8"/>
      <c r="E195" s="21"/>
      <c r="F195" s="21"/>
      <c r="G195" s="8"/>
      <c r="H195" s="8"/>
      <c r="I195" s="8"/>
      <c r="J195" s="8"/>
      <c r="K195" s="8"/>
      <c r="L195" s="8"/>
      <c r="M195" s="8"/>
      <c r="N195" s="21"/>
      <c r="O195" s="8"/>
      <c r="P195" s="8"/>
      <c r="Q195" s="8"/>
      <c r="R195" s="8"/>
      <c r="S195" s="8"/>
      <c r="T195" s="21"/>
      <c r="U195" s="8"/>
      <c r="V195" s="8"/>
      <c r="W195" s="8"/>
      <c r="X195" s="8"/>
      <c r="Y195" s="8"/>
      <c r="Z195" s="8"/>
      <c r="AA195" s="8"/>
      <c r="AB195" s="8"/>
      <c r="AC195" s="8"/>
      <c r="AD195" s="8">
        <v>1</v>
      </c>
      <c r="AE195" s="8"/>
      <c r="AF195" s="8"/>
      <c r="AG195" s="8"/>
      <c r="AH195" s="8"/>
      <c r="AI195" s="8"/>
      <c r="AJ195" s="8"/>
      <c r="AK195" s="8"/>
      <c r="AL195" s="8"/>
      <c r="AM195" s="21"/>
      <c r="AN195" s="8"/>
      <c r="AO195" s="8"/>
      <c r="AP195" s="8"/>
      <c r="AQ195" s="8"/>
      <c r="AR195" s="8"/>
      <c r="AS195" s="8"/>
      <c r="AT195" s="8"/>
      <c r="AU195" s="8">
        <f t="shared" si="0"/>
        <v>1</v>
      </c>
      <c r="AV195" s="8"/>
      <c r="AW195" s="8"/>
      <c r="AX195" s="8"/>
      <c r="AY195" s="8"/>
      <c r="AZ195" s="8"/>
      <c r="BA195" s="8"/>
      <c r="BB195" s="8"/>
      <c r="BC195" s="8"/>
      <c r="BD195" s="8">
        <v>1</v>
      </c>
      <c r="BE195" s="8">
        <v>-1</v>
      </c>
      <c r="BF195" s="8"/>
      <c r="BG195" s="8"/>
      <c r="BH195" s="8"/>
      <c r="BI195" s="8"/>
      <c r="BJ195" s="8"/>
      <c r="BK195" s="8"/>
      <c r="BL195" s="8"/>
      <c r="BM195" s="8"/>
      <c r="BN195" s="8">
        <f t="shared" si="8"/>
        <v>0</v>
      </c>
      <c r="BO195" s="24">
        <f t="shared" si="9"/>
        <v>1</v>
      </c>
      <c r="BP195" s="23"/>
      <c r="BQ195" s="23"/>
    </row>
    <row r="196" spans="1:69" ht="15.5">
      <c r="A196" s="3" t="s">
        <v>608</v>
      </c>
      <c r="B196" s="3" t="s">
        <v>609</v>
      </c>
      <c r="C196" s="8"/>
      <c r="D196" s="8"/>
      <c r="E196" s="21"/>
      <c r="F196" s="21"/>
      <c r="G196" s="8"/>
      <c r="H196" s="8"/>
      <c r="I196" s="8"/>
      <c r="J196" s="8"/>
      <c r="K196" s="8"/>
      <c r="L196" s="8"/>
      <c r="M196" s="8"/>
      <c r="N196" s="21"/>
      <c r="O196" s="8"/>
      <c r="P196" s="8"/>
      <c r="Q196" s="8"/>
      <c r="R196" s="8"/>
      <c r="S196" s="8"/>
      <c r="T196" s="21"/>
      <c r="U196" s="8">
        <v>1</v>
      </c>
      <c r="V196" s="8"/>
      <c r="W196" s="8"/>
      <c r="X196" s="8"/>
      <c r="Y196" s="8"/>
      <c r="Z196" s="8"/>
      <c r="AA196" s="8"/>
      <c r="AB196" s="8">
        <v>1</v>
      </c>
      <c r="AC196" s="8"/>
      <c r="AD196" s="8"/>
      <c r="AE196" s="8"/>
      <c r="AF196" s="8"/>
      <c r="AG196" s="8"/>
      <c r="AH196" s="8"/>
      <c r="AI196" s="8"/>
      <c r="AJ196" s="8"/>
      <c r="AK196" s="8"/>
      <c r="AL196" s="8"/>
      <c r="AM196" s="21"/>
      <c r="AN196" s="8"/>
      <c r="AO196" s="8"/>
      <c r="AP196" s="8"/>
      <c r="AQ196" s="8">
        <v>1</v>
      </c>
      <c r="AR196" s="8"/>
      <c r="AS196" s="8"/>
      <c r="AT196" s="8"/>
      <c r="AU196" s="8">
        <f t="shared" si="0"/>
        <v>3</v>
      </c>
      <c r="AV196" s="8"/>
      <c r="AW196" s="8"/>
      <c r="AX196" s="8">
        <v>1</v>
      </c>
      <c r="AY196" s="8"/>
      <c r="AZ196" s="8"/>
      <c r="BA196" s="8"/>
      <c r="BB196" s="8"/>
      <c r="BC196" s="8"/>
      <c r="BD196" s="8">
        <v>1</v>
      </c>
      <c r="BE196" s="8"/>
      <c r="BF196" s="8"/>
      <c r="BG196" s="8"/>
      <c r="BH196" s="8"/>
      <c r="BI196" s="8"/>
      <c r="BJ196" s="8"/>
      <c r="BK196" s="8"/>
      <c r="BL196" s="8"/>
      <c r="BM196" s="8"/>
      <c r="BN196" s="8">
        <f t="shared" si="8"/>
        <v>2</v>
      </c>
      <c r="BO196" s="24">
        <f t="shared" ref="BO196:BO259" si="10">IF(+AU196-BN196&lt;0,"",+AU196-BN196)</f>
        <v>1</v>
      </c>
      <c r="BP196" s="23"/>
      <c r="BQ196" s="23"/>
    </row>
    <row r="197" spans="1:69" ht="15.5">
      <c r="A197" s="3" t="s">
        <v>610</v>
      </c>
      <c r="B197" s="3" t="s">
        <v>611</v>
      </c>
      <c r="C197" s="8"/>
      <c r="D197" s="8"/>
      <c r="E197" s="21"/>
      <c r="F197" s="21"/>
      <c r="G197" s="8"/>
      <c r="H197" s="8"/>
      <c r="I197" s="8"/>
      <c r="J197" s="8"/>
      <c r="K197" s="8"/>
      <c r="L197" s="8"/>
      <c r="M197" s="8"/>
      <c r="N197" s="21"/>
      <c r="O197" s="8"/>
      <c r="P197" s="8"/>
      <c r="Q197" s="8"/>
      <c r="R197" s="8"/>
      <c r="S197" s="8"/>
      <c r="T197" s="21"/>
      <c r="U197" s="8">
        <v>1</v>
      </c>
      <c r="V197" s="8"/>
      <c r="W197" s="8"/>
      <c r="X197" s="8"/>
      <c r="Y197" s="8"/>
      <c r="Z197" s="8"/>
      <c r="AA197" s="8"/>
      <c r="AB197" s="8">
        <v>1</v>
      </c>
      <c r="AC197" s="8"/>
      <c r="AD197" s="8"/>
      <c r="AE197" s="8"/>
      <c r="AF197" s="8"/>
      <c r="AG197" s="8"/>
      <c r="AH197" s="8"/>
      <c r="AI197" s="8"/>
      <c r="AJ197" s="8"/>
      <c r="AK197" s="8"/>
      <c r="AL197" s="8"/>
      <c r="AM197" s="21"/>
      <c r="AN197" s="8"/>
      <c r="AO197" s="8"/>
      <c r="AP197" s="8"/>
      <c r="AQ197" s="8"/>
      <c r="AR197" s="8"/>
      <c r="AS197" s="8"/>
      <c r="AT197" s="8"/>
      <c r="AU197" s="8">
        <f t="shared" si="0"/>
        <v>2</v>
      </c>
      <c r="AV197" s="8"/>
      <c r="AW197" s="8"/>
      <c r="AX197" s="8"/>
      <c r="AY197" s="8"/>
      <c r="AZ197" s="8"/>
      <c r="BA197" s="8"/>
      <c r="BB197" s="8"/>
      <c r="BC197" s="8"/>
      <c r="BD197" s="8"/>
      <c r="BE197" s="8"/>
      <c r="BF197" s="8"/>
      <c r="BG197" s="8"/>
      <c r="BH197" s="8"/>
      <c r="BI197" s="8"/>
      <c r="BJ197" s="8"/>
      <c r="BK197" s="8"/>
      <c r="BL197" s="8"/>
      <c r="BM197" s="8"/>
      <c r="BN197" s="8">
        <f t="shared" si="8"/>
        <v>0</v>
      </c>
      <c r="BO197" s="24">
        <f t="shared" si="10"/>
        <v>2</v>
      </c>
      <c r="BP197" s="23"/>
      <c r="BQ197" s="23"/>
    </row>
    <row r="198" spans="1:69" ht="15.5">
      <c r="A198" s="3" t="s">
        <v>612</v>
      </c>
      <c r="B198" s="3" t="s">
        <v>613</v>
      </c>
      <c r="C198" s="8"/>
      <c r="D198" s="8"/>
      <c r="E198" s="21"/>
      <c r="F198" s="21"/>
      <c r="G198" s="8"/>
      <c r="H198" s="8"/>
      <c r="I198" s="8"/>
      <c r="J198" s="8"/>
      <c r="K198" s="8"/>
      <c r="L198" s="8"/>
      <c r="M198" s="8"/>
      <c r="N198" s="21"/>
      <c r="O198" s="8"/>
      <c r="P198" s="8"/>
      <c r="Q198" s="8"/>
      <c r="R198" s="8"/>
      <c r="S198" s="8"/>
      <c r="T198" s="21"/>
      <c r="U198" s="8">
        <v>1</v>
      </c>
      <c r="V198" s="8"/>
      <c r="W198" s="8"/>
      <c r="X198" s="8"/>
      <c r="Y198" s="8"/>
      <c r="Z198" s="8"/>
      <c r="AA198" s="8"/>
      <c r="AB198" s="8">
        <v>1</v>
      </c>
      <c r="AC198" s="8"/>
      <c r="AD198" s="8"/>
      <c r="AE198" s="8"/>
      <c r="AF198" s="8"/>
      <c r="AG198" s="8"/>
      <c r="AH198" s="8"/>
      <c r="AI198" s="8"/>
      <c r="AJ198" s="8"/>
      <c r="AK198" s="8"/>
      <c r="AL198" s="8"/>
      <c r="AM198" s="21"/>
      <c r="AN198" s="8"/>
      <c r="AO198" s="8"/>
      <c r="AP198" s="8"/>
      <c r="AQ198" s="8">
        <v>1</v>
      </c>
      <c r="AR198" s="8"/>
      <c r="AS198" s="8"/>
      <c r="AT198" s="8"/>
      <c r="AU198" s="8">
        <f t="shared" si="0"/>
        <v>3</v>
      </c>
      <c r="AV198" s="8"/>
      <c r="AW198" s="8"/>
      <c r="AX198" s="8"/>
      <c r="AY198" s="8"/>
      <c r="AZ198" s="8"/>
      <c r="BA198" s="8">
        <v>1</v>
      </c>
      <c r="BB198" s="8"/>
      <c r="BC198" s="8"/>
      <c r="BD198" s="8">
        <v>1</v>
      </c>
      <c r="BE198" s="8">
        <v>1</v>
      </c>
      <c r="BF198" s="8"/>
      <c r="BG198" s="8"/>
      <c r="BH198" s="8"/>
      <c r="BI198" s="8"/>
      <c r="BJ198" s="8"/>
      <c r="BK198" s="8"/>
      <c r="BL198" s="8"/>
      <c r="BM198" s="8"/>
      <c r="BN198" s="8">
        <f t="shared" si="8"/>
        <v>3</v>
      </c>
      <c r="BO198" s="24">
        <f t="shared" si="10"/>
        <v>0</v>
      </c>
      <c r="BP198" s="23"/>
      <c r="BQ198" s="23"/>
    </row>
    <row r="199" spans="1:69" ht="15.5">
      <c r="A199" s="3" t="s">
        <v>614</v>
      </c>
      <c r="B199" s="3" t="s">
        <v>615</v>
      </c>
      <c r="C199" s="8"/>
      <c r="D199" s="8"/>
      <c r="E199" s="21"/>
      <c r="F199" s="21"/>
      <c r="G199" s="8"/>
      <c r="H199" s="8"/>
      <c r="I199" s="8"/>
      <c r="J199" s="8"/>
      <c r="K199" s="8"/>
      <c r="L199" s="8"/>
      <c r="M199" s="8"/>
      <c r="N199" s="21"/>
      <c r="O199" s="8"/>
      <c r="P199" s="8"/>
      <c r="Q199" s="8"/>
      <c r="R199" s="8"/>
      <c r="S199" s="8"/>
      <c r="T199" s="21"/>
      <c r="U199" s="8">
        <v>1</v>
      </c>
      <c r="V199" s="8"/>
      <c r="W199" s="8"/>
      <c r="X199" s="8"/>
      <c r="Y199" s="8"/>
      <c r="Z199" s="8"/>
      <c r="AA199" s="8"/>
      <c r="AB199" s="8">
        <v>1</v>
      </c>
      <c r="AC199" s="8"/>
      <c r="AD199" s="8"/>
      <c r="AE199" s="8"/>
      <c r="AF199" s="8"/>
      <c r="AG199" s="8"/>
      <c r="AH199" s="8"/>
      <c r="AI199" s="8"/>
      <c r="AJ199" s="8"/>
      <c r="AK199" s="8"/>
      <c r="AL199" s="8"/>
      <c r="AM199" s="21"/>
      <c r="AN199" s="8"/>
      <c r="AO199" s="8"/>
      <c r="AP199" s="8"/>
      <c r="AQ199" s="8"/>
      <c r="AR199" s="8"/>
      <c r="AS199" s="8"/>
      <c r="AT199" s="8"/>
      <c r="AU199" s="8">
        <f t="shared" si="0"/>
        <v>2</v>
      </c>
      <c r="AV199" s="8"/>
      <c r="AW199" s="8"/>
      <c r="AX199" s="8"/>
      <c r="AY199" s="8"/>
      <c r="AZ199" s="8">
        <v>1</v>
      </c>
      <c r="BA199" s="8"/>
      <c r="BB199" s="8"/>
      <c r="BC199" s="8"/>
      <c r="BD199" s="8"/>
      <c r="BE199" s="8"/>
      <c r="BF199" s="8"/>
      <c r="BG199" s="8"/>
      <c r="BH199" s="8"/>
      <c r="BI199" s="8"/>
      <c r="BJ199" s="8"/>
      <c r="BK199" s="8"/>
      <c r="BL199" s="8"/>
      <c r="BM199" s="8"/>
      <c r="BN199" s="8">
        <f t="shared" si="8"/>
        <v>1</v>
      </c>
      <c r="BO199" s="24">
        <f t="shared" si="10"/>
        <v>1</v>
      </c>
      <c r="BP199" s="23"/>
      <c r="BQ199" s="23"/>
    </row>
    <row r="200" spans="1:69" ht="15.5">
      <c r="A200" s="3" t="s">
        <v>616</v>
      </c>
      <c r="B200" s="3" t="s">
        <v>617</v>
      </c>
      <c r="C200" s="8"/>
      <c r="D200" s="8"/>
      <c r="E200" s="21"/>
      <c r="F200" s="21"/>
      <c r="G200" s="8"/>
      <c r="H200" s="8"/>
      <c r="I200" s="8"/>
      <c r="J200" s="8"/>
      <c r="K200" s="8"/>
      <c r="L200" s="8"/>
      <c r="M200" s="8"/>
      <c r="N200" s="21"/>
      <c r="O200" s="8"/>
      <c r="P200" s="8"/>
      <c r="Q200" s="8"/>
      <c r="R200" s="8"/>
      <c r="S200" s="8"/>
      <c r="T200" s="21"/>
      <c r="U200" s="8">
        <v>1</v>
      </c>
      <c r="V200" s="8"/>
      <c r="W200" s="8"/>
      <c r="X200" s="8"/>
      <c r="Y200" s="8"/>
      <c r="Z200" s="8"/>
      <c r="AA200" s="8"/>
      <c r="AB200" s="8">
        <v>1</v>
      </c>
      <c r="AC200" s="8"/>
      <c r="AD200" s="8"/>
      <c r="AE200" s="8"/>
      <c r="AF200" s="8"/>
      <c r="AG200" s="8"/>
      <c r="AH200" s="8"/>
      <c r="AI200" s="8"/>
      <c r="AJ200" s="8"/>
      <c r="AK200" s="8"/>
      <c r="AL200" s="8"/>
      <c r="AM200" s="21"/>
      <c r="AN200" s="8"/>
      <c r="AO200" s="8"/>
      <c r="AP200" s="8"/>
      <c r="AQ200" s="8"/>
      <c r="AR200" s="8"/>
      <c r="AS200" s="8"/>
      <c r="AT200" s="8"/>
      <c r="AU200" s="8">
        <f t="shared" si="0"/>
        <v>2</v>
      </c>
      <c r="AV200" s="8"/>
      <c r="AW200" s="8"/>
      <c r="AX200" s="8">
        <v>1</v>
      </c>
      <c r="AY200" s="8"/>
      <c r="AZ200" s="8"/>
      <c r="BA200" s="8">
        <v>1</v>
      </c>
      <c r="BB200" s="8"/>
      <c r="BC200" s="8"/>
      <c r="BD200" s="8"/>
      <c r="BE200" s="8"/>
      <c r="BF200" s="8"/>
      <c r="BG200" s="8"/>
      <c r="BH200" s="8"/>
      <c r="BI200" s="8"/>
      <c r="BJ200" s="8"/>
      <c r="BK200" s="8"/>
      <c r="BL200" s="8"/>
      <c r="BM200" s="8"/>
      <c r="BN200" s="8">
        <f t="shared" si="8"/>
        <v>2</v>
      </c>
      <c r="BO200" s="24">
        <f t="shared" si="10"/>
        <v>0</v>
      </c>
      <c r="BP200" s="23"/>
      <c r="BQ200" s="23"/>
    </row>
    <row r="201" spans="1:69" ht="15.5">
      <c r="A201" s="3" t="s">
        <v>622</v>
      </c>
      <c r="B201" s="3" t="s">
        <v>623</v>
      </c>
      <c r="C201" s="8"/>
      <c r="D201" s="8"/>
      <c r="E201" s="21"/>
      <c r="F201" s="21"/>
      <c r="G201" s="8"/>
      <c r="H201" s="8"/>
      <c r="I201" s="8"/>
      <c r="J201" s="8"/>
      <c r="K201" s="8"/>
      <c r="L201" s="8"/>
      <c r="M201" s="8"/>
      <c r="N201" s="21"/>
      <c r="O201" s="8"/>
      <c r="P201" s="8"/>
      <c r="Q201" s="8"/>
      <c r="R201" s="8"/>
      <c r="S201" s="8"/>
      <c r="T201" s="21"/>
      <c r="U201" s="8">
        <v>1</v>
      </c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  <c r="AH201" s="8"/>
      <c r="AI201" s="8"/>
      <c r="AJ201" s="8"/>
      <c r="AK201" s="8"/>
      <c r="AL201" s="8"/>
      <c r="AM201" s="21"/>
      <c r="AN201" s="8"/>
      <c r="AO201" s="8"/>
      <c r="AP201" s="8"/>
      <c r="AQ201" s="8"/>
      <c r="AR201" s="8"/>
      <c r="AS201" s="8"/>
      <c r="AT201" s="8"/>
      <c r="AU201" s="8">
        <f t="shared" si="0"/>
        <v>1</v>
      </c>
      <c r="AV201" s="8"/>
      <c r="AW201" s="8"/>
      <c r="AX201" s="8"/>
      <c r="AY201" s="8"/>
      <c r="AZ201" s="8"/>
      <c r="BA201" s="8"/>
      <c r="BB201" s="8"/>
      <c r="BC201" s="8"/>
      <c r="BD201" s="8"/>
      <c r="BE201" s="8"/>
      <c r="BF201" s="8"/>
      <c r="BG201" s="8"/>
      <c r="BH201" s="8"/>
      <c r="BI201" s="8"/>
      <c r="BJ201" s="8"/>
      <c r="BK201" s="8"/>
      <c r="BL201" s="8"/>
      <c r="BM201" s="8"/>
      <c r="BN201" s="8">
        <f t="shared" si="8"/>
        <v>0</v>
      </c>
      <c r="BO201" s="24">
        <f t="shared" si="10"/>
        <v>1</v>
      </c>
      <c r="BP201" s="23"/>
      <c r="BQ201" s="23"/>
    </row>
    <row r="202" spans="1:69" ht="15.5">
      <c r="A202" s="3" t="s">
        <v>628</v>
      </c>
      <c r="B202" s="3" t="s">
        <v>629</v>
      </c>
      <c r="C202" s="8"/>
      <c r="D202" s="8"/>
      <c r="E202" s="21"/>
      <c r="F202" s="21"/>
      <c r="G202" s="8"/>
      <c r="H202" s="8"/>
      <c r="I202" s="8"/>
      <c r="J202" s="8"/>
      <c r="K202" s="8"/>
      <c r="L202" s="8"/>
      <c r="M202" s="8"/>
      <c r="N202" s="21"/>
      <c r="O202" s="8"/>
      <c r="P202" s="8"/>
      <c r="Q202" s="8"/>
      <c r="R202" s="8"/>
      <c r="S202" s="8"/>
      <c r="T202" s="21"/>
      <c r="U202" s="8">
        <v>1</v>
      </c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  <c r="AG202" s="8"/>
      <c r="AH202" s="8"/>
      <c r="AI202" s="8"/>
      <c r="AJ202" s="8"/>
      <c r="AK202" s="8"/>
      <c r="AL202" s="8"/>
      <c r="AM202" s="21"/>
      <c r="AN202" s="8"/>
      <c r="AO202" s="8"/>
      <c r="AP202" s="8"/>
      <c r="AQ202" s="8"/>
      <c r="AR202" s="8"/>
      <c r="AS202" s="8"/>
      <c r="AT202" s="8"/>
      <c r="AU202" s="8">
        <f t="shared" si="0"/>
        <v>1</v>
      </c>
      <c r="AV202" s="8"/>
      <c r="AW202" s="8"/>
      <c r="AX202" s="8"/>
      <c r="AY202" s="8"/>
      <c r="AZ202" s="8"/>
      <c r="BA202" s="8"/>
      <c r="BB202" s="8"/>
      <c r="BC202" s="8"/>
      <c r="BD202" s="8"/>
      <c r="BE202" s="8"/>
      <c r="BF202" s="8"/>
      <c r="BG202" s="8"/>
      <c r="BH202" s="8"/>
      <c r="BI202" s="8"/>
      <c r="BJ202" s="8"/>
      <c r="BK202" s="8"/>
      <c r="BL202" s="8"/>
      <c r="BM202" s="8"/>
      <c r="BN202" s="8">
        <f t="shared" si="8"/>
        <v>0</v>
      </c>
      <c r="BO202" s="24">
        <f t="shared" si="10"/>
        <v>1</v>
      </c>
      <c r="BP202" s="23"/>
      <c r="BQ202" s="23"/>
    </row>
    <row r="203" spans="1:69" ht="15.5">
      <c r="A203" s="3" t="s">
        <v>630</v>
      </c>
      <c r="B203" s="3" t="s">
        <v>631</v>
      </c>
      <c r="C203" s="8"/>
      <c r="D203" s="8"/>
      <c r="E203" s="21"/>
      <c r="F203" s="21"/>
      <c r="G203" s="8"/>
      <c r="H203" s="8"/>
      <c r="I203" s="8"/>
      <c r="J203" s="8"/>
      <c r="K203" s="8"/>
      <c r="L203" s="8"/>
      <c r="M203" s="8"/>
      <c r="N203" s="21"/>
      <c r="O203" s="8"/>
      <c r="P203" s="8"/>
      <c r="Q203" s="8"/>
      <c r="R203" s="8"/>
      <c r="S203" s="8"/>
      <c r="T203" s="21"/>
      <c r="U203" s="8">
        <v>1</v>
      </c>
      <c r="V203" s="8"/>
      <c r="W203" s="8">
        <v>1</v>
      </c>
      <c r="X203" s="8"/>
      <c r="Y203" s="8"/>
      <c r="Z203" s="8"/>
      <c r="AA203" s="8"/>
      <c r="AB203" s="8"/>
      <c r="AC203" s="8"/>
      <c r="AD203" s="8"/>
      <c r="AE203" s="8"/>
      <c r="AF203" s="8"/>
      <c r="AG203" s="8"/>
      <c r="AH203" s="8"/>
      <c r="AI203" s="8"/>
      <c r="AJ203" s="8"/>
      <c r="AK203" s="8"/>
      <c r="AL203" s="8">
        <v>1</v>
      </c>
      <c r="AM203" s="21"/>
      <c r="AN203" s="8"/>
      <c r="AO203" s="8"/>
      <c r="AP203" s="8"/>
      <c r="AQ203" s="8"/>
      <c r="AR203" s="8"/>
      <c r="AS203" s="8"/>
      <c r="AT203" s="8"/>
      <c r="AU203" s="8">
        <f t="shared" si="0"/>
        <v>3</v>
      </c>
      <c r="AV203" s="8"/>
      <c r="AW203" s="8"/>
      <c r="AX203" s="8">
        <v>1</v>
      </c>
      <c r="AY203" s="8"/>
      <c r="AZ203" s="8"/>
      <c r="BA203" s="8"/>
      <c r="BB203" s="8"/>
      <c r="BC203" s="8"/>
      <c r="BD203" s="8"/>
      <c r="BE203" s="8"/>
      <c r="BF203" s="8"/>
      <c r="BG203" s="8"/>
      <c r="BH203" s="8"/>
      <c r="BI203" s="8"/>
      <c r="BJ203" s="8"/>
      <c r="BK203" s="8"/>
      <c r="BL203" s="8"/>
      <c r="BM203" s="8"/>
      <c r="BN203" s="8">
        <f t="shared" si="8"/>
        <v>1</v>
      </c>
      <c r="BO203" s="24">
        <f t="shared" si="10"/>
        <v>2</v>
      </c>
      <c r="BP203" s="23"/>
      <c r="BQ203" s="23"/>
    </row>
    <row r="204" spans="1:69" ht="15.5">
      <c r="A204" s="3" t="s">
        <v>632</v>
      </c>
      <c r="B204" s="3" t="s">
        <v>633</v>
      </c>
      <c r="C204" s="8"/>
      <c r="D204" s="8"/>
      <c r="E204" s="21"/>
      <c r="F204" s="21"/>
      <c r="G204" s="8"/>
      <c r="H204" s="8"/>
      <c r="I204" s="8"/>
      <c r="J204" s="8"/>
      <c r="K204" s="8"/>
      <c r="L204" s="8"/>
      <c r="M204" s="8"/>
      <c r="N204" s="21"/>
      <c r="O204" s="8"/>
      <c r="P204" s="8"/>
      <c r="Q204" s="8"/>
      <c r="R204" s="8"/>
      <c r="S204" s="8"/>
      <c r="T204" s="21"/>
      <c r="U204" s="8">
        <v>1</v>
      </c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8"/>
      <c r="AH204" s="8">
        <v>1</v>
      </c>
      <c r="AI204" s="8"/>
      <c r="AJ204" s="8"/>
      <c r="AK204" s="8"/>
      <c r="AL204" s="8"/>
      <c r="AM204" s="21"/>
      <c r="AN204" s="8"/>
      <c r="AO204" s="8"/>
      <c r="AP204" s="8"/>
      <c r="AQ204" s="8">
        <v>1</v>
      </c>
      <c r="AR204" s="8"/>
      <c r="AS204" s="8"/>
      <c r="AT204" s="8"/>
      <c r="AU204" s="8">
        <f t="shared" si="0"/>
        <v>3</v>
      </c>
      <c r="AV204" s="8"/>
      <c r="AW204" s="8"/>
      <c r="AX204" s="8"/>
      <c r="AY204" s="8">
        <v>1</v>
      </c>
      <c r="AZ204" s="8"/>
      <c r="BA204" s="8">
        <v>1</v>
      </c>
      <c r="BB204" s="8"/>
      <c r="BC204" s="8"/>
      <c r="BD204" s="8">
        <v>1</v>
      </c>
      <c r="BE204" s="8"/>
      <c r="BF204" s="8"/>
      <c r="BG204" s="8"/>
      <c r="BH204" s="8"/>
      <c r="BI204" s="8"/>
      <c r="BJ204" s="8"/>
      <c r="BK204" s="8"/>
      <c r="BL204" s="8"/>
      <c r="BM204" s="8"/>
      <c r="BN204" s="8">
        <f t="shared" si="8"/>
        <v>3</v>
      </c>
      <c r="BO204" s="24">
        <f t="shared" si="10"/>
        <v>0</v>
      </c>
      <c r="BP204" s="23"/>
      <c r="BQ204" s="23"/>
    </row>
    <row r="205" spans="1:69" ht="15.5">
      <c r="A205" s="3" t="s">
        <v>634</v>
      </c>
      <c r="B205" s="3" t="s">
        <v>635</v>
      </c>
      <c r="C205" s="8"/>
      <c r="D205" s="8"/>
      <c r="E205" s="21"/>
      <c r="F205" s="21"/>
      <c r="G205" s="8"/>
      <c r="H205" s="8"/>
      <c r="I205" s="8"/>
      <c r="J205" s="8"/>
      <c r="K205" s="8"/>
      <c r="L205" s="8"/>
      <c r="M205" s="8"/>
      <c r="N205" s="21"/>
      <c r="O205" s="8"/>
      <c r="P205" s="8"/>
      <c r="Q205" s="8"/>
      <c r="R205" s="8"/>
      <c r="S205" s="8"/>
      <c r="T205" s="21"/>
      <c r="U205" s="8">
        <v>1</v>
      </c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8"/>
      <c r="AH205" s="8"/>
      <c r="AI205" s="8"/>
      <c r="AJ205" s="8"/>
      <c r="AK205" s="8"/>
      <c r="AL205" s="8"/>
      <c r="AM205" s="21"/>
      <c r="AN205" s="8"/>
      <c r="AO205" s="8"/>
      <c r="AP205" s="8"/>
      <c r="AQ205" s="8"/>
      <c r="AR205" s="8"/>
      <c r="AS205" s="8"/>
      <c r="AT205" s="8"/>
      <c r="AU205" s="8">
        <f t="shared" si="0"/>
        <v>1</v>
      </c>
      <c r="AV205" s="8"/>
      <c r="AW205" s="8"/>
      <c r="AX205" s="8"/>
      <c r="AY205" s="8"/>
      <c r="AZ205" s="8"/>
      <c r="BA205" s="8"/>
      <c r="BB205" s="8"/>
      <c r="BC205" s="8"/>
      <c r="BD205" s="8"/>
      <c r="BE205" s="8"/>
      <c r="BF205" s="8"/>
      <c r="BG205" s="8"/>
      <c r="BH205" s="8"/>
      <c r="BI205" s="8"/>
      <c r="BJ205" s="8"/>
      <c r="BK205" s="8"/>
      <c r="BL205" s="8"/>
      <c r="BM205" s="8"/>
      <c r="BN205" s="8">
        <f t="shared" si="8"/>
        <v>0</v>
      </c>
      <c r="BO205" s="24">
        <f t="shared" si="10"/>
        <v>1</v>
      </c>
      <c r="BP205" s="23"/>
      <c r="BQ205" s="23"/>
    </row>
    <row r="206" spans="1:69" ht="15.5">
      <c r="A206" s="3" t="s">
        <v>636</v>
      </c>
      <c r="B206" s="3" t="s">
        <v>637</v>
      </c>
      <c r="C206" s="8"/>
      <c r="D206" s="8"/>
      <c r="E206" s="21"/>
      <c r="F206" s="21"/>
      <c r="G206" s="8"/>
      <c r="H206" s="8"/>
      <c r="I206" s="8"/>
      <c r="J206" s="8"/>
      <c r="K206" s="8"/>
      <c r="L206" s="8"/>
      <c r="M206" s="8"/>
      <c r="N206" s="21"/>
      <c r="O206" s="8"/>
      <c r="P206" s="8"/>
      <c r="Q206" s="8"/>
      <c r="R206" s="8"/>
      <c r="S206" s="8"/>
      <c r="T206" s="21"/>
      <c r="U206" s="8">
        <v>1</v>
      </c>
      <c r="V206" s="8"/>
      <c r="W206" s="8"/>
      <c r="X206" s="8"/>
      <c r="Y206" s="8"/>
      <c r="Z206" s="8"/>
      <c r="AA206" s="8"/>
      <c r="AB206" s="8"/>
      <c r="AC206" s="8"/>
      <c r="AD206" s="8"/>
      <c r="AE206" s="8">
        <v>1</v>
      </c>
      <c r="AF206" s="8"/>
      <c r="AG206" s="8"/>
      <c r="AH206" s="8"/>
      <c r="AI206" s="8"/>
      <c r="AJ206" s="8"/>
      <c r="AK206" s="8"/>
      <c r="AL206" s="8"/>
      <c r="AM206" s="21"/>
      <c r="AN206" s="8"/>
      <c r="AO206" s="8"/>
      <c r="AP206" s="8"/>
      <c r="AQ206" s="8"/>
      <c r="AR206" s="8"/>
      <c r="AS206" s="8"/>
      <c r="AT206" s="8"/>
      <c r="AU206" s="8">
        <f t="shared" si="0"/>
        <v>2</v>
      </c>
      <c r="AV206" s="8"/>
      <c r="AW206" s="8"/>
      <c r="AX206" s="8"/>
      <c r="AY206" s="8"/>
      <c r="AZ206" s="8"/>
      <c r="BA206" s="8"/>
      <c r="BB206" s="8"/>
      <c r="BC206" s="8"/>
      <c r="BD206" s="8"/>
      <c r="BE206" s="8"/>
      <c r="BF206" s="8"/>
      <c r="BG206" s="8"/>
      <c r="BH206" s="8"/>
      <c r="BI206" s="8"/>
      <c r="BJ206" s="8"/>
      <c r="BK206" s="8"/>
      <c r="BL206" s="8"/>
      <c r="BM206" s="8"/>
      <c r="BN206" s="8">
        <f t="shared" si="8"/>
        <v>0</v>
      </c>
      <c r="BO206" s="24">
        <f t="shared" si="10"/>
        <v>2</v>
      </c>
      <c r="BP206" s="23"/>
      <c r="BQ206" s="23"/>
    </row>
    <row r="207" spans="1:69" ht="15.5">
      <c r="A207" s="3" t="s">
        <v>638</v>
      </c>
      <c r="B207" s="3" t="s">
        <v>639</v>
      </c>
      <c r="C207" s="8"/>
      <c r="D207" s="8"/>
      <c r="E207" s="21"/>
      <c r="F207" s="21"/>
      <c r="G207" s="8"/>
      <c r="H207" s="8"/>
      <c r="I207" s="8"/>
      <c r="J207" s="8"/>
      <c r="K207" s="8"/>
      <c r="L207" s="8"/>
      <c r="M207" s="8"/>
      <c r="N207" s="21"/>
      <c r="O207" s="8"/>
      <c r="P207" s="8"/>
      <c r="Q207" s="8"/>
      <c r="R207" s="8"/>
      <c r="S207" s="8"/>
      <c r="T207" s="21"/>
      <c r="U207" s="8">
        <v>1</v>
      </c>
      <c r="V207" s="8"/>
      <c r="W207" s="8"/>
      <c r="X207" s="8"/>
      <c r="Y207" s="8"/>
      <c r="Z207" s="8">
        <v>1</v>
      </c>
      <c r="AA207" s="8"/>
      <c r="AB207" s="8"/>
      <c r="AC207" s="8"/>
      <c r="AD207" s="8"/>
      <c r="AE207" s="8">
        <v>1</v>
      </c>
      <c r="AF207" s="8"/>
      <c r="AG207" s="8"/>
      <c r="AH207" s="8"/>
      <c r="AI207" s="8"/>
      <c r="AJ207" s="8"/>
      <c r="AK207" s="8"/>
      <c r="AL207" s="8"/>
      <c r="AM207" s="21"/>
      <c r="AN207" s="8"/>
      <c r="AO207" s="8"/>
      <c r="AP207" s="8"/>
      <c r="AQ207" s="8"/>
      <c r="AR207" s="8"/>
      <c r="AS207" s="8"/>
      <c r="AT207" s="8"/>
      <c r="AU207" s="8">
        <f t="shared" si="0"/>
        <v>3</v>
      </c>
      <c r="AV207" s="8"/>
      <c r="AW207" s="8"/>
      <c r="AX207" s="8"/>
      <c r="AY207" s="8"/>
      <c r="AZ207" s="8"/>
      <c r="BA207" s="8">
        <v>1</v>
      </c>
      <c r="BB207" s="8"/>
      <c r="BC207" s="8"/>
      <c r="BD207" s="8"/>
      <c r="BE207" s="8"/>
      <c r="BF207" s="8"/>
      <c r="BG207" s="8"/>
      <c r="BH207" s="8"/>
      <c r="BI207" s="8"/>
      <c r="BJ207" s="8"/>
      <c r="BK207" s="8"/>
      <c r="BL207" s="8"/>
      <c r="BM207" s="8"/>
      <c r="BN207" s="8">
        <f t="shared" si="8"/>
        <v>1</v>
      </c>
      <c r="BO207" s="24">
        <f t="shared" si="10"/>
        <v>2</v>
      </c>
      <c r="BP207" s="23"/>
      <c r="BQ207" s="23"/>
    </row>
    <row r="208" spans="1:69" ht="15.5">
      <c r="A208" s="3" t="s">
        <v>640</v>
      </c>
      <c r="B208" s="3" t="s">
        <v>641</v>
      </c>
      <c r="C208" s="8"/>
      <c r="D208" s="8"/>
      <c r="E208" s="21"/>
      <c r="F208" s="21"/>
      <c r="G208" s="8"/>
      <c r="H208" s="8"/>
      <c r="I208" s="8"/>
      <c r="J208" s="8"/>
      <c r="K208" s="8"/>
      <c r="L208" s="8"/>
      <c r="M208" s="8"/>
      <c r="N208" s="21"/>
      <c r="O208" s="8"/>
      <c r="P208" s="8"/>
      <c r="Q208" s="8"/>
      <c r="R208" s="8"/>
      <c r="S208" s="8"/>
      <c r="T208" s="21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  <c r="AG208" s="8"/>
      <c r="AH208" s="8"/>
      <c r="AI208" s="8"/>
      <c r="AJ208" s="8"/>
      <c r="AK208" s="8"/>
      <c r="AL208" s="8"/>
      <c r="AM208" s="21"/>
      <c r="AN208" s="8"/>
      <c r="AO208" s="8"/>
      <c r="AP208" s="8"/>
      <c r="AQ208" s="8"/>
      <c r="AR208" s="8"/>
      <c r="AS208" s="8"/>
      <c r="AT208" s="8"/>
      <c r="AU208" s="8">
        <f t="shared" si="0"/>
        <v>0</v>
      </c>
      <c r="AV208" s="8"/>
      <c r="AW208" s="8"/>
      <c r="AX208" s="8"/>
      <c r="AY208" s="8"/>
      <c r="AZ208" s="8"/>
      <c r="BA208" s="8"/>
      <c r="BB208" s="8"/>
      <c r="BC208" s="8"/>
      <c r="BD208" s="8"/>
      <c r="BE208" s="8"/>
      <c r="BF208" s="8"/>
      <c r="BG208" s="8"/>
      <c r="BH208" s="8"/>
      <c r="BI208" s="8"/>
      <c r="BJ208" s="8"/>
      <c r="BK208" s="8"/>
      <c r="BL208" s="8"/>
      <c r="BM208" s="8"/>
      <c r="BN208" s="8">
        <f t="shared" si="8"/>
        <v>0</v>
      </c>
      <c r="BO208" s="24">
        <f t="shared" si="10"/>
        <v>0</v>
      </c>
      <c r="BP208" s="23"/>
      <c r="BQ208" s="23"/>
    </row>
    <row r="209" spans="1:69" ht="15.5">
      <c r="A209" s="3" t="s">
        <v>642</v>
      </c>
      <c r="B209" s="3" t="s">
        <v>643</v>
      </c>
      <c r="C209" s="8"/>
      <c r="D209" s="8"/>
      <c r="E209" s="21"/>
      <c r="F209" s="21"/>
      <c r="G209" s="8"/>
      <c r="H209" s="8"/>
      <c r="I209" s="8"/>
      <c r="J209" s="8"/>
      <c r="K209" s="8"/>
      <c r="L209" s="8"/>
      <c r="M209" s="8"/>
      <c r="N209" s="21"/>
      <c r="O209" s="8"/>
      <c r="P209" s="8"/>
      <c r="Q209" s="8"/>
      <c r="R209" s="8"/>
      <c r="S209" s="8"/>
      <c r="T209" s="21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G209" s="8"/>
      <c r="AH209" s="8"/>
      <c r="AI209" s="8"/>
      <c r="AJ209" s="8"/>
      <c r="AK209" s="8"/>
      <c r="AL209" s="8"/>
      <c r="AM209" s="21"/>
      <c r="AN209" s="8"/>
      <c r="AO209" s="8"/>
      <c r="AP209" s="8"/>
      <c r="AQ209" s="8"/>
      <c r="AR209" s="8"/>
      <c r="AS209" s="8"/>
      <c r="AT209" s="8"/>
      <c r="AU209" s="8">
        <f t="shared" si="0"/>
        <v>0</v>
      </c>
      <c r="AV209" s="8"/>
      <c r="AW209" s="8"/>
      <c r="AX209" s="8"/>
      <c r="AY209" s="8"/>
      <c r="AZ209" s="8"/>
      <c r="BA209" s="8"/>
      <c r="BB209" s="8"/>
      <c r="BC209" s="8"/>
      <c r="BD209" s="8"/>
      <c r="BE209" s="8"/>
      <c r="BF209" s="8"/>
      <c r="BG209" s="8"/>
      <c r="BH209" s="8"/>
      <c r="BI209" s="8"/>
      <c r="BJ209" s="8"/>
      <c r="BK209" s="8"/>
      <c r="BL209" s="8"/>
      <c r="BM209" s="8"/>
      <c r="BN209" s="8">
        <f t="shared" si="8"/>
        <v>0</v>
      </c>
      <c r="BO209" s="24">
        <f t="shared" si="10"/>
        <v>0</v>
      </c>
      <c r="BP209" s="23"/>
      <c r="BQ209" s="23"/>
    </row>
    <row r="210" spans="1:69" ht="15.5">
      <c r="A210" s="3" t="s">
        <v>644</v>
      </c>
      <c r="B210" s="3" t="s">
        <v>645</v>
      </c>
      <c r="C210" s="8"/>
      <c r="D210" s="8"/>
      <c r="E210" s="21"/>
      <c r="F210" s="21"/>
      <c r="G210" s="8"/>
      <c r="H210" s="8"/>
      <c r="I210" s="8"/>
      <c r="J210" s="8"/>
      <c r="K210" s="8"/>
      <c r="L210" s="8"/>
      <c r="M210" s="8"/>
      <c r="N210" s="21"/>
      <c r="O210" s="8"/>
      <c r="P210" s="8"/>
      <c r="Q210" s="8"/>
      <c r="R210" s="8"/>
      <c r="S210" s="8"/>
      <c r="T210" s="21"/>
      <c r="U210" s="8"/>
      <c r="V210" s="8"/>
      <c r="W210" s="8"/>
      <c r="X210" s="8"/>
      <c r="Y210" s="8"/>
      <c r="Z210" s="8"/>
      <c r="AA210" s="8"/>
      <c r="AB210" s="8">
        <v>1</v>
      </c>
      <c r="AC210" s="8"/>
      <c r="AD210" s="8"/>
      <c r="AE210" s="8"/>
      <c r="AF210" s="8"/>
      <c r="AG210" s="8"/>
      <c r="AH210" s="8"/>
      <c r="AI210" s="8"/>
      <c r="AJ210" s="8"/>
      <c r="AK210" s="8"/>
      <c r="AL210" s="8"/>
      <c r="AM210" s="21"/>
      <c r="AN210" s="8"/>
      <c r="AO210" s="8"/>
      <c r="AP210" s="8">
        <v>2</v>
      </c>
      <c r="AQ210" s="8"/>
      <c r="AR210" s="8"/>
      <c r="AS210" s="8"/>
      <c r="AT210" s="8"/>
      <c r="AU210" s="8">
        <f t="shared" si="0"/>
        <v>3</v>
      </c>
      <c r="AV210" s="8"/>
      <c r="AW210" s="8"/>
      <c r="AX210" s="8"/>
      <c r="AY210" s="8"/>
      <c r="AZ210" s="8"/>
      <c r="BA210" s="8"/>
      <c r="BB210" s="8"/>
      <c r="BC210" s="8"/>
      <c r="BD210" s="8"/>
      <c r="BE210" s="8"/>
      <c r="BF210" s="8"/>
      <c r="BG210" s="8"/>
      <c r="BH210" s="8"/>
      <c r="BI210" s="8"/>
      <c r="BJ210" s="8"/>
      <c r="BK210" s="8"/>
      <c r="BL210" s="8"/>
      <c r="BM210" s="8"/>
      <c r="BN210" s="8">
        <f t="shared" si="8"/>
        <v>0</v>
      </c>
      <c r="BO210" s="24">
        <f t="shared" si="10"/>
        <v>3</v>
      </c>
      <c r="BP210" s="23"/>
      <c r="BQ210" s="23"/>
    </row>
    <row r="211" spans="1:69" ht="15.5">
      <c r="A211" s="3" t="s">
        <v>646</v>
      </c>
      <c r="B211" s="3" t="s">
        <v>647</v>
      </c>
      <c r="C211" s="8"/>
      <c r="D211" s="8"/>
      <c r="E211" s="21"/>
      <c r="F211" s="21"/>
      <c r="G211" s="8"/>
      <c r="H211" s="8"/>
      <c r="I211" s="8"/>
      <c r="J211" s="8"/>
      <c r="K211" s="8"/>
      <c r="L211" s="8"/>
      <c r="M211" s="8"/>
      <c r="N211" s="21"/>
      <c r="O211" s="8"/>
      <c r="P211" s="8"/>
      <c r="Q211" s="8"/>
      <c r="R211" s="8"/>
      <c r="S211" s="8"/>
      <c r="T211" s="21"/>
      <c r="U211" s="8"/>
      <c r="V211" s="8"/>
      <c r="W211" s="8"/>
      <c r="X211" s="8"/>
      <c r="Y211" s="8"/>
      <c r="Z211" s="8"/>
      <c r="AA211" s="8"/>
      <c r="AB211" s="8">
        <v>1</v>
      </c>
      <c r="AC211" s="8"/>
      <c r="AD211" s="8"/>
      <c r="AE211" s="8"/>
      <c r="AF211" s="8"/>
      <c r="AG211" s="8"/>
      <c r="AH211" s="8"/>
      <c r="AI211" s="8"/>
      <c r="AJ211" s="8"/>
      <c r="AK211" s="8"/>
      <c r="AL211" s="8"/>
      <c r="AM211" s="21"/>
      <c r="AN211" s="8"/>
      <c r="AO211" s="8"/>
      <c r="AP211" s="8"/>
      <c r="AQ211" s="8"/>
      <c r="AR211" s="8"/>
      <c r="AS211" s="8"/>
      <c r="AT211" s="8"/>
      <c r="AU211" s="8">
        <f t="shared" si="0"/>
        <v>1</v>
      </c>
      <c r="AV211" s="8"/>
      <c r="AW211" s="8"/>
      <c r="AX211" s="8"/>
      <c r="AY211" s="8"/>
      <c r="AZ211" s="8"/>
      <c r="BA211" s="8"/>
      <c r="BB211" s="8"/>
      <c r="BC211" s="8"/>
      <c r="BD211" s="8"/>
      <c r="BE211" s="8"/>
      <c r="BF211" s="8"/>
      <c r="BG211" s="8"/>
      <c r="BH211" s="8"/>
      <c r="BI211" s="8"/>
      <c r="BJ211" s="8"/>
      <c r="BK211" s="8"/>
      <c r="BL211" s="8"/>
      <c r="BM211" s="8"/>
      <c r="BN211" s="8">
        <f t="shared" si="8"/>
        <v>0</v>
      </c>
      <c r="BO211" s="24">
        <f t="shared" si="10"/>
        <v>1</v>
      </c>
      <c r="BP211" s="23"/>
      <c r="BQ211" s="23"/>
    </row>
    <row r="212" spans="1:69" ht="15.5">
      <c r="A212" s="3" t="s">
        <v>648</v>
      </c>
      <c r="B212" s="3" t="s">
        <v>649</v>
      </c>
      <c r="C212" s="8"/>
      <c r="D212" s="8"/>
      <c r="E212" s="21"/>
      <c r="F212" s="21"/>
      <c r="G212" s="8"/>
      <c r="H212" s="8"/>
      <c r="I212" s="8"/>
      <c r="J212" s="8"/>
      <c r="K212" s="8"/>
      <c r="L212" s="8"/>
      <c r="M212" s="8"/>
      <c r="N212" s="21"/>
      <c r="O212" s="8"/>
      <c r="P212" s="8"/>
      <c r="Q212" s="8"/>
      <c r="R212" s="8"/>
      <c r="S212" s="8"/>
      <c r="T212" s="21"/>
      <c r="U212" s="8"/>
      <c r="V212" s="8"/>
      <c r="W212" s="8"/>
      <c r="X212" s="8"/>
      <c r="Y212" s="8"/>
      <c r="Z212" s="8"/>
      <c r="AA212" s="8"/>
      <c r="AB212" s="8">
        <v>1</v>
      </c>
      <c r="AC212" s="8"/>
      <c r="AD212" s="8"/>
      <c r="AE212" s="8"/>
      <c r="AF212" s="8"/>
      <c r="AG212" s="8"/>
      <c r="AH212" s="8"/>
      <c r="AI212" s="8"/>
      <c r="AJ212" s="8"/>
      <c r="AK212" s="8"/>
      <c r="AL212" s="8"/>
      <c r="AM212" s="21"/>
      <c r="AN212" s="8"/>
      <c r="AO212" s="8"/>
      <c r="AP212" s="8"/>
      <c r="AQ212" s="8"/>
      <c r="AR212" s="8"/>
      <c r="AS212" s="8"/>
      <c r="AT212" s="8"/>
      <c r="AU212" s="8">
        <f t="shared" si="0"/>
        <v>1</v>
      </c>
      <c r="AV212" s="8"/>
      <c r="AW212" s="8"/>
      <c r="AX212" s="8"/>
      <c r="AY212" s="8"/>
      <c r="AZ212" s="8"/>
      <c r="BA212" s="8"/>
      <c r="BB212" s="8"/>
      <c r="BC212" s="8"/>
      <c r="BD212" s="8"/>
      <c r="BE212" s="8"/>
      <c r="BF212" s="8"/>
      <c r="BG212" s="8"/>
      <c r="BH212" s="8"/>
      <c r="BI212" s="8"/>
      <c r="BJ212" s="8"/>
      <c r="BK212" s="8"/>
      <c r="BL212" s="8"/>
      <c r="BM212" s="8"/>
      <c r="BN212" s="8">
        <f t="shared" si="8"/>
        <v>0</v>
      </c>
      <c r="BO212" s="24">
        <f t="shared" si="10"/>
        <v>1</v>
      </c>
      <c r="BP212" s="23"/>
      <c r="BQ212" s="23"/>
    </row>
    <row r="213" spans="1:69" ht="15.5">
      <c r="A213" s="3" t="s">
        <v>650</v>
      </c>
      <c r="B213" s="3" t="s">
        <v>651</v>
      </c>
      <c r="C213" s="8"/>
      <c r="D213" s="8"/>
      <c r="E213" s="21"/>
      <c r="F213" s="21"/>
      <c r="G213" s="8"/>
      <c r="H213" s="8"/>
      <c r="I213" s="8"/>
      <c r="J213" s="8"/>
      <c r="K213" s="8"/>
      <c r="L213" s="8"/>
      <c r="M213" s="8"/>
      <c r="N213" s="21"/>
      <c r="O213" s="8"/>
      <c r="P213" s="8"/>
      <c r="Q213" s="8"/>
      <c r="R213" s="8"/>
      <c r="S213" s="8"/>
      <c r="T213" s="21"/>
      <c r="U213" s="8"/>
      <c r="V213" s="8"/>
      <c r="W213" s="8"/>
      <c r="X213" s="8"/>
      <c r="Y213" s="8"/>
      <c r="Z213" s="8"/>
      <c r="AA213" s="8"/>
      <c r="AB213" s="8">
        <v>1</v>
      </c>
      <c r="AC213" s="8"/>
      <c r="AD213" s="8"/>
      <c r="AE213" s="8"/>
      <c r="AF213" s="8"/>
      <c r="AG213" s="8"/>
      <c r="AH213" s="8"/>
      <c r="AI213" s="8"/>
      <c r="AJ213" s="8"/>
      <c r="AK213" s="8"/>
      <c r="AL213" s="8"/>
      <c r="AM213" s="21"/>
      <c r="AN213" s="8"/>
      <c r="AO213" s="8"/>
      <c r="AP213" s="8"/>
      <c r="AQ213" s="8"/>
      <c r="AR213" s="8"/>
      <c r="AS213" s="8"/>
      <c r="AT213" s="8"/>
      <c r="AU213" s="8">
        <f t="shared" si="0"/>
        <v>1</v>
      </c>
      <c r="AV213" s="8"/>
      <c r="AW213" s="8"/>
      <c r="AX213" s="8"/>
      <c r="AY213" s="8"/>
      <c r="AZ213" s="8"/>
      <c r="BA213" s="8">
        <v>1</v>
      </c>
      <c r="BB213" s="8"/>
      <c r="BC213" s="8"/>
      <c r="BD213" s="8"/>
      <c r="BE213" s="8"/>
      <c r="BF213" s="8"/>
      <c r="BG213" s="8"/>
      <c r="BH213" s="8"/>
      <c r="BI213" s="8"/>
      <c r="BJ213" s="8"/>
      <c r="BK213" s="8"/>
      <c r="BL213" s="8"/>
      <c r="BM213" s="8"/>
      <c r="BN213" s="8">
        <f t="shared" si="8"/>
        <v>1</v>
      </c>
      <c r="BO213" s="24">
        <f t="shared" si="10"/>
        <v>0</v>
      </c>
      <c r="BP213" s="23"/>
      <c r="BQ213" s="23"/>
    </row>
    <row r="214" spans="1:69" ht="15.5">
      <c r="A214" s="3" t="s">
        <v>652</v>
      </c>
      <c r="B214" s="3" t="s">
        <v>653</v>
      </c>
      <c r="C214" s="8"/>
      <c r="D214" s="8"/>
      <c r="E214" s="21"/>
      <c r="F214" s="21"/>
      <c r="G214" s="8"/>
      <c r="H214" s="8"/>
      <c r="I214" s="8"/>
      <c r="J214" s="8"/>
      <c r="K214" s="8"/>
      <c r="L214" s="8"/>
      <c r="M214" s="8"/>
      <c r="N214" s="21"/>
      <c r="O214" s="8"/>
      <c r="P214" s="8"/>
      <c r="Q214" s="8"/>
      <c r="R214" s="8"/>
      <c r="S214" s="8"/>
      <c r="T214" s="21"/>
      <c r="U214" s="8">
        <v>1</v>
      </c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  <c r="AG214" s="8"/>
      <c r="AH214" s="8"/>
      <c r="AI214" s="8"/>
      <c r="AJ214" s="8"/>
      <c r="AK214" s="8"/>
      <c r="AL214" s="8"/>
      <c r="AM214" s="21"/>
      <c r="AN214" s="8"/>
      <c r="AO214" s="8"/>
      <c r="AP214" s="8"/>
      <c r="AQ214" s="8"/>
      <c r="AR214" s="8"/>
      <c r="AS214" s="8"/>
      <c r="AT214" s="8"/>
      <c r="AU214" s="8">
        <f t="shared" si="0"/>
        <v>1</v>
      </c>
      <c r="AV214" s="8"/>
      <c r="AW214" s="8"/>
      <c r="AX214" s="8"/>
      <c r="AY214" s="8"/>
      <c r="AZ214" s="8"/>
      <c r="BA214" s="8">
        <v>1</v>
      </c>
      <c r="BB214" s="8"/>
      <c r="BC214" s="8"/>
      <c r="BD214" s="8"/>
      <c r="BE214" s="8"/>
      <c r="BF214" s="8"/>
      <c r="BG214" s="8"/>
      <c r="BH214" s="8"/>
      <c r="BI214" s="8"/>
      <c r="BJ214" s="8"/>
      <c r="BK214" s="8"/>
      <c r="BL214" s="8"/>
      <c r="BM214" s="8"/>
      <c r="BN214" s="8">
        <f t="shared" si="8"/>
        <v>1</v>
      </c>
      <c r="BO214" s="24">
        <f t="shared" si="10"/>
        <v>0</v>
      </c>
      <c r="BP214" s="23"/>
      <c r="BQ214" s="23"/>
    </row>
    <row r="215" spans="1:69" ht="15.5">
      <c r="A215" s="3" t="s">
        <v>654</v>
      </c>
      <c r="B215" s="3" t="s">
        <v>655</v>
      </c>
      <c r="C215" s="8"/>
      <c r="D215" s="8"/>
      <c r="E215" s="21"/>
      <c r="F215" s="21"/>
      <c r="G215" s="8"/>
      <c r="H215" s="8"/>
      <c r="I215" s="8"/>
      <c r="J215" s="8"/>
      <c r="K215" s="8"/>
      <c r="L215" s="8"/>
      <c r="M215" s="8"/>
      <c r="N215" s="21"/>
      <c r="O215" s="8"/>
      <c r="P215" s="8"/>
      <c r="Q215" s="8"/>
      <c r="R215" s="8"/>
      <c r="S215" s="8"/>
      <c r="T215" s="21"/>
      <c r="U215" s="8">
        <v>1</v>
      </c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  <c r="AG215" s="8"/>
      <c r="AH215" s="8"/>
      <c r="AI215" s="8"/>
      <c r="AJ215" s="8"/>
      <c r="AK215" s="8"/>
      <c r="AL215" s="8"/>
      <c r="AM215" s="21"/>
      <c r="AN215" s="8"/>
      <c r="AO215" s="8"/>
      <c r="AP215" s="8"/>
      <c r="AQ215" s="8"/>
      <c r="AR215" s="8"/>
      <c r="AS215" s="8"/>
      <c r="AT215" s="8"/>
      <c r="AU215" s="8">
        <f t="shared" si="0"/>
        <v>1</v>
      </c>
      <c r="AV215" s="8"/>
      <c r="AW215" s="8"/>
      <c r="AX215" s="8"/>
      <c r="AY215" s="8"/>
      <c r="AZ215" s="8"/>
      <c r="BA215" s="8"/>
      <c r="BB215" s="8"/>
      <c r="BC215" s="8"/>
      <c r="BD215" s="8"/>
      <c r="BE215" s="8"/>
      <c r="BF215" s="8"/>
      <c r="BG215" s="8"/>
      <c r="BH215" s="8"/>
      <c r="BI215" s="8"/>
      <c r="BJ215" s="8"/>
      <c r="BK215" s="8"/>
      <c r="BL215" s="8"/>
      <c r="BM215" s="8"/>
      <c r="BN215" s="8">
        <f t="shared" si="8"/>
        <v>0</v>
      </c>
      <c r="BO215" s="24">
        <f t="shared" si="10"/>
        <v>1</v>
      </c>
      <c r="BP215" s="23"/>
      <c r="BQ215" s="23"/>
    </row>
    <row r="216" spans="1:69" ht="15.5">
      <c r="A216" s="3" t="s">
        <v>656</v>
      </c>
      <c r="B216" s="3" t="s">
        <v>657</v>
      </c>
      <c r="C216" s="8"/>
      <c r="D216" s="8"/>
      <c r="E216" s="21"/>
      <c r="F216" s="21"/>
      <c r="G216" s="8"/>
      <c r="H216" s="8"/>
      <c r="I216" s="8"/>
      <c r="J216" s="8"/>
      <c r="K216" s="8"/>
      <c r="L216" s="8"/>
      <c r="M216" s="8"/>
      <c r="N216" s="21"/>
      <c r="O216" s="8"/>
      <c r="P216" s="8"/>
      <c r="Q216" s="8"/>
      <c r="R216" s="8"/>
      <c r="S216" s="8"/>
      <c r="T216" s="21"/>
      <c r="U216" s="8">
        <v>1</v>
      </c>
      <c r="V216" s="8"/>
      <c r="W216" s="8"/>
      <c r="X216" s="8"/>
      <c r="Y216" s="8"/>
      <c r="Z216" s="8"/>
      <c r="AA216" s="8"/>
      <c r="AB216" s="8"/>
      <c r="AC216" s="8">
        <v>1</v>
      </c>
      <c r="AD216" s="8"/>
      <c r="AE216" s="8">
        <v>1</v>
      </c>
      <c r="AF216" s="8"/>
      <c r="AG216" s="8"/>
      <c r="AH216" s="8"/>
      <c r="AI216" s="8"/>
      <c r="AJ216" s="8"/>
      <c r="AK216" s="8"/>
      <c r="AL216" s="8"/>
      <c r="AM216" s="21"/>
      <c r="AN216" s="8"/>
      <c r="AO216" s="8"/>
      <c r="AP216" s="8">
        <v>1</v>
      </c>
      <c r="AQ216" s="8"/>
      <c r="AR216" s="8"/>
      <c r="AS216" s="8"/>
      <c r="AT216" s="8"/>
      <c r="AU216" s="8">
        <f t="shared" si="0"/>
        <v>4</v>
      </c>
      <c r="AV216" s="8"/>
      <c r="AW216" s="8"/>
      <c r="AX216" s="8"/>
      <c r="AY216" s="8"/>
      <c r="AZ216" s="8">
        <v>2</v>
      </c>
      <c r="BA216" s="8">
        <v>-1</v>
      </c>
      <c r="BB216" s="8">
        <v>1</v>
      </c>
      <c r="BC216" s="8"/>
      <c r="BD216" s="8"/>
      <c r="BE216" s="8"/>
      <c r="BF216" s="8"/>
      <c r="BG216" s="8"/>
      <c r="BH216" s="8"/>
      <c r="BI216" s="8"/>
      <c r="BJ216" s="8"/>
      <c r="BK216" s="8"/>
      <c r="BL216" s="8"/>
      <c r="BM216" s="8"/>
      <c r="BN216" s="8">
        <f t="shared" si="8"/>
        <v>2</v>
      </c>
      <c r="BO216" s="24">
        <f t="shared" si="10"/>
        <v>2</v>
      </c>
      <c r="BP216" s="23"/>
      <c r="BQ216" s="23"/>
    </row>
    <row r="217" spans="1:69" ht="15.5">
      <c r="A217" s="3" t="s">
        <v>658</v>
      </c>
      <c r="B217" s="3" t="s">
        <v>659</v>
      </c>
      <c r="C217" s="8"/>
      <c r="D217" s="8"/>
      <c r="E217" s="21"/>
      <c r="F217" s="21"/>
      <c r="G217" s="8"/>
      <c r="H217" s="8"/>
      <c r="I217" s="8"/>
      <c r="J217" s="8"/>
      <c r="K217" s="8"/>
      <c r="L217" s="8"/>
      <c r="M217" s="8"/>
      <c r="N217" s="21"/>
      <c r="O217" s="8"/>
      <c r="P217" s="8"/>
      <c r="Q217" s="8"/>
      <c r="R217" s="8"/>
      <c r="S217" s="8"/>
      <c r="T217" s="21"/>
      <c r="U217" s="8">
        <v>1</v>
      </c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  <c r="AG217" s="8"/>
      <c r="AH217" s="8"/>
      <c r="AI217" s="8"/>
      <c r="AJ217" s="8"/>
      <c r="AK217" s="8"/>
      <c r="AL217" s="8"/>
      <c r="AM217" s="21"/>
      <c r="AN217" s="8"/>
      <c r="AO217" s="8"/>
      <c r="AP217" s="8"/>
      <c r="AQ217" s="8"/>
      <c r="AR217" s="8"/>
      <c r="AS217" s="8"/>
      <c r="AT217" s="8"/>
      <c r="AU217" s="8">
        <f t="shared" si="0"/>
        <v>1</v>
      </c>
      <c r="AV217" s="8"/>
      <c r="AW217" s="8"/>
      <c r="AX217" s="8"/>
      <c r="AY217" s="8"/>
      <c r="AZ217" s="8"/>
      <c r="BA217" s="8"/>
      <c r="BB217" s="8"/>
      <c r="BC217" s="8"/>
      <c r="BD217" s="8"/>
      <c r="BE217" s="8"/>
      <c r="BF217" s="8"/>
      <c r="BG217" s="8"/>
      <c r="BH217" s="8"/>
      <c r="BI217" s="8"/>
      <c r="BJ217" s="8"/>
      <c r="BK217" s="8"/>
      <c r="BL217" s="8"/>
      <c r="BM217" s="8"/>
      <c r="BN217" s="8">
        <f t="shared" si="8"/>
        <v>0</v>
      </c>
      <c r="BO217" s="24">
        <f t="shared" si="10"/>
        <v>1</v>
      </c>
      <c r="BP217" s="23"/>
      <c r="BQ217" s="23"/>
    </row>
    <row r="218" spans="1:69" ht="15.5">
      <c r="A218" s="3" t="s">
        <v>660</v>
      </c>
      <c r="B218" s="3" t="s">
        <v>661</v>
      </c>
      <c r="C218" s="8"/>
      <c r="D218" s="8"/>
      <c r="E218" s="21"/>
      <c r="F218" s="21"/>
      <c r="G218" s="8"/>
      <c r="H218" s="8"/>
      <c r="I218" s="8"/>
      <c r="J218" s="8"/>
      <c r="K218" s="8"/>
      <c r="L218" s="8"/>
      <c r="M218" s="8"/>
      <c r="N218" s="21"/>
      <c r="O218" s="8"/>
      <c r="P218" s="8"/>
      <c r="Q218" s="8"/>
      <c r="R218" s="8"/>
      <c r="S218" s="8"/>
      <c r="T218" s="21"/>
      <c r="U218" s="8">
        <v>1</v>
      </c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8"/>
      <c r="AH218" s="8"/>
      <c r="AI218" s="8"/>
      <c r="AJ218" s="8"/>
      <c r="AK218" s="8"/>
      <c r="AL218" s="8"/>
      <c r="AM218" s="21"/>
      <c r="AN218" s="8"/>
      <c r="AO218" s="8"/>
      <c r="AP218" s="8"/>
      <c r="AQ218" s="8"/>
      <c r="AR218" s="8"/>
      <c r="AS218" s="8"/>
      <c r="AT218" s="8"/>
      <c r="AU218" s="8">
        <f t="shared" si="0"/>
        <v>1</v>
      </c>
      <c r="AV218" s="8"/>
      <c r="AW218" s="8"/>
      <c r="AX218" s="8"/>
      <c r="AY218" s="8"/>
      <c r="AZ218" s="8"/>
      <c r="BA218" s="8"/>
      <c r="BB218" s="8"/>
      <c r="BC218" s="8"/>
      <c r="BD218" s="8"/>
      <c r="BE218" s="8"/>
      <c r="BF218" s="8"/>
      <c r="BG218" s="8"/>
      <c r="BH218" s="8"/>
      <c r="BI218" s="8"/>
      <c r="BJ218" s="8"/>
      <c r="BK218" s="8"/>
      <c r="BL218" s="8"/>
      <c r="BM218" s="8"/>
      <c r="BN218" s="8">
        <f t="shared" si="8"/>
        <v>0</v>
      </c>
      <c r="BO218" s="24">
        <f t="shared" si="10"/>
        <v>1</v>
      </c>
      <c r="BP218" s="23"/>
      <c r="BQ218" s="23"/>
    </row>
    <row r="219" spans="1:69" ht="15.5">
      <c r="A219" s="3" t="s">
        <v>662</v>
      </c>
      <c r="B219" s="3" t="s">
        <v>663</v>
      </c>
      <c r="C219" s="8"/>
      <c r="D219" s="8"/>
      <c r="E219" s="21"/>
      <c r="F219" s="21"/>
      <c r="G219" s="8"/>
      <c r="H219" s="8"/>
      <c r="I219" s="8"/>
      <c r="J219" s="8"/>
      <c r="K219" s="8"/>
      <c r="L219" s="8"/>
      <c r="M219" s="8"/>
      <c r="N219" s="21"/>
      <c r="O219" s="8"/>
      <c r="P219" s="8"/>
      <c r="Q219" s="8"/>
      <c r="R219" s="8"/>
      <c r="S219" s="8"/>
      <c r="T219" s="21"/>
      <c r="U219" s="8">
        <v>1</v>
      </c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  <c r="AG219" s="8"/>
      <c r="AH219" s="8"/>
      <c r="AI219" s="8"/>
      <c r="AJ219" s="8"/>
      <c r="AK219" s="8"/>
      <c r="AL219" s="8"/>
      <c r="AM219" s="21"/>
      <c r="AN219" s="8"/>
      <c r="AO219" s="8"/>
      <c r="AP219" s="8"/>
      <c r="AQ219" s="8">
        <v>1</v>
      </c>
      <c r="AR219" s="8"/>
      <c r="AS219" s="8"/>
      <c r="AT219" s="8"/>
      <c r="AU219" s="8">
        <f t="shared" si="0"/>
        <v>2</v>
      </c>
      <c r="AV219" s="8"/>
      <c r="AW219" s="8"/>
      <c r="AX219" s="8"/>
      <c r="AY219" s="8"/>
      <c r="AZ219" s="8"/>
      <c r="BA219" s="8"/>
      <c r="BB219" s="8"/>
      <c r="BC219" s="8"/>
      <c r="BD219" s="8">
        <v>1</v>
      </c>
      <c r="BE219" s="8"/>
      <c r="BF219" s="8"/>
      <c r="BG219" s="8"/>
      <c r="BH219" s="8"/>
      <c r="BI219" s="8"/>
      <c r="BJ219" s="8"/>
      <c r="BK219" s="8"/>
      <c r="BL219" s="8"/>
      <c r="BM219" s="8"/>
      <c r="BN219" s="8">
        <f t="shared" si="8"/>
        <v>1</v>
      </c>
      <c r="BO219" s="24">
        <f t="shared" si="10"/>
        <v>1</v>
      </c>
      <c r="BP219" s="23"/>
      <c r="BQ219" s="23"/>
    </row>
    <row r="220" spans="1:69" ht="15.5">
      <c r="A220" s="3" t="s">
        <v>664</v>
      </c>
      <c r="B220" s="3" t="s">
        <v>665</v>
      </c>
      <c r="C220" s="8"/>
      <c r="D220" s="8"/>
      <c r="E220" s="21"/>
      <c r="F220" s="21"/>
      <c r="G220" s="8"/>
      <c r="H220" s="8"/>
      <c r="I220" s="8"/>
      <c r="J220" s="8"/>
      <c r="K220" s="8"/>
      <c r="L220" s="8"/>
      <c r="M220" s="8"/>
      <c r="N220" s="21"/>
      <c r="O220" s="8"/>
      <c r="P220" s="8"/>
      <c r="Q220" s="8"/>
      <c r="R220" s="8"/>
      <c r="S220" s="8"/>
      <c r="T220" s="21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  <c r="AG220" s="8"/>
      <c r="AH220" s="8"/>
      <c r="AI220" s="8"/>
      <c r="AJ220" s="8"/>
      <c r="AK220" s="8"/>
      <c r="AL220" s="8"/>
      <c r="AM220" s="21"/>
      <c r="AN220" s="8"/>
      <c r="AO220" s="8"/>
      <c r="AP220" s="8">
        <v>1</v>
      </c>
      <c r="AQ220" s="8"/>
      <c r="AR220" s="8"/>
      <c r="AS220" s="8"/>
      <c r="AT220" s="8"/>
      <c r="AU220" s="8">
        <f t="shared" si="0"/>
        <v>1</v>
      </c>
      <c r="AV220" s="8"/>
      <c r="AW220" s="8"/>
      <c r="AX220" s="8"/>
      <c r="AY220" s="8"/>
      <c r="AZ220" s="8"/>
      <c r="BA220" s="8"/>
      <c r="BB220" s="8"/>
      <c r="BC220" s="8"/>
      <c r="BD220" s="8"/>
      <c r="BE220" s="8"/>
      <c r="BF220" s="8"/>
      <c r="BG220" s="8"/>
      <c r="BH220" s="8"/>
      <c r="BI220" s="8"/>
      <c r="BJ220" s="8"/>
      <c r="BK220" s="8"/>
      <c r="BL220" s="8"/>
      <c r="BM220" s="8"/>
      <c r="BN220" s="8">
        <f>SUM(AV220:BM220)</f>
        <v>0</v>
      </c>
      <c r="BO220" s="24">
        <f t="shared" si="10"/>
        <v>1</v>
      </c>
      <c r="BP220" s="23"/>
      <c r="BQ220" s="23"/>
    </row>
    <row r="221" spans="1:69" ht="15.5">
      <c r="A221" s="3" t="s">
        <v>666</v>
      </c>
      <c r="B221" s="3" t="s">
        <v>667</v>
      </c>
      <c r="C221" s="8"/>
      <c r="D221" s="8"/>
      <c r="E221" s="21"/>
      <c r="F221" s="21"/>
      <c r="G221" s="8"/>
      <c r="H221" s="8"/>
      <c r="I221" s="8"/>
      <c r="J221" s="8"/>
      <c r="K221" s="8"/>
      <c r="L221" s="8"/>
      <c r="M221" s="8"/>
      <c r="N221" s="21"/>
      <c r="O221" s="8"/>
      <c r="P221" s="8"/>
      <c r="Q221" s="8">
        <v>1</v>
      </c>
      <c r="R221" s="8"/>
      <c r="S221" s="8"/>
      <c r="T221" s="21"/>
      <c r="U221" s="8"/>
      <c r="V221" s="8"/>
      <c r="W221" s="8">
        <v>1</v>
      </c>
      <c r="X221" s="8"/>
      <c r="Y221" s="8"/>
      <c r="Z221" s="8"/>
      <c r="AA221" s="8"/>
      <c r="AB221" s="8"/>
      <c r="AC221" s="8"/>
      <c r="AD221" s="8"/>
      <c r="AE221" s="8"/>
      <c r="AF221" s="8"/>
      <c r="AG221" s="8"/>
      <c r="AH221" s="8"/>
      <c r="AI221" s="8"/>
      <c r="AJ221" s="8"/>
      <c r="AK221" s="8"/>
      <c r="AL221" s="8"/>
      <c r="AM221" s="21"/>
      <c r="AN221" s="8"/>
      <c r="AO221" s="8"/>
      <c r="AP221" s="8"/>
      <c r="AQ221" s="8"/>
      <c r="AR221" s="8"/>
      <c r="AS221" s="8"/>
      <c r="AT221" s="8"/>
      <c r="AU221" s="8">
        <f t="shared" si="0"/>
        <v>2</v>
      </c>
      <c r="AV221" s="8"/>
      <c r="AW221" s="8"/>
      <c r="AX221" s="8">
        <v>1</v>
      </c>
      <c r="AY221" s="8"/>
      <c r="AZ221" s="8"/>
      <c r="BA221" s="8">
        <v>1</v>
      </c>
      <c r="BB221" s="8"/>
      <c r="BC221" s="8"/>
      <c r="BD221" s="8"/>
      <c r="BE221" s="8"/>
      <c r="BF221" s="8"/>
      <c r="BG221" s="8"/>
      <c r="BH221" s="8"/>
      <c r="BI221" s="8"/>
      <c r="BJ221" s="8"/>
      <c r="BK221" s="8"/>
      <c r="BL221" s="8"/>
      <c r="BM221" s="8"/>
      <c r="BN221" s="8">
        <f t="shared" ref="BN221:BN439" si="11">SUM(AV221:BM221)</f>
        <v>2</v>
      </c>
      <c r="BO221" s="24">
        <f t="shared" si="10"/>
        <v>0</v>
      </c>
      <c r="BP221" s="23"/>
      <c r="BQ221" s="23"/>
    </row>
    <row r="222" spans="1:69" ht="15.5">
      <c r="A222" s="3" t="s">
        <v>668</v>
      </c>
      <c r="B222" s="3" t="s">
        <v>669</v>
      </c>
      <c r="C222" s="8"/>
      <c r="D222" s="8"/>
      <c r="E222" s="21"/>
      <c r="F222" s="21"/>
      <c r="G222" s="8"/>
      <c r="H222" s="8"/>
      <c r="I222" s="8"/>
      <c r="J222" s="8"/>
      <c r="K222" s="8"/>
      <c r="L222" s="8"/>
      <c r="M222" s="8"/>
      <c r="N222" s="21"/>
      <c r="O222" s="8"/>
      <c r="P222" s="8"/>
      <c r="Q222" s="8">
        <v>1</v>
      </c>
      <c r="R222" s="8"/>
      <c r="S222" s="8"/>
      <c r="T222" s="21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  <c r="AG222" s="8"/>
      <c r="AH222" s="8"/>
      <c r="AI222" s="8"/>
      <c r="AJ222" s="8"/>
      <c r="AK222" s="8"/>
      <c r="AL222" s="8"/>
      <c r="AM222" s="21"/>
      <c r="AN222" s="8">
        <v>1</v>
      </c>
      <c r="AO222" s="8"/>
      <c r="AP222" s="8"/>
      <c r="AQ222" s="8"/>
      <c r="AR222" s="8"/>
      <c r="AS222" s="8"/>
      <c r="AT222" s="8"/>
      <c r="AU222" s="8">
        <f t="shared" si="0"/>
        <v>2</v>
      </c>
      <c r="AV222" s="8"/>
      <c r="AW222" s="8"/>
      <c r="AX222" s="8">
        <v>1</v>
      </c>
      <c r="AY222" s="8"/>
      <c r="AZ222" s="8"/>
      <c r="BA222" s="8"/>
      <c r="BB222" s="8"/>
      <c r="BC222" s="8"/>
      <c r="BD222" s="8"/>
      <c r="BE222" s="8"/>
      <c r="BF222" s="8"/>
      <c r="BG222" s="8"/>
      <c r="BH222" s="8"/>
      <c r="BI222" s="8"/>
      <c r="BJ222" s="8"/>
      <c r="BK222" s="8"/>
      <c r="BL222" s="8"/>
      <c r="BM222" s="8"/>
      <c r="BN222" s="8">
        <f t="shared" si="11"/>
        <v>1</v>
      </c>
      <c r="BO222" s="24">
        <f t="shared" si="10"/>
        <v>1</v>
      </c>
      <c r="BP222" s="23"/>
      <c r="BQ222" s="23"/>
    </row>
    <row r="223" spans="1:69" ht="15.5">
      <c r="A223" s="3" t="s">
        <v>670</v>
      </c>
      <c r="B223" s="3" t="s">
        <v>671</v>
      </c>
      <c r="C223" s="8"/>
      <c r="D223" s="8"/>
      <c r="E223" s="21"/>
      <c r="F223" s="21"/>
      <c r="G223" s="8"/>
      <c r="H223" s="8"/>
      <c r="I223" s="8"/>
      <c r="J223" s="8"/>
      <c r="K223" s="8"/>
      <c r="L223" s="8"/>
      <c r="M223" s="8"/>
      <c r="N223" s="21"/>
      <c r="O223" s="8"/>
      <c r="P223" s="8"/>
      <c r="Q223" s="8">
        <v>1</v>
      </c>
      <c r="R223" s="8"/>
      <c r="S223" s="8"/>
      <c r="T223" s="21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  <c r="AG223" s="8"/>
      <c r="AH223" s="8"/>
      <c r="AI223" s="8"/>
      <c r="AJ223" s="8"/>
      <c r="AK223" s="8"/>
      <c r="AL223" s="8">
        <v>1</v>
      </c>
      <c r="AM223" s="21"/>
      <c r="AN223" s="8"/>
      <c r="AO223" s="8"/>
      <c r="AP223" s="8"/>
      <c r="AQ223" s="8"/>
      <c r="AR223" s="8"/>
      <c r="AS223" s="8"/>
      <c r="AT223" s="8"/>
      <c r="AU223" s="8">
        <f t="shared" si="0"/>
        <v>2</v>
      </c>
      <c r="AV223" s="8"/>
      <c r="AW223" s="8"/>
      <c r="AX223" s="8"/>
      <c r="AY223" s="8"/>
      <c r="AZ223" s="8"/>
      <c r="BA223" s="8"/>
      <c r="BB223" s="8"/>
      <c r="BC223" s="8"/>
      <c r="BD223" s="8"/>
      <c r="BE223" s="8"/>
      <c r="BF223" s="8"/>
      <c r="BG223" s="8"/>
      <c r="BH223" s="8"/>
      <c r="BI223" s="8"/>
      <c r="BJ223" s="8"/>
      <c r="BK223" s="8"/>
      <c r="BL223" s="8"/>
      <c r="BM223" s="8"/>
      <c r="BN223" s="8">
        <f t="shared" si="11"/>
        <v>0</v>
      </c>
      <c r="BO223" s="24">
        <f t="shared" si="10"/>
        <v>2</v>
      </c>
      <c r="BP223" s="23"/>
      <c r="BQ223" s="23"/>
    </row>
    <row r="224" spans="1:69" ht="15.5">
      <c r="A224" s="3" t="s">
        <v>672</v>
      </c>
      <c r="B224" s="3" t="s">
        <v>673</v>
      </c>
      <c r="C224" s="8"/>
      <c r="D224" s="8"/>
      <c r="E224" s="21"/>
      <c r="F224" s="21"/>
      <c r="G224" s="8"/>
      <c r="H224" s="8"/>
      <c r="I224" s="8"/>
      <c r="J224" s="8"/>
      <c r="K224" s="8"/>
      <c r="L224" s="8"/>
      <c r="M224" s="8"/>
      <c r="N224" s="21"/>
      <c r="O224" s="8"/>
      <c r="P224" s="8"/>
      <c r="Q224" s="8">
        <v>1</v>
      </c>
      <c r="R224" s="8"/>
      <c r="S224" s="8"/>
      <c r="T224" s="21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  <c r="AG224" s="8"/>
      <c r="AH224" s="8"/>
      <c r="AI224" s="8"/>
      <c r="AJ224" s="8"/>
      <c r="AK224" s="8"/>
      <c r="AL224" s="8">
        <v>1</v>
      </c>
      <c r="AM224" s="21"/>
      <c r="AN224" s="8">
        <v>1</v>
      </c>
      <c r="AO224" s="8"/>
      <c r="AP224" s="8"/>
      <c r="AQ224" s="8"/>
      <c r="AR224" s="8"/>
      <c r="AS224" s="8"/>
      <c r="AT224" s="8"/>
      <c r="AU224" s="8">
        <f t="shared" si="0"/>
        <v>3</v>
      </c>
      <c r="AV224" s="8"/>
      <c r="AW224" s="8"/>
      <c r="AX224" s="8"/>
      <c r="AY224" s="8"/>
      <c r="AZ224" s="8"/>
      <c r="BA224" s="8"/>
      <c r="BB224" s="8"/>
      <c r="BC224" s="8"/>
      <c r="BD224" s="8"/>
      <c r="BE224" s="8"/>
      <c r="BF224" s="8"/>
      <c r="BG224" s="8"/>
      <c r="BH224" s="8"/>
      <c r="BI224" s="8"/>
      <c r="BJ224" s="8"/>
      <c r="BK224" s="8"/>
      <c r="BL224" s="8"/>
      <c r="BM224" s="8"/>
      <c r="BN224" s="8">
        <f t="shared" si="11"/>
        <v>0</v>
      </c>
      <c r="BO224" s="24">
        <f t="shared" si="10"/>
        <v>3</v>
      </c>
      <c r="BP224" s="23"/>
      <c r="BQ224" s="23"/>
    </row>
    <row r="225" spans="1:69" ht="15.5">
      <c r="A225" s="3" t="s">
        <v>676</v>
      </c>
      <c r="B225" s="3" t="s">
        <v>677</v>
      </c>
      <c r="C225" s="8"/>
      <c r="D225" s="8"/>
      <c r="E225" s="21"/>
      <c r="F225" s="21"/>
      <c r="G225" s="8"/>
      <c r="H225" s="8"/>
      <c r="I225" s="8"/>
      <c r="J225" s="8"/>
      <c r="K225" s="8"/>
      <c r="L225" s="8"/>
      <c r="M225" s="8"/>
      <c r="N225" s="21"/>
      <c r="O225" s="8"/>
      <c r="P225" s="8"/>
      <c r="Q225" s="8">
        <v>1</v>
      </c>
      <c r="R225" s="8"/>
      <c r="S225" s="8"/>
      <c r="T225" s="21"/>
      <c r="U225" s="8">
        <v>1</v>
      </c>
      <c r="V225" s="8"/>
      <c r="W225" s="8"/>
      <c r="X225" s="8"/>
      <c r="Y225" s="8"/>
      <c r="Z225" s="8">
        <v>1</v>
      </c>
      <c r="AA225" s="8"/>
      <c r="AB225" s="8"/>
      <c r="AC225" s="8"/>
      <c r="AD225" s="8"/>
      <c r="AE225" s="8"/>
      <c r="AF225" s="8"/>
      <c r="AG225" s="8"/>
      <c r="AH225" s="8"/>
      <c r="AI225" s="8"/>
      <c r="AJ225" s="8"/>
      <c r="AK225" s="8"/>
      <c r="AL225" s="8"/>
      <c r="AM225" s="21"/>
      <c r="AN225" s="8"/>
      <c r="AO225" s="8"/>
      <c r="AP225" s="8"/>
      <c r="AQ225" s="8"/>
      <c r="AR225" s="8"/>
      <c r="AS225" s="8"/>
      <c r="AT225" s="8"/>
      <c r="AU225" s="8">
        <f t="shared" si="0"/>
        <v>3</v>
      </c>
      <c r="AV225" s="8"/>
      <c r="AW225" s="8">
        <v>1</v>
      </c>
      <c r="AX225" s="8"/>
      <c r="AY225" s="8">
        <v>1</v>
      </c>
      <c r="AZ225" s="8"/>
      <c r="BA225" s="8"/>
      <c r="BB225" s="8"/>
      <c r="BC225" s="8"/>
      <c r="BD225" s="8"/>
      <c r="BE225" s="8"/>
      <c r="BF225" s="8"/>
      <c r="BG225" s="8"/>
      <c r="BH225" s="8"/>
      <c r="BI225" s="8"/>
      <c r="BJ225" s="8"/>
      <c r="BK225" s="8"/>
      <c r="BL225" s="8"/>
      <c r="BM225" s="8"/>
      <c r="BN225" s="8">
        <f t="shared" si="11"/>
        <v>2</v>
      </c>
      <c r="BO225" s="24">
        <f t="shared" si="10"/>
        <v>1</v>
      </c>
      <c r="BP225" s="23"/>
      <c r="BQ225" s="23"/>
    </row>
    <row r="226" spans="1:69" ht="15.5">
      <c r="A226" s="3" t="s">
        <v>678</v>
      </c>
      <c r="B226" s="3" t="s">
        <v>679</v>
      </c>
      <c r="C226" s="8"/>
      <c r="D226" s="8"/>
      <c r="E226" s="21"/>
      <c r="F226" s="21"/>
      <c r="G226" s="8"/>
      <c r="H226" s="8"/>
      <c r="I226" s="8"/>
      <c r="J226" s="8"/>
      <c r="K226" s="8"/>
      <c r="L226" s="8"/>
      <c r="M226" s="8"/>
      <c r="N226" s="21"/>
      <c r="O226" s="8"/>
      <c r="P226" s="8"/>
      <c r="Q226" s="8">
        <v>1</v>
      </c>
      <c r="R226" s="8"/>
      <c r="S226" s="8"/>
      <c r="T226" s="21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  <c r="AG226" s="8"/>
      <c r="AH226" s="8"/>
      <c r="AI226" s="8"/>
      <c r="AJ226" s="8"/>
      <c r="AK226" s="8"/>
      <c r="AL226" s="8"/>
      <c r="AM226" s="21"/>
      <c r="AN226" s="8"/>
      <c r="AO226" s="8"/>
      <c r="AP226" s="8"/>
      <c r="AQ226" s="8"/>
      <c r="AR226" s="8"/>
      <c r="AS226" s="8"/>
      <c r="AT226" s="8"/>
      <c r="AU226" s="8">
        <f t="shared" si="0"/>
        <v>1</v>
      </c>
      <c r="AV226" s="8"/>
      <c r="AW226" s="8"/>
      <c r="AX226" s="8"/>
      <c r="AY226" s="8"/>
      <c r="AZ226" s="8"/>
      <c r="BA226" s="8"/>
      <c r="BB226" s="8"/>
      <c r="BC226" s="8"/>
      <c r="BD226" s="8"/>
      <c r="BE226" s="8"/>
      <c r="BF226" s="8"/>
      <c r="BG226" s="8"/>
      <c r="BH226" s="8"/>
      <c r="BI226" s="8"/>
      <c r="BJ226" s="8"/>
      <c r="BK226" s="8"/>
      <c r="BL226" s="8"/>
      <c r="BM226" s="8"/>
      <c r="BN226" s="8">
        <f t="shared" si="11"/>
        <v>0</v>
      </c>
      <c r="BO226" s="24">
        <f t="shared" si="10"/>
        <v>1</v>
      </c>
      <c r="BP226" s="23"/>
      <c r="BQ226" s="23"/>
    </row>
    <row r="227" spans="1:69" ht="15.5">
      <c r="A227" s="3" t="s">
        <v>680</v>
      </c>
      <c r="B227" s="3" t="s">
        <v>681</v>
      </c>
      <c r="C227" s="8"/>
      <c r="D227" s="8"/>
      <c r="E227" s="21"/>
      <c r="F227" s="21"/>
      <c r="G227" s="8"/>
      <c r="H227" s="8"/>
      <c r="I227" s="8"/>
      <c r="J227" s="8"/>
      <c r="K227" s="8"/>
      <c r="L227" s="8"/>
      <c r="M227" s="8"/>
      <c r="N227" s="21"/>
      <c r="O227" s="8"/>
      <c r="P227" s="8"/>
      <c r="Q227" s="8">
        <v>1</v>
      </c>
      <c r="R227" s="8"/>
      <c r="S227" s="8"/>
      <c r="T227" s="21"/>
      <c r="U227" s="8">
        <v>1</v>
      </c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  <c r="AG227" s="8"/>
      <c r="AH227" s="8"/>
      <c r="AI227" s="8"/>
      <c r="AJ227" s="8"/>
      <c r="AK227" s="8"/>
      <c r="AL227" s="8"/>
      <c r="AM227" s="21"/>
      <c r="AN227" s="8"/>
      <c r="AO227" s="8"/>
      <c r="AP227" s="8"/>
      <c r="AQ227" s="8"/>
      <c r="AR227" s="8"/>
      <c r="AS227" s="8"/>
      <c r="AT227" s="8">
        <v>1</v>
      </c>
      <c r="AU227" s="8">
        <f t="shared" si="0"/>
        <v>3</v>
      </c>
      <c r="AV227" s="8"/>
      <c r="AW227" s="8">
        <v>1</v>
      </c>
      <c r="AX227" s="8"/>
      <c r="AY227" s="8"/>
      <c r="AZ227" s="8"/>
      <c r="BA227" s="8"/>
      <c r="BB227" s="8"/>
      <c r="BC227" s="8"/>
      <c r="BD227" s="8"/>
      <c r="BE227" s="8"/>
      <c r="BF227" s="8"/>
      <c r="BG227" s="8"/>
      <c r="BH227" s="8"/>
      <c r="BI227" s="8"/>
      <c r="BJ227" s="8"/>
      <c r="BK227" s="8"/>
      <c r="BL227" s="8"/>
      <c r="BM227" s="8"/>
      <c r="BN227" s="8">
        <f t="shared" si="11"/>
        <v>1</v>
      </c>
      <c r="BO227" s="24">
        <f t="shared" si="10"/>
        <v>2</v>
      </c>
      <c r="BP227" s="23"/>
      <c r="BQ227" s="23"/>
    </row>
    <row r="228" spans="1:69" ht="15.5">
      <c r="A228" s="3" t="s">
        <v>682</v>
      </c>
      <c r="B228" s="3" t="s">
        <v>683</v>
      </c>
      <c r="C228" s="8">
        <v>1</v>
      </c>
      <c r="D228" s="8"/>
      <c r="E228" s="21"/>
      <c r="F228" s="21"/>
      <c r="G228" s="8"/>
      <c r="H228" s="8"/>
      <c r="I228" s="8"/>
      <c r="J228" s="8"/>
      <c r="K228" s="8"/>
      <c r="L228" s="8"/>
      <c r="M228" s="8"/>
      <c r="N228" s="21"/>
      <c r="O228" s="8"/>
      <c r="P228" s="8"/>
      <c r="Q228" s="8"/>
      <c r="R228" s="8"/>
      <c r="S228" s="8"/>
      <c r="T228" s="21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  <c r="AG228" s="8"/>
      <c r="AH228" s="8"/>
      <c r="AI228" s="8"/>
      <c r="AJ228" s="8"/>
      <c r="AK228" s="8"/>
      <c r="AL228" s="8"/>
      <c r="AM228" s="21"/>
      <c r="AN228" s="8"/>
      <c r="AO228" s="8"/>
      <c r="AP228" s="8"/>
      <c r="AQ228" s="8"/>
      <c r="AR228" s="8"/>
      <c r="AS228" s="8"/>
      <c r="AT228" s="8"/>
      <c r="AU228" s="8">
        <f t="shared" si="0"/>
        <v>1</v>
      </c>
      <c r="AV228" s="8"/>
      <c r="AW228" s="8"/>
      <c r="AX228" s="8"/>
      <c r="AY228" s="8"/>
      <c r="AZ228" s="8"/>
      <c r="BA228" s="8">
        <v>1</v>
      </c>
      <c r="BB228" s="8"/>
      <c r="BC228" s="8"/>
      <c r="BD228" s="8"/>
      <c r="BE228" s="8"/>
      <c r="BF228" s="8"/>
      <c r="BG228" s="8"/>
      <c r="BH228" s="8"/>
      <c r="BI228" s="8"/>
      <c r="BJ228" s="8"/>
      <c r="BK228" s="8"/>
      <c r="BL228" s="8"/>
      <c r="BM228" s="8"/>
      <c r="BN228" s="8">
        <f t="shared" si="11"/>
        <v>1</v>
      </c>
      <c r="BO228" s="24">
        <f t="shared" si="10"/>
        <v>0</v>
      </c>
      <c r="BP228" s="23"/>
      <c r="BQ228" s="23"/>
    </row>
    <row r="229" spans="1:69" ht="15.5">
      <c r="A229" s="3" t="s">
        <v>684</v>
      </c>
      <c r="B229" s="3" t="s">
        <v>685</v>
      </c>
      <c r="C229" s="8">
        <v>1</v>
      </c>
      <c r="D229" s="8"/>
      <c r="E229" s="21"/>
      <c r="F229" s="21"/>
      <c r="G229" s="8">
        <v>1</v>
      </c>
      <c r="H229" s="8">
        <v>1</v>
      </c>
      <c r="I229" s="8"/>
      <c r="J229" s="8"/>
      <c r="K229" s="8"/>
      <c r="L229" s="8"/>
      <c r="M229" s="8"/>
      <c r="N229" s="21"/>
      <c r="O229" s="8"/>
      <c r="P229" s="8"/>
      <c r="Q229" s="8"/>
      <c r="R229" s="8"/>
      <c r="S229" s="8"/>
      <c r="T229" s="21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  <c r="AG229" s="8"/>
      <c r="AH229" s="8"/>
      <c r="AI229" s="8"/>
      <c r="AJ229" s="8"/>
      <c r="AK229" s="8"/>
      <c r="AL229" s="8"/>
      <c r="AM229" s="21"/>
      <c r="AN229" s="8"/>
      <c r="AO229" s="8"/>
      <c r="AP229" s="8"/>
      <c r="AQ229" s="8"/>
      <c r="AR229" s="8"/>
      <c r="AS229" s="8"/>
      <c r="AT229" s="8"/>
      <c r="AU229" s="8">
        <f t="shared" si="0"/>
        <v>3</v>
      </c>
      <c r="AV229" s="8">
        <v>3</v>
      </c>
      <c r="AW229" s="8"/>
      <c r="AX229" s="8"/>
      <c r="AY229" s="8"/>
      <c r="AZ229" s="8"/>
      <c r="BA229" s="8"/>
      <c r="BB229" s="8"/>
      <c r="BC229" s="8"/>
      <c r="BD229" s="8"/>
      <c r="BE229" s="8"/>
      <c r="BF229" s="8"/>
      <c r="BG229" s="8"/>
      <c r="BH229" s="8"/>
      <c r="BI229" s="8"/>
      <c r="BJ229" s="8"/>
      <c r="BK229" s="8"/>
      <c r="BL229" s="8"/>
      <c r="BM229" s="8"/>
      <c r="BN229" s="8">
        <f t="shared" si="11"/>
        <v>3</v>
      </c>
      <c r="BO229" s="24">
        <f t="shared" si="10"/>
        <v>0</v>
      </c>
      <c r="BP229" s="23"/>
      <c r="BQ229" s="23"/>
    </row>
    <row r="230" spans="1:69" ht="15.5">
      <c r="A230" s="3" t="s">
        <v>686</v>
      </c>
      <c r="B230" s="3" t="s">
        <v>687</v>
      </c>
      <c r="C230" s="8">
        <v>1</v>
      </c>
      <c r="D230" s="8"/>
      <c r="E230" s="21"/>
      <c r="F230" s="21"/>
      <c r="G230" s="8">
        <v>1</v>
      </c>
      <c r="H230" s="8"/>
      <c r="I230" s="8">
        <v>2</v>
      </c>
      <c r="J230" s="8"/>
      <c r="K230" s="8"/>
      <c r="L230" s="8"/>
      <c r="M230" s="8"/>
      <c r="N230" s="21"/>
      <c r="O230" s="8"/>
      <c r="P230" s="8"/>
      <c r="Q230" s="8"/>
      <c r="R230" s="8">
        <v>1</v>
      </c>
      <c r="S230" s="8"/>
      <c r="T230" s="21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  <c r="AG230" s="8"/>
      <c r="AH230" s="8"/>
      <c r="AI230" s="8"/>
      <c r="AJ230" s="8"/>
      <c r="AK230" s="8"/>
      <c r="AL230" s="8"/>
      <c r="AM230" s="21"/>
      <c r="AN230" s="8"/>
      <c r="AO230" s="8"/>
      <c r="AP230" s="8"/>
      <c r="AQ230" s="8"/>
      <c r="AR230" s="8"/>
      <c r="AS230" s="8"/>
      <c r="AT230" s="8"/>
      <c r="AU230" s="8">
        <f t="shared" si="0"/>
        <v>5</v>
      </c>
      <c r="AV230" s="8">
        <v>3</v>
      </c>
      <c r="AW230" s="8"/>
      <c r="AX230" s="8"/>
      <c r="AY230" s="8"/>
      <c r="AZ230" s="8"/>
      <c r="BA230" s="8"/>
      <c r="BB230" s="8"/>
      <c r="BC230" s="8"/>
      <c r="BD230" s="8"/>
      <c r="BE230" s="8"/>
      <c r="BF230" s="8"/>
      <c r="BG230" s="8"/>
      <c r="BH230" s="8"/>
      <c r="BI230" s="8"/>
      <c r="BJ230" s="8"/>
      <c r="BK230" s="8"/>
      <c r="BL230" s="8"/>
      <c r="BM230" s="8"/>
      <c r="BN230" s="8">
        <f t="shared" si="11"/>
        <v>3</v>
      </c>
      <c r="BO230" s="24">
        <f t="shared" si="10"/>
        <v>2</v>
      </c>
      <c r="BP230" s="23"/>
      <c r="BQ230" s="23"/>
    </row>
    <row r="231" spans="1:69" ht="15.5">
      <c r="A231" s="3" t="s">
        <v>688</v>
      </c>
      <c r="B231" s="3" t="s">
        <v>689</v>
      </c>
      <c r="C231" s="8">
        <v>1</v>
      </c>
      <c r="D231" s="8"/>
      <c r="E231" s="21"/>
      <c r="F231" s="21"/>
      <c r="G231" s="8"/>
      <c r="H231" s="8"/>
      <c r="I231" s="8"/>
      <c r="J231" s="8"/>
      <c r="K231" s="8"/>
      <c r="L231" s="8"/>
      <c r="M231" s="8"/>
      <c r="N231" s="21"/>
      <c r="O231" s="8"/>
      <c r="P231" s="8"/>
      <c r="Q231" s="8"/>
      <c r="R231" s="8">
        <v>1</v>
      </c>
      <c r="S231" s="8"/>
      <c r="T231" s="21">
        <v>-1</v>
      </c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  <c r="AG231" s="8"/>
      <c r="AH231" s="8"/>
      <c r="AI231" s="8"/>
      <c r="AJ231" s="8"/>
      <c r="AK231" s="8"/>
      <c r="AL231" s="8"/>
      <c r="AM231" s="21"/>
      <c r="AN231" s="8"/>
      <c r="AO231" s="8"/>
      <c r="AP231" s="8"/>
      <c r="AQ231" s="8"/>
      <c r="AR231" s="8"/>
      <c r="AS231" s="8"/>
      <c r="AT231" s="8"/>
      <c r="AU231" s="8">
        <f t="shared" si="0"/>
        <v>1</v>
      </c>
      <c r="AV231" s="8">
        <v>1</v>
      </c>
      <c r="AW231" s="8"/>
      <c r="AX231" s="8"/>
      <c r="AY231" s="8"/>
      <c r="AZ231" s="8"/>
      <c r="BA231" s="8"/>
      <c r="BB231" s="8"/>
      <c r="BC231" s="8"/>
      <c r="BD231" s="8"/>
      <c r="BE231" s="8"/>
      <c r="BF231" s="8"/>
      <c r="BG231" s="8"/>
      <c r="BH231" s="8"/>
      <c r="BI231" s="8"/>
      <c r="BJ231" s="8"/>
      <c r="BK231" s="8"/>
      <c r="BL231" s="8"/>
      <c r="BM231" s="8"/>
      <c r="BN231" s="8">
        <f t="shared" si="11"/>
        <v>1</v>
      </c>
      <c r="BO231" s="24">
        <f t="shared" si="10"/>
        <v>0</v>
      </c>
      <c r="BP231" s="23"/>
      <c r="BQ231" s="23"/>
    </row>
    <row r="232" spans="1:69" ht="15.5">
      <c r="A232" s="3" t="s">
        <v>690</v>
      </c>
      <c r="B232" s="3" t="s">
        <v>691</v>
      </c>
      <c r="C232" s="8">
        <v>1</v>
      </c>
      <c r="D232" s="8">
        <v>1</v>
      </c>
      <c r="E232" s="21"/>
      <c r="F232" s="21"/>
      <c r="G232" s="8"/>
      <c r="H232" s="8"/>
      <c r="I232" s="8"/>
      <c r="J232" s="8"/>
      <c r="K232" s="8"/>
      <c r="L232" s="8"/>
      <c r="M232" s="8"/>
      <c r="N232" s="21"/>
      <c r="O232" s="8"/>
      <c r="P232" s="8"/>
      <c r="Q232" s="8"/>
      <c r="R232" s="8"/>
      <c r="S232" s="8"/>
      <c r="T232" s="21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  <c r="AG232" s="8"/>
      <c r="AH232" s="8"/>
      <c r="AI232" s="8"/>
      <c r="AJ232" s="8"/>
      <c r="AK232" s="8"/>
      <c r="AL232" s="8"/>
      <c r="AM232" s="21"/>
      <c r="AN232" s="8"/>
      <c r="AO232" s="8"/>
      <c r="AP232" s="8"/>
      <c r="AQ232" s="8"/>
      <c r="AR232" s="8"/>
      <c r="AS232" s="8"/>
      <c r="AT232" s="8"/>
      <c r="AU232" s="8">
        <f t="shared" si="0"/>
        <v>2</v>
      </c>
      <c r="AV232" s="8">
        <v>2</v>
      </c>
      <c r="AW232" s="8"/>
      <c r="AX232" s="8"/>
      <c r="AY232" s="8"/>
      <c r="AZ232" s="8"/>
      <c r="BA232" s="8"/>
      <c r="BB232" s="8"/>
      <c r="BC232" s="8"/>
      <c r="BD232" s="8"/>
      <c r="BE232" s="8"/>
      <c r="BF232" s="8"/>
      <c r="BG232" s="8"/>
      <c r="BH232" s="8"/>
      <c r="BI232" s="8"/>
      <c r="BJ232" s="8"/>
      <c r="BK232" s="8"/>
      <c r="BL232" s="8"/>
      <c r="BM232" s="8"/>
      <c r="BN232" s="8">
        <f t="shared" si="11"/>
        <v>2</v>
      </c>
      <c r="BO232" s="24">
        <f t="shared" si="10"/>
        <v>0</v>
      </c>
      <c r="BP232" s="23"/>
      <c r="BQ232" s="23"/>
    </row>
    <row r="233" spans="1:69" ht="15.5">
      <c r="A233" s="3" t="s">
        <v>692</v>
      </c>
      <c r="B233" s="3" t="s">
        <v>693</v>
      </c>
      <c r="C233" s="8">
        <v>1</v>
      </c>
      <c r="D233" s="8"/>
      <c r="E233" s="21"/>
      <c r="F233" s="21"/>
      <c r="G233" s="8"/>
      <c r="H233" s="8"/>
      <c r="I233" s="8"/>
      <c r="J233" s="8"/>
      <c r="K233" s="8"/>
      <c r="L233" s="8"/>
      <c r="M233" s="8"/>
      <c r="N233" s="21"/>
      <c r="O233" s="8"/>
      <c r="P233" s="8"/>
      <c r="Q233" s="8"/>
      <c r="R233" s="8">
        <v>1</v>
      </c>
      <c r="S233" s="8"/>
      <c r="T233" s="21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  <c r="AF233" s="8"/>
      <c r="AG233" s="8"/>
      <c r="AH233" s="8"/>
      <c r="AI233" s="8"/>
      <c r="AJ233" s="8"/>
      <c r="AK233" s="8"/>
      <c r="AL233" s="8"/>
      <c r="AM233" s="21"/>
      <c r="AN233" s="8"/>
      <c r="AO233" s="8"/>
      <c r="AP233" s="8"/>
      <c r="AQ233" s="8"/>
      <c r="AR233" s="8"/>
      <c r="AS233" s="8"/>
      <c r="AT233" s="8"/>
      <c r="AU233" s="8">
        <f t="shared" si="0"/>
        <v>2</v>
      </c>
      <c r="AV233" s="8">
        <v>1</v>
      </c>
      <c r="AW233" s="8"/>
      <c r="AX233" s="8"/>
      <c r="AY233" s="8"/>
      <c r="AZ233" s="8"/>
      <c r="BA233" s="8"/>
      <c r="BB233" s="8"/>
      <c r="BC233" s="8"/>
      <c r="BD233" s="8">
        <v>1</v>
      </c>
      <c r="BE233" s="8"/>
      <c r="BF233" s="8"/>
      <c r="BG233" s="8"/>
      <c r="BH233" s="8"/>
      <c r="BI233" s="8"/>
      <c r="BJ233" s="8"/>
      <c r="BK233" s="8"/>
      <c r="BL233" s="8"/>
      <c r="BM233" s="8"/>
      <c r="BN233" s="8">
        <f t="shared" si="11"/>
        <v>2</v>
      </c>
      <c r="BO233" s="24">
        <f t="shared" si="10"/>
        <v>0</v>
      </c>
      <c r="BP233" s="23"/>
      <c r="BQ233" s="23"/>
    </row>
    <row r="234" spans="1:69" ht="15.5">
      <c r="A234" s="3" t="s">
        <v>694</v>
      </c>
      <c r="B234" s="3" t="s">
        <v>695</v>
      </c>
      <c r="C234" s="8">
        <v>1</v>
      </c>
      <c r="D234" s="8"/>
      <c r="E234" s="21"/>
      <c r="F234" s="21"/>
      <c r="G234" s="8"/>
      <c r="H234" s="8"/>
      <c r="I234" s="8">
        <v>2</v>
      </c>
      <c r="J234" s="8"/>
      <c r="K234" s="8"/>
      <c r="L234" s="8"/>
      <c r="M234" s="8"/>
      <c r="N234" s="21"/>
      <c r="O234" s="8"/>
      <c r="P234" s="8"/>
      <c r="Q234" s="8"/>
      <c r="R234" s="8">
        <v>1</v>
      </c>
      <c r="S234" s="8"/>
      <c r="T234" s="21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  <c r="AG234" s="8"/>
      <c r="AH234" s="8"/>
      <c r="AI234" s="8"/>
      <c r="AJ234" s="8"/>
      <c r="AK234" s="8"/>
      <c r="AL234" s="8"/>
      <c r="AM234" s="21"/>
      <c r="AN234" s="8"/>
      <c r="AO234" s="8"/>
      <c r="AP234" s="8"/>
      <c r="AQ234" s="8"/>
      <c r="AR234" s="8"/>
      <c r="AS234" s="8"/>
      <c r="AT234" s="8"/>
      <c r="AU234" s="8">
        <f t="shared" si="0"/>
        <v>4</v>
      </c>
      <c r="AV234" s="8">
        <v>4</v>
      </c>
      <c r="AW234" s="8"/>
      <c r="AX234" s="8"/>
      <c r="AY234" s="8"/>
      <c r="AZ234" s="8"/>
      <c r="BA234" s="8"/>
      <c r="BB234" s="8"/>
      <c r="BC234" s="8"/>
      <c r="BD234" s="8"/>
      <c r="BE234" s="8"/>
      <c r="BF234" s="8"/>
      <c r="BG234" s="8"/>
      <c r="BH234" s="8"/>
      <c r="BI234" s="8"/>
      <c r="BJ234" s="8"/>
      <c r="BK234" s="8"/>
      <c r="BL234" s="8"/>
      <c r="BM234" s="8"/>
      <c r="BN234" s="8">
        <f t="shared" si="11"/>
        <v>4</v>
      </c>
      <c r="BO234" s="24">
        <f t="shared" si="10"/>
        <v>0</v>
      </c>
      <c r="BP234" s="23"/>
      <c r="BQ234" s="23"/>
    </row>
    <row r="235" spans="1:69" ht="15.5">
      <c r="A235" s="3" t="s">
        <v>696</v>
      </c>
      <c r="B235" s="3" t="s">
        <v>697</v>
      </c>
      <c r="C235" s="8">
        <v>1</v>
      </c>
      <c r="D235" s="8"/>
      <c r="E235" s="21"/>
      <c r="F235" s="21"/>
      <c r="G235" s="8"/>
      <c r="H235" s="8"/>
      <c r="I235" s="8"/>
      <c r="J235" s="8"/>
      <c r="K235" s="8"/>
      <c r="L235" s="8"/>
      <c r="M235" s="8"/>
      <c r="N235" s="21"/>
      <c r="O235" s="8"/>
      <c r="P235" s="8"/>
      <c r="Q235" s="8"/>
      <c r="R235" s="8">
        <v>1</v>
      </c>
      <c r="S235" s="8"/>
      <c r="T235" s="21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  <c r="AF235" s="8"/>
      <c r="AG235" s="8"/>
      <c r="AH235" s="8"/>
      <c r="AI235" s="8"/>
      <c r="AJ235" s="8"/>
      <c r="AK235" s="8"/>
      <c r="AL235" s="8"/>
      <c r="AM235" s="21"/>
      <c r="AN235" s="8"/>
      <c r="AO235" s="8"/>
      <c r="AP235" s="8"/>
      <c r="AQ235" s="8"/>
      <c r="AR235" s="8"/>
      <c r="AS235" s="8"/>
      <c r="AT235" s="8"/>
      <c r="AU235" s="8">
        <f t="shared" si="0"/>
        <v>2</v>
      </c>
      <c r="AV235" s="8">
        <v>1</v>
      </c>
      <c r="AW235" s="8"/>
      <c r="AX235" s="8"/>
      <c r="AY235" s="8"/>
      <c r="AZ235" s="8"/>
      <c r="BA235" s="8"/>
      <c r="BB235" s="8"/>
      <c r="BC235" s="8"/>
      <c r="BD235" s="8"/>
      <c r="BE235" s="8"/>
      <c r="BF235" s="8"/>
      <c r="BG235" s="8"/>
      <c r="BH235" s="8"/>
      <c r="BI235" s="8"/>
      <c r="BJ235" s="8"/>
      <c r="BK235" s="8"/>
      <c r="BL235" s="8"/>
      <c r="BM235" s="8"/>
      <c r="BN235" s="8">
        <f t="shared" si="11"/>
        <v>1</v>
      </c>
      <c r="BO235" s="24">
        <f t="shared" si="10"/>
        <v>1</v>
      </c>
      <c r="BP235" s="23"/>
      <c r="BQ235" s="23"/>
    </row>
    <row r="236" spans="1:69" ht="15.5">
      <c r="A236" s="3" t="s">
        <v>698</v>
      </c>
      <c r="B236" s="3" t="s">
        <v>699</v>
      </c>
      <c r="C236" s="8">
        <v>1</v>
      </c>
      <c r="D236" s="8"/>
      <c r="E236" s="21"/>
      <c r="F236" s="21"/>
      <c r="G236" s="8"/>
      <c r="H236" s="8"/>
      <c r="I236" s="8"/>
      <c r="J236" s="8"/>
      <c r="K236" s="8"/>
      <c r="L236" s="8"/>
      <c r="M236" s="8"/>
      <c r="N236" s="21"/>
      <c r="O236" s="8"/>
      <c r="P236" s="8"/>
      <c r="Q236" s="8"/>
      <c r="R236" s="8"/>
      <c r="S236" s="8">
        <v>1</v>
      </c>
      <c r="T236" s="21"/>
      <c r="U236" s="8">
        <v>1</v>
      </c>
      <c r="V236" s="8"/>
      <c r="W236" s="8"/>
      <c r="X236" s="8"/>
      <c r="Y236" s="8"/>
      <c r="Z236" s="8"/>
      <c r="AA236" s="8"/>
      <c r="AB236" s="8"/>
      <c r="AC236" s="8"/>
      <c r="AD236" s="8"/>
      <c r="AE236" s="8"/>
      <c r="AF236" s="8"/>
      <c r="AG236" s="8"/>
      <c r="AH236" s="8"/>
      <c r="AI236" s="8"/>
      <c r="AJ236" s="8"/>
      <c r="AK236" s="8"/>
      <c r="AL236" s="8"/>
      <c r="AM236" s="21"/>
      <c r="AN236" s="8"/>
      <c r="AO236" s="8"/>
      <c r="AP236" s="8"/>
      <c r="AQ236" s="8"/>
      <c r="AR236" s="8"/>
      <c r="AS236" s="8"/>
      <c r="AT236" s="8"/>
      <c r="AU236" s="8">
        <f t="shared" si="0"/>
        <v>3</v>
      </c>
      <c r="AV236" s="8"/>
      <c r="AW236" s="8">
        <v>1</v>
      </c>
      <c r="AX236" s="8"/>
      <c r="AY236" s="8"/>
      <c r="AZ236" s="8"/>
      <c r="BA236" s="8"/>
      <c r="BB236" s="8"/>
      <c r="BC236" s="8"/>
      <c r="BD236" s="8"/>
      <c r="BE236" s="8"/>
      <c r="BF236" s="8"/>
      <c r="BG236" s="8"/>
      <c r="BH236" s="8"/>
      <c r="BI236" s="8"/>
      <c r="BJ236" s="8"/>
      <c r="BK236" s="8"/>
      <c r="BL236" s="8"/>
      <c r="BM236" s="8"/>
      <c r="BN236" s="8">
        <f t="shared" si="11"/>
        <v>1</v>
      </c>
      <c r="BO236" s="24">
        <f t="shared" si="10"/>
        <v>2</v>
      </c>
      <c r="BP236" s="23"/>
      <c r="BQ236" s="23"/>
    </row>
    <row r="237" spans="1:69" ht="15.5">
      <c r="A237" s="3" t="s">
        <v>700</v>
      </c>
      <c r="B237" s="3" t="s">
        <v>701</v>
      </c>
      <c r="C237" s="8">
        <v>1</v>
      </c>
      <c r="D237" s="8"/>
      <c r="E237" s="21"/>
      <c r="F237" s="21"/>
      <c r="G237" s="8"/>
      <c r="H237" s="8"/>
      <c r="I237" s="8"/>
      <c r="J237" s="8"/>
      <c r="K237" s="8"/>
      <c r="L237" s="8"/>
      <c r="M237" s="8"/>
      <c r="N237" s="21"/>
      <c r="O237" s="8"/>
      <c r="P237" s="8"/>
      <c r="Q237" s="8"/>
      <c r="R237" s="8"/>
      <c r="S237" s="8"/>
      <c r="T237" s="21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  <c r="AF237" s="8"/>
      <c r="AG237" s="8"/>
      <c r="AH237" s="8"/>
      <c r="AI237" s="8"/>
      <c r="AJ237" s="8"/>
      <c r="AK237" s="8"/>
      <c r="AL237" s="8"/>
      <c r="AM237" s="21"/>
      <c r="AN237" s="8"/>
      <c r="AO237" s="8"/>
      <c r="AP237" s="8"/>
      <c r="AQ237" s="8"/>
      <c r="AR237" s="8"/>
      <c r="AS237" s="8"/>
      <c r="AT237" s="8"/>
      <c r="AU237" s="8">
        <f t="shared" si="0"/>
        <v>1</v>
      </c>
      <c r="AV237" s="8">
        <v>1</v>
      </c>
      <c r="AW237" s="8"/>
      <c r="AX237" s="8"/>
      <c r="AY237" s="8"/>
      <c r="AZ237" s="8"/>
      <c r="BA237" s="8"/>
      <c r="BB237" s="8"/>
      <c r="BC237" s="8"/>
      <c r="BD237" s="8"/>
      <c r="BE237" s="8"/>
      <c r="BF237" s="8"/>
      <c r="BG237" s="8"/>
      <c r="BH237" s="8"/>
      <c r="BI237" s="8"/>
      <c r="BJ237" s="8"/>
      <c r="BK237" s="8"/>
      <c r="BL237" s="8"/>
      <c r="BM237" s="8"/>
      <c r="BN237" s="8">
        <f t="shared" si="11"/>
        <v>1</v>
      </c>
      <c r="BO237" s="24">
        <f t="shared" si="10"/>
        <v>0</v>
      </c>
      <c r="BP237" s="23"/>
      <c r="BQ237" s="23"/>
    </row>
    <row r="238" spans="1:69" ht="15.5">
      <c r="A238" s="3" t="s">
        <v>702</v>
      </c>
      <c r="B238" s="3" t="s">
        <v>703</v>
      </c>
      <c r="C238" s="8">
        <v>1</v>
      </c>
      <c r="D238" s="8"/>
      <c r="E238" s="21"/>
      <c r="F238" s="21"/>
      <c r="G238" s="8"/>
      <c r="H238" s="8"/>
      <c r="I238" s="8"/>
      <c r="J238" s="8"/>
      <c r="K238" s="8"/>
      <c r="L238" s="8"/>
      <c r="M238" s="8"/>
      <c r="N238" s="21"/>
      <c r="O238" s="8"/>
      <c r="P238" s="8"/>
      <c r="Q238" s="8"/>
      <c r="R238" s="8"/>
      <c r="S238" s="8"/>
      <c r="T238" s="21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  <c r="AF238" s="8"/>
      <c r="AG238" s="8"/>
      <c r="AH238" s="8"/>
      <c r="AI238" s="8"/>
      <c r="AJ238" s="8"/>
      <c r="AK238" s="8"/>
      <c r="AL238" s="8"/>
      <c r="AM238" s="21"/>
      <c r="AN238" s="8"/>
      <c r="AO238" s="8"/>
      <c r="AP238" s="8"/>
      <c r="AQ238" s="8"/>
      <c r="AR238" s="8"/>
      <c r="AS238" s="8"/>
      <c r="AT238" s="8"/>
      <c r="AU238" s="8">
        <f t="shared" si="0"/>
        <v>1</v>
      </c>
      <c r="AV238" s="8"/>
      <c r="AW238" s="8"/>
      <c r="AX238" s="8"/>
      <c r="AY238" s="8"/>
      <c r="AZ238" s="8"/>
      <c r="BA238" s="8"/>
      <c r="BB238" s="8"/>
      <c r="BC238" s="8"/>
      <c r="BD238" s="8"/>
      <c r="BE238" s="8"/>
      <c r="BF238" s="8"/>
      <c r="BG238" s="8"/>
      <c r="BH238" s="8"/>
      <c r="BI238" s="8"/>
      <c r="BJ238" s="8"/>
      <c r="BK238" s="8"/>
      <c r="BL238" s="8"/>
      <c r="BM238" s="8"/>
      <c r="BN238" s="8">
        <f t="shared" si="11"/>
        <v>0</v>
      </c>
      <c r="BO238" s="24">
        <f t="shared" si="10"/>
        <v>1</v>
      </c>
      <c r="BP238" s="23"/>
      <c r="BQ238" s="23"/>
    </row>
    <row r="239" spans="1:69" ht="15.5">
      <c r="A239" s="3" t="s">
        <v>704</v>
      </c>
      <c r="B239" s="3" t="s">
        <v>705</v>
      </c>
      <c r="C239" s="8">
        <v>1</v>
      </c>
      <c r="D239" s="8"/>
      <c r="E239" s="21"/>
      <c r="F239" s="21"/>
      <c r="G239" s="8"/>
      <c r="H239" s="8"/>
      <c r="I239" s="8"/>
      <c r="J239" s="8"/>
      <c r="K239" s="8"/>
      <c r="L239" s="8"/>
      <c r="M239" s="8"/>
      <c r="N239" s="21"/>
      <c r="O239" s="8"/>
      <c r="P239" s="8"/>
      <c r="Q239" s="8"/>
      <c r="R239" s="8"/>
      <c r="S239" s="8"/>
      <c r="T239" s="21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  <c r="AF239" s="8"/>
      <c r="AG239" s="8"/>
      <c r="AH239" s="8"/>
      <c r="AI239" s="8"/>
      <c r="AJ239" s="8"/>
      <c r="AK239" s="8"/>
      <c r="AL239" s="8"/>
      <c r="AM239" s="21"/>
      <c r="AN239" s="8"/>
      <c r="AO239" s="8"/>
      <c r="AP239" s="8"/>
      <c r="AQ239" s="8"/>
      <c r="AR239" s="8"/>
      <c r="AS239" s="8"/>
      <c r="AT239" s="8"/>
      <c r="AU239" s="8">
        <f t="shared" si="0"/>
        <v>1</v>
      </c>
      <c r="AV239" s="8"/>
      <c r="AW239" s="8"/>
      <c r="AX239" s="8"/>
      <c r="AY239" s="8"/>
      <c r="AZ239" s="8"/>
      <c r="BA239" s="8"/>
      <c r="BB239" s="8"/>
      <c r="BC239" s="8"/>
      <c r="BD239" s="8"/>
      <c r="BE239" s="8"/>
      <c r="BF239" s="8"/>
      <c r="BG239" s="8"/>
      <c r="BH239" s="8"/>
      <c r="BI239" s="8"/>
      <c r="BJ239" s="8"/>
      <c r="BK239" s="8"/>
      <c r="BL239" s="8"/>
      <c r="BM239" s="8"/>
      <c r="BN239" s="8">
        <f t="shared" si="11"/>
        <v>0</v>
      </c>
      <c r="BO239" s="24">
        <f t="shared" si="10"/>
        <v>1</v>
      </c>
      <c r="BP239" s="23"/>
      <c r="BQ239" s="23"/>
    </row>
    <row r="240" spans="1:69" ht="15.5">
      <c r="A240" s="3" t="s">
        <v>706</v>
      </c>
      <c r="B240" s="3" t="s">
        <v>707</v>
      </c>
      <c r="C240" s="8">
        <v>1</v>
      </c>
      <c r="D240" s="8"/>
      <c r="E240" s="21"/>
      <c r="F240" s="21"/>
      <c r="G240" s="8"/>
      <c r="H240" s="8"/>
      <c r="I240" s="8"/>
      <c r="J240" s="8"/>
      <c r="K240" s="8"/>
      <c r="L240" s="8"/>
      <c r="M240" s="8"/>
      <c r="N240" s="21"/>
      <c r="O240" s="8"/>
      <c r="P240" s="8"/>
      <c r="Q240" s="8"/>
      <c r="R240" s="8"/>
      <c r="S240" s="8">
        <v>1</v>
      </c>
      <c r="T240" s="21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  <c r="AF240" s="8"/>
      <c r="AG240" s="8"/>
      <c r="AH240" s="8"/>
      <c r="AI240" s="8"/>
      <c r="AJ240" s="8"/>
      <c r="AK240" s="8"/>
      <c r="AL240" s="8"/>
      <c r="AM240" s="21"/>
      <c r="AN240" s="8"/>
      <c r="AO240" s="8"/>
      <c r="AP240" s="8"/>
      <c r="AQ240" s="8"/>
      <c r="AR240" s="8"/>
      <c r="AS240" s="8"/>
      <c r="AT240" s="8"/>
      <c r="AU240" s="8">
        <f t="shared" si="0"/>
        <v>2</v>
      </c>
      <c r="AV240" s="8"/>
      <c r="AW240" s="8"/>
      <c r="AX240" s="8"/>
      <c r="AY240" s="8"/>
      <c r="AZ240" s="8"/>
      <c r="BA240" s="8"/>
      <c r="BB240" s="8"/>
      <c r="BC240" s="8"/>
      <c r="BD240" s="8"/>
      <c r="BE240" s="8"/>
      <c r="BF240" s="8"/>
      <c r="BG240" s="8"/>
      <c r="BH240" s="8"/>
      <c r="BI240" s="8"/>
      <c r="BJ240" s="8"/>
      <c r="BK240" s="8"/>
      <c r="BL240" s="8"/>
      <c r="BM240" s="8"/>
      <c r="BN240" s="8">
        <f t="shared" si="11"/>
        <v>0</v>
      </c>
      <c r="BO240" s="24">
        <f t="shared" si="10"/>
        <v>2</v>
      </c>
      <c r="BP240" s="23"/>
      <c r="BQ240" s="23"/>
    </row>
    <row r="241" spans="1:69" ht="15.5">
      <c r="A241" s="3" t="s">
        <v>708</v>
      </c>
      <c r="B241" s="3" t="s">
        <v>709</v>
      </c>
      <c r="C241" s="8">
        <v>1</v>
      </c>
      <c r="D241" s="8"/>
      <c r="E241" s="21"/>
      <c r="F241" s="21"/>
      <c r="G241" s="8"/>
      <c r="H241" s="8"/>
      <c r="I241" s="8"/>
      <c r="J241" s="8"/>
      <c r="K241" s="8"/>
      <c r="L241" s="8"/>
      <c r="M241" s="8"/>
      <c r="N241" s="21"/>
      <c r="O241" s="8"/>
      <c r="P241" s="8"/>
      <c r="Q241" s="8"/>
      <c r="R241" s="8"/>
      <c r="S241" s="8"/>
      <c r="T241" s="21"/>
      <c r="U241" s="8"/>
      <c r="V241" s="8"/>
      <c r="W241" s="8">
        <v>1</v>
      </c>
      <c r="X241" s="8"/>
      <c r="Y241" s="8"/>
      <c r="Z241" s="8"/>
      <c r="AA241" s="8"/>
      <c r="AB241" s="8"/>
      <c r="AC241" s="8"/>
      <c r="AD241" s="8"/>
      <c r="AE241" s="8"/>
      <c r="AF241" s="8"/>
      <c r="AG241" s="8"/>
      <c r="AH241" s="8"/>
      <c r="AI241" s="8"/>
      <c r="AJ241" s="8"/>
      <c r="AK241" s="8"/>
      <c r="AL241" s="8"/>
      <c r="AM241" s="21"/>
      <c r="AN241" s="8"/>
      <c r="AO241" s="8"/>
      <c r="AP241" s="8"/>
      <c r="AQ241" s="8"/>
      <c r="AR241" s="8"/>
      <c r="AS241" s="8"/>
      <c r="AT241" s="8"/>
      <c r="AU241" s="8">
        <f t="shared" si="0"/>
        <v>2</v>
      </c>
      <c r="AV241" s="8"/>
      <c r="AW241" s="8"/>
      <c r="AX241" s="8">
        <v>1</v>
      </c>
      <c r="AY241" s="8"/>
      <c r="AZ241" s="8"/>
      <c r="BA241" s="8"/>
      <c r="BB241" s="8"/>
      <c r="BC241" s="8"/>
      <c r="BD241" s="8"/>
      <c r="BE241" s="8"/>
      <c r="BF241" s="8"/>
      <c r="BG241" s="8"/>
      <c r="BH241" s="8"/>
      <c r="BI241" s="8"/>
      <c r="BJ241" s="8"/>
      <c r="BK241" s="8"/>
      <c r="BL241" s="8"/>
      <c r="BM241" s="8"/>
      <c r="BN241" s="8">
        <f t="shared" si="11"/>
        <v>1</v>
      </c>
      <c r="BO241" s="24">
        <f t="shared" si="10"/>
        <v>1</v>
      </c>
      <c r="BP241" s="23"/>
      <c r="BQ241" s="23"/>
    </row>
    <row r="242" spans="1:69" ht="15.5">
      <c r="A242" s="3" t="s">
        <v>710</v>
      </c>
      <c r="B242" s="3" t="s">
        <v>711</v>
      </c>
      <c r="C242" s="8">
        <v>1</v>
      </c>
      <c r="D242" s="8"/>
      <c r="E242" s="21"/>
      <c r="F242" s="21"/>
      <c r="G242" s="8"/>
      <c r="H242" s="8"/>
      <c r="I242" s="8"/>
      <c r="J242" s="8"/>
      <c r="K242" s="8"/>
      <c r="L242" s="8"/>
      <c r="M242" s="8"/>
      <c r="N242" s="21"/>
      <c r="O242" s="8"/>
      <c r="P242" s="8"/>
      <c r="Q242" s="8"/>
      <c r="R242" s="8"/>
      <c r="S242" s="8">
        <v>1</v>
      </c>
      <c r="T242" s="21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  <c r="AF242" s="8"/>
      <c r="AG242" s="8"/>
      <c r="AH242" s="8"/>
      <c r="AI242" s="8"/>
      <c r="AJ242" s="8"/>
      <c r="AK242" s="8"/>
      <c r="AL242" s="8"/>
      <c r="AM242" s="21"/>
      <c r="AN242" s="8"/>
      <c r="AO242" s="8"/>
      <c r="AP242" s="8"/>
      <c r="AQ242" s="8"/>
      <c r="AR242" s="8"/>
      <c r="AS242" s="8"/>
      <c r="AT242" s="8"/>
      <c r="AU242" s="8">
        <f t="shared" si="0"/>
        <v>2</v>
      </c>
      <c r="AV242" s="8">
        <v>1</v>
      </c>
      <c r="AW242" s="8"/>
      <c r="AX242" s="8"/>
      <c r="AY242" s="8"/>
      <c r="AZ242" s="8"/>
      <c r="BA242" s="8"/>
      <c r="BB242" s="8">
        <v>1</v>
      </c>
      <c r="BC242" s="8"/>
      <c r="BD242" s="8"/>
      <c r="BE242" s="8"/>
      <c r="BF242" s="8"/>
      <c r="BG242" s="8"/>
      <c r="BH242" s="8"/>
      <c r="BI242" s="8"/>
      <c r="BJ242" s="8"/>
      <c r="BK242" s="8"/>
      <c r="BL242" s="8"/>
      <c r="BM242" s="8"/>
      <c r="BN242" s="8">
        <f t="shared" si="11"/>
        <v>2</v>
      </c>
      <c r="BO242" s="24">
        <f t="shared" si="10"/>
        <v>0</v>
      </c>
      <c r="BP242" s="23"/>
      <c r="BQ242" s="23"/>
    </row>
    <row r="243" spans="1:69" ht="15.5">
      <c r="A243" s="3" t="s">
        <v>712</v>
      </c>
      <c r="B243" s="3" t="s">
        <v>713</v>
      </c>
      <c r="C243" s="8">
        <v>1</v>
      </c>
      <c r="D243" s="8"/>
      <c r="E243" s="21"/>
      <c r="F243" s="21"/>
      <c r="G243" s="8"/>
      <c r="H243" s="8"/>
      <c r="I243" s="8"/>
      <c r="J243" s="8"/>
      <c r="K243" s="8"/>
      <c r="L243" s="8"/>
      <c r="M243" s="8"/>
      <c r="N243" s="21"/>
      <c r="O243" s="8"/>
      <c r="P243" s="8"/>
      <c r="Q243" s="8"/>
      <c r="R243" s="8"/>
      <c r="S243" s="8"/>
      <c r="T243" s="21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  <c r="AF243" s="8"/>
      <c r="AG243" s="8"/>
      <c r="AH243" s="8"/>
      <c r="AI243" s="8"/>
      <c r="AJ243" s="8"/>
      <c r="AK243" s="8"/>
      <c r="AL243" s="8"/>
      <c r="AM243" s="21"/>
      <c r="AN243" s="8"/>
      <c r="AO243" s="8"/>
      <c r="AP243" s="8"/>
      <c r="AQ243" s="8"/>
      <c r="AR243" s="8"/>
      <c r="AS243" s="8"/>
      <c r="AT243" s="8"/>
      <c r="AU243" s="8">
        <f t="shared" si="0"/>
        <v>1</v>
      </c>
      <c r="AV243" s="8"/>
      <c r="AW243" s="8"/>
      <c r="AX243" s="8"/>
      <c r="AY243" s="8"/>
      <c r="AZ243" s="8"/>
      <c r="BA243" s="8"/>
      <c r="BB243" s="8"/>
      <c r="BC243" s="8"/>
      <c r="BD243" s="8"/>
      <c r="BE243" s="8"/>
      <c r="BF243" s="8"/>
      <c r="BG243" s="8"/>
      <c r="BH243" s="8"/>
      <c r="BI243" s="8"/>
      <c r="BJ243" s="8"/>
      <c r="BK243" s="8"/>
      <c r="BL243" s="8"/>
      <c r="BM243" s="8"/>
      <c r="BN243" s="8">
        <f t="shared" si="11"/>
        <v>0</v>
      </c>
      <c r="BO243" s="24">
        <f t="shared" si="10"/>
        <v>1</v>
      </c>
      <c r="BP243" s="23"/>
      <c r="BQ243" s="23"/>
    </row>
    <row r="244" spans="1:69" ht="15.5">
      <c r="A244" s="3" t="s">
        <v>714</v>
      </c>
      <c r="B244" s="3" t="s">
        <v>715</v>
      </c>
      <c r="C244" s="8">
        <v>1</v>
      </c>
      <c r="D244" s="8"/>
      <c r="E244" s="21"/>
      <c r="F244" s="21"/>
      <c r="G244" s="8"/>
      <c r="H244" s="8"/>
      <c r="I244" s="8"/>
      <c r="J244" s="8"/>
      <c r="K244" s="8"/>
      <c r="L244" s="8"/>
      <c r="M244" s="8"/>
      <c r="N244" s="21"/>
      <c r="O244" s="8"/>
      <c r="P244" s="8"/>
      <c r="Q244" s="8"/>
      <c r="R244" s="8"/>
      <c r="S244" s="8"/>
      <c r="T244" s="21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  <c r="AF244" s="8"/>
      <c r="AG244" s="8"/>
      <c r="AH244" s="8"/>
      <c r="AI244" s="8"/>
      <c r="AJ244" s="8"/>
      <c r="AK244" s="8"/>
      <c r="AL244" s="8"/>
      <c r="AM244" s="21"/>
      <c r="AN244" s="8"/>
      <c r="AO244" s="8"/>
      <c r="AP244" s="8"/>
      <c r="AQ244" s="8"/>
      <c r="AR244" s="8"/>
      <c r="AS244" s="8"/>
      <c r="AT244" s="8"/>
      <c r="AU244" s="8">
        <f t="shared" si="0"/>
        <v>1</v>
      </c>
      <c r="AV244" s="8"/>
      <c r="AW244" s="8"/>
      <c r="AX244" s="8"/>
      <c r="AY244" s="8"/>
      <c r="AZ244" s="8"/>
      <c r="BA244" s="8"/>
      <c r="BB244" s="8">
        <v>1</v>
      </c>
      <c r="BC244" s="8"/>
      <c r="BD244" s="8"/>
      <c r="BE244" s="8"/>
      <c r="BF244" s="8"/>
      <c r="BG244" s="8"/>
      <c r="BH244" s="8"/>
      <c r="BI244" s="8"/>
      <c r="BJ244" s="8"/>
      <c r="BK244" s="8"/>
      <c r="BL244" s="8"/>
      <c r="BM244" s="8"/>
      <c r="BN244" s="8">
        <f t="shared" si="11"/>
        <v>1</v>
      </c>
      <c r="BO244" s="24">
        <f t="shared" si="10"/>
        <v>0</v>
      </c>
      <c r="BP244" s="23"/>
      <c r="BQ244" s="23"/>
    </row>
    <row r="245" spans="1:69" ht="15.5">
      <c r="A245" s="3" t="s">
        <v>716</v>
      </c>
      <c r="B245" s="3" t="s">
        <v>717</v>
      </c>
      <c r="C245" s="8">
        <v>1</v>
      </c>
      <c r="D245" s="8"/>
      <c r="E245" s="21"/>
      <c r="F245" s="21"/>
      <c r="G245" s="8"/>
      <c r="H245" s="8"/>
      <c r="I245" s="8"/>
      <c r="J245" s="8"/>
      <c r="K245" s="8"/>
      <c r="L245" s="8"/>
      <c r="M245" s="8"/>
      <c r="N245" s="21"/>
      <c r="O245" s="8"/>
      <c r="P245" s="8"/>
      <c r="Q245" s="8"/>
      <c r="R245" s="8"/>
      <c r="S245" s="8"/>
      <c r="T245" s="21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  <c r="AF245" s="8"/>
      <c r="AG245" s="8"/>
      <c r="AH245" s="8"/>
      <c r="AI245" s="8"/>
      <c r="AJ245" s="8"/>
      <c r="AK245" s="8"/>
      <c r="AL245" s="8"/>
      <c r="AM245" s="21"/>
      <c r="AN245" s="8"/>
      <c r="AO245" s="8"/>
      <c r="AP245" s="8"/>
      <c r="AQ245" s="8"/>
      <c r="AR245" s="8"/>
      <c r="AS245" s="8"/>
      <c r="AT245" s="8"/>
      <c r="AU245" s="8">
        <f t="shared" si="0"/>
        <v>1</v>
      </c>
      <c r="AV245" s="8"/>
      <c r="AW245" s="8"/>
      <c r="AX245" s="8"/>
      <c r="AY245" s="8"/>
      <c r="AZ245" s="8"/>
      <c r="BA245" s="8"/>
      <c r="BB245" s="8"/>
      <c r="BC245" s="8"/>
      <c r="BD245" s="8"/>
      <c r="BE245" s="8"/>
      <c r="BF245" s="8"/>
      <c r="BG245" s="8"/>
      <c r="BH245" s="8"/>
      <c r="BI245" s="8"/>
      <c r="BJ245" s="8"/>
      <c r="BK245" s="8"/>
      <c r="BL245" s="8"/>
      <c r="BM245" s="8"/>
      <c r="BN245" s="8">
        <f t="shared" si="11"/>
        <v>0</v>
      </c>
      <c r="BO245" s="24">
        <f t="shared" si="10"/>
        <v>1</v>
      </c>
      <c r="BP245" s="23"/>
      <c r="BQ245" s="23"/>
    </row>
    <row r="246" spans="1:69" ht="15.5">
      <c r="A246" s="3" t="s">
        <v>718</v>
      </c>
      <c r="B246" s="3" t="s">
        <v>719</v>
      </c>
      <c r="C246" s="8">
        <v>1</v>
      </c>
      <c r="D246" s="8"/>
      <c r="E246" s="21"/>
      <c r="F246" s="21"/>
      <c r="G246" s="8"/>
      <c r="H246" s="8"/>
      <c r="I246" s="8"/>
      <c r="J246" s="8"/>
      <c r="K246" s="8"/>
      <c r="L246" s="8"/>
      <c r="M246" s="8"/>
      <c r="N246" s="21"/>
      <c r="O246" s="8"/>
      <c r="P246" s="8"/>
      <c r="Q246" s="8"/>
      <c r="R246" s="8"/>
      <c r="S246" s="8">
        <v>1</v>
      </c>
      <c r="T246" s="21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  <c r="AF246" s="8"/>
      <c r="AG246" s="8"/>
      <c r="AH246" s="8"/>
      <c r="AI246" s="8"/>
      <c r="AJ246" s="8"/>
      <c r="AK246" s="8"/>
      <c r="AL246" s="8"/>
      <c r="AM246" s="21"/>
      <c r="AN246" s="8"/>
      <c r="AO246" s="8"/>
      <c r="AP246" s="8"/>
      <c r="AQ246" s="8"/>
      <c r="AR246" s="8"/>
      <c r="AS246" s="8"/>
      <c r="AT246" s="8"/>
      <c r="AU246" s="8">
        <f t="shared" si="0"/>
        <v>2</v>
      </c>
      <c r="AV246" s="8"/>
      <c r="AW246" s="8"/>
      <c r="AX246" s="8"/>
      <c r="AY246" s="8"/>
      <c r="AZ246" s="8"/>
      <c r="BA246" s="8"/>
      <c r="BB246" s="8"/>
      <c r="BC246" s="8"/>
      <c r="BD246" s="8"/>
      <c r="BE246" s="8"/>
      <c r="BF246" s="8"/>
      <c r="BG246" s="8"/>
      <c r="BH246" s="8"/>
      <c r="BI246" s="8"/>
      <c r="BJ246" s="8"/>
      <c r="BK246" s="8"/>
      <c r="BL246" s="8"/>
      <c r="BM246" s="8"/>
      <c r="BN246" s="8">
        <f t="shared" si="11"/>
        <v>0</v>
      </c>
      <c r="BO246" s="24">
        <f t="shared" si="10"/>
        <v>2</v>
      </c>
      <c r="BP246" s="23"/>
      <c r="BQ246" s="23"/>
    </row>
    <row r="247" spans="1:69" ht="15.5">
      <c r="A247" s="3" t="s">
        <v>720</v>
      </c>
      <c r="B247" s="3" t="s">
        <v>721</v>
      </c>
      <c r="C247" s="8">
        <v>1</v>
      </c>
      <c r="D247" s="8"/>
      <c r="E247" s="21"/>
      <c r="F247" s="21"/>
      <c r="G247" s="8"/>
      <c r="H247" s="8"/>
      <c r="I247" s="8"/>
      <c r="J247" s="8"/>
      <c r="K247" s="8"/>
      <c r="L247" s="8"/>
      <c r="M247" s="8"/>
      <c r="N247" s="21"/>
      <c r="O247" s="8"/>
      <c r="P247" s="8"/>
      <c r="Q247" s="8"/>
      <c r="R247" s="8"/>
      <c r="S247" s="8"/>
      <c r="T247" s="21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  <c r="AF247" s="8"/>
      <c r="AG247" s="8"/>
      <c r="AH247" s="8"/>
      <c r="AI247" s="8"/>
      <c r="AJ247" s="8"/>
      <c r="AK247" s="8"/>
      <c r="AL247" s="8">
        <v>1</v>
      </c>
      <c r="AM247" s="21"/>
      <c r="AN247" s="8"/>
      <c r="AO247" s="8"/>
      <c r="AP247" s="8"/>
      <c r="AQ247" s="8"/>
      <c r="AR247" s="8"/>
      <c r="AS247" s="8"/>
      <c r="AT247" s="8"/>
      <c r="AU247" s="8">
        <f t="shared" si="0"/>
        <v>2</v>
      </c>
      <c r="AV247" s="8"/>
      <c r="AW247" s="8"/>
      <c r="AX247" s="8"/>
      <c r="AY247" s="8">
        <v>1</v>
      </c>
      <c r="AZ247" s="8"/>
      <c r="BA247" s="8"/>
      <c r="BB247" s="8"/>
      <c r="BC247" s="8"/>
      <c r="BD247" s="8"/>
      <c r="BE247" s="8"/>
      <c r="BF247" s="8"/>
      <c r="BG247" s="8"/>
      <c r="BH247" s="8"/>
      <c r="BI247" s="8"/>
      <c r="BJ247" s="8"/>
      <c r="BK247" s="8"/>
      <c r="BL247" s="8"/>
      <c r="BM247" s="8"/>
      <c r="BN247" s="8">
        <f t="shared" si="11"/>
        <v>1</v>
      </c>
      <c r="BO247" s="24">
        <f t="shared" si="10"/>
        <v>1</v>
      </c>
      <c r="BP247" s="23"/>
      <c r="BQ247" s="23"/>
    </row>
    <row r="248" spans="1:69" ht="15.5">
      <c r="A248" s="3" t="s">
        <v>722</v>
      </c>
      <c r="B248" s="3" t="s">
        <v>723</v>
      </c>
      <c r="C248" s="8">
        <v>1</v>
      </c>
      <c r="D248" s="8"/>
      <c r="E248" s="21"/>
      <c r="F248" s="21"/>
      <c r="G248" s="8"/>
      <c r="H248" s="8"/>
      <c r="I248" s="8"/>
      <c r="J248" s="8"/>
      <c r="K248" s="8"/>
      <c r="L248" s="8"/>
      <c r="M248" s="8"/>
      <c r="N248" s="21"/>
      <c r="O248" s="8"/>
      <c r="P248" s="8"/>
      <c r="Q248" s="8"/>
      <c r="R248" s="8"/>
      <c r="S248" s="8"/>
      <c r="T248" s="21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  <c r="AF248" s="8"/>
      <c r="AG248" s="8"/>
      <c r="AH248" s="8"/>
      <c r="AI248" s="8"/>
      <c r="AJ248" s="8"/>
      <c r="AK248" s="8"/>
      <c r="AL248" s="8"/>
      <c r="AM248" s="21"/>
      <c r="AN248" s="8"/>
      <c r="AO248" s="8"/>
      <c r="AP248" s="8"/>
      <c r="AQ248" s="8"/>
      <c r="AR248" s="8"/>
      <c r="AS248" s="8"/>
      <c r="AT248" s="8"/>
      <c r="AU248" s="8">
        <f t="shared" si="0"/>
        <v>1</v>
      </c>
      <c r="AV248" s="8"/>
      <c r="AW248" s="8"/>
      <c r="AX248" s="8"/>
      <c r="AY248" s="8"/>
      <c r="AZ248" s="8"/>
      <c r="BA248" s="8"/>
      <c r="BB248" s="8"/>
      <c r="BC248" s="8"/>
      <c r="BD248" s="8"/>
      <c r="BE248" s="8"/>
      <c r="BF248" s="8"/>
      <c r="BG248" s="8"/>
      <c r="BH248" s="8"/>
      <c r="BI248" s="8"/>
      <c r="BJ248" s="8"/>
      <c r="BK248" s="8"/>
      <c r="BL248" s="8"/>
      <c r="BM248" s="8"/>
      <c r="BN248" s="8">
        <f t="shared" si="11"/>
        <v>0</v>
      </c>
      <c r="BO248" s="24">
        <f t="shared" si="10"/>
        <v>1</v>
      </c>
      <c r="BP248" s="23"/>
      <c r="BQ248" s="23"/>
    </row>
    <row r="249" spans="1:69" ht="15.5">
      <c r="A249" s="3" t="s">
        <v>724</v>
      </c>
      <c r="B249" s="3" t="s">
        <v>725</v>
      </c>
      <c r="C249" s="8">
        <v>1</v>
      </c>
      <c r="D249" s="8"/>
      <c r="E249" s="21"/>
      <c r="F249" s="21"/>
      <c r="G249" s="8"/>
      <c r="H249" s="8"/>
      <c r="I249" s="8"/>
      <c r="J249" s="8"/>
      <c r="K249" s="8"/>
      <c r="L249" s="8"/>
      <c r="M249" s="8"/>
      <c r="N249" s="21"/>
      <c r="O249" s="8"/>
      <c r="P249" s="8"/>
      <c r="Q249" s="8"/>
      <c r="R249" s="8"/>
      <c r="S249" s="8"/>
      <c r="T249" s="21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  <c r="AF249" s="8"/>
      <c r="AG249" s="8"/>
      <c r="AH249" s="8"/>
      <c r="AI249" s="8"/>
      <c r="AJ249" s="8"/>
      <c r="AK249" s="8"/>
      <c r="AL249" s="8"/>
      <c r="AM249" s="21"/>
      <c r="AN249" s="8"/>
      <c r="AO249" s="8"/>
      <c r="AP249" s="8"/>
      <c r="AQ249" s="8"/>
      <c r="AR249" s="8"/>
      <c r="AS249" s="8"/>
      <c r="AT249" s="8"/>
      <c r="AU249" s="8">
        <f t="shared" si="0"/>
        <v>1</v>
      </c>
      <c r="AV249" s="8"/>
      <c r="AW249" s="8"/>
      <c r="AX249" s="8"/>
      <c r="AY249" s="8"/>
      <c r="AZ249" s="8"/>
      <c r="BA249" s="8"/>
      <c r="BB249" s="8"/>
      <c r="BC249" s="8"/>
      <c r="BD249" s="8"/>
      <c r="BE249" s="8"/>
      <c r="BF249" s="8"/>
      <c r="BG249" s="8"/>
      <c r="BH249" s="8"/>
      <c r="BI249" s="8"/>
      <c r="BJ249" s="8"/>
      <c r="BK249" s="8"/>
      <c r="BL249" s="8"/>
      <c r="BM249" s="8"/>
      <c r="BN249" s="8">
        <f t="shared" si="11"/>
        <v>0</v>
      </c>
      <c r="BO249" s="24">
        <f t="shared" si="10"/>
        <v>1</v>
      </c>
      <c r="BP249" s="23"/>
      <c r="BQ249" s="23"/>
    </row>
    <row r="250" spans="1:69" ht="15.5">
      <c r="A250" s="3" t="s">
        <v>728</v>
      </c>
      <c r="B250" s="3" t="s">
        <v>729</v>
      </c>
      <c r="C250" s="8">
        <v>1</v>
      </c>
      <c r="D250" s="8"/>
      <c r="E250" s="21"/>
      <c r="F250" s="21"/>
      <c r="G250" s="8"/>
      <c r="H250" s="8"/>
      <c r="I250" s="8"/>
      <c r="J250" s="8"/>
      <c r="K250" s="8"/>
      <c r="L250" s="8"/>
      <c r="M250" s="8"/>
      <c r="N250" s="21"/>
      <c r="O250" s="8"/>
      <c r="P250" s="8"/>
      <c r="Q250" s="8"/>
      <c r="R250" s="8"/>
      <c r="S250" s="8"/>
      <c r="T250" s="21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  <c r="AF250" s="8"/>
      <c r="AG250" s="8"/>
      <c r="AH250" s="8"/>
      <c r="AI250" s="8"/>
      <c r="AJ250" s="8"/>
      <c r="AK250" s="8"/>
      <c r="AL250" s="8"/>
      <c r="AM250" s="21"/>
      <c r="AN250" s="8"/>
      <c r="AO250" s="8"/>
      <c r="AP250" s="8"/>
      <c r="AQ250" s="8"/>
      <c r="AR250" s="8"/>
      <c r="AS250" s="8"/>
      <c r="AT250" s="8"/>
      <c r="AU250" s="8">
        <f t="shared" si="0"/>
        <v>1</v>
      </c>
      <c r="AV250" s="8"/>
      <c r="AW250" s="8"/>
      <c r="AX250" s="8"/>
      <c r="AY250" s="8"/>
      <c r="AZ250" s="8"/>
      <c r="BA250" s="8"/>
      <c r="BB250" s="8"/>
      <c r="BC250" s="8"/>
      <c r="BD250" s="8"/>
      <c r="BE250" s="8"/>
      <c r="BF250" s="8"/>
      <c r="BG250" s="8"/>
      <c r="BH250" s="8"/>
      <c r="BI250" s="8"/>
      <c r="BJ250" s="8"/>
      <c r="BK250" s="8"/>
      <c r="BL250" s="8"/>
      <c r="BM250" s="8"/>
      <c r="BN250" s="8">
        <f t="shared" si="11"/>
        <v>0</v>
      </c>
      <c r="BO250" s="24">
        <f t="shared" si="10"/>
        <v>1</v>
      </c>
      <c r="BP250" s="23"/>
      <c r="BQ250" s="23"/>
    </row>
    <row r="251" spans="1:69" ht="15.5">
      <c r="A251" s="3" t="s">
        <v>732</v>
      </c>
      <c r="B251" s="3" t="s">
        <v>733</v>
      </c>
      <c r="C251" s="8"/>
      <c r="D251" s="8"/>
      <c r="E251" s="21"/>
      <c r="F251" s="21"/>
      <c r="G251" s="8"/>
      <c r="H251" s="8"/>
      <c r="I251" s="8"/>
      <c r="J251" s="8"/>
      <c r="K251" s="8"/>
      <c r="L251" s="8"/>
      <c r="M251" s="8"/>
      <c r="N251" s="21"/>
      <c r="O251" s="8"/>
      <c r="P251" s="8"/>
      <c r="Q251" s="8"/>
      <c r="R251" s="8">
        <v>1</v>
      </c>
      <c r="S251" s="8"/>
      <c r="T251" s="21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  <c r="AF251" s="8"/>
      <c r="AG251" s="8">
        <v>1</v>
      </c>
      <c r="AH251" s="8"/>
      <c r="AI251" s="8"/>
      <c r="AJ251" s="8"/>
      <c r="AK251" s="8"/>
      <c r="AL251" s="8"/>
      <c r="AM251" s="21"/>
      <c r="AN251" s="8"/>
      <c r="AO251" s="8"/>
      <c r="AP251" s="8"/>
      <c r="AQ251" s="8"/>
      <c r="AR251" s="8"/>
      <c r="AS251" s="8"/>
      <c r="AT251" s="8"/>
      <c r="AU251" s="8">
        <f t="shared" si="0"/>
        <v>2</v>
      </c>
      <c r="AV251" s="8"/>
      <c r="AW251" s="8"/>
      <c r="AX251" s="8"/>
      <c r="AY251" s="8">
        <v>1</v>
      </c>
      <c r="AZ251" s="8"/>
      <c r="BA251" s="8"/>
      <c r="BB251" s="8"/>
      <c r="BC251" s="8"/>
      <c r="BD251" s="8"/>
      <c r="BE251" s="8"/>
      <c r="BF251" s="8"/>
      <c r="BG251" s="8"/>
      <c r="BH251" s="8"/>
      <c r="BI251" s="8"/>
      <c r="BJ251" s="8"/>
      <c r="BK251" s="8"/>
      <c r="BL251" s="8"/>
      <c r="BM251" s="8"/>
      <c r="BN251" s="8">
        <f t="shared" si="11"/>
        <v>1</v>
      </c>
      <c r="BO251" s="24">
        <f t="shared" si="10"/>
        <v>1</v>
      </c>
      <c r="BP251" s="23"/>
      <c r="BQ251" s="23"/>
    </row>
    <row r="252" spans="1:69" ht="15.5">
      <c r="A252" s="3" t="s">
        <v>103</v>
      </c>
      <c r="B252" s="3" t="s">
        <v>104</v>
      </c>
      <c r="C252" s="8">
        <v>1</v>
      </c>
      <c r="D252" s="8"/>
      <c r="E252" s="21">
        <v>-1</v>
      </c>
      <c r="F252" s="21"/>
      <c r="G252" s="8"/>
      <c r="H252" s="8"/>
      <c r="I252" s="8"/>
      <c r="J252" s="8"/>
      <c r="K252" s="8"/>
      <c r="L252" s="8"/>
      <c r="M252" s="8"/>
      <c r="N252" s="21"/>
      <c r="O252" s="8"/>
      <c r="P252" s="8"/>
      <c r="Q252" s="8">
        <v>1</v>
      </c>
      <c r="R252" s="8"/>
      <c r="S252" s="8"/>
      <c r="T252" s="21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/>
      <c r="AF252" s="8"/>
      <c r="AG252" s="8">
        <v>1</v>
      </c>
      <c r="AH252" s="8"/>
      <c r="AI252" s="8"/>
      <c r="AJ252" s="8"/>
      <c r="AK252" s="8"/>
      <c r="AL252" s="8">
        <v>1</v>
      </c>
      <c r="AM252" s="21"/>
      <c r="AN252" s="8"/>
      <c r="AO252" s="8"/>
      <c r="AP252" s="8"/>
      <c r="AQ252" s="8"/>
      <c r="AR252" s="8"/>
      <c r="AS252" s="8"/>
      <c r="AT252" s="8"/>
      <c r="AU252" s="8">
        <f t="shared" si="0"/>
        <v>3</v>
      </c>
      <c r="AV252" s="8"/>
      <c r="AW252" s="8"/>
      <c r="AX252" s="8"/>
      <c r="AY252" s="8"/>
      <c r="AZ252" s="8"/>
      <c r="BA252" s="8">
        <v>1</v>
      </c>
      <c r="BB252" s="8">
        <v>1</v>
      </c>
      <c r="BC252" s="8"/>
      <c r="BD252" s="8"/>
      <c r="BE252" s="8"/>
      <c r="BF252" s="8"/>
      <c r="BG252" s="8"/>
      <c r="BH252" s="8"/>
      <c r="BI252" s="8"/>
      <c r="BJ252" s="8"/>
      <c r="BK252" s="8"/>
      <c r="BL252" s="8"/>
      <c r="BM252" s="8"/>
      <c r="BN252" s="8">
        <f t="shared" si="11"/>
        <v>2</v>
      </c>
      <c r="BO252" s="24">
        <f t="shared" si="10"/>
        <v>1</v>
      </c>
      <c r="BP252" s="23"/>
      <c r="BQ252" s="23"/>
    </row>
    <row r="253" spans="1:69" ht="15.5">
      <c r="A253" s="3" t="s">
        <v>105</v>
      </c>
      <c r="B253" s="3" t="s">
        <v>106</v>
      </c>
      <c r="C253" s="8">
        <v>1</v>
      </c>
      <c r="D253" s="8"/>
      <c r="E253" s="21">
        <v>-1</v>
      </c>
      <c r="F253" s="21"/>
      <c r="G253" s="8"/>
      <c r="H253" s="8"/>
      <c r="I253" s="8"/>
      <c r="J253" s="8"/>
      <c r="K253" s="8"/>
      <c r="L253" s="8"/>
      <c r="M253" s="8"/>
      <c r="N253" s="21"/>
      <c r="O253" s="8"/>
      <c r="P253" s="8"/>
      <c r="Q253" s="8">
        <v>1</v>
      </c>
      <c r="R253" s="8"/>
      <c r="S253" s="8">
        <v>1</v>
      </c>
      <c r="T253" s="21"/>
      <c r="U253" s="8">
        <v>1</v>
      </c>
      <c r="V253" s="8"/>
      <c r="W253" s="8"/>
      <c r="X253" s="8"/>
      <c r="Y253" s="8"/>
      <c r="Z253" s="8"/>
      <c r="AA253" s="8"/>
      <c r="AB253" s="8"/>
      <c r="AC253" s="8"/>
      <c r="AD253" s="8"/>
      <c r="AE253" s="8"/>
      <c r="AF253" s="8"/>
      <c r="AG253" s="8"/>
      <c r="AH253" s="8"/>
      <c r="AI253" s="8"/>
      <c r="AJ253" s="8"/>
      <c r="AK253" s="8"/>
      <c r="AL253" s="8"/>
      <c r="AM253" s="21"/>
      <c r="AN253" s="8"/>
      <c r="AO253" s="8"/>
      <c r="AP253" s="8">
        <v>3</v>
      </c>
      <c r="AQ253" s="8"/>
      <c r="AR253" s="8"/>
      <c r="AS253" s="8"/>
      <c r="AT253" s="8"/>
      <c r="AU253" s="8">
        <f t="shared" si="0"/>
        <v>6</v>
      </c>
      <c r="AV253" s="8">
        <v>1</v>
      </c>
      <c r="AW253" s="8"/>
      <c r="AX253" s="8"/>
      <c r="AY253" s="8"/>
      <c r="AZ253" s="8"/>
      <c r="BA253" s="8"/>
      <c r="BB253" s="8"/>
      <c r="BC253" s="8"/>
      <c r="BD253" s="8"/>
      <c r="BE253" s="8"/>
      <c r="BF253" s="8"/>
      <c r="BG253" s="8"/>
      <c r="BH253" s="8"/>
      <c r="BI253" s="8"/>
      <c r="BJ253" s="8"/>
      <c r="BK253" s="8"/>
      <c r="BL253" s="8"/>
      <c r="BM253" s="8"/>
      <c r="BN253" s="8">
        <f t="shared" si="11"/>
        <v>1</v>
      </c>
      <c r="BO253" s="24">
        <f t="shared" si="10"/>
        <v>5</v>
      </c>
      <c r="BP253" s="23"/>
      <c r="BQ253" s="23"/>
    </row>
    <row r="254" spans="1:69" ht="15.5">
      <c r="A254" s="3" t="s">
        <v>107</v>
      </c>
      <c r="B254" s="3" t="s">
        <v>108</v>
      </c>
      <c r="C254" s="8">
        <v>1</v>
      </c>
      <c r="D254" s="8"/>
      <c r="E254" s="21"/>
      <c r="F254" s="21"/>
      <c r="G254" s="8"/>
      <c r="H254" s="8"/>
      <c r="I254" s="8"/>
      <c r="J254" s="8"/>
      <c r="K254" s="8"/>
      <c r="L254" s="8"/>
      <c r="M254" s="8"/>
      <c r="N254" s="21"/>
      <c r="O254" s="8"/>
      <c r="P254" s="8"/>
      <c r="Q254" s="8">
        <v>1</v>
      </c>
      <c r="R254" s="8"/>
      <c r="S254" s="8"/>
      <c r="T254" s="21"/>
      <c r="U254" s="8">
        <v>1</v>
      </c>
      <c r="V254" s="8"/>
      <c r="W254" s="8"/>
      <c r="X254" s="8"/>
      <c r="Y254" s="8"/>
      <c r="Z254" s="8"/>
      <c r="AA254" s="8"/>
      <c r="AB254" s="8"/>
      <c r="AC254" s="8"/>
      <c r="AD254" s="8">
        <v>1</v>
      </c>
      <c r="AE254" s="8"/>
      <c r="AF254" s="8">
        <v>1</v>
      </c>
      <c r="AG254" s="8"/>
      <c r="AH254" s="8"/>
      <c r="AI254" s="8"/>
      <c r="AJ254" s="8"/>
      <c r="AK254" s="8"/>
      <c r="AL254" s="8"/>
      <c r="AM254" s="21"/>
      <c r="AN254" s="8"/>
      <c r="AO254" s="8"/>
      <c r="AP254" s="8"/>
      <c r="AQ254" s="8"/>
      <c r="AR254" s="8"/>
      <c r="AS254" s="8"/>
      <c r="AT254" s="8"/>
      <c r="AU254" s="8">
        <f t="shared" ref="AU254:AU439" si="12">SUM(C254:AT254)</f>
        <v>5</v>
      </c>
      <c r="AV254" s="8">
        <v>1</v>
      </c>
      <c r="AW254" s="8">
        <v>1</v>
      </c>
      <c r="AX254" s="8"/>
      <c r="AY254" s="8"/>
      <c r="AZ254" s="8"/>
      <c r="BA254" s="8">
        <v>1</v>
      </c>
      <c r="BB254" s="8"/>
      <c r="BC254" s="8"/>
      <c r="BD254" s="8"/>
      <c r="BE254" s="8">
        <v>2</v>
      </c>
      <c r="BF254" s="8"/>
      <c r="BG254" s="8"/>
      <c r="BH254" s="8"/>
      <c r="BI254" s="8"/>
      <c r="BJ254" s="8"/>
      <c r="BK254" s="8"/>
      <c r="BL254" s="8"/>
      <c r="BM254" s="8"/>
      <c r="BN254" s="8">
        <f t="shared" si="11"/>
        <v>5</v>
      </c>
      <c r="BO254" s="24">
        <f t="shared" si="10"/>
        <v>0</v>
      </c>
      <c r="BP254" s="23"/>
      <c r="BQ254" s="23"/>
    </row>
    <row r="255" spans="1:69" ht="15.5">
      <c r="A255" s="3" t="s">
        <v>109</v>
      </c>
      <c r="B255" s="3" t="s">
        <v>110</v>
      </c>
      <c r="C255" s="8">
        <v>1</v>
      </c>
      <c r="D255" s="8"/>
      <c r="E255" s="21">
        <v>-1</v>
      </c>
      <c r="F255" s="21"/>
      <c r="G255" s="8"/>
      <c r="H255" s="8"/>
      <c r="I255" s="8"/>
      <c r="J255" s="8"/>
      <c r="K255" s="8"/>
      <c r="L255" s="8"/>
      <c r="M255" s="8"/>
      <c r="N255" s="21"/>
      <c r="O255" s="8"/>
      <c r="P255" s="8"/>
      <c r="Q255" s="8">
        <v>1</v>
      </c>
      <c r="R255" s="8"/>
      <c r="S255" s="8"/>
      <c r="T255" s="21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  <c r="AF255" s="8"/>
      <c r="AG255" s="8"/>
      <c r="AH255" s="8"/>
      <c r="AI255" s="8"/>
      <c r="AJ255" s="8"/>
      <c r="AK255" s="8"/>
      <c r="AL255" s="8"/>
      <c r="AM255" s="21"/>
      <c r="AN255" s="8"/>
      <c r="AO255" s="8"/>
      <c r="AP255" s="8"/>
      <c r="AQ255" s="8"/>
      <c r="AR255" s="8"/>
      <c r="AS255" s="8"/>
      <c r="AT255" s="8"/>
      <c r="AU255" s="8">
        <f t="shared" si="12"/>
        <v>1</v>
      </c>
      <c r="AV255" s="8"/>
      <c r="AW255" s="8"/>
      <c r="AX255" s="8"/>
      <c r="AY255" s="8"/>
      <c r="AZ255" s="8"/>
      <c r="BA255" s="8"/>
      <c r="BB255" s="8"/>
      <c r="BC255" s="8"/>
      <c r="BD255" s="8"/>
      <c r="BE255" s="8"/>
      <c r="BF255" s="8"/>
      <c r="BG255" s="8"/>
      <c r="BH255" s="8"/>
      <c r="BI255" s="8"/>
      <c r="BJ255" s="8"/>
      <c r="BK255" s="8"/>
      <c r="BL255" s="8"/>
      <c r="BM255" s="8"/>
      <c r="BN255" s="8">
        <f t="shared" si="11"/>
        <v>0</v>
      </c>
      <c r="BO255" s="24">
        <f t="shared" si="10"/>
        <v>1</v>
      </c>
      <c r="BP255" s="23"/>
      <c r="BQ255" s="23"/>
    </row>
    <row r="256" spans="1:69" ht="15.5">
      <c r="A256" s="3" t="s">
        <v>111</v>
      </c>
      <c r="B256" s="3" t="s">
        <v>112</v>
      </c>
      <c r="C256" s="8"/>
      <c r="D256" s="8"/>
      <c r="E256" s="21"/>
      <c r="F256" s="21"/>
      <c r="G256" s="8"/>
      <c r="H256" s="8"/>
      <c r="I256" s="8"/>
      <c r="J256" s="8"/>
      <c r="K256" s="8"/>
      <c r="L256" s="8"/>
      <c r="M256" s="8"/>
      <c r="N256" s="21"/>
      <c r="O256" s="8"/>
      <c r="P256" s="8"/>
      <c r="Q256" s="8">
        <v>1</v>
      </c>
      <c r="R256" s="8"/>
      <c r="S256" s="8"/>
      <c r="T256" s="21"/>
      <c r="U256" s="8"/>
      <c r="V256" s="8"/>
      <c r="W256" s="8"/>
      <c r="X256" s="8"/>
      <c r="Y256" s="8"/>
      <c r="Z256" s="8"/>
      <c r="AA256" s="8"/>
      <c r="AB256" s="8"/>
      <c r="AC256" s="8"/>
      <c r="AD256" s="8">
        <v>1</v>
      </c>
      <c r="AE256" s="8"/>
      <c r="AF256" s="8">
        <v>1</v>
      </c>
      <c r="AG256" s="8"/>
      <c r="AH256" s="8"/>
      <c r="AI256" s="8"/>
      <c r="AJ256" s="8"/>
      <c r="AK256" s="8"/>
      <c r="AL256" s="8"/>
      <c r="AM256" s="21"/>
      <c r="AN256" s="8"/>
      <c r="AO256" s="8"/>
      <c r="AP256" s="8"/>
      <c r="AQ256" s="8"/>
      <c r="AR256" s="8"/>
      <c r="AS256" s="8"/>
      <c r="AT256" s="8"/>
      <c r="AU256" s="8">
        <f t="shared" si="12"/>
        <v>3</v>
      </c>
      <c r="AV256" s="8"/>
      <c r="AW256" s="8"/>
      <c r="AX256" s="8"/>
      <c r="AY256" s="8"/>
      <c r="AZ256" s="8">
        <v>1</v>
      </c>
      <c r="BA256" s="8">
        <v>1</v>
      </c>
      <c r="BB256" s="8"/>
      <c r="BC256" s="8"/>
      <c r="BD256" s="8"/>
      <c r="BE256" s="8"/>
      <c r="BF256" s="8"/>
      <c r="BG256" s="8"/>
      <c r="BH256" s="8"/>
      <c r="BI256" s="8"/>
      <c r="BJ256" s="8"/>
      <c r="BK256" s="8"/>
      <c r="BL256" s="8"/>
      <c r="BM256" s="8"/>
      <c r="BN256" s="8">
        <f t="shared" si="11"/>
        <v>2</v>
      </c>
      <c r="BO256" s="24">
        <f t="shared" si="10"/>
        <v>1</v>
      </c>
      <c r="BP256" s="23"/>
      <c r="BQ256" s="23"/>
    </row>
    <row r="257" spans="1:69" ht="15.5">
      <c r="A257" s="3" t="s">
        <v>113</v>
      </c>
      <c r="B257" s="3" t="s">
        <v>114</v>
      </c>
      <c r="C257" s="8"/>
      <c r="D257" s="8"/>
      <c r="E257" s="21"/>
      <c r="F257" s="21"/>
      <c r="G257" s="8"/>
      <c r="H257" s="8"/>
      <c r="I257" s="8"/>
      <c r="J257" s="8"/>
      <c r="K257" s="8"/>
      <c r="L257" s="8"/>
      <c r="M257" s="8"/>
      <c r="N257" s="21"/>
      <c r="O257" s="8"/>
      <c r="P257" s="8"/>
      <c r="Q257" s="8"/>
      <c r="R257" s="8"/>
      <c r="S257" s="8"/>
      <c r="T257" s="21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  <c r="AF257" s="8">
        <v>1</v>
      </c>
      <c r="AG257" s="8"/>
      <c r="AH257" s="8"/>
      <c r="AI257" s="8"/>
      <c r="AJ257" s="8"/>
      <c r="AK257" s="8"/>
      <c r="AL257" s="8"/>
      <c r="AM257" s="21"/>
      <c r="AN257" s="8"/>
      <c r="AO257" s="8"/>
      <c r="AP257" s="8"/>
      <c r="AQ257" s="8">
        <v>1</v>
      </c>
      <c r="AR257" s="8"/>
      <c r="AS257" s="8"/>
      <c r="AT257" s="8"/>
      <c r="AU257" s="8">
        <f t="shared" si="12"/>
        <v>2</v>
      </c>
      <c r="AV257" s="8"/>
      <c r="AW257" s="8"/>
      <c r="AX257" s="8"/>
      <c r="AY257" s="8"/>
      <c r="AZ257" s="8"/>
      <c r="BA257" s="8"/>
      <c r="BB257" s="8"/>
      <c r="BC257" s="8"/>
      <c r="BD257" s="8">
        <v>1</v>
      </c>
      <c r="BE257" s="8"/>
      <c r="BF257" s="8"/>
      <c r="BG257" s="8"/>
      <c r="BH257" s="8"/>
      <c r="BI257" s="8"/>
      <c r="BJ257" s="8"/>
      <c r="BK257" s="8"/>
      <c r="BL257" s="8"/>
      <c r="BM257" s="8"/>
      <c r="BN257" s="8">
        <f t="shared" si="11"/>
        <v>1</v>
      </c>
      <c r="BO257" s="24">
        <f t="shared" si="10"/>
        <v>1</v>
      </c>
      <c r="BP257" s="23"/>
      <c r="BQ257" s="23"/>
    </row>
    <row r="258" spans="1:69" ht="15.5">
      <c r="A258" s="3" t="s">
        <v>244</v>
      </c>
      <c r="B258" s="3" t="s">
        <v>245</v>
      </c>
      <c r="C258" s="8"/>
      <c r="D258" s="8"/>
      <c r="E258" s="21"/>
      <c r="F258" s="21"/>
      <c r="G258" s="8"/>
      <c r="H258" s="8"/>
      <c r="I258" s="8"/>
      <c r="J258" s="8"/>
      <c r="K258" s="8"/>
      <c r="L258" s="8"/>
      <c r="M258" s="8"/>
      <c r="N258" s="21"/>
      <c r="O258" s="8"/>
      <c r="P258" s="8"/>
      <c r="Q258" s="8"/>
      <c r="R258" s="8"/>
      <c r="S258" s="8"/>
      <c r="T258" s="21"/>
      <c r="U258" s="8"/>
      <c r="V258" s="8"/>
      <c r="W258" s="8"/>
      <c r="X258" s="8"/>
      <c r="Y258" s="8"/>
      <c r="Z258" s="8"/>
      <c r="AA258" s="8"/>
      <c r="AB258" s="8"/>
      <c r="AC258" s="8"/>
      <c r="AD258" s="8">
        <v>1</v>
      </c>
      <c r="AE258" s="8"/>
      <c r="AF258" s="8"/>
      <c r="AG258" s="8"/>
      <c r="AH258" s="8"/>
      <c r="AI258" s="8"/>
      <c r="AJ258" s="8"/>
      <c r="AK258" s="8"/>
      <c r="AL258" s="8"/>
      <c r="AM258" s="21"/>
      <c r="AN258" s="8"/>
      <c r="AO258" s="8"/>
      <c r="AP258" s="8"/>
      <c r="AQ258" s="8"/>
      <c r="AR258" s="8"/>
      <c r="AS258" s="8"/>
      <c r="AT258" s="8"/>
      <c r="AU258" s="8">
        <f t="shared" si="12"/>
        <v>1</v>
      </c>
      <c r="AV258" s="8"/>
      <c r="AW258" s="8"/>
      <c r="AX258" s="8"/>
      <c r="AY258" s="8"/>
      <c r="AZ258" s="8"/>
      <c r="BA258" s="8"/>
      <c r="BB258" s="8"/>
      <c r="BC258" s="8"/>
      <c r="BD258" s="8"/>
      <c r="BE258" s="8"/>
      <c r="BF258" s="8"/>
      <c r="BG258" s="8"/>
      <c r="BH258" s="8"/>
      <c r="BI258" s="8"/>
      <c r="BJ258" s="8"/>
      <c r="BK258" s="8"/>
      <c r="BL258" s="8"/>
      <c r="BM258" s="8"/>
      <c r="BN258" s="8">
        <f t="shared" si="11"/>
        <v>0</v>
      </c>
      <c r="BO258" s="24">
        <f t="shared" si="10"/>
        <v>1</v>
      </c>
      <c r="BP258" s="23"/>
      <c r="BQ258" s="23"/>
    </row>
    <row r="259" spans="1:69" ht="15.5">
      <c r="A259" s="3" t="s">
        <v>246</v>
      </c>
      <c r="B259" s="3" t="s">
        <v>115</v>
      </c>
      <c r="C259" s="8"/>
      <c r="D259" s="8"/>
      <c r="E259" s="21"/>
      <c r="F259" s="21"/>
      <c r="G259" s="8"/>
      <c r="H259" s="8"/>
      <c r="I259" s="8"/>
      <c r="J259" s="8"/>
      <c r="K259" s="8"/>
      <c r="L259" s="8"/>
      <c r="M259" s="8"/>
      <c r="N259" s="21"/>
      <c r="O259" s="8"/>
      <c r="P259" s="8"/>
      <c r="Q259" s="8">
        <v>1</v>
      </c>
      <c r="R259" s="8"/>
      <c r="S259" s="8">
        <v>1</v>
      </c>
      <c r="T259" s="21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/>
      <c r="AF259" s="8"/>
      <c r="AG259" s="8"/>
      <c r="AH259" s="8"/>
      <c r="AI259" s="8"/>
      <c r="AJ259" s="8"/>
      <c r="AK259" s="8"/>
      <c r="AL259" s="8"/>
      <c r="AM259" s="21"/>
      <c r="AN259" s="8"/>
      <c r="AO259" s="8"/>
      <c r="AP259" s="8"/>
      <c r="AQ259" s="8"/>
      <c r="AR259" s="8"/>
      <c r="AS259" s="8"/>
      <c r="AT259" s="8"/>
      <c r="AU259" s="8">
        <f t="shared" si="12"/>
        <v>2</v>
      </c>
      <c r="AV259" s="8"/>
      <c r="AW259" s="8"/>
      <c r="AX259" s="8"/>
      <c r="AY259" s="8"/>
      <c r="AZ259" s="8"/>
      <c r="BA259" s="8"/>
      <c r="BB259" s="8"/>
      <c r="BC259" s="8"/>
      <c r="BD259" s="8"/>
      <c r="BE259" s="8"/>
      <c r="BF259" s="8"/>
      <c r="BG259" s="8"/>
      <c r="BH259" s="8"/>
      <c r="BI259" s="8"/>
      <c r="BJ259" s="8"/>
      <c r="BK259" s="8"/>
      <c r="BL259" s="8"/>
      <c r="BM259" s="8"/>
      <c r="BN259" s="8">
        <f t="shared" si="11"/>
        <v>0</v>
      </c>
      <c r="BO259" s="24">
        <f t="shared" si="10"/>
        <v>2</v>
      </c>
      <c r="BP259" s="23"/>
      <c r="BQ259" s="23"/>
    </row>
    <row r="260" spans="1:69" ht="15.5">
      <c r="A260" s="3" t="s">
        <v>247</v>
      </c>
      <c r="B260" s="3" t="s">
        <v>116</v>
      </c>
      <c r="C260" s="8"/>
      <c r="D260" s="8"/>
      <c r="E260" s="21"/>
      <c r="F260" s="21"/>
      <c r="G260" s="8"/>
      <c r="H260" s="8"/>
      <c r="I260" s="8"/>
      <c r="J260" s="8"/>
      <c r="K260" s="8"/>
      <c r="L260" s="8"/>
      <c r="M260" s="8"/>
      <c r="N260" s="21"/>
      <c r="O260" s="8"/>
      <c r="P260" s="8"/>
      <c r="Q260" s="8">
        <v>1</v>
      </c>
      <c r="R260" s="8"/>
      <c r="S260" s="8"/>
      <c r="T260" s="21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  <c r="AF260" s="8"/>
      <c r="AG260" s="8"/>
      <c r="AH260" s="8"/>
      <c r="AI260" s="8"/>
      <c r="AJ260" s="8"/>
      <c r="AK260" s="8"/>
      <c r="AL260" s="8"/>
      <c r="AM260" s="21"/>
      <c r="AN260" s="8"/>
      <c r="AO260" s="8"/>
      <c r="AP260" s="8"/>
      <c r="AQ260" s="8"/>
      <c r="AR260" s="8"/>
      <c r="AS260" s="8"/>
      <c r="AT260" s="8"/>
      <c r="AU260" s="8">
        <f t="shared" si="12"/>
        <v>1</v>
      </c>
      <c r="AV260" s="8"/>
      <c r="AW260" s="8"/>
      <c r="AX260" s="8"/>
      <c r="AY260" s="8"/>
      <c r="AZ260" s="8"/>
      <c r="BA260" s="8"/>
      <c r="BB260" s="8"/>
      <c r="BC260" s="8"/>
      <c r="BD260" s="8"/>
      <c r="BE260" s="8"/>
      <c r="BF260" s="8"/>
      <c r="BG260" s="8"/>
      <c r="BH260" s="8"/>
      <c r="BI260" s="8"/>
      <c r="BJ260" s="8"/>
      <c r="BK260" s="8"/>
      <c r="BL260" s="8"/>
      <c r="BM260" s="8"/>
      <c r="BN260" s="8">
        <f t="shared" si="11"/>
        <v>0</v>
      </c>
      <c r="BO260" s="24">
        <f t="shared" ref="BO260:BO323" si="13">IF(+AU260-BN260&lt;0,"",+AU260-BN260)</f>
        <v>1</v>
      </c>
      <c r="BP260" s="23"/>
      <c r="BQ260" s="23"/>
    </row>
    <row r="261" spans="1:69" ht="15.5">
      <c r="A261" s="3" t="s">
        <v>248</v>
      </c>
      <c r="B261" s="3" t="s">
        <v>117</v>
      </c>
      <c r="C261" s="8"/>
      <c r="D261" s="8"/>
      <c r="E261" s="21"/>
      <c r="F261" s="21"/>
      <c r="G261" s="8"/>
      <c r="H261" s="8"/>
      <c r="I261" s="8"/>
      <c r="J261" s="8"/>
      <c r="K261" s="8"/>
      <c r="L261" s="8"/>
      <c r="M261" s="8"/>
      <c r="N261" s="21"/>
      <c r="O261" s="8"/>
      <c r="P261" s="8"/>
      <c r="Q261" s="8">
        <v>1</v>
      </c>
      <c r="R261" s="8"/>
      <c r="S261" s="8"/>
      <c r="T261" s="21"/>
      <c r="U261" s="8">
        <v>1</v>
      </c>
      <c r="V261" s="8"/>
      <c r="W261" s="8"/>
      <c r="X261" s="8"/>
      <c r="Y261" s="8"/>
      <c r="Z261" s="8"/>
      <c r="AA261" s="8"/>
      <c r="AB261" s="8"/>
      <c r="AC261" s="8"/>
      <c r="AD261" s="8"/>
      <c r="AE261" s="8"/>
      <c r="AF261" s="8"/>
      <c r="AG261" s="8">
        <v>1</v>
      </c>
      <c r="AH261" s="8"/>
      <c r="AI261" s="8"/>
      <c r="AJ261" s="8"/>
      <c r="AK261" s="8"/>
      <c r="AL261" s="8"/>
      <c r="AM261" s="21"/>
      <c r="AN261" s="8"/>
      <c r="AO261" s="8"/>
      <c r="AP261" s="8"/>
      <c r="AQ261" s="8"/>
      <c r="AR261" s="8"/>
      <c r="AS261" s="8"/>
      <c r="AT261" s="8"/>
      <c r="AU261" s="8">
        <f t="shared" si="12"/>
        <v>3</v>
      </c>
      <c r="AV261" s="8"/>
      <c r="AW261" s="8">
        <v>1</v>
      </c>
      <c r="AX261" s="8"/>
      <c r="AY261" s="8"/>
      <c r="AZ261" s="8"/>
      <c r="BA261" s="8">
        <v>1</v>
      </c>
      <c r="BB261" s="8"/>
      <c r="BC261" s="8"/>
      <c r="BD261" s="8"/>
      <c r="BE261" s="8"/>
      <c r="BF261" s="8"/>
      <c r="BG261" s="8"/>
      <c r="BH261" s="8"/>
      <c r="BI261" s="8"/>
      <c r="BJ261" s="8"/>
      <c r="BK261" s="8"/>
      <c r="BL261" s="8"/>
      <c r="BM261" s="8"/>
      <c r="BN261" s="8">
        <f t="shared" si="11"/>
        <v>2</v>
      </c>
      <c r="BO261" s="24">
        <f t="shared" si="13"/>
        <v>1</v>
      </c>
      <c r="BP261" s="23"/>
      <c r="BQ261" s="23"/>
    </row>
    <row r="262" spans="1:69" ht="15.5">
      <c r="A262" s="3" t="s">
        <v>249</v>
      </c>
      <c r="B262" s="3" t="s">
        <v>250</v>
      </c>
      <c r="C262" s="8"/>
      <c r="D262" s="8"/>
      <c r="E262" s="21"/>
      <c r="F262" s="21"/>
      <c r="G262" s="8"/>
      <c r="H262" s="8"/>
      <c r="I262" s="8"/>
      <c r="J262" s="8"/>
      <c r="K262" s="8"/>
      <c r="L262" s="8"/>
      <c r="M262" s="8"/>
      <c r="N262" s="21"/>
      <c r="O262" s="8"/>
      <c r="P262" s="8"/>
      <c r="Q262" s="8"/>
      <c r="R262" s="8"/>
      <c r="S262" s="8"/>
      <c r="T262" s="21"/>
      <c r="U262" s="8"/>
      <c r="V262" s="8"/>
      <c r="W262" s="8"/>
      <c r="X262" s="8"/>
      <c r="Y262" s="8"/>
      <c r="Z262" s="8"/>
      <c r="AA262" s="8"/>
      <c r="AB262" s="8"/>
      <c r="AC262" s="8"/>
      <c r="AD262" s="8">
        <v>1</v>
      </c>
      <c r="AE262" s="8"/>
      <c r="AF262" s="8"/>
      <c r="AG262" s="8"/>
      <c r="AH262" s="8"/>
      <c r="AI262" s="8"/>
      <c r="AJ262" s="8"/>
      <c r="AK262" s="8"/>
      <c r="AL262" s="8"/>
      <c r="AM262" s="21"/>
      <c r="AN262" s="8"/>
      <c r="AO262" s="8"/>
      <c r="AP262" s="8"/>
      <c r="AQ262" s="8"/>
      <c r="AR262" s="8"/>
      <c r="AS262" s="8"/>
      <c r="AT262" s="8"/>
      <c r="AU262" s="8">
        <f t="shared" si="12"/>
        <v>1</v>
      </c>
      <c r="AV262" s="8"/>
      <c r="AW262" s="8"/>
      <c r="AX262" s="8"/>
      <c r="AY262" s="8"/>
      <c r="AZ262" s="8"/>
      <c r="BA262" s="8"/>
      <c r="BB262" s="8"/>
      <c r="BC262" s="8"/>
      <c r="BD262" s="8"/>
      <c r="BE262" s="8"/>
      <c r="BF262" s="8"/>
      <c r="BG262" s="8"/>
      <c r="BH262" s="8"/>
      <c r="BI262" s="8"/>
      <c r="BJ262" s="8"/>
      <c r="BK262" s="8"/>
      <c r="BL262" s="8"/>
      <c r="BM262" s="8"/>
      <c r="BN262" s="8">
        <f t="shared" si="11"/>
        <v>0</v>
      </c>
      <c r="BO262" s="24">
        <f t="shared" si="13"/>
        <v>1</v>
      </c>
      <c r="BP262" s="23"/>
      <c r="BQ262" s="23"/>
    </row>
    <row r="263" spans="1:69" ht="15.5">
      <c r="A263" s="3" t="s">
        <v>739</v>
      </c>
      <c r="B263" s="3" t="s">
        <v>740</v>
      </c>
      <c r="C263" s="8"/>
      <c r="D263" s="8"/>
      <c r="E263" s="21"/>
      <c r="F263" s="21"/>
      <c r="G263" s="8"/>
      <c r="H263" s="8"/>
      <c r="I263" s="8"/>
      <c r="J263" s="8"/>
      <c r="K263" s="8"/>
      <c r="L263" s="8"/>
      <c r="M263" s="8"/>
      <c r="N263" s="21"/>
      <c r="O263" s="8"/>
      <c r="P263" s="8"/>
      <c r="Q263" s="8"/>
      <c r="R263" s="8"/>
      <c r="S263" s="8"/>
      <c r="T263" s="21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8">
        <v>1</v>
      </c>
      <c r="AF263" s="8"/>
      <c r="AG263" s="8"/>
      <c r="AH263" s="8"/>
      <c r="AI263" s="8"/>
      <c r="AJ263" s="8"/>
      <c r="AK263" s="8"/>
      <c r="AL263" s="8"/>
      <c r="AM263" s="21"/>
      <c r="AN263" s="8"/>
      <c r="AO263" s="8"/>
      <c r="AP263" s="8"/>
      <c r="AQ263" s="8"/>
      <c r="AR263" s="8"/>
      <c r="AS263" s="8"/>
      <c r="AT263" s="8"/>
      <c r="AU263" s="8">
        <f t="shared" si="12"/>
        <v>1</v>
      </c>
      <c r="AV263" s="8"/>
      <c r="AW263" s="8"/>
      <c r="AX263" s="8"/>
      <c r="AY263" s="8"/>
      <c r="AZ263" s="8"/>
      <c r="BA263" s="8"/>
      <c r="BB263" s="8"/>
      <c r="BC263" s="8"/>
      <c r="BD263" s="8"/>
      <c r="BE263" s="8"/>
      <c r="BF263" s="8"/>
      <c r="BG263" s="8"/>
      <c r="BH263" s="8"/>
      <c r="BI263" s="8"/>
      <c r="BJ263" s="8"/>
      <c r="BK263" s="8"/>
      <c r="BL263" s="8"/>
      <c r="BM263" s="8"/>
      <c r="BN263" s="8">
        <f t="shared" si="11"/>
        <v>0</v>
      </c>
      <c r="BO263" s="24">
        <f t="shared" si="13"/>
        <v>1</v>
      </c>
      <c r="BP263" s="23"/>
      <c r="BQ263" s="23"/>
    </row>
    <row r="264" spans="1:69" ht="15.5">
      <c r="A264" s="3" t="s">
        <v>741</v>
      </c>
      <c r="B264" s="3" t="s">
        <v>742</v>
      </c>
      <c r="C264" s="8"/>
      <c r="D264" s="8"/>
      <c r="E264" s="21"/>
      <c r="F264" s="21"/>
      <c r="G264" s="8"/>
      <c r="H264" s="8"/>
      <c r="I264" s="8"/>
      <c r="J264" s="8"/>
      <c r="K264" s="8"/>
      <c r="L264" s="8"/>
      <c r="M264" s="8"/>
      <c r="N264" s="21"/>
      <c r="O264" s="8"/>
      <c r="P264" s="8"/>
      <c r="Q264" s="8"/>
      <c r="R264" s="8"/>
      <c r="S264" s="8"/>
      <c r="T264" s="21"/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8">
        <v>1</v>
      </c>
      <c r="AF264" s="8"/>
      <c r="AG264" s="8"/>
      <c r="AH264" s="8"/>
      <c r="AI264" s="8"/>
      <c r="AJ264" s="8"/>
      <c r="AK264" s="8"/>
      <c r="AL264" s="8"/>
      <c r="AM264" s="21"/>
      <c r="AN264" s="8"/>
      <c r="AO264" s="8"/>
      <c r="AP264" s="8"/>
      <c r="AQ264" s="8"/>
      <c r="AR264" s="8"/>
      <c r="AS264" s="8"/>
      <c r="AT264" s="8"/>
      <c r="AU264" s="8">
        <f t="shared" si="12"/>
        <v>1</v>
      </c>
      <c r="AV264" s="8"/>
      <c r="AW264" s="8"/>
      <c r="AX264" s="8"/>
      <c r="AY264" s="8"/>
      <c r="AZ264" s="8"/>
      <c r="BA264" s="8"/>
      <c r="BB264" s="8"/>
      <c r="BC264" s="8"/>
      <c r="BD264" s="8"/>
      <c r="BE264" s="8"/>
      <c r="BF264" s="8"/>
      <c r="BG264" s="8"/>
      <c r="BH264" s="8"/>
      <c r="BI264" s="8"/>
      <c r="BJ264" s="8"/>
      <c r="BK264" s="8"/>
      <c r="BL264" s="8"/>
      <c r="BM264" s="8"/>
      <c r="BN264" s="8">
        <f t="shared" si="11"/>
        <v>0</v>
      </c>
      <c r="BO264" s="24">
        <f t="shared" si="13"/>
        <v>1</v>
      </c>
      <c r="BP264" s="23"/>
      <c r="BQ264" s="23"/>
    </row>
    <row r="265" spans="1:69" ht="15.5">
      <c r="A265" s="3" t="s">
        <v>743</v>
      </c>
      <c r="B265" s="3" t="s">
        <v>744</v>
      </c>
      <c r="C265" s="8"/>
      <c r="D265" s="8"/>
      <c r="E265" s="21"/>
      <c r="F265" s="21"/>
      <c r="G265" s="8"/>
      <c r="H265" s="8"/>
      <c r="I265" s="8"/>
      <c r="J265" s="8"/>
      <c r="K265" s="8"/>
      <c r="L265" s="8"/>
      <c r="M265" s="8"/>
      <c r="N265" s="21"/>
      <c r="O265" s="8"/>
      <c r="P265" s="8"/>
      <c r="Q265" s="8"/>
      <c r="R265" s="8"/>
      <c r="S265" s="8"/>
      <c r="T265" s="21"/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8">
        <v>1</v>
      </c>
      <c r="AF265" s="8"/>
      <c r="AG265" s="8"/>
      <c r="AH265" s="8"/>
      <c r="AI265" s="8"/>
      <c r="AJ265" s="8"/>
      <c r="AK265" s="8"/>
      <c r="AL265" s="8"/>
      <c r="AM265" s="21"/>
      <c r="AN265" s="8"/>
      <c r="AO265" s="8"/>
      <c r="AP265" s="8"/>
      <c r="AQ265" s="8"/>
      <c r="AR265" s="8"/>
      <c r="AS265" s="8"/>
      <c r="AT265" s="8"/>
      <c r="AU265" s="8">
        <f t="shared" si="12"/>
        <v>1</v>
      </c>
      <c r="AV265" s="8"/>
      <c r="AW265" s="8"/>
      <c r="AX265" s="8"/>
      <c r="AY265" s="8"/>
      <c r="AZ265" s="8"/>
      <c r="BA265" s="8"/>
      <c r="BB265" s="8"/>
      <c r="BC265" s="8"/>
      <c r="BD265" s="8"/>
      <c r="BE265" s="8"/>
      <c r="BF265" s="8"/>
      <c r="BG265" s="8"/>
      <c r="BH265" s="8"/>
      <c r="BI265" s="8"/>
      <c r="BJ265" s="8"/>
      <c r="BK265" s="8"/>
      <c r="BL265" s="8"/>
      <c r="BM265" s="8"/>
      <c r="BN265" s="8">
        <f t="shared" si="11"/>
        <v>0</v>
      </c>
      <c r="BO265" s="24">
        <f t="shared" si="13"/>
        <v>1</v>
      </c>
      <c r="BP265" s="23"/>
      <c r="BQ265" s="23"/>
    </row>
    <row r="266" spans="1:69" ht="15.5">
      <c r="A266" s="3" t="s">
        <v>745</v>
      </c>
      <c r="B266" s="3" t="s">
        <v>746</v>
      </c>
      <c r="C266" s="8"/>
      <c r="D266" s="8"/>
      <c r="E266" s="21"/>
      <c r="F266" s="21"/>
      <c r="G266" s="8"/>
      <c r="H266" s="8"/>
      <c r="I266" s="8"/>
      <c r="J266" s="8"/>
      <c r="K266" s="8"/>
      <c r="L266" s="8"/>
      <c r="M266" s="8"/>
      <c r="N266" s="21"/>
      <c r="O266" s="8"/>
      <c r="P266" s="8"/>
      <c r="Q266" s="8"/>
      <c r="R266" s="8"/>
      <c r="S266" s="8"/>
      <c r="T266" s="21"/>
      <c r="U266" s="8"/>
      <c r="V266" s="8"/>
      <c r="W266" s="8"/>
      <c r="X266" s="8"/>
      <c r="Y266" s="8"/>
      <c r="Z266" s="8"/>
      <c r="AA266" s="8"/>
      <c r="AB266" s="8"/>
      <c r="AC266" s="8"/>
      <c r="AD266" s="8"/>
      <c r="AE266" s="8">
        <v>1</v>
      </c>
      <c r="AF266" s="8"/>
      <c r="AG266" s="8"/>
      <c r="AH266" s="8"/>
      <c r="AI266" s="8"/>
      <c r="AJ266" s="8"/>
      <c r="AK266" s="8"/>
      <c r="AL266" s="8"/>
      <c r="AM266" s="21"/>
      <c r="AN266" s="8"/>
      <c r="AO266" s="8"/>
      <c r="AP266" s="8"/>
      <c r="AQ266" s="8"/>
      <c r="AR266" s="8"/>
      <c r="AS266" s="8"/>
      <c r="AT266" s="8"/>
      <c r="AU266" s="8">
        <f t="shared" si="12"/>
        <v>1</v>
      </c>
      <c r="AV266" s="8"/>
      <c r="AW266" s="8"/>
      <c r="AX266" s="8"/>
      <c r="AY266" s="8"/>
      <c r="AZ266" s="8"/>
      <c r="BA266" s="8"/>
      <c r="BB266" s="8"/>
      <c r="BC266" s="8"/>
      <c r="BD266" s="8"/>
      <c r="BE266" s="8"/>
      <c r="BF266" s="8"/>
      <c r="BG266" s="8"/>
      <c r="BH266" s="8"/>
      <c r="BI266" s="8"/>
      <c r="BJ266" s="8"/>
      <c r="BK266" s="8"/>
      <c r="BL266" s="8"/>
      <c r="BM266" s="8"/>
      <c r="BN266" s="8">
        <f t="shared" si="11"/>
        <v>0</v>
      </c>
      <c r="BO266" s="24">
        <f t="shared" si="13"/>
        <v>1</v>
      </c>
      <c r="BP266" s="23"/>
      <c r="BQ266" s="23"/>
    </row>
    <row r="267" spans="1:69" ht="15.5">
      <c r="A267" s="3" t="s">
        <v>747</v>
      </c>
      <c r="B267" s="3" t="s">
        <v>748</v>
      </c>
      <c r="C267" s="8"/>
      <c r="D267" s="8"/>
      <c r="E267" s="21"/>
      <c r="F267" s="21"/>
      <c r="G267" s="8"/>
      <c r="H267" s="8"/>
      <c r="I267" s="8"/>
      <c r="J267" s="8"/>
      <c r="K267" s="8"/>
      <c r="L267" s="8"/>
      <c r="M267" s="8"/>
      <c r="N267" s="21"/>
      <c r="O267" s="8"/>
      <c r="P267" s="8"/>
      <c r="Q267" s="8"/>
      <c r="R267" s="8"/>
      <c r="S267" s="8"/>
      <c r="T267" s="21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8">
        <v>1</v>
      </c>
      <c r="AF267" s="8"/>
      <c r="AG267" s="8"/>
      <c r="AH267" s="8"/>
      <c r="AI267" s="8"/>
      <c r="AJ267" s="8"/>
      <c r="AK267" s="8"/>
      <c r="AL267" s="8"/>
      <c r="AM267" s="21"/>
      <c r="AN267" s="8"/>
      <c r="AO267" s="8"/>
      <c r="AP267" s="8"/>
      <c r="AQ267" s="8"/>
      <c r="AR267" s="8"/>
      <c r="AS267" s="8"/>
      <c r="AT267" s="8"/>
      <c r="AU267" s="8">
        <f t="shared" si="12"/>
        <v>1</v>
      </c>
      <c r="AV267" s="8"/>
      <c r="AW267" s="8"/>
      <c r="AX267" s="8"/>
      <c r="AY267" s="8"/>
      <c r="AZ267" s="8"/>
      <c r="BA267" s="8"/>
      <c r="BB267" s="8"/>
      <c r="BC267" s="8"/>
      <c r="BD267" s="8"/>
      <c r="BE267" s="8"/>
      <c r="BF267" s="8"/>
      <c r="BG267" s="8"/>
      <c r="BH267" s="8"/>
      <c r="BI267" s="8"/>
      <c r="BJ267" s="8"/>
      <c r="BK267" s="8"/>
      <c r="BL267" s="8"/>
      <c r="BM267" s="8"/>
      <c r="BN267" s="8">
        <f t="shared" si="11"/>
        <v>0</v>
      </c>
      <c r="BO267" s="24">
        <f t="shared" si="13"/>
        <v>1</v>
      </c>
      <c r="BP267" s="23"/>
      <c r="BQ267" s="23"/>
    </row>
    <row r="268" spans="1:69" ht="15.5">
      <c r="A268" s="3" t="s">
        <v>140</v>
      </c>
      <c r="B268" s="3" t="s">
        <v>141</v>
      </c>
      <c r="C268" s="8"/>
      <c r="D268" s="8"/>
      <c r="E268" s="21"/>
      <c r="F268" s="21"/>
      <c r="G268" s="8"/>
      <c r="H268" s="8"/>
      <c r="I268" s="8"/>
      <c r="J268" s="8"/>
      <c r="K268" s="8"/>
      <c r="L268" s="8"/>
      <c r="M268" s="8"/>
      <c r="N268" s="21"/>
      <c r="O268" s="8"/>
      <c r="P268" s="8"/>
      <c r="Q268" s="8">
        <v>1</v>
      </c>
      <c r="R268" s="8"/>
      <c r="S268" s="8"/>
      <c r="T268" s="21"/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8">
        <v>1</v>
      </c>
      <c r="AF268" s="8"/>
      <c r="AG268" s="8"/>
      <c r="AH268" s="8"/>
      <c r="AI268" s="8"/>
      <c r="AJ268" s="8"/>
      <c r="AK268" s="8"/>
      <c r="AL268" s="8"/>
      <c r="AM268" s="21"/>
      <c r="AN268" s="8"/>
      <c r="AO268" s="8"/>
      <c r="AP268" s="8"/>
      <c r="AQ268" s="8"/>
      <c r="AR268" s="8"/>
      <c r="AS268" s="8"/>
      <c r="AT268" s="8"/>
      <c r="AU268" s="8">
        <f t="shared" si="12"/>
        <v>2</v>
      </c>
      <c r="AV268" s="8"/>
      <c r="AW268" s="8"/>
      <c r="AX268" s="8"/>
      <c r="AY268" s="8"/>
      <c r="AZ268" s="8"/>
      <c r="BA268" s="8">
        <v>1</v>
      </c>
      <c r="BB268" s="8"/>
      <c r="BC268" s="8"/>
      <c r="BD268" s="8"/>
      <c r="BE268" s="8"/>
      <c r="BF268" s="8"/>
      <c r="BG268" s="8"/>
      <c r="BH268" s="8"/>
      <c r="BI268" s="8"/>
      <c r="BJ268" s="8"/>
      <c r="BK268" s="8"/>
      <c r="BL268" s="8"/>
      <c r="BM268" s="8"/>
      <c r="BN268" s="8">
        <f t="shared" si="11"/>
        <v>1</v>
      </c>
      <c r="BO268" s="24">
        <f t="shared" si="13"/>
        <v>1</v>
      </c>
      <c r="BP268" s="23"/>
      <c r="BQ268" s="23"/>
    </row>
    <row r="269" spans="1:69" ht="15.5">
      <c r="A269" s="3" t="s">
        <v>142</v>
      </c>
      <c r="B269" s="3" t="s">
        <v>143</v>
      </c>
      <c r="C269" s="8"/>
      <c r="D269" s="8"/>
      <c r="E269" s="21"/>
      <c r="F269" s="21"/>
      <c r="G269" s="8"/>
      <c r="H269" s="8"/>
      <c r="I269" s="8"/>
      <c r="J269" s="8"/>
      <c r="K269" s="8"/>
      <c r="L269" s="8"/>
      <c r="M269" s="8"/>
      <c r="N269" s="21"/>
      <c r="O269" s="8"/>
      <c r="P269" s="8"/>
      <c r="Q269" s="8">
        <v>1</v>
      </c>
      <c r="R269" s="8"/>
      <c r="S269" s="8"/>
      <c r="T269" s="21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8">
        <v>1</v>
      </c>
      <c r="AF269" s="8"/>
      <c r="AG269" s="8"/>
      <c r="AH269" s="8"/>
      <c r="AI269" s="8"/>
      <c r="AJ269" s="8"/>
      <c r="AK269" s="8"/>
      <c r="AL269" s="8"/>
      <c r="AM269" s="21"/>
      <c r="AN269" s="8"/>
      <c r="AO269" s="8"/>
      <c r="AP269" s="8"/>
      <c r="AQ269" s="8"/>
      <c r="AR269" s="8"/>
      <c r="AS269" s="8"/>
      <c r="AT269" s="8"/>
      <c r="AU269" s="8">
        <f t="shared" si="12"/>
        <v>2</v>
      </c>
      <c r="AV269" s="8"/>
      <c r="AW269" s="8"/>
      <c r="AX269" s="8"/>
      <c r="AY269" s="8"/>
      <c r="AZ269" s="8"/>
      <c r="BA269" s="8"/>
      <c r="BB269" s="8"/>
      <c r="BC269" s="8"/>
      <c r="BD269" s="8"/>
      <c r="BE269" s="8"/>
      <c r="BF269" s="8"/>
      <c r="BG269" s="8"/>
      <c r="BH269" s="8"/>
      <c r="BI269" s="8"/>
      <c r="BJ269" s="8"/>
      <c r="BK269" s="8"/>
      <c r="BL269" s="8"/>
      <c r="BM269" s="8"/>
      <c r="BN269" s="8">
        <f t="shared" si="11"/>
        <v>0</v>
      </c>
      <c r="BO269" s="24">
        <f t="shared" si="13"/>
        <v>2</v>
      </c>
      <c r="BP269" s="23"/>
      <c r="BQ269" s="23"/>
    </row>
    <row r="270" spans="1:69" ht="15.5">
      <c r="A270" s="3" t="s">
        <v>144</v>
      </c>
      <c r="B270" s="3" t="s">
        <v>145</v>
      </c>
      <c r="C270" s="8"/>
      <c r="D270" s="8"/>
      <c r="E270" s="21"/>
      <c r="F270" s="21"/>
      <c r="G270" s="8"/>
      <c r="H270" s="8"/>
      <c r="I270" s="8"/>
      <c r="J270" s="8"/>
      <c r="K270" s="8"/>
      <c r="L270" s="8"/>
      <c r="M270" s="8"/>
      <c r="N270" s="21"/>
      <c r="O270" s="8"/>
      <c r="P270" s="8"/>
      <c r="Q270" s="8">
        <v>1</v>
      </c>
      <c r="R270" s="8"/>
      <c r="S270" s="8"/>
      <c r="T270" s="21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>
        <v>1</v>
      </c>
      <c r="AF270" s="8"/>
      <c r="AG270" s="8"/>
      <c r="AH270" s="8"/>
      <c r="AI270" s="8"/>
      <c r="AJ270" s="8"/>
      <c r="AK270" s="8"/>
      <c r="AL270" s="8"/>
      <c r="AM270" s="21"/>
      <c r="AN270" s="8"/>
      <c r="AO270" s="8"/>
      <c r="AP270" s="8"/>
      <c r="AQ270" s="8"/>
      <c r="AR270" s="8"/>
      <c r="AS270" s="8"/>
      <c r="AT270" s="8"/>
      <c r="AU270" s="8">
        <f t="shared" si="12"/>
        <v>2</v>
      </c>
      <c r="AV270" s="8"/>
      <c r="AW270" s="8"/>
      <c r="AX270" s="8"/>
      <c r="AY270" s="8"/>
      <c r="AZ270" s="8"/>
      <c r="BA270" s="8"/>
      <c r="BB270" s="8"/>
      <c r="BC270" s="8"/>
      <c r="BD270" s="8"/>
      <c r="BE270" s="8"/>
      <c r="BF270" s="8"/>
      <c r="BG270" s="8"/>
      <c r="BH270" s="8"/>
      <c r="BI270" s="8"/>
      <c r="BJ270" s="8"/>
      <c r="BK270" s="8"/>
      <c r="BL270" s="8"/>
      <c r="BM270" s="8"/>
      <c r="BN270" s="8">
        <f t="shared" si="11"/>
        <v>0</v>
      </c>
      <c r="BO270" s="24">
        <f t="shared" si="13"/>
        <v>2</v>
      </c>
      <c r="BP270" s="23"/>
      <c r="BQ270" s="23"/>
    </row>
    <row r="271" spans="1:69" ht="15.5">
      <c r="A271" s="3" t="s">
        <v>146</v>
      </c>
      <c r="B271" s="3" t="s">
        <v>147</v>
      </c>
      <c r="C271" s="8"/>
      <c r="D271" s="8"/>
      <c r="E271" s="21"/>
      <c r="F271" s="21"/>
      <c r="G271" s="8"/>
      <c r="H271" s="8"/>
      <c r="I271" s="8"/>
      <c r="J271" s="8"/>
      <c r="K271" s="8"/>
      <c r="L271" s="8"/>
      <c r="M271" s="8"/>
      <c r="N271" s="21"/>
      <c r="O271" s="8"/>
      <c r="P271" s="8"/>
      <c r="Q271" s="8">
        <v>1</v>
      </c>
      <c r="R271" s="8"/>
      <c r="S271" s="8">
        <v>1</v>
      </c>
      <c r="T271" s="21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8">
        <v>1</v>
      </c>
      <c r="AF271" s="8"/>
      <c r="AG271" s="8"/>
      <c r="AH271" s="8"/>
      <c r="AI271" s="8"/>
      <c r="AJ271" s="8"/>
      <c r="AK271" s="8"/>
      <c r="AL271" s="8"/>
      <c r="AM271" s="21"/>
      <c r="AN271" s="8"/>
      <c r="AO271" s="8"/>
      <c r="AP271" s="8"/>
      <c r="AQ271" s="8"/>
      <c r="AR271" s="8"/>
      <c r="AS271" s="8"/>
      <c r="AT271" s="8"/>
      <c r="AU271" s="8">
        <f t="shared" si="12"/>
        <v>3</v>
      </c>
      <c r="AV271" s="8"/>
      <c r="AW271" s="8"/>
      <c r="AX271" s="8"/>
      <c r="AY271" s="8"/>
      <c r="AZ271" s="8"/>
      <c r="BA271" s="8"/>
      <c r="BB271" s="8">
        <v>1</v>
      </c>
      <c r="BC271" s="8"/>
      <c r="BD271" s="8"/>
      <c r="BE271" s="8"/>
      <c r="BF271" s="8"/>
      <c r="BG271" s="8"/>
      <c r="BH271" s="8"/>
      <c r="BI271" s="8"/>
      <c r="BJ271" s="8"/>
      <c r="BK271" s="8"/>
      <c r="BL271" s="8"/>
      <c r="BM271" s="8"/>
      <c r="BN271" s="8">
        <f t="shared" si="11"/>
        <v>1</v>
      </c>
      <c r="BO271" s="24">
        <f t="shared" si="13"/>
        <v>2</v>
      </c>
      <c r="BP271" s="23"/>
      <c r="BQ271" s="23"/>
    </row>
    <row r="272" spans="1:69" ht="15.5">
      <c r="A272" s="3" t="s">
        <v>148</v>
      </c>
      <c r="B272" s="3" t="s">
        <v>149</v>
      </c>
      <c r="C272" s="8"/>
      <c r="D272" s="8"/>
      <c r="E272" s="21"/>
      <c r="F272" s="21"/>
      <c r="G272" s="8"/>
      <c r="H272" s="8"/>
      <c r="I272" s="8"/>
      <c r="J272" s="8"/>
      <c r="K272" s="8"/>
      <c r="L272" s="8"/>
      <c r="M272" s="8"/>
      <c r="N272" s="21"/>
      <c r="O272" s="8"/>
      <c r="P272" s="8"/>
      <c r="Q272" s="8">
        <v>1</v>
      </c>
      <c r="R272" s="8"/>
      <c r="S272" s="8"/>
      <c r="T272" s="21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8">
        <v>1</v>
      </c>
      <c r="AF272" s="8"/>
      <c r="AG272" s="8"/>
      <c r="AH272" s="8"/>
      <c r="AI272" s="8"/>
      <c r="AJ272" s="8"/>
      <c r="AK272" s="8"/>
      <c r="AL272" s="8"/>
      <c r="AM272" s="21"/>
      <c r="AN272" s="8"/>
      <c r="AO272" s="8"/>
      <c r="AP272" s="8"/>
      <c r="AQ272" s="8"/>
      <c r="AR272" s="8"/>
      <c r="AS272" s="8"/>
      <c r="AT272" s="8"/>
      <c r="AU272" s="8">
        <f t="shared" si="12"/>
        <v>2</v>
      </c>
      <c r="AV272" s="8"/>
      <c r="AW272" s="8"/>
      <c r="AX272" s="8"/>
      <c r="AY272" s="8"/>
      <c r="AZ272" s="8"/>
      <c r="BA272" s="8"/>
      <c r="BB272" s="8"/>
      <c r="BC272" s="8"/>
      <c r="BD272" s="8"/>
      <c r="BE272" s="8"/>
      <c r="BF272" s="8"/>
      <c r="BG272" s="8"/>
      <c r="BH272" s="8"/>
      <c r="BI272" s="8"/>
      <c r="BJ272" s="8"/>
      <c r="BK272" s="8"/>
      <c r="BL272" s="8"/>
      <c r="BM272" s="8"/>
      <c r="BN272" s="8">
        <f t="shared" si="11"/>
        <v>0</v>
      </c>
      <c r="BO272" s="24">
        <f t="shared" si="13"/>
        <v>2</v>
      </c>
      <c r="BP272" s="23"/>
      <c r="BQ272" s="23"/>
    </row>
    <row r="273" spans="1:69" ht="15.5">
      <c r="A273" s="3" t="s">
        <v>751</v>
      </c>
      <c r="B273" s="3" t="s">
        <v>752</v>
      </c>
      <c r="C273" s="8"/>
      <c r="D273" s="8"/>
      <c r="E273" s="21"/>
      <c r="F273" s="21"/>
      <c r="G273" s="8"/>
      <c r="H273" s="8"/>
      <c r="I273" s="8"/>
      <c r="J273" s="8"/>
      <c r="K273" s="8"/>
      <c r="L273" s="8"/>
      <c r="M273" s="8"/>
      <c r="N273" s="21"/>
      <c r="O273" s="8"/>
      <c r="P273" s="8"/>
      <c r="Q273" s="8"/>
      <c r="R273" s="8"/>
      <c r="S273" s="8"/>
      <c r="T273" s="21"/>
      <c r="U273" s="8"/>
      <c r="V273" s="8"/>
      <c r="W273" s="8"/>
      <c r="X273" s="8"/>
      <c r="Y273" s="8"/>
      <c r="Z273" s="8"/>
      <c r="AA273" s="8"/>
      <c r="AB273" s="8"/>
      <c r="AC273" s="8"/>
      <c r="AD273" s="8"/>
      <c r="AE273" s="8">
        <v>1</v>
      </c>
      <c r="AF273" s="8"/>
      <c r="AG273" s="8"/>
      <c r="AH273" s="8"/>
      <c r="AI273" s="8"/>
      <c r="AJ273" s="8"/>
      <c r="AK273" s="8"/>
      <c r="AL273" s="8"/>
      <c r="AM273" s="21"/>
      <c r="AN273" s="8"/>
      <c r="AO273" s="8"/>
      <c r="AP273" s="8"/>
      <c r="AQ273" s="8"/>
      <c r="AR273" s="8"/>
      <c r="AS273" s="8"/>
      <c r="AT273" s="8"/>
      <c r="AU273" s="8">
        <f t="shared" si="12"/>
        <v>1</v>
      </c>
      <c r="AV273" s="8"/>
      <c r="AW273" s="8"/>
      <c r="AX273" s="8"/>
      <c r="AY273" s="8"/>
      <c r="AZ273" s="8"/>
      <c r="BA273" s="8"/>
      <c r="BB273" s="8"/>
      <c r="BC273" s="8"/>
      <c r="BD273" s="8"/>
      <c r="BE273" s="8"/>
      <c r="BF273" s="8"/>
      <c r="BG273" s="8"/>
      <c r="BH273" s="8"/>
      <c r="BI273" s="8"/>
      <c r="BJ273" s="8"/>
      <c r="BK273" s="8"/>
      <c r="BL273" s="8"/>
      <c r="BM273" s="8"/>
      <c r="BN273" s="8">
        <f t="shared" si="11"/>
        <v>0</v>
      </c>
      <c r="BO273" s="24">
        <f t="shared" si="13"/>
        <v>1</v>
      </c>
      <c r="BP273" s="23"/>
      <c r="BQ273" s="23"/>
    </row>
    <row r="274" spans="1:69" ht="15.5">
      <c r="A274" s="3" t="s">
        <v>753</v>
      </c>
      <c r="B274" s="3" t="s">
        <v>754</v>
      </c>
      <c r="C274" s="8"/>
      <c r="D274" s="8"/>
      <c r="E274" s="21"/>
      <c r="F274" s="21"/>
      <c r="G274" s="8"/>
      <c r="H274" s="8"/>
      <c r="I274" s="8"/>
      <c r="J274" s="8"/>
      <c r="K274" s="8"/>
      <c r="L274" s="8"/>
      <c r="M274" s="8"/>
      <c r="N274" s="21"/>
      <c r="O274" s="8"/>
      <c r="P274" s="8"/>
      <c r="Q274" s="8"/>
      <c r="R274" s="8"/>
      <c r="S274" s="8"/>
      <c r="T274" s="21"/>
      <c r="U274" s="8"/>
      <c r="V274" s="8"/>
      <c r="W274" s="8"/>
      <c r="X274" s="8"/>
      <c r="Y274" s="8"/>
      <c r="Z274" s="8"/>
      <c r="AA274" s="8"/>
      <c r="AB274" s="8"/>
      <c r="AC274" s="8"/>
      <c r="AD274" s="8"/>
      <c r="AE274" s="8">
        <v>1</v>
      </c>
      <c r="AF274" s="8"/>
      <c r="AG274" s="8"/>
      <c r="AH274" s="8"/>
      <c r="AI274" s="8"/>
      <c r="AJ274" s="8"/>
      <c r="AK274" s="8"/>
      <c r="AL274" s="8"/>
      <c r="AM274" s="21"/>
      <c r="AN274" s="8"/>
      <c r="AO274" s="8"/>
      <c r="AP274" s="8"/>
      <c r="AQ274" s="8"/>
      <c r="AR274" s="8"/>
      <c r="AS274" s="8"/>
      <c r="AT274" s="8"/>
      <c r="AU274" s="8">
        <f t="shared" si="12"/>
        <v>1</v>
      </c>
      <c r="AV274" s="8"/>
      <c r="AW274" s="8"/>
      <c r="AX274" s="8"/>
      <c r="AY274" s="8"/>
      <c r="AZ274" s="8"/>
      <c r="BA274" s="8"/>
      <c r="BB274" s="8"/>
      <c r="BC274" s="8"/>
      <c r="BD274" s="8"/>
      <c r="BE274" s="8"/>
      <c r="BF274" s="8"/>
      <c r="BG274" s="8"/>
      <c r="BH274" s="8"/>
      <c r="BI274" s="8"/>
      <c r="BJ274" s="8"/>
      <c r="BK274" s="8"/>
      <c r="BL274" s="8"/>
      <c r="BM274" s="8"/>
      <c r="BN274" s="8">
        <f t="shared" si="11"/>
        <v>0</v>
      </c>
      <c r="BO274" s="24">
        <f t="shared" si="13"/>
        <v>1</v>
      </c>
      <c r="BP274" s="23"/>
      <c r="BQ274" s="23"/>
    </row>
    <row r="275" spans="1:69" ht="15.5">
      <c r="A275" s="3" t="s">
        <v>150</v>
      </c>
      <c r="B275" s="3" t="s">
        <v>151</v>
      </c>
      <c r="C275" s="8"/>
      <c r="D275" s="8"/>
      <c r="E275" s="21"/>
      <c r="F275" s="21"/>
      <c r="G275" s="8"/>
      <c r="H275" s="8"/>
      <c r="I275" s="8"/>
      <c r="J275" s="8"/>
      <c r="K275" s="8"/>
      <c r="L275" s="8"/>
      <c r="M275" s="8"/>
      <c r="N275" s="21"/>
      <c r="O275" s="8"/>
      <c r="P275" s="8"/>
      <c r="Q275" s="8"/>
      <c r="R275" s="8"/>
      <c r="S275" s="8"/>
      <c r="T275" s="21"/>
      <c r="U275" s="8"/>
      <c r="V275" s="8"/>
      <c r="W275" s="8"/>
      <c r="X275" s="8"/>
      <c r="Y275" s="8"/>
      <c r="Z275" s="8"/>
      <c r="AA275" s="8"/>
      <c r="AB275" s="8"/>
      <c r="AC275" s="8"/>
      <c r="AD275" s="8"/>
      <c r="AE275" s="8">
        <v>1</v>
      </c>
      <c r="AF275" s="8"/>
      <c r="AG275" s="8"/>
      <c r="AH275" s="8"/>
      <c r="AI275" s="8"/>
      <c r="AJ275" s="8"/>
      <c r="AK275" s="8"/>
      <c r="AL275" s="8"/>
      <c r="AM275" s="21"/>
      <c r="AN275" s="8"/>
      <c r="AO275" s="8"/>
      <c r="AP275" s="8"/>
      <c r="AQ275" s="8"/>
      <c r="AR275" s="8"/>
      <c r="AS275" s="8"/>
      <c r="AT275" s="8"/>
      <c r="AU275" s="8">
        <f t="shared" si="12"/>
        <v>1</v>
      </c>
      <c r="AV275" s="8"/>
      <c r="AW275" s="8"/>
      <c r="AX275" s="8"/>
      <c r="AY275" s="8"/>
      <c r="AZ275" s="8"/>
      <c r="BA275" s="8"/>
      <c r="BB275" s="8"/>
      <c r="BC275" s="8"/>
      <c r="BD275" s="8"/>
      <c r="BE275" s="8"/>
      <c r="BF275" s="8"/>
      <c r="BG275" s="8"/>
      <c r="BH275" s="8"/>
      <c r="BI275" s="8"/>
      <c r="BJ275" s="8"/>
      <c r="BK275" s="8"/>
      <c r="BL275" s="8"/>
      <c r="BM275" s="8"/>
      <c r="BN275" s="8">
        <f t="shared" si="11"/>
        <v>0</v>
      </c>
      <c r="BO275" s="24">
        <f t="shared" si="13"/>
        <v>1</v>
      </c>
      <c r="BP275" s="23"/>
      <c r="BQ275" s="23"/>
    </row>
    <row r="276" spans="1:69" ht="15.5">
      <c r="A276" s="3" t="s">
        <v>152</v>
      </c>
      <c r="B276" s="3" t="s">
        <v>153</v>
      </c>
      <c r="C276" s="8"/>
      <c r="D276" s="8"/>
      <c r="E276" s="21"/>
      <c r="F276" s="21"/>
      <c r="G276" s="8"/>
      <c r="H276" s="8"/>
      <c r="I276" s="8"/>
      <c r="J276" s="8"/>
      <c r="K276" s="8"/>
      <c r="L276" s="8"/>
      <c r="M276" s="8"/>
      <c r="N276" s="21"/>
      <c r="O276" s="8"/>
      <c r="P276" s="8"/>
      <c r="Q276" s="8"/>
      <c r="R276" s="8"/>
      <c r="S276" s="8"/>
      <c r="T276" s="21"/>
      <c r="U276" s="8"/>
      <c r="V276" s="8"/>
      <c r="W276" s="8"/>
      <c r="X276" s="8"/>
      <c r="Y276" s="8"/>
      <c r="Z276" s="8"/>
      <c r="AA276" s="8"/>
      <c r="AB276" s="8"/>
      <c r="AC276" s="8"/>
      <c r="AD276" s="8"/>
      <c r="AE276" s="8">
        <v>1</v>
      </c>
      <c r="AF276" s="8"/>
      <c r="AG276" s="8"/>
      <c r="AH276" s="8"/>
      <c r="AI276" s="8"/>
      <c r="AJ276" s="8"/>
      <c r="AK276" s="8"/>
      <c r="AL276" s="8"/>
      <c r="AM276" s="21"/>
      <c r="AN276" s="8"/>
      <c r="AO276" s="8"/>
      <c r="AP276" s="8"/>
      <c r="AQ276" s="8"/>
      <c r="AR276" s="8"/>
      <c r="AS276" s="8"/>
      <c r="AT276" s="8"/>
      <c r="AU276" s="8">
        <f t="shared" si="12"/>
        <v>1</v>
      </c>
      <c r="AV276" s="8"/>
      <c r="AW276" s="8"/>
      <c r="AX276" s="8"/>
      <c r="AY276" s="8"/>
      <c r="AZ276" s="8"/>
      <c r="BA276" s="8"/>
      <c r="BB276" s="8"/>
      <c r="BC276" s="8"/>
      <c r="BD276" s="8"/>
      <c r="BE276" s="8"/>
      <c r="BF276" s="8"/>
      <c r="BG276" s="8"/>
      <c r="BH276" s="8"/>
      <c r="BI276" s="8"/>
      <c r="BJ276" s="8"/>
      <c r="BK276" s="8"/>
      <c r="BL276" s="8"/>
      <c r="BM276" s="8"/>
      <c r="BN276" s="8">
        <f t="shared" si="11"/>
        <v>0</v>
      </c>
      <c r="BO276" s="24">
        <f t="shared" si="13"/>
        <v>1</v>
      </c>
      <c r="BP276" s="23"/>
      <c r="BQ276" s="23"/>
    </row>
    <row r="277" spans="1:69" ht="15.5">
      <c r="A277" s="3" t="s">
        <v>154</v>
      </c>
      <c r="B277" s="3" t="s">
        <v>155</v>
      </c>
      <c r="C277" s="8"/>
      <c r="D277" s="8"/>
      <c r="E277" s="21"/>
      <c r="F277" s="21"/>
      <c r="G277" s="8"/>
      <c r="H277" s="8"/>
      <c r="I277" s="8"/>
      <c r="J277" s="8"/>
      <c r="K277" s="8"/>
      <c r="L277" s="8"/>
      <c r="M277" s="8"/>
      <c r="N277" s="21"/>
      <c r="O277" s="8"/>
      <c r="P277" s="8"/>
      <c r="Q277" s="8">
        <v>1</v>
      </c>
      <c r="R277" s="8"/>
      <c r="S277" s="8"/>
      <c r="T277" s="21"/>
      <c r="U277" s="8"/>
      <c r="V277" s="8"/>
      <c r="W277" s="8"/>
      <c r="X277" s="8"/>
      <c r="Y277" s="8"/>
      <c r="Z277" s="8"/>
      <c r="AA277" s="8"/>
      <c r="AB277" s="8"/>
      <c r="AC277" s="8"/>
      <c r="AD277" s="8"/>
      <c r="AE277" s="8">
        <v>1</v>
      </c>
      <c r="AF277" s="8"/>
      <c r="AG277" s="8"/>
      <c r="AH277" s="8"/>
      <c r="AI277" s="8"/>
      <c r="AJ277" s="8"/>
      <c r="AK277" s="8"/>
      <c r="AL277" s="8"/>
      <c r="AM277" s="21"/>
      <c r="AN277" s="8"/>
      <c r="AO277" s="8"/>
      <c r="AP277" s="8"/>
      <c r="AQ277" s="8"/>
      <c r="AR277" s="8"/>
      <c r="AS277" s="8"/>
      <c r="AT277" s="8"/>
      <c r="AU277" s="8">
        <f t="shared" si="12"/>
        <v>2</v>
      </c>
      <c r="AV277" s="8"/>
      <c r="AW277" s="8"/>
      <c r="AX277" s="8"/>
      <c r="AY277" s="8"/>
      <c r="AZ277" s="8"/>
      <c r="BA277" s="8"/>
      <c r="BB277" s="8"/>
      <c r="BC277" s="8"/>
      <c r="BD277" s="8"/>
      <c r="BE277" s="8"/>
      <c r="BF277" s="8"/>
      <c r="BG277" s="8"/>
      <c r="BH277" s="8"/>
      <c r="BI277" s="8"/>
      <c r="BJ277" s="8"/>
      <c r="BK277" s="8"/>
      <c r="BL277" s="8"/>
      <c r="BM277" s="8"/>
      <c r="BN277" s="8">
        <f t="shared" si="11"/>
        <v>0</v>
      </c>
      <c r="BO277" s="24">
        <f t="shared" si="13"/>
        <v>2</v>
      </c>
      <c r="BP277" s="23"/>
      <c r="BQ277" s="23"/>
    </row>
    <row r="278" spans="1:69" ht="15.5">
      <c r="A278" s="3" t="s">
        <v>156</v>
      </c>
      <c r="B278" s="3" t="s">
        <v>157</v>
      </c>
      <c r="C278" s="8"/>
      <c r="D278" s="8"/>
      <c r="E278" s="21"/>
      <c r="F278" s="21"/>
      <c r="G278" s="8"/>
      <c r="H278" s="8"/>
      <c r="I278" s="8"/>
      <c r="J278" s="8"/>
      <c r="K278" s="8"/>
      <c r="L278" s="8"/>
      <c r="M278" s="8"/>
      <c r="N278" s="21"/>
      <c r="O278" s="8"/>
      <c r="P278" s="8"/>
      <c r="Q278" s="8">
        <v>1</v>
      </c>
      <c r="R278" s="8"/>
      <c r="S278" s="8"/>
      <c r="T278" s="21"/>
      <c r="U278" s="8"/>
      <c r="V278" s="8"/>
      <c r="W278" s="8"/>
      <c r="X278" s="8"/>
      <c r="Y278" s="8"/>
      <c r="Z278" s="8"/>
      <c r="AA278" s="8"/>
      <c r="AB278" s="8"/>
      <c r="AC278" s="8"/>
      <c r="AD278" s="8"/>
      <c r="AE278" s="8">
        <v>1</v>
      </c>
      <c r="AF278" s="8"/>
      <c r="AG278" s="8"/>
      <c r="AH278" s="8"/>
      <c r="AI278" s="8"/>
      <c r="AJ278" s="8"/>
      <c r="AK278" s="8"/>
      <c r="AL278" s="8"/>
      <c r="AM278" s="21"/>
      <c r="AN278" s="8"/>
      <c r="AO278" s="8"/>
      <c r="AP278" s="8"/>
      <c r="AQ278" s="8"/>
      <c r="AR278" s="8"/>
      <c r="AS278" s="8"/>
      <c r="AT278" s="8"/>
      <c r="AU278" s="8">
        <f t="shared" si="12"/>
        <v>2</v>
      </c>
      <c r="AV278" s="8"/>
      <c r="AW278" s="8"/>
      <c r="AX278" s="8"/>
      <c r="AY278" s="8"/>
      <c r="AZ278" s="8"/>
      <c r="BA278" s="8"/>
      <c r="BB278" s="8"/>
      <c r="BC278" s="8"/>
      <c r="BD278" s="8"/>
      <c r="BE278" s="8"/>
      <c r="BF278" s="8"/>
      <c r="BG278" s="8"/>
      <c r="BH278" s="8"/>
      <c r="BI278" s="8"/>
      <c r="BJ278" s="8"/>
      <c r="BK278" s="8"/>
      <c r="BL278" s="8"/>
      <c r="BM278" s="8"/>
      <c r="BN278" s="8">
        <f t="shared" si="11"/>
        <v>0</v>
      </c>
      <c r="BO278" s="24">
        <f t="shared" si="13"/>
        <v>2</v>
      </c>
      <c r="BP278" s="23"/>
      <c r="BQ278" s="23"/>
    </row>
    <row r="279" spans="1:69" ht="15.5">
      <c r="A279" s="3" t="s">
        <v>158</v>
      </c>
      <c r="B279" s="3" t="s">
        <v>159</v>
      </c>
      <c r="C279" s="8"/>
      <c r="D279" s="8"/>
      <c r="E279" s="21"/>
      <c r="F279" s="21"/>
      <c r="G279" s="8"/>
      <c r="H279" s="8"/>
      <c r="I279" s="8"/>
      <c r="J279" s="8"/>
      <c r="K279" s="8"/>
      <c r="L279" s="8"/>
      <c r="M279" s="8"/>
      <c r="N279" s="21"/>
      <c r="O279" s="8"/>
      <c r="P279" s="8"/>
      <c r="Q279" s="8">
        <v>1</v>
      </c>
      <c r="R279" s="8"/>
      <c r="S279" s="8"/>
      <c r="T279" s="21"/>
      <c r="U279" s="8"/>
      <c r="V279" s="8"/>
      <c r="W279" s="8"/>
      <c r="X279" s="8"/>
      <c r="Y279" s="8"/>
      <c r="Z279" s="8"/>
      <c r="AA279" s="8"/>
      <c r="AB279" s="8"/>
      <c r="AC279" s="8"/>
      <c r="AD279" s="8"/>
      <c r="AE279" s="8">
        <v>1</v>
      </c>
      <c r="AF279" s="8"/>
      <c r="AG279" s="8"/>
      <c r="AH279" s="8"/>
      <c r="AI279" s="8"/>
      <c r="AJ279" s="8"/>
      <c r="AK279" s="8"/>
      <c r="AL279" s="8"/>
      <c r="AM279" s="21"/>
      <c r="AN279" s="8"/>
      <c r="AO279" s="8"/>
      <c r="AP279" s="8"/>
      <c r="AQ279" s="8"/>
      <c r="AR279" s="8"/>
      <c r="AS279" s="8"/>
      <c r="AT279" s="8"/>
      <c r="AU279" s="8">
        <f t="shared" si="12"/>
        <v>2</v>
      </c>
      <c r="AV279" s="8"/>
      <c r="AW279" s="8"/>
      <c r="AX279" s="8"/>
      <c r="AY279" s="8"/>
      <c r="AZ279" s="8"/>
      <c r="BA279" s="8"/>
      <c r="BB279" s="8"/>
      <c r="BC279" s="8"/>
      <c r="BD279" s="8"/>
      <c r="BE279" s="8"/>
      <c r="BF279" s="8"/>
      <c r="BG279" s="8"/>
      <c r="BH279" s="8"/>
      <c r="BI279" s="8"/>
      <c r="BJ279" s="8"/>
      <c r="BK279" s="8"/>
      <c r="BL279" s="8"/>
      <c r="BM279" s="8"/>
      <c r="BN279" s="8">
        <f t="shared" si="11"/>
        <v>0</v>
      </c>
      <c r="BO279" s="24">
        <f t="shared" si="13"/>
        <v>2</v>
      </c>
      <c r="BP279" s="23"/>
      <c r="BQ279" s="23"/>
    </row>
    <row r="280" spans="1:69" ht="15.5">
      <c r="A280" s="3" t="s">
        <v>160</v>
      </c>
      <c r="B280" s="3" t="s">
        <v>161</v>
      </c>
      <c r="C280" s="8"/>
      <c r="D280" s="8"/>
      <c r="E280" s="21"/>
      <c r="F280" s="21"/>
      <c r="G280" s="8"/>
      <c r="H280" s="8"/>
      <c r="I280" s="8"/>
      <c r="J280" s="8"/>
      <c r="K280" s="8"/>
      <c r="L280" s="8"/>
      <c r="M280" s="8"/>
      <c r="N280" s="21"/>
      <c r="O280" s="8"/>
      <c r="P280" s="8"/>
      <c r="Q280" s="8"/>
      <c r="R280" s="8"/>
      <c r="S280" s="8"/>
      <c r="T280" s="21"/>
      <c r="U280" s="8"/>
      <c r="V280" s="8"/>
      <c r="W280" s="8"/>
      <c r="X280" s="8"/>
      <c r="Y280" s="8"/>
      <c r="Z280" s="8"/>
      <c r="AA280" s="8"/>
      <c r="AB280" s="8"/>
      <c r="AC280" s="8"/>
      <c r="AD280" s="8"/>
      <c r="AE280" s="8">
        <v>1</v>
      </c>
      <c r="AF280" s="8"/>
      <c r="AG280" s="8"/>
      <c r="AH280" s="8"/>
      <c r="AI280" s="8"/>
      <c r="AJ280" s="8"/>
      <c r="AK280" s="8"/>
      <c r="AL280" s="8"/>
      <c r="AM280" s="21"/>
      <c r="AN280" s="8"/>
      <c r="AO280" s="8"/>
      <c r="AP280" s="8"/>
      <c r="AQ280" s="8"/>
      <c r="AR280" s="8"/>
      <c r="AS280" s="8"/>
      <c r="AT280" s="8"/>
      <c r="AU280" s="8">
        <f t="shared" si="12"/>
        <v>1</v>
      </c>
      <c r="AV280" s="8"/>
      <c r="AW280" s="8"/>
      <c r="AX280" s="8"/>
      <c r="AY280" s="8"/>
      <c r="AZ280" s="8"/>
      <c r="BA280" s="8"/>
      <c r="BB280" s="8"/>
      <c r="BC280" s="8"/>
      <c r="BD280" s="8"/>
      <c r="BE280" s="8"/>
      <c r="BF280" s="8"/>
      <c r="BG280" s="8"/>
      <c r="BH280" s="8"/>
      <c r="BI280" s="8"/>
      <c r="BJ280" s="8"/>
      <c r="BK280" s="8"/>
      <c r="BL280" s="8"/>
      <c r="BM280" s="8"/>
      <c r="BN280" s="8">
        <f t="shared" si="11"/>
        <v>0</v>
      </c>
      <c r="BO280" s="24">
        <f t="shared" si="13"/>
        <v>1</v>
      </c>
      <c r="BP280" s="23"/>
      <c r="BQ280" s="23"/>
    </row>
    <row r="281" spans="1:69" ht="15.5">
      <c r="A281" s="3" t="s">
        <v>761</v>
      </c>
      <c r="B281" s="3" t="s">
        <v>762</v>
      </c>
      <c r="C281" s="8"/>
      <c r="D281" s="8"/>
      <c r="E281" s="21"/>
      <c r="F281" s="21"/>
      <c r="G281" s="8"/>
      <c r="H281" s="8"/>
      <c r="I281" s="8"/>
      <c r="J281" s="8"/>
      <c r="K281" s="8"/>
      <c r="L281" s="8"/>
      <c r="M281" s="8"/>
      <c r="N281" s="21"/>
      <c r="O281" s="8"/>
      <c r="P281" s="8"/>
      <c r="Q281" s="8"/>
      <c r="R281" s="8"/>
      <c r="S281" s="8"/>
      <c r="T281" s="21"/>
      <c r="U281" s="8"/>
      <c r="V281" s="8"/>
      <c r="W281" s="8"/>
      <c r="X281" s="8"/>
      <c r="Y281" s="8"/>
      <c r="Z281" s="8"/>
      <c r="AA281" s="8"/>
      <c r="AB281" s="8"/>
      <c r="AC281" s="8"/>
      <c r="AD281" s="8"/>
      <c r="AE281" s="8">
        <v>1</v>
      </c>
      <c r="AF281" s="8"/>
      <c r="AG281" s="8"/>
      <c r="AH281" s="8"/>
      <c r="AI281" s="8"/>
      <c r="AJ281" s="8"/>
      <c r="AK281" s="8"/>
      <c r="AL281" s="8"/>
      <c r="AM281" s="21"/>
      <c r="AN281" s="8"/>
      <c r="AO281" s="8"/>
      <c r="AP281" s="8"/>
      <c r="AQ281" s="8"/>
      <c r="AR281" s="8"/>
      <c r="AS281" s="8"/>
      <c r="AT281" s="8"/>
      <c r="AU281" s="8">
        <f t="shared" si="12"/>
        <v>1</v>
      </c>
      <c r="AV281" s="8"/>
      <c r="AW281" s="8"/>
      <c r="AX281" s="8"/>
      <c r="AY281" s="8"/>
      <c r="AZ281" s="8"/>
      <c r="BA281" s="8"/>
      <c r="BB281" s="8"/>
      <c r="BC281" s="8"/>
      <c r="BD281" s="8"/>
      <c r="BE281" s="8"/>
      <c r="BF281" s="8"/>
      <c r="BG281" s="8"/>
      <c r="BH281" s="8"/>
      <c r="BI281" s="8"/>
      <c r="BJ281" s="8"/>
      <c r="BK281" s="8"/>
      <c r="BL281" s="8"/>
      <c r="BM281" s="8"/>
      <c r="BN281" s="8">
        <f t="shared" si="11"/>
        <v>0</v>
      </c>
      <c r="BO281" s="24">
        <f t="shared" si="13"/>
        <v>1</v>
      </c>
      <c r="BP281" s="23"/>
      <c r="BQ281" s="23"/>
    </row>
    <row r="282" spans="1:69" ht="15.5">
      <c r="A282" s="3" t="s">
        <v>767</v>
      </c>
      <c r="B282" s="3" t="s">
        <v>768</v>
      </c>
      <c r="C282" s="8"/>
      <c r="D282" s="8"/>
      <c r="E282" s="21"/>
      <c r="F282" s="21"/>
      <c r="G282" s="8"/>
      <c r="H282" s="8"/>
      <c r="I282" s="8"/>
      <c r="J282" s="8"/>
      <c r="K282" s="8"/>
      <c r="L282" s="8"/>
      <c r="M282" s="8"/>
      <c r="N282" s="21"/>
      <c r="O282" s="8"/>
      <c r="P282" s="8"/>
      <c r="Q282" s="8"/>
      <c r="R282" s="8"/>
      <c r="S282" s="8"/>
      <c r="T282" s="21"/>
      <c r="U282" s="8"/>
      <c r="V282" s="8"/>
      <c r="W282" s="8"/>
      <c r="X282" s="8"/>
      <c r="Y282" s="8"/>
      <c r="Z282" s="8"/>
      <c r="AA282" s="8"/>
      <c r="AB282" s="8"/>
      <c r="AC282" s="8"/>
      <c r="AD282" s="8"/>
      <c r="AE282" s="8">
        <v>1</v>
      </c>
      <c r="AF282" s="8"/>
      <c r="AG282" s="8"/>
      <c r="AH282" s="8"/>
      <c r="AI282" s="8"/>
      <c r="AJ282" s="8"/>
      <c r="AK282" s="8"/>
      <c r="AL282" s="8"/>
      <c r="AM282" s="21"/>
      <c r="AN282" s="8"/>
      <c r="AO282" s="8"/>
      <c r="AP282" s="8"/>
      <c r="AQ282" s="8"/>
      <c r="AR282" s="8"/>
      <c r="AS282" s="8"/>
      <c r="AT282" s="8"/>
      <c r="AU282" s="8">
        <f t="shared" si="12"/>
        <v>1</v>
      </c>
      <c r="AV282" s="8"/>
      <c r="AW282" s="8"/>
      <c r="AX282" s="8"/>
      <c r="AY282" s="8"/>
      <c r="AZ282" s="8"/>
      <c r="BA282" s="8"/>
      <c r="BB282" s="8"/>
      <c r="BC282" s="8"/>
      <c r="BD282" s="8"/>
      <c r="BE282" s="8"/>
      <c r="BF282" s="8"/>
      <c r="BG282" s="8"/>
      <c r="BH282" s="8"/>
      <c r="BI282" s="8"/>
      <c r="BJ282" s="8"/>
      <c r="BK282" s="8"/>
      <c r="BL282" s="8"/>
      <c r="BM282" s="8"/>
      <c r="BN282" s="8">
        <f t="shared" si="11"/>
        <v>0</v>
      </c>
      <c r="BO282" s="24">
        <f t="shared" si="13"/>
        <v>1</v>
      </c>
      <c r="BP282" s="23"/>
      <c r="BQ282" s="23"/>
    </row>
    <row r="283" spans="1:69" ht="15.5">
      <c r="A283" s="3" t="s">
        <v>773</v>
      </c>
      <c r="B283" s="3" t="s">
        <v>774</v>
      </c>
      <c r="C283" s="8"/>
      <c r="D283" s="8"/>
      <c r="E283" s="21"/>
      <c r="F283" s="21"/>
      <c r="G283" s="8"/>
      <c r="H283" s="8"/>
      <c r="I283" s="8"/>
      <c r="J283" s="8"/>
      <c r="K283" s="8"/>
      <c r="L283" s="8"/>
      <c r="M283" s="8"/>
      <c r="N283" s="21"/>
      <c r="O283" s="8"/>
      <c r="P283" s="8"/>
      <c r="Q283" s="8">
        <v>1</v>
      </c>
      <c r="R283" s="8"/>
      <c r="S283" s="8"/>
      <c r="T283" s="21"/>
      <c r="U283" s="8">
        <v>1</v>
      </c>
      <c r="V283" s="8"/>
      <c r="W283" s="8"/>
      <c r="X283" s="8"/>
      <c r="Y283" s="8">
        <v>1</v>
      </c>
      <c r="Z283" s="8"/>
      <c r="AA283" s="8"/>
      <c r="AB283" s="8"/>
      <c r="AC283" s="8"/>
      <c r="AD283" s="8"/>
      <c r="AE283" s="8"/>
      <c r="AF283" s="8"/>
      <c r="AG283" s="8"/>
      <c r="AH283" s="8"/>
      <c r="AI283" s="8"/>
      <c r="AJ283" s="8"/>
      <c r="AK283" s="8">
        <v>1</v>
      </c>
      <c r="AL283" s="8"/>
      <c r="AM283" s="21"/>
      <c r="AN283" s="8"/>
      <c r="AO283" s="8"/>
      <c r="AP283" s="8"/>
      <c r="AQ283" s="8"/>
      <c r="AR283" s="8"/>
      <c r="AS283" s="8"/>
      <c r="AT283" s="8"/>
      <c r="AU283" s="8">
        <f t="shared" si="12"/>
        <v>4</v>
      </c>
      <c r="AV283" s="8"/>
      <c r="AW283" s="8">
        <v>1</v>
      </c>
      <c r="AX283" s="8"/>
      <c r="AY283" s="8">
        <v>1</v>
      </c>
      <c r="AZ283" s="8">
        <v>1</v>
      </c>
      <c r="BA283" s="8"/>
      <c r="BB283" s="8"/>
      <c r="BC283" s="8"/>
      <c r="BD283" s="8"/>
      <c r="BE283" s="8"/>
      <c r="BF283" s="8"/>
      <c r="BG283" s="8"/>
      <c r="BH283" s="8"/>
      <c r="BI283" s="8"/>
      <c r="BJ283" s="8"/>
      <c r="BK283" s="8"/>
      <c r="BL283" s="8"/>
      <c r="BM283" s="8"/>
      <c r="BN283" s="8">
        <f t="shared" si="11"/>
        <v>3</v>
      </c>
      <c r="BO283" s="24">
        <f t="shared" si="13"/>
        <v>1</v>
      </c>
      <c r="BP283" s="23"/>
      <c r="BQ283" s="23"/>
    </row>
    <row r="284" spans="1:69" ht="15.5">
      <c r="A284" s="3" t="s">
        <v>777</v>
      </c>
      <c r="B284" s="3" t="s">
        <v>778</v>
      </c>
      <c r="C284" s="8"/>
      <c r="D284" s="8"/>
      <c r="E284" s="21"/>
      <c r="F284" s="21"/>
      <c r="G284" s="8"/>
      <c r="H284" s="8"/>
      <c r="I284" s="8"/>
      <c r="J284" s="8"/>
      <c r="K284" s="8"/>
      <c r="L284" s="8"/>
      <c r="M284" s="8"/>
      <c r="N284" s="21"/>
      <c r="O284" s="8"/>
      <c r="P284" s="8"/>
      <c r="Q284" s="8">
        <v>1</v>
      </c>
      <c r="R284" s="8"/>
      <c r="S284" s="8">
        <v>1</v>
      </c>
      <c r="T284" s="21"/>
      <c r="U284" s="8">
        <v>1</v>
      </c>
      <c r="V284" s="8"/>
      <c r="W284" s="8">
        <v>1</v>
      </c>
      <c r="X284" s="8"/>
      <c r="Y284" s="8">
        <v>1</v>
      </c>
      <c r="Z284" s="8"/>
      <c r="AA284" s="8"/>
      <c r="AB284" s="8">
        <v>1</v>
      </c>
      <c r="AC284" s="8">
        <v>1</v>
      </c>
      <c r="AD284" s="8"/>
      <c r="AE284" s="8">
        <v>1</v>
      </c>
      <c r="AF284" s="8"/>
      <c r="AG284" s="8"/>
      <c r="AH284" s="8"/>
      <c r="AI284" s="8"/>
      <c r="AJ284" s="8"/>
      <c r="AK284" s="8">
        <v>1</v>
      </c>
      <c r="AL284" s="8"/>
      <c r="AM284" s="21"/>
      <c r="AN284" s="8"/>
      <c r="AO284" s="8"/>
      <c r="AP284" s="8"/>
      <c r="AQ284" s="8"/>
      <c r="AR284" s="8"/>
      <c r="AS284" s="8"/>
      <c r="AT284" s="8"/>
      <c r="AU284" s="8">
        <f t="shared" si="12"/>
        <v>9</v>
      </c>
      <c r="AV284" s="8"/>
      <c r="AW284" s="8">
        <v>1</v>
      </c>
      <c r="AX284" s="8">
        <v>2</v>
      </c>
      <c r="AY284" s="8"/>
      <c r="AZ284" s="8">
        <v>1</v>
      </c>
      <c r="BA284" s="8">
        <v>1</v>
      </c>
      <c r="BB284" s="8">
        <v>1</v>
      </c>
      <c r="BC284" s="8"/>
      <c r="BD284" s="8"/>
      <c r="BE284" s="8"/>
      <c r="BF284" s="8"/>
      <c r="BG284" s="8"/>
      <c r="BH284" s="8"/>
      <c r="BI284" s="8"/>
      <c r="BJ284" s="8"/>
      <c r="BK284" s="8"/>
      <c r="BL284" s="8"/>
      <c r="BM284" s="8"/>
      <c r="BN284" s="8">
        <f t="shared" si="11"/>
        <v>6</v>
      </c>
      <c r="BO284" s="24">
        <f t="shared" si="13"/>
        <v>3</v>
      </c>
      <c r="BP284" s="23"/>
      <c r="BQ284" s="23"/>
    </row>
    <row r="285" spans="1:69" ht="15.5">
      <c r="A285" s="3" t="s">
        <v>783</v>
      </c>
      <c r="B285" s="3" t="s">
        <v>784</v>
      </c>
      <c r="C285" s="8"/>
      <c r="D285" s="8"/>
      <c r="E285" s="21"/>
      <c r="F285" s="21"/>
      <c r="G285" s="8"/>
      <c r="H285" s="8"/>
      <c r="I285" s="8"/>
      <c r="J285" s="8"/>
      <c r="K285" s="8"/>
      <c r="L285" s="8"/>
      <c r="M285" s="8"/>
      <c r="N285" s="21"/>
      <c r="O285" s="8"/>
      <c r="P285" s="8"/>
      <c r="Q285" s="8">
        <v>1</v>
      </c>
      <c r="R285" s="8"/>
      <c r="S285" s="8"/>
      <c r="T285" s="21"/>
      <c r="U285" s="8"/>
      <c r="V285" s="8"/>
      <c r="W285" s="8"/>
      <c r="X285" s="8"/>
      <c r="Y285" s="8">
        <v>1</v>
      </c>
      <c r="Z285" s="8"/>
      <c r="AA285" s="8"/>
      <c r="AB285" s="8">
        <v>1</v>
      </c>
      <c r="AC285" s="8">
        <v>2</v>
      </c>
      <c r="AD285" s="8"/>
      <c r="AE285" s="8">
        <v>1</v>
      </c>
      <c r="AF285" s="8"/>
      <c r="AG285" s="8"/>
      <c r="AH285" s="8"/>
      <c r="AI285" s="8"/>
      <c r="AJ285" s="8"/>
      <c r="AK285" s="8"/>
      <c r="AL285" s="8"/>
      <c r="AM285" s="21"/>
      <c r="AN285" s="8"/>
      <c r="AO285" s="8"/>
      <c r="AP285" s="8"/>
      <c r="AQ285" s="8"/>
      <c r="AR285" s="8"/>
      <c r="AS285" s="8"/>
      <c r="AT285" s="8"/>
      <c r="AU285" s="8">
        <f t="shared" si="12"/>
        <v>6</v>
      </c>
      <c r="AV285" s="8"/>
      <c r="AW285" s="8">
        <v>1</v>
      </c>
      <c r="AX285" s="8"/>
      <c r="AY285" s="8"/>
      <c r="AZ285" s="8">
        <v>3</v>
      </c>
      <c r="BA285" s="8"/>
      <c r="BB285" s="8"/>
      <c r="BC285" s="8">
        <v>1</v>
      </c>
      <c r="BD285" s="8"/>
      <c r="BE285" s="8"/>
      <c r="BF285" s="8"/>
      <c r="BG285" s="8"/>
      <c r="BH285" s="8"/>
      <c r="BI285" s="8"/>
      <c r="BJ285" s="8"/>
      <c r="BK285" s="8"/>
      <c r="BL285" s="8"/>
      <c r="BM285" s="8"/>
      <c r="BN285" s="8">
        <f t="shared" si="11"/>
        <v>5</v>
      </c>
      <c r="BO285" s="24">
        <f t="shared" si="13"/>
        <v>1</v>
      </c>
      <c r="BP285" s="23"/>
      <c r="BQ285" s="23"/>
    </row>
    <row r="286" spans="1:69" ht="15.5">
      <c r="A286" s="3" t="s">
        <v>789</v>
      </c>
      <c r="B286" s="3" t="s">
        <v>790</v>
      </c>
      <c r="C286" s="8"/>
      <c r="D286" s="8"/>
      <c r="E286" s="21"/>
      <c r="F286" s="21"/>
      <c r="G286" s="8"/>
      <c r="H286" s="8"/>
      <c r="I286" s="8"/>
      <c r="J286" s="8"/>
      <c r="K286" s="8"/>
      <c r="L286" s="8"/>
      <c r="M286" s="8"/>
      <c r="N286" s="21"/>
      <c r="O286" s="8"/>
      <c r="P286" s="8"/>
      <c r="Q286" s="8">
        <v>1</v>
      </c>
      <c r="R286" s="8"/>
      <c r="S286" s="8"/>
      <c r="T286" s="21"/>
      <c r="U286" s="8">
        <v>1</v>
      </c>
      <c r="V286" s="8"/>
      <c r="W286" s="8"/>
      <c r="X286" s="8"/>
      <c r="Y286" s="8">
        <v>1</v>
      </c>
      <c r="Z286" s="8"/>
      <c r="AA286" s="8"/>
      <c r="AB286" s="8">
        <v>1</v>
      </c>
      <c r="AC286" s="8"/>
      <c r="AD286" s="8"/>
      <c r="AE286" s="8"/>
      <c r="AF286" s="8"/>
      <c r="AG286" s="8"/>
      <c r="AH286" s="8"/>
      <c r="AI286" s="8"/>
      <c r="AJ286" s="8"/>
      <c r="AK286" s="8"/>
      <c r="AL286" s="8"/>
      <c r="AM286" s="21"/>
      <c r="AN286" s="8"/>
      <c r="AO286" s="8"/>
      <c r="AP286" s="8"/>
      <c r="AQ286" s="8"/>
      <c r="AR286" s="8"/>
      <c r="AS286" s="8"/>
      <c r="AT286" s="8"/>
      <c r="AU286" s="8">
        <f t="shared" si="12"/>
        <v>4</v>
      </c>
      <c r="AV286" s="8"/>
      <c r="AW286" s="8">
        <v>1</v>
      </c>
      <c r="AX286" s="8"/>
      <c r="AY286" s="8"/>
      <c r="AZ286" s="8"/>
      <c r="BA286" s="8"/>
      <c r="BB286" s="8">
        <v>1</v>
      </c>
      <c r="BC286" s="8"/>
      <c r="BD286" s="8"/>
      <c r="BE286" s="8"/>
      <c r="BF286" s="8"/>
      <c r="BG286" s="8"/>
      <c r="BH286" s="8"/>
      <c r="BI286" s="8"/>
      <c r="BJ286" s="8"/>
      <c r="BK286" s="8"/>
      <c r="BL286" s="8"/>
      <c r="BM286" s="8"/>
      <c r="BN286" s="8">
        <f t="shared" si="11"/>
        <v>2</v>
      </c>
      <c r="BO286" s="24">
        <f t="shared" si="13"/>
        <v>2</v>
      </c>
      <c r="BP286" s="23"/>
      <c r="BQ286" s="23"/>
    </row>
    <row r="287" spans="1:69" ht="15.5">
      <c r="A287" s="3" t="s">
        <v>791</v>
      </c>
      <c r="B287" s="3" t="s">
        <v>792</v>
      </c>
      <c r="C287" s="8"/>
      <c r="D287" s="8"/>
      <c r="E287" s="21"/>
      <c r="F287" s="21"/>
      <c r="G287" s="8"/>
      <c r="H287" s="8"/>
      <c r="I287" s="8"/>
      <c r="J287" s="8"/>
      <c r="K287" s="8"/>
      <c r="L287" s="8"/>
      <c r="M287" s="8"/>
      <c r="N287" s="21"/>
      <c r="O287" s="8"/>
      <c r="P287" s="8"/>
      <c r="Q287" s="8">
        <v>1</v>
      </c>
      <c r="R287" s="8"/>
      <c r="S287" s="8"/>
      <c r="T287" s="21"/>
      <c r="U287" s="8">
        <v>1</v>
      </c>
      <c r="V287" s="8"/>
      <c r="W287" s="8"/>
      <c r="X287" s="8"/>
      <c r="Y287" s="8">
        <v>1</v>
      </c>
      <c r="Z287" s="8"/>
      <c r="AA287" s="8"/>
      <c r="AB287" s="8"/>
      <c r="AC287" s="8"/>
      <c r="AD287" s="8"/>
      <c r="AE287" s="8">
        <v>1</v>
      </c>
      <c r="AF287" s="8"/>
      <c r="AG287" s="8"/>
      <c r="AH287" s="8"/>
      <c r="AI287" s="8"/>
      <c r="AJ287" s="8"/>
      <c r="AK287" s="8"/>
      <c r="AL287" s="8"/>
      <c r="AM287" s="21"/>
      <c r="AN287" s="8"/>
      <c r="AO287" s="8"/>
      <c r="AP287" s="8"/>
      <c r="AQ287" s="8"/>
      <c r="AR287" s="8"/>
      <c r="AS287" s="8"/>
      <c r="AT287" s="8"/>
      <c r="AU287" s="8">
        <f t="shared" si="12"/>
        <v>4</v>
      </c>
      <c r="AV287" s="8"/>
      <c r="AW287" s="8">
        <v>1</v>
      </c>
      <c r="AX287" s="8">
        <v>1</v>
      </c>
      <c r="AY287" s="8"/>
      <c r="AZ287" s="8">
        <v>1</v>
      </c>
      <c r="BA287" s="8"/>
      <c r="BB287" s="8"/>
      <c r="BC287" s="8"/>
      <c r="BD287" s="8"/>
      <c r="BE287" s="8"/>
      <c r="BF287" s="8"/>
      <c r="BG287" s="8"/>
      <c r="BH287" s="8"/>
      <c r="BI287" s="8"/>
      <c r="BJ287" s="8"/>
      <c r="BK287" s="8"/>
      <c r="BL287" s="8"/>
      <c r="BM287" s="8"/>
      <c r="BN287" s="8">
        <f t="shared" si="11"/>
        <v>3</v>
      </c>
      <c r="BO287" s="24">
        <f t="shared" si="13"/>
        <v>1</v>
      </c>
      <c r="BP287" s="23"/>
      <c r="BQ287" s="23"/>
    </row>
    <row r="288" spans="1:69" ht="15.5">
      <c r="A288" s="3" t="s">
        <v>793</v>
      </c>
      <c r="B288" s="3" t="s">
        <v>794</v>
      </c>
      <c r="C288" s="8"/>
      <c r="D288" s="8"/>
      <c r="E288" s="21"/>
      <c r="F288" s="21"/>
      <c r="G288" s="8"/>
      <c r="H288" s="8"/>
      <c r="I288" s="8"/>
      <c r="J288" s="8"/>
      <c r="K288" s="8"/>
      <c r="L288" s="8"/>
      <c r="M288" s="8"/>
      <c r="N288" s="21"/>
      <c r="O288" s="8"/>
      <c r="P288" s="8"/>
      <c r="Q288" s="8"/>
      <c r="R288" s="8"/>
      <c r="S288" s="8"/>
      <c r="T288" s="21"/>
      <c r="U288" s="8"/>
      <c r="V288" s="8"/>
      <c r="W288" s="8"/>
      <c r="X288" s="8"/>
      <c r="Y288" s="8"/>
      <c r="Z288" s="8"/>
      <c r="AA288" s="8"/>
      <c r="AB288" s="8">
        <v>1</v>
      </c>
      <c r="AC288" s="8"/>
      <c r="AD288" s="8"/>
      <c r="AE288" s="8"/>
      <c r="AF288" s="8"/>
      <c r="AG288" s="8"/>
      <c r="AH288" s="8"/>
      <c r="AI288" s="8"/>
      <c r="AJ288" s="8">
        <v>1</v>
      </c>
      <c r="AK288" s="8"/>
      <c r="AL288" s="8"/>
      <c r="AM288" s="21"/>
      <c r="AN288" s="8"/>
      <c r="AO288" s="8"/>
      <c r="AP288" s="8"/>
      <c r="AQ288" s="8"/>
      <c r="AR288" s="8"/>
      <c r="AS288" s="8"/>
      <c r="AT288" s="8"/>
      <c r="AU288" s="8">
        <f t="shared" si="12"/>
        <v>2</v>
      </c>
      <c r="AV288" s="8"/>
      <c r="AW288" s="8"/>
      <c r="AX288" s="8"/>
      <c r="AY288" s="8"/>
      <c r="AZ288" s="8"/>
      <c r="BA288" s="8"/>
      <c r="BB288" s="8">
        <v>1</v>
      </c>
      <c r="BC288" s="8"/>
      <c r="BD288" s="8"/>
      <c r="BE288" s="8"/>
      <c r="BF288" s="8"/>
      <c r="BG288" s="8"/>
      <c r="BH288" s="8"/>
      <c r="BI288" s="8"/>
      <c r="BJ288" s="8"/>
      <c r="BK288" s="8"/>
      <c r="BL288" s="8"/>
      <c r="BM288" s="8"/>
      <c r="BN288" s="8">
        <f t="shared" si="11"/>
        <v>1</v>
      </c>
      <c r="BO288" s="24">
        <f t="shared" si="13"/>
        <v>1</v>
      </c>
      <c r="BP288" s="23"/>
      <c r="BQ288" s="23"/>
    </row>
    <row r="289" spans="1:69" ht="15.5">
      <c r="A289" s="3" t="s">
        <v>796</v>
      </c>
      <c r="B289" s="3" t="s">
        <v>798</v>
      </c>
      <c r="C289" s="8"/>
      <c r="D289" s="8"/>
      <c r="E289" s="21"/>
      <c r="F289" s="21"/>
      <c r="G289" s="8"/>
      <c r="H289" s="8"/>
      <c r="I289" s="8"/>
      <c r="J289" s="8"/>
      <c r="K289" s="8"/>
      <c r="L289" s="8"/>
      <c r="M289" s="8"/>
      <c r="N289" s="21"/>
      <c r="O289" s="8"/>
      <c r="P289" s="8"/>
      <c r="Q289" s="8"/>
      <c r="R289" s="8"/>
      <c r="S289" s="8"/>
      <c r="T289" s="21"/>
      <c r="U289" s="8"/>
      <c r="V289" s="8"/>
      <c r="W289" s="8"/>
      <c r="X289" s="8"/>
      <c r="Y289" s="8"/>
      <c r="Z289" s="8"/>
      <c r="AA289" s="8"/>
      <c r="AB289" s="8">
        <v>1</v>
      </c>
      <c r="AC289" s="8"/>
      <c r="AD289" s="8"/>
      <c r="AE289" s="8"/>
      <c r="AF289" s="8"/>
      <c r="AG289" s="8"/>
      <c r="AH289" s="8"/>
      <c r="AI289" s="8"/>
      <c r="AJ289" s="8"/>
      <c r="AK289" s="8"/>
      <c r="AL289" s="8"/>
      <c r="AM289" s="21"/>
      <c r="AN289" s="8"/>
      <c r="AO289" s="8"/>
      <c r="AP289" s="8"/>
      <c r="AQ289" s="8"/>
      <c r="AR289" s="8"/>
      <c r="AS289" s="8"/>
      <c r="AT289" s="8"/>
      <c r="AU289" s="8">
        <f t="shared" si="12"/>
        <v>1</v>
      </c>
      <c r="AV289" s="8"/>
      <c r="AW289" s="8"/>
      <c r="AX289" s="8"/>
      <c r="AY289" s="8"/>
      <c r="AZ289" s="8"/>
      <c r="BA289" s="8"/>
      <c r="BB289" s="8"/>
      <c r="BC289" s="8"/>
      <c r="BD289" s="8"/>
      <c r="BE289" s="8"/>
      <c r="BF289" s="8"/>
      <c r="BG289" s="8"/>
      <c r="BH289" s="8"/>
      <c r="BI289" s="8"/>
      <c r="BJ289" s="8"/>
      <c r="BK289" s="8"/>
      <c r="BL289" s="8"/>
      <c r="BM289" s="8"/>
      <c r="BN289" s="8">
        <f t="shared" si="11"/>
        <v>0</v>
      </c>
      <c r="BO289" s="24">
        <f t="shared" si="13"/>
        <v>1</v>
      </c>
      <c r="BP289" s="23"/>
      <c r="BQ289" s="23"/>
    </row>
    <row r="290" spans="1:69" ht="15.5">
      <c r="A290" s="3" t="s">
        <v>799</v>
      </c>
      <c r="B290" s="3" t="s">
        <v>800</v>
      </c>
      <c r="C290" s="8"/>
      <c r="D290" s="8"/>
      <c r="E290" s="21"/>
      <c r="F290" s="21"/>
      <c r="G290" s="8"/>
      <c r="H290" s="8"/>
      <c r="I290" s="8"/>
      <c r="J290" s="8"/>
      <c r="K290" s="8"/>
      <c r="L290" s="8"/>
      <c r="M290" s="8"/>
      <c r="N290" s="21"/>
      <c r="O290" s="8"/>
      <c r="P290" s="8"/>
      <c r="Q290" s="8"/>
      <c r="R290" s="8"/>
      <c r="S290" s="8"/>
      <c r="T290" s="21"/>
      <c r="U290" s="8"/>
      <c r="V290" s="8"/>
      <c r="W290" s="8"/>
      <c r="X290" s="8"/>
      <c r="Y290" s="8"/>
      <c r="Z290" s="8"/>
      <c r="AA290" s="8"/>
      <c r="AB290" s="8">
        <v>1</v>
      </c>
      <c r="AC290" s="8"/>
      <c r="AD290" s="8"/>
      <c r="AE290" s="8"/>
      <c r="AF290" s="8"/>
      <c r="AG290" s="8"/>
      <c r="AH290" s="8"/>
      <c r="AI290" s="8"/>
      <c r="AJ290" s="8"/>
      <c r="AK290" s="8"/>
      <c r="AL290" s="8"/>
      <c r="AM290" s="21"/>
      <c r="AN290" s="8"/>
      <c r="AO290" s="8"/>
      <c r="AP290" s="8"/>
      <c r="AQ290" s="8">
        <v>1</v>
      </c>
      <c r="AR290" s="8">
        <v>1</v>
      </c>
      <c r="AS290" s="8"/>
      <c r="AT290" s="8"/>
      <c r="AU290" s="8">
        <f t="shared" si="12"/>
        <v>3</v>
      </c>
      <c r="AV290" s="8"/>
      <c r="AW290" s="8"/>
      <c r="AX290" s="8"/>
      <c r="AY290" s="8"/>
      <c r="AZ290" s="8"/>
      <c r="BA290" s="8"/>
      <c r="BB290" s="8"/>
      <c r="BC290" s="8"/>
      <c r="BD290" s="8">
        <v>1</v>
      </c>
      <c r="BE290" s="8">
        <v>1</v>
      </c>
      <c r="BF290" s="8"/>
      <c r="BG290" s="8"/>
      <c r="BH290" s="8"/>
      <c r="BI290" s="8"/>
      <c r="BJ290" s="8"/>
      <c r="BK290" s="8"/>
      <c r="BL290" s="8"/>
      <c r="BM290" s="8"/>
      <c r="BN290" s="8">
        <f t="shared" si="11"/>
        <v>2</v>
      </c>
      <c r="BO290" s="24">
        <f t="shared" si="13"/>
        <v>1</v>
      </c>
      <c r="BP290" s="23"/>
      <c r="BQ290" s="23"/>
    </row>
    <row r="291" spans="1:69" ht="15.5">
      <c r="A291" s="3" t="s">
        <v>801</v>
      </c>
      <c r="B291" s="3" t="s">
        <v>802</v>
      </c>
      <c r="C291" s="8"/>
      <c r="D291" s="8"/>
      <c r="E291" s="21"/>
      <c r="F291" s="21"/>
      <c r="G291" s="8"/>
      <c r="H291" s="8"/>
      <c r="I291" s="8"/>
      <c r="J291" s="8"/>
      <c r="K291" s="8"/>
      <c r="L291" s="8"/>
      <c r="M291" s="8"/>
      <c r="N291" s="21"/>
      <c r="O291" s="8"/>
      <c r="P291" s="8"/>
      <c r="Q291" s="8"/>
      <c r="R291" s="8"/>
      <c r="S291" s="8"/>
      <c r="T291" s="21"/>
      <c r="U291" s="8"/>
      <c r="V291" s="8"/>
      <c r="W291" s="8"/>
      <c r="X291" s="8"/>
      <c r="Y291" s="8"/>
      <c r="Z291" s="8"/>
      <c r="AA291" s="8"/>
      <c r="AB291" s="8">
        <v>1</v>
      </c>
      <c r="AC291" s="8"/>
      <c r="AD291" s="8"/>
      <c r="AE291" s="8"/>
      <c r="AF291" s="8"/>
      <c r="AG291" s="8"/>
      <c r="AH291" s="8"/>
      <c r="AI291" s="8"/>
      <c r="AJ291" s="8"/>
      <c r="AK291" s="8"/>
      <c r="AL291" s="8"/>
      <c r="AM291" s="21"/>
      <c r="AN291" s="8"/>
      <c r="AO291" s="8"/>
      <c r="AP291" s="8"/>
      <c r="AQ291" s="8">
        <v>1</v>
      </c>
      <c r="AR291" s="8"/>
      <c r="AS291" s="8"/>
      <c r="AT291" s="8"/>
      <c r="AU291" s="8">
        <f t="shared" si="12"/>
        <v>2</v>
      </c>
      <c r="AV291" s="8"/>
      <c r="AW291" s="8"/>
      <c r="AX291" s="8"/>
      <c r="AY291" s="8"/>
      <c r="AZ291" s="8"/>
      <c r="BA291" s="8"/>
      <c r="BB291" s="8"/>
      <c r="BC291" s="8">
        <v>1</v>
      </c>
      <c r="BD291" s="8"/>
      <c r="BE291" s="8"/>
      <c r="BF291" s="8"/>
      <c r="BG291" s="8"/>
      <c r="BH291" s="8"/>
      <c r="BI291" s="8"/>
      <c r="BJ291" s="8"/>
      <c r="BK291" s="8"/>
      <c r="BL291" s="8"/>
      <c r="BM291" s="8"/>
      <c r="BN291" s="8">
        <f t="shared" si="11"/>
        <v>1</v>
      </c>
      <c r="BO291" s="24">
        <f t="shared" si="13"/>
        <v>1</v>
      </c>
      <c r="BP291" s="23"/>
      <c r="BQ291" s="23"/>
    </row>
    <row r="292" spans="1:69" ht="15.5">
      <c r="A292" s="3" t="s">
        <v>807</v>
      </c>
      <c r="B292" s="3" t="s">
        <v>808</v>
      </c>
      <c r="C292" s="8"/>
      <c r="D292" s="8"/>
      <c r="E292" s="21"/>
      <c r="F292" s="21"/>
      <c r="G292" s="8"/>
      <c r="H292" s="8"/>
      <c r="I292" s="8"/>
      <c r="J292" s="8"/>
      <c r="K292" s="8"/>
      <c r="L292" s="8"/>
      <c r="M292" s="8"/>
      <c r="N292" s="21"/>
      <c r="O292" s="8"/>
      <c r="P292" s="8"/>
      <c r="Q292" s="8"/>
      <c r="R292" s="8"/>
      <c r="S292" s="8"/>
      <c r="T292" s="21"/>
      <c r="U292" s="8"/>
      <c r="V292" s="8"/>
      <c r="W292" s="8"/>
      <c r="X292" s="8"/>
      <c r="Y292" s="8"/>
      <c r="Z292" s="8"/>
      <c r="AA292" s="8"/>
      <c r="AB292" s="8"/>
      <c r="AC292" s="8"/>
      <c r="AD292" s="8"/>
      <c r="AE292" s="8"/>
      <c r="AF292" s="8"/>
      <c r="AG292" s="8"/>
      <c r="AH292" s="8"/>
      <c r="AI292" s="8"/>
      <c r="AJ292" s="8"/>
      <c r="AK292" s="8"/>
      <c r="AL292" s="8"/>
      <c r="AM292" s="21"/>
      <c r="AN292" s="8"/>
      <c r="AO292" s="8"/>
      <c r="AP292" s="8"/>
      <c r="AQ292" s="8"/>
      <c r="AR292" s="8"/>
      <c r="AS292" s="8"/>
      <c r="AT292" s="8"/>
      <c r="AU292" s="8">
        <f t="shared" si="12"/>
        <v>0</v>
      </c>
      <c r="AV292" s="8"/>
      <c r="AW292" s="8"/>
      <c r="AX292" s="8"/>
      <c r="AY292" s="8"/>
      <c r="AZ292" s="8"/>
      <c r="BA292" s="8"/>
      <c r="BB292" s="8"/>
      <c r="BC292" s="8"/>
      <c r="BD292" s="8"/>
      <c r="BE292" s="8"/>
      <c r="BF292" s="8"/>
      <c r="BG292" s="8"/>
      <c r="BH292" s="8"/>
      <c r="BI292" s="8"/>
      <c r="BJ292" s="8"/>
      <c r="BK292" s="8"/>
      <c r="BL292" s="8"/>
      <c r="BM292" s="8"/>
      <c r="BN292" s="8">
        <f t="shared" si="11"/>
        <v>0</v>
      </c>
      <c r="BO292" s="24">
        <f t="shared" si="13"/>
        <v>0</v>
      </c>
      <c r="BP292" s="23"/>
      <c r="BQ292" s="23"/>
    </row>
    <row r="293" spans="1:69" ht="15.5">
      <c r="A293" s="3" t="s">
        <v>755</v>
      </c>
      <c r="B293" s="3" t="s">
        <v>756</v>
      </c>
      <c r="C293" s="8"/>
      <c r="D293" s="8"/>
      <c r="E293" s="21"/>
      <c r="F293" s="21"/>
      <c r="G293" s="8"/>
      <c r="H293" s="8"/>
      <c r="I293" s="8"/>
      <c r="J293" s="8"/>
      <c r="K293" s="8"/>
      <c r="L293" s="8"/>
      <c r="M293" s="8"/>
      <c r="N293" s="21"/>
      <c r="O293" s="8"/>
      <c r="P293" s="8"/>
      <c r="Q293" s="8"/>
      <c r="R293" s="8"/>
      <c r="S293" s="8"/>
      <c r="T293" s="21"/>
      <c r="U293" s="8"/>
      <c r="V293" s="8"/>
      <c r="W293" s="8"/>
      <c r="X293" s="8"/>
      <c r="Y293" s="8"/>
      <c r="Z293" s="8"/>
      <c r="AA293" s="8"/>
      <c r="AB293" s="8">
        <v>1</v>
      </c>
      <c r="AC293" s="8"/>
      <c r="AD293" s="8"/>
      <c r="AE293" s="8">
        <v>1</v>
      </c>
      <c r="AF293" s="8"/>
      <c r="AG293" s="8"/>
      <c r="AH293" s="8"/>
      <c r="AI293" s="8"/>
      <c r="AJ293" s="8"/>
      <c r="AK293" s="8"/>
      <c r="AL293" s="8"/>
      <c r="AM293" s="21"/>
      <c r="AN293" s="8"/>
      <c r="AO293" s="8"/>
      <c r="AP293" s="8"/>
      <c r="AQ293" s="8"/>
      <c r="AR293" s="8"/>
      <c r="AS293" s="8"/>
      <c r="AT293" s="8"/>
      <c r="AU293" s="8">
        <f t="shared" si="12"/>
        <v>2</v>
      </c>
      <c r="AV293" s="8"/>
      <c r="AW293" s="8"/>
      <c r="AX293" s="8"/>
      <c r="AY293" s="8"/>
      <c r="AZ293" s="8"/>
      <c r="BA293" s="8">
        <v>1</v>
      </c>
      <c r="BB293" s="8"/>
      <c r="BC293" s="8"/>
      <c r="BD293" s="8"/>
      <c r="BE293" s="8"/>
      <c r="BF293" s="8"/>
      <c r="BG293" s="8"/>
      <c r="BH293" s="8"/>
      <c r="BI293" s="8"/>
      <c r="BJ293" s="8"/>
      <c r="BK293" s="8"/>
      <c r="BL293" s="8"/>
      <c r="BM293" s="8"/>
      <c r="BN293" s="8">
        <f t="shared" si="11"/>
        <v>1</v>
      </c>
      <c r="BO293" s="24">
        <f t="shared" si="13"/>
        <v>1</v>
      </c>
      <c r="BP293" s="23"/>
      <c r="BQ293" s="23"/>
    </row>
    <row r="294" spans="1:69" ht="15.5">
      <c r="A294" s="3" t="s">
        <v>757</v>
      </c>
      <c r="B294" s="3" t="s">
        <v>758</v>
      </c>
      <c r="C294" s="8"/>
      <c r="D294" s="8"/>
      <c r="E294" s="21"/>
      <c r="F294" s="21"/>
      <c r="G294" s="8"/>
      <c r="H294" s="8"/>
      <c r="I294" s="8"/>
      <c r="J294" s="8"/>
      <c r="K294" s="8"/>
      <c r="L294" s="8"/>
      <c r="M294" s="8"/>
      <c r="N294" s="21"/>
      <c r="O294" s="8"/>
      <c r="P294" s="8"/>
      <c r="Q294" s="8"/>
      <c r="R294" s="8"/>
      <c r="S294" s="8"/>
      <c r="T294" s="21"/>
      <c r="U294" s="8"/>
      <c r="V294" s="8"/>
      <c r="W294" s="8"/>
      <c r="X294" s="8"/>
      <c r="Y294" s="8"/>
      <c r="Z294" s="8"/>
      <c r="AA294" s="8"/>
      <c r="AB294" s="8">
        <v>1</v>
      </c>
      <c r="AC294" s="8"/>
      <c r="AD294" s="8"/>
      <c r="AE294" s="8">
        <v>1</v>
      </c>
      <c r="AF294" s="8"/>
      <c r="AG294" s="8"/>
      <c r="AH294" s="8"/>
      <c r="AI294" s="8"/>
      <c r="AJ294" s="8"/>
      <c r="AK294" s="8"/>
      <c r="AL294" s="8"/>
      <c r="AM294" s="21"/>
      <c r="AN294" s="8"/>
      <c r="AO294" s="8"/>
      <c r="AP294" s="8"/>
      <c r="AQ294" s="8">
        <v>1</v>
      </c>
      <c r="AR294" s="8"/>
      <c r="AS294" s="8"/>
      <c r="AT294" s="8"/>
      <c r="AU294" s="8">
        <f t="shared" si="12"/>
        <v>3</v>
      </c>
      <c r="AV294" s="8"/>
      <c r="AW294" s="8"/>
      <c r="AX294" s="8"/>
      <c r="AY294" s="8"/>
      <c r="AZ294" s="8">
        <v>1</v>
      </c>
      <c r="BA294" s="8"/>
      <c r="BB294" s="8"/>
      <c r="BC294" s="8"/>
      <c r="BD294" s="8">
        <v>1</v>
      </c>
      <c r="BE294" s="8"/>
      <c r="BF294" s="8"/>
      <c r="BG294" s="8"/>
      <c r="BH294" s="8"/>
      <c r="BI294" s="8"/>
      <c r="BJ294" s="8"/>
      <c r="BK294" s="8"/>
      <c r="BL294" s="8"/>
      <c r="BM294" s="8"/>
      <c r="BN294" s="8">
        <f t="shared" si="11"/>
        <v>2</v>
      </c>
      <c r="BO294" s="24">
        <f t="shared" si="13"/>
        <v>1</v>
      </c>
      <c r="BP294" s="23"/>
      <c r="BQ294" s="23"/>
    </row>
    <row r="295" spans="1:69" ht="15.5">
      <c r="A295" s="3" t="s">
        <v>759</v>
      </c>
      <c r="B295" s="3" t="s">
        <v>760</v>
      </c>
      <c r="C295" s="8"/>
      <c r="D295" s="8"/>
      <c r="E295" s="21"/>
      <c r="F295" s="21"/>
      <c r="G295" s="8"/>
      <c r="H295" s="8"/>
      <c r="I295" s="8"/>
      <c r="J295" s="8"/>
      <c r="K295" s="8"/>
      <c r="L295" s="8"/>
      <c r="M295" s="8"/>
      <c r="N295" s="21"/>
      <c r="O295" s="8"/>
      <c r="P295" s="8"/>
      <c r="Q295" s="8"/>
      <c r="R295" s="8"/>
      <c r="S295" s="8"/>
      <c r="T295" s="21"/>
      <c r="U295" s="8"/>
      <c r="V295" s="8"/>
      <c r="W295" s="8"/>
      <c r="X295" s="8"/>
      <c r="Y295" s="8"/>
      <c r="Z295" s="8"/>
      <c r="AA295" s="8"/>
      <c r="AB295" s="8">
        <v>1</v>
      </c>
      <c r="AC295" s="8"/>
      <c r="AD295" s="8"/>
      <c r="AE295" s="8"/>
      <c r="AF295" s="8"/>
      <c r="AG295" s="8"/>
      <c r="AH295" s="8"/>
      <c r="AI295" s="8"/>
      <c r="AJ295" s="8"/>
      <c r="AK295" s="8">
        <v>1</v>
      </c>
      <c r="AL295" s="8"/>
      <c r="AM295" s="21"/>
      <c r="AN295" s="8"/>
      <c r="AO295" s="8"/>
      <c r="AP295" s="8"/>
      <c r="AQ295" s="8">
        <v>1</v>
      </c>
      <c r="AR295" s="8"/>
      <c r="AS295" s="8"/>
      <c r="AT295" s="8"/>
      <c r="AU295" s="8">
        <f t="shared" si="12"/>
        <v>3</v>
      </c>
      <c r="AV295" s="8"/>
      <c r="AW295" s="8"/>
      <c r="AX295" s="8"/>
      <c r="AY295" s="8"/>
      <c r="AZ295" s="8"/>
      <c r="BA295" s="8"/>
      <c r="BB295" s="8"/>
      <c r="BC295" s="8">
        <v>1</v>
      </c>
      <c r="BD295" s="8"/>
      <c r="BE295" s="8"/>
      <c r="BF295" s="8"/>
      <c r="BG295" s="8"/>
      <c r="BH295" s="8"/>
      <c r="BI295" s="8"/>
      <c r="BJ295" s="8"/>
      <c r="BK295" s="8"/>
      <c r="BL295" s="8"/>
      <c r="BM295" s="8"/>
      <c r="BN295" s="8">
        <f t="shared" si="11"/>
        <v>1</v>
      </c>
      <c r="BO295" s="24">
        <f t="shared" si="13"/>
        <v>2</v>
      </c>
      <c r="BP295" s="23"/>
      <c r="BQ295" s="23"/>
    </row>
    <row r="296" spans="1:69" ht="15.5">
      <c r="A296" s="3" t="s">
        <v>763</v>
      </c>
      <c r="B296" s="3" t="s">
        <v>764</v>
      </c>
      <c r="C296" s="8"/>
      <c r="D296" s="8"/>
      <c r="E296" s="21"/>
      <c r="F296" s="21"/>
      <c r="G296" s="8"/>
      <c r="H296" s="8"/>
      <c r="I296" s="8"/>
      <c r="J296" s="8"/>
      <c r="K296" s="8"/>
      <c r="L296" s="8"/>
      <c r="M296" s="8"/>
      <c r="N296" s="21"/>
      <c r="O296" s="8"/>
      <c r="P296" s="8"/>
      <c r="Q296" s="8"/>
      <c r="R296" s="8"/>
      <c r="S296" s="8"/>
      <c r="T296" s="21"/>
      <c r="U296" s="8"/>
      <c r="V296" s="8"/>
      <c r="W296" s="8"/>
      <c r="X296" s="8"/>
      <c r="Y296" s="8"/>
      <c r="Z296" s="8"/>
      <c r="AA296" s="8"/>
      <c r="AB296" s="8">
        <v>1</v>
      </c>
      <c r="AC296" s="8"/>
      <c r="AD296" s="8"/>
      <c r="AE296" s="8"/>
      <c r="AF296" s="8"/>
      <c r="AG296" s="8"/>
      <c r="AH296" s="8"/>
      <c r="AI296" s="8"/>
      <c r="AJ296" s="8"/>
      <c r="AK296" s="8"/>
      <c r="AL296" s="8"/>
      <c r="AM296" s="21"/>
      <c r="AN296" s="8"/>
      <c r="AO296" s="8"/>
      <c r="AP296" s="8"/>
      <c r="AQ296" s="8"/>
      <c r="AR296" s="8"/>
      <c r="AS296" s="8"/>
      <c r="AT296" s="8"/>
      <c r="AU296" s="8">
        <f t="shared" si="12"/>
        <v>1</v>
      </c>
      <c r="AV296" s="8"/>
      <c r="AW296" s="8"/>
      <c r="AX296" s="8"/>
      <c r="AY296" s="8"/>
      <c r="AZ296" s="8"/>
      <c r="BA296" s="8"/>
      <c r="BB296" s="8"/>
      <c r="BC296" s="8"/>
      <c r="BD296" s="8"/>
      <c r="BE296" s="8"/>
      <c r="BF296" s="8"/>
      <c r="BG296" s="8"/>
      <c r="BH296" s="8"/>
      <c r="BI296" s="8"/>
      <c r="BJ296" s="8"/>
      <c r="BK296" s="8"/>
      <c r="BL296" s="8"/>
      <c r="BM296" s="8"/>
      <c r="BN296" s="8">
        <f t="shared" si="11"/>
        <v>0</v>
      </c>
      <c r="BO296" s="24">
        <f t="shared" si="13"/>
        <v>1</v>
      </c>
      <c r="BP296" s="23"/>
      <c r="BQ296" s="23"/>
    </row>
    <row r="297" spans="1:69" ht="15.5">
      <c r="A297" s="3" t="s">
        <v>805</v>
      </c>
      <c r="B297" s="3" t="s">
        <v>806</v>
      </c>
      <c r="C297" s="8"/>
      <c r="D297" s="8"/>
      <c r="E297" s="21"/>
      <c r="F297" s="21"/>
      <c r="G297" s="8"/>
      <c r="H297" s="8"/>
      <c r="I297" s="8"/>
      <c r="J297" s="8"/>
      <c r="K297" s="8"/>
      <c r="L297" s="8"/>
      <c r="M297" s="8"/>
      <c r="N297" s="21"/>
      <c r="O297" s="8"/>
      <c r="P297" s="8"/>
      <c r="Q297" s="8"/>
      <c r="R297" s="8"/>
      <c r="S297" s="8"/>
      <c r="T297" s="21"/>
      <c r="U297" s="8"/>
      <c r="V297" s="8"/>
      <c r="W297" s="8"/>
      <c r="X297" s="8"/>
      <c r="Y297" s="8"/>
      <c r="Z297" s="8"/>
      <c r="AA297" s="8"/>
      <c r="AB297" s="8"/>
      <c r="AC297" s="8"/>
      <c r="AD297" s="8"/>
      <c r="AE297" s="8"/>
      <c r="AF297" s="8"/>
      <c r="AG297" s="8"/>
      <c r="AH297" s="8"/>
      <c r="AI297" s="8"/>
      <c r="AJ297" s="8"/>
      <c r="AK297" s="8"/>
      <c r="AL297" s="8"/>
      <c r="AM297" s="21"/>
      <c r="AN297" s="8"/>
      <c r="AO297" s="8"/>
      <c r="AP297" s="8"/>
      <c r="AQ297" s="8"/>
      <c r="AR297" s="8"/>
      <c r="AS297" s="8"/>
      <c r="AT297" s="8"/>
      <c r="AU297" s="8">
        <f t="shared" si="12"/>
        <v>0</v>
      </c>
      <c r="AV297" s="8"/>
      <c r="AW297" s="8"/>
      <c r="AX297" s="8"/>
      <c r="AY297" s="8"/>
      <c r="AZ297" s="8"/>
      <c r="BA297" s="8"/>
      <c r="BB297" s="8"/>
      <c r="BC297" s="8"/>
      <c r="BD297" s="8"/>
      <c r="BE297" s="8"/>
      <c r="BF297" s="8"/>
      <c r="BG297" s="8"/>
      <c r="BH297" s="8"/>
      <c r="BI297" s="8"/>
      <c r="BJ297" s="8"/>
      <c r="BK297" s="8"/>
      <c r="BL297" s="8"/>
      <c r="BM297" s="8"/>
      <c r="BN297" s="8">
        <f t="shared" si="11"/>
        <v>0</v>
      </c>
      <c r="BO297" s="24">
        <f t="shared" si="13"/>
        <v>0</v>
      </c>
      <c r="BP297" s="23"/>
      <c r="BQ297" s="23"/>
    </row>
    <row r="298" spans="1:69" ht="15.5">
      <c r="A298" s="3" t="s">
        <v>809</v>
      </c>
      <c r="B298" s="3" t="s">
        <v>810</v>
      </c>
      <c r="C298" s="8"/>
      <c r="D298" s="8"/>
      <c r="E298" s="21"/>
      <c r="F298" s="21"/>
      <c r="G298" s="8"/>
      <c r="H298" s="8"/>
      <c r="I298" s="8"/>
      <c r="J298" s="8"/>
      <c r="K298" s="8"/>
      <c r="L298" s="8"/>
      <c r="M298" s="8"/>
      <c r="N298" s="21"/>
      <c r="O298" s="8"/>
      <c r="P298" s="8"/>
      <c r="Q298" s="8"/>
      <c r="R298" s="8"/>
      <c r="S298" s="8"/>
      <c r="T298" s="21"/>
      <c r="U298" s="8"/>
      <c r="V298" s="8"/>
      <c r="W298" s="8"/>
      <c r="X298" s="8"/>
      <c r="Y298" s="8"/>
      <c r="Z298" s="8"/>
      <c r="AA298" s="8"/>
      <c r="AB298" s="8">
        <v>1</v>
      </c>
      <c r="AC298" s="8"/>
      <c r="AD298" s="8"/>
      <c r="AE298" s="8"/>
      <c r="AF298" s="8"/>
      <c r="AG298" s="8"/>
      <c r="AH298" s="8"/>
      <c r="AI298" s="8"/>
      <c r="AJ298" s="8"/>
      <c r="AK298" s="8"/>
      <c r="AL298" s="8"/>
      <c r="AM298" s="21"/>
      <c r="AN298" s="8"/>
      <c r="AO298" s="8"/>
      <c r="AP298" s="8"/>
      <c r="AQ298" s="8"/>
      <c r="AR298" s="8"/>
      <c r="AS298" s="8"/>
      <c r="AT298" s="8"/>
      <c r="AU298" s="8">
        <f t="shared" si="12"/>
        <v>1</v>
      </c>
      <c r="AV298" s="8"/>
      <c r="AW298" s="8"/>
      <c r="AX298" s="8"/>
      <c r="AY298" s="8"/>
      <c r="AZ298" s="8"/>
      <c r="BA298" s="8"/>
      <c r="BB298" s="8"/>
      <c r="BC298" s="8"/>
      <c r="BD298" s="8"/>
      <c r="BE298" s="8"/>
      <c r="BF298" s="8"/>
      <c r="BG298" s="8"/>
      <c r="BH298" s="8"/>
      <c r="BI298" s="8"/>
      <c r="BJ298" s="8"/>
      <c r="BK298" s="8"/>
      <c r="BL298" s="8"/>
      <c r="BM298" s="8"/>
      <c r="BN298" s="8">
        <f t="shared" si="11"/>
        <v>0</v>
      </c>
      <c r="BO298" s="24">
        <f t="shared" si="13"/>
        <v>1</v>
      </c>
      <c r="BP298" s="23"/>
      <c r="BQ298" s="23"/>
    </row>
    <row r="299" spans="1:69" ht="15.5">
      <c r="A299" s="3" t="s">
        <v>811</v>
      </c>
      <c r="B299" s="3" t="s">
        <v>812</v>
      </c>
      <c r="C299" s="8"/>
      <c r="D299" s="8"/>
      <c r="E299" s="21"/>
      <c r="F299" s="21"/>
      <c r="G299" s="8"/>
      <c r="H299" s="8"/>
      <c r="I299" s="8"/>
      <c r="J299" s="8"/>
      <c r="K299" s="8"/>
      <c r="L299" s="8"/>
      <c r="M299" s="8"/>
      <c r="N299" s="21"/>
      <c r="O299" s="8"/>
      <c r="P299" s="8"/>
      <c r="Q299" s="8"/>
      <c r="R299" s="8"/>
      <c r="S299" s="8"/>
      <c r="T299" s="21"/>
      <c r="U299" s="8"/>
      <c r="V299" s="8"/>
      <c r="W299" s="8"/>
      <c r="X299" s="8"/>
      <c r="Y299" s="8"/>
      <c r="Z299" s="8"/>
      <c r="AA299" s="8"/>
      <c r="AB299" s="8">
        <v>1</v>
      </c>
      <c r="AC299" s="8"/>
      <c r="AD299" s="8"/>
      <c r="AE299" s="8"/>
      <c r="AF299" s="8"/>
      <c r="AG299" s="8"/>
      <c r="AH299" s="8"/>
      <c r="AI299" s="8"/>
      <c r="AJ299" s="8"/>
      <c r="AK299" s="8"/>
      <c r="AL299" s="8"/>
      <c r="AM299" s="21"/>
      <c r="AN299" s="8"/>
      <c r="AO299" s="8"/>
      <c r="AP299" s="8"/>
      <c r="AQ299" s="8"/>
      <c r="AR299" s="8"/>
      <c r="AS299" s="8"/>
      <c r="AT299" s="8"/>
      <c r="AU299" s="8">
        <f t="shared" si="12"/>
        <v>1</v>
      </c>
      <c r="AV299" s="8"/>
      <c r="AW299" s="8"/>
      <c r="AX299" s="8"/>
      <c r="AY299" s="8"/>
      <c r="AZ299" s="8"/>
      <c r="BA299" s="8"/>
      <c r="BB299" s="8"/>
      <c r="BC299" s="8"/>
      <c r="BD299" s="8"/>
      <c r="BE299" s="8"/>
      <c r="BF299" s="8"/>
      <c r="BG299" s="8"/>
      <c r="BH299" s="8"/>
      <c r="BI299" s="8"/>
      <c r="BJ299" s="8"/>
      <c r="BK299" s="8"/>
      <c r="BL299" s="8"/>
      <c r="BM299" s="8"/>
      <c r="BN299" s="8">
        <f t="shared" si="11"/>
        <v>0</v>
      </c>
      <c r="BO299" s="24">
        <f t="shared" si="13"/>
        <v>1</v>
      </c>
      <c r="BP299" s="23"/>
      <c r="BQ299" s="23"/>
    </row>
    <row r="300" spans="1:69" ht="15.5">
      <c r="A300" s="3" t="s">
        <v>813</v>
      </c>
      <c r="B300" s="3" t="s">
        <v>814</v>
      </c>
      <c r="C300" s="8"/>
      <c r="D300" s="8"/>
      <c r="E300" s="21"/>
      <c r="F300" s="21"/>
      <c r="G300" s="8"/>
      <c r="H300" s="8"/>
      <c r="I300" s="8"/>
      <c r="J300" s="8"/>
      <c r="K300" s="8"/>
      <c r="L300" s="8"/>
      <c r="M300" s="8"/>
      <c r="N300" s="21"/>
      <c r="O300" s="8"/>
      <c r="P300" s="8"/>
      <c r="Q300" s="8"/>
      <c r="R300" s="8"/>
      <c r="S300" s="8"/>
      <c r="T300" s="21"/>
      <c r="U300" s="8"/>
      <c r="V300" s="8"/>
      <c r="W300" s="8"/>
      <c r="X300" s="8"/>
      <c r="Y300" s="8"/>
      <c r="Z300" s="8"/>
      <c r="AA300" s="8"/>
      <c r="AB300" s="8">
        <v>1</v>
      </c>
      <c r="AC300" s="8"/>
      <c r="AD300" s="8"/>
      <c r="AE300" s="8"/>
      <c r="AF300" s="8"/>
      <c r="AG300" s="8"/>
      <c r="AH300" s="8"/>
      <c r="AI300" s="8"/>
      <c r="AJ300" s="8"/>
      <c r="AK300" s="8"/>
      <c r="AL300" s="8"/>
      <c r="AM300" s="21"/>
      <c r="AN300" s="8"/>
      <c r="AO300" s="8"/>
      <c r="AP300" s="8"/>
      <c r="AQ300" s="8"/>
      <c r="AR300" s="8"/>
      <c r="AS300" s="8"/>
      <c r="AT300" s="8"/>
      <c r="AU300" s="8">
        <f t="shared" si="12"/>
        <v>1</v>
      </c>
      <c r="AV300" s="8"/>
      <c r="AW300" s="8"/>
      <c r="AX300" s="8"/>
      <c r="AY300" s="8"/>
      <c r="AZ300" s="8"/>
      <c r="BA300" s="8"/>
      <c r="BB300" s="8"/>
      <c r="BC300" s="8"/>
      <c r="BD300" s="8"/>
      <c r="BE300" s="8"/>
      <c r="BF300" s="8"/>
      <c r="BG300" s="8"/>
      <c r="BH300" s="8"/>
      <c r="BI300" s="8"/>
      <c r="BJ300" s="8"/>
      <c r="BK300" s="8"/>
      <c r="BL300" s="8"/>
      <c r="BM300" s="8"/>
      <c r="BN300" s="8">
        <f t="shared" si="11"/>
        <v>0</v>
      </c>
      <c r="BO300" s="24">
        <f t="shared" si="13"/>
        <v>1</v>
      </c>
      <c r="BP300" s="23"/>
      <c r="BQ300" s="23"/>
    </row>
    <row r="301" spans="1:69" ht="15.5">
      <c r="A301" s="3" t="s">
        <v>815</v>
      </c>
      <c r="B301" s="3" t="s">
        <v>816</v>
      </c>
      <c r="C301" s="8"/>
      <c r="D301" s="8"/>
      <c r="E301" s="21"/>
      <c r="F301" s="21"/>
      <c r="G301" s="8"/>
      <c r="H301" s="8"/>
      <c r="I301" s="8"/>
      <c r="J301" s="8"/>
      <c r="K301" s="8"/>
      <c r="L301" s="8"/>
      <c r="M301" s="8"/>
      <c r="N301" s="21"/>
      <c r="O301" s="8"/>
      <c r="P301" s="8"/>
      <c r="Q301" s="8"/>
      <c r="R301" s="8"/>
      <c r="S301" s="8"/>
      <c r="T301" s="21"/>
      <c r="U301" s="8"/>
      <c r="V301" s="8"/>
      <c r="W301" s="8"/>
      <c r="X301" s="8"/>
      <c r="Y301" s="8"/>
      <c r="Z301" s="8"/>
      <c r="AA301" s="8"/>
      <c r="AB301" s="8">
        <v>1</v>
      </c>
      <c r="AC301" s="8"/>
      <c r="AD301" s="8"/>
      <c r="AE301" s="8"/>
      <c r="AF301" s="8"/>
      <c r="AG301" s="8"/>
      <c r="AH301" s="8">
        <v>1</v>
      </c>
      <c r="AI301" s="8"/>
      <c r="AJ301" s="8"/>
      <c r="AK301" s="8"/>
      <c r="AL301" s="8"/>
      <c r="AM301" s="21"/>
      <c r="AN301" s="8"/>
      <c r="AO301" s="8"/>
      <c r="AP301" s="8"/>
      <c r="AQ301" s="8"/>
      <c r="AR301" s="8"/>
      <c r="AS301" s="8"/>
      <c r="AT301" s="8"/>
      <c r="AU301" s="8">
        <f t="shared" si="12"/>
        <v>2</v>
      </c>
      <c r="AV301" s="8"/>
      <c r="AW301" s="8"/>
      <c r="AX301" s="8"/>
      <c r="AY301" s="8"/>
      <c r="AZ301" s="8"/>
      <c r="BA301" s="8">
        <v>1</v>
      </c>
      <c r="BB301" s="8"/>
      <c r="BC301" s="8"/>
      <c r="BD301" s="8"/>
      <c r="BE301" s="8"/>
      <c r="BF301" s="8"/>
      <c r="BG301" s="8"/>
      <c r="BH301" s="8"/>
      <c r="BI301" s="8"/>
      <c r="BJ301" s="8"/>
      <c r="BK301" s="8"/>
      <c r="BL301" s="8"/>
      <c r="BM301" s="8"/>
      <c r="BN301" s="8">
        <f t="shared" si="11"/>
        <v>1</v>
      </c>
      <c r="BO301" s="24">
        <f t="shared" si="13"/>
        <v>1</v>
      </c>
      <c r="BP301" s="23"/>
      <c r="BQ301" s="23"/>
    </row>
    <row r="302" spans="1:69" ht="15.5">
      <c r="A302" s="3" t="s">
        <v>817</v>
      </c>
      <c r="B302" s="3" t="s">
        <v>818</v>
      </c>
      <c r="C302" s="8"/>
      <c r="D302" s="8"/>
      <c r="E302" s="21"/>
      <c r="F302" s="21"/>
      <c r="G302" s="8"/>
      <c r="H302" s="8"/>
      <c r="I302" s="8"/>
      <c r="J302" s="8"/>
      <c r="K302" s="8"/>
      <c r="L302" s="8"/>
      <c r="M302" s="8"/>
      <c r="N302" s="21"/>
      <c r="O302" s="8"/>
      <c r="P302" s="8"/>
      <c r="Q302" s="8"/>
      <c r="R302" s="8"/>
      <c r="S302" s="8"/>
      <c r="T302" s="21"/>
      <c r="U302" s="8"/>
      <c r="V302" s="8"/>
      <c r="W302" s="8"/>
      <c r="X302" s="8"/>
      <c r="Y302" s="8"/>
      <c r="Z302" s="8"/>
      <c r="AA302" s="8"/>
      <c r="AB302" s="8"/>
      <c r="AC302" s="8"/>
      <c r="AD302" s="8"/>
      <c r="AE302" s="8"/>
      <c r="AF302" s="8"/>
      <c r="AG302" s="8"/>
      <c r="AH302" s="8"/>
      <c r="AI302" s="8"/>
      <c r="AJ302" s="8"/>
      <c r="AK302" s="8"/>
      <c r="AL302" s="8"/>
      <c r="AM302" s="21"/>
      <c r="AN302" s="8"/>
      <c r="AO302" s="8"/>
      <c r="AP302" s="8"/>
      <c r="AQ302" s="8"/>
      <c r="AR302" s="8"/>
      <c r="AS302" s="8"/>
      <c r="AT302" s="8"/>
      <c r="AU302" s="8">
        <f t="shared" si="12"/>
        <v>0</v>
      </c>
      <c r="AV302" s="8"/>
      <c r="AW302" s="8"/>
      <c r="AX302" s="8"/>
      <c r="AY302" s="8"/>
      <c r="AZ302" s="8"/>
      <c r="BA302" s="8"/>
      <c r="BB302" s="8"/>
      <c r="BC302" s="8"/>
      <c r="BD302" s="8"/>
      <c r="BE302" s="8"/>
      <c r="BF302" s="8"/>
      <c r="BG302" s="8"/>
      <c r="BH302" s="8"/>
      <c r="BI302" s="8"/>
      <c r="BJ302" s="8"/>
      <c r="BK302" s="8"/>
      <c r="BL302" s="8"/>
      <c r="BM302" s="8"/>
      <c r="BN302" s="8">
        <f t="shared" si="11"/>
        <v>0</v>
      </c>
      <c r="BO302" s="24">
        <f t="shared" si="13"/>
        <v>0</v>
      </c>
      <c r="BP302" s="23"/>
      <c r="BQ302" s="23"/>
    </row>
    <row r="303" spans="1:69" ht="15.5">
      <c r="A303" s="3" t="s">
        <v>819</v>
      </c>
      <c r="B303" s="3" t="s">
        <v>820</v>
      </c>
      <c r="C303" s="8"/>
      <c r="D303" s="8"/>
      <c r="E303" s="21"/>
      <c r="F303" s="21"/>
      <c r="G303" s="8"/>
      <c r="H303" s="8"/>
      <c r="I303" s="8"/>
      <c r="J303" s="8"/>
      <c r="K303" s="8"/>
      <c r="L303" s="8"/>
      <c r="M303" s="8"/>
      <c r="N303" s="21"/>
      <c r="O303" s="8"/>
      <c r="P303" s="8"/>
      <c r="Q303" s="8"/>
      <c r="R303" s="8"/>
      <c r="S303" s="8"/>
      <c r="T303" s="21"/>
      <c r="U303" s="8"/>
      <c r="V303" s="8"/>
      <c r="W303" s="8"/>
      <c r="X303" s="8"/>
      <c r="Y303" s="8"/>
      <c r="Z303" s="8"/>
      <c r="AA303" s="8"/>
      <c r="AB303" s="8"/>
      <c r="AC303" s="8"/>
      <c r="AD303" s="8"/>
      <c r="AE303" s="8"/>
      <c r="AF303" s="8"/>
      <c r="AG303" s="8"/>
      <c r="AH303" s="8"/>
      <c r="AI303" s="8"/>
      <c r="AJ303" s="8"/>
      <c r="AK303" s="8"/>
      <c r="AL303" s="8"/>
      <c r="AM303" s="21"/>
      <c r="AN303" s="8"/>
      <c r="AO303" s="8"/>
      <c r="AP303" s="8"/>
      <c r="AQ303" s="8"/>
      <c r="AR303" s="8"/>
      <c r="AS303" s="8"/>
      <c r="AT303" s="8"/>
      <c r="AU303" s="8">
        <f t="shared" si="12"/>
        <v>0</v>
      </c>
      <c r="AV303" s="8"/>
      <c r="AW303" s="8"/>
      <c r="AX303" s="8"/>
      <c r="AY303" s="8"/>
      <c r="AZ303" s="8"/>
      <c r="BA303" s="8"/>
      <c r="BB303" s="8"/>
      <c r="BC303" s="8"/>
      <c r="BD303" s="8"/>
      <c r="BE303" s="8"/>
      <c r="BF303" s="8"/>
      <c r="BG303" s="8"/>
      <c r="BH303" s="8"/>
      <c r="BI303" s="8"/>
      <c r="BJ303" s="8"/>
      <c r="BK303" s="8"/>
      <c r="BL303" s="8"/>
      <c r="BM303" s="8"/>
      <c r="BN303" s="8">
        <f t="shared" si="11"/>
        <v>0</v>
      </c>
      <c r="BO303" s="24">
        <f t="shared" si="13"/>
        <v>0</v>
      </c>
      <c r="BP303" s="23"/>
      <c r="BQ303" s="23"/>
    </row>
    <row r="304" spans="1:69" ht="15.5">
      <c r="A304" s="27" t="s">
        <v>847</v>
      </c>
      <c r="B304" s="27" t="s">
        <v>848</v>
      </c>
      <c r="C304" s="28">
        <v>1</v>
      </c>
      <c r="D304" s="28"/>
      <c r="E304" s="29">
        <v>-1</v>
      </c>
      <c r="F304" s="29"/>
      <c r="G304" s="28"/>
      <c r="H304" s="28"/>
      <c r="I304" s="28"/>
      <c r="J304" s="28"/>
      <c r="K304" s="28"/>
      <c r="L304" s="28"/>
      <c r="M304" s="28"/>
      <c r="N304" s="29"/>
      <c r="O304" s="28"/>
      <c r="P304" s="28"/>
      <c r="Q304" s="28"/>
      <c r="R304" s="28"/>
      <c r="S304" s="28"/>
      <c r="T304" s="29"/>
      <c r="U304" s="28"/>
      <c r="V304" s="28"/>
      <c r="W304" s="28"/>
      <c r="X304" s="28"/>
      <c r="Y304" s="28"/>
      <c r="Z304" s="28"/>
      <c r="AA304" s="28"/>
      <c r="AB304" s="28"/>
      <c r="AC304" s="28"/>
      <c r="AD304" s="28"/>
      <c r="AE304" s="28"/>
      <c r="AF304" s="28"/>
      <c r="AG304" s="28"/>
      <c r="AH304" s="28"/>
      <c r="AI304" s="28"/>
      <c r="AJ304" s="28"/>
      <c r="AK304" s="28"/>
      <c r="AL304" s="28"/>
      <c r="AM304" s="29"/>
      <c r="AN304" s="28"/>
      <c r="AO304" s="28"/>
      <c r="AP304" s="28"/>
      <c r="AQ304" s="28"/>
      <c r="AR304" s="28"/>
      <c r="AS304" s="28"/>
      <c r="AT304" s="28"/>
      <c r="AU304" s="8">
        <f t="shared" si="12"/>
        <v>0</v>
      </c>
      <c r="AV304" s="28"/>
      <c r="AW304" s="28"/>
      <c r="AX304" s="28"/>
      <c r="AY304" s="28"/>
      <c r="AZ304" s="28"/>
      <c r="BA304" s="28"/>
      <c r="BB304" s="28"/>
      <c r="BC304" s="28"/>
      <c r="BD304" s="28"/>
      <c r="BE304" s="28"/>
      <c r="BF304" s="28"/>
      <c r="BG304" s="28"/>
      <c r="BH304" s="28"/>
      <c r="BI304" s="28"/>
      <c r="BJ304" s="28"/>
      <c r="BK304" s="28"/>
      <c r="BL304" s="28"/>
      <c r="BM304" s="28"/>
      <c r="BN304" s="28">
        <f t="shared" si="11"/>
        <v>0</v>
      </c>
      <c r="BO304" s="24">
        <f t="shared" si="13"/>
        <v>0</v>
      </c>
      <c r="BP304" s="23"/>
      <c r="BQ304" s="23"/>
    </row>
    <row r="305" spans="1:69" ht="15.5">
      <c r="A305" s="27" t="s">
        <v>849</v>
      </c>
      <c r="B305" s="27" t="s">
        <v>850</v>
      </c>
      <c r="C305" s="28">
        <v>1</v>
      </c>
      <c r="D305" s="28"/>
      <c r="E305" s="29">
        <v>-1</v>
      </c>
      <c r="F305" s="29"/>
      <c r="G305" s="28"/>
      <c r="H305" s="28"/>
      <c r="I305" s="28"/>
      <c r="J305" s="28"/>
      <c r="K305" s="28"/>
      <c r="L305" s="28"/>
      <c r="M305" s="28"/>
      <c r="N305" s="29"/>
      <c r="O305" s="28"/>
      <c r="P305" s="28"/>
      <c r="Q305" s="28"/>
      <c r="R305" s="28"/>
      <c r="S305" s="28"/>
      <c r="T305" s="29"/>
      <c r="U305" s="28"/>
      <c r="V305" s="28"/>
      <c r="W305" s="28"/>
      <c r="X305" s="28"/>
      <c r="Y305" s="28"/>
      <c r="Z305" s="28"/>
      <c r="AA305" s="28"/>
      <c r="AB305" s="28"/>
      <c r="AC305" s="28"/>
      <c r="AD305" s="28"/>
      <c r="AE305" s="28"/>
      <c r="AF305" s="28"/>
      <c r="AG305" s="28"/>
      <c r="AH305" s="28"/>
      <c r="AI305" s="28"/>
      <c r="AJ305" s="28"/>
      <c r="AK305" s="28"/>
      <c r="AL305" s="28"/>
      <c r="AM305" s="29"/>
      <c r="AN305" s="28"/>
      <c r="AO305" s="28"/>
      <c r="AP305" s="28"/>
      <c r="AQ305" s="28"/>
      <c r="AR305" s="28"/>
      <c r="AS305" s="28"/>
      <c r="AT305" s="28"/>
      <c r="AU305" s="8">
        <f t="shared" si="12"/>
        <v>0</v>
      </c>
      <c r="AV305" s="28"/>
      <c r="AW305" s="28"/>
      <c r="AX305" s="28"/>
      <c r="AY305" s="28"/>
      <c r="AZ305" s="28"/>
      <c r="BA305" s="28"/>
      <c r="BB305" s="28"/>
      <c r="BC305" s="28"/>
      <c r="BD305" s="28"/>
      <c r="BE305" s="28"/>
      <c r="BF305" s="28"/>
      <c r="BG305" s="28"/>
      <c r="BH305" s="28"/>
      <c r="BI305" s="28"/>
      <c r="BJ305" s="28"/>
      <c r="BK305" s="28"/>
      <c r="BL305" s="28"/>
      <c r="BM305" s="28"/>
      <c r="BN305" s="28">
        <f t="shared" si="11"/>
        <v>0</v>
      </c>
      <c r="BO305" s="24">
        <f t="shared" si="13"/>
        <v>0</v>
      </c>
      <c r="BP305" s="23"/>
      <c r="BQ305" s="23"/>
    </row>
    <row r="306" spans="1:69" ht="15.5">
      <c r="A306" s="27" t="s">
        <v>854</v>
      </c>
      <c r="B306" s="27" t="s">
        <v>856</v>
      </c>
      <c r="C306" s="28">
        <v>1</v>
      </c>
      <c r="D306" s="28"/>
      <c r="E306" s="29">
        <v>-1</v>
      </c>
      <c r="F306" s="29"/>
      <c r="G306" s="28"/>
      <c r="H306" s="28"/>
      <c r="I306" s="28"/>
      <c r="J306" s="28"/>
      <c r="K306" s="28"/>
      <c r="L306" s="28"/>
      <c r="M306" s="28"/>
      <c r="N306" s="29"/>
      <c r="O306" s="28"/>
      <c r="P306" s="28"/>
      <c r="Q306" s="28"/>
      <c r="R306" s="28"/>
      <c r="S306" s="28"/>
      <c r="T306" s="29"/>
      <c r="U306" s="28"/>
      <c r="V306" s="28"/>
      <c r="W306" s="28"/>
      <c r="X306" s="28"/>
      <c r="Y306" s="28"/>
      <c r="Z306" s="28"/>
      <c r="AA306" s="28">
        <v>1</v>
      </c>
      <c r="AB306" s="28"/>
      <c r="AC306" s="28"/>
      <c r="AD306" s="28"/>
      <c r="AE306" s="28"/>
      <c r="AF306" s="28"/>
      <c r="AG306" s="28"/>
      <c r="AH306" s="28"/>
      <c r="AI306" s="28"/>
      <c r="AJ306" s="28"/>
      <c r="AK306" s="28"/>
      <c r="AL306" s="28"/>
      <c r="AM306" s="29"/>
      <c r="AN306" s="28"/>
      <c r="AO306" s="28"/>
      <c r="AP306" s="28"/>
      <c r="AQ306" s="28"/>
      <c r="AR306" s="28"/>
      <c r="AS306" s="28"/>
      <c r="AT306" s="28"/>
      <c r="AU306" s="8">
        <f t="shared" si="12"/>
        <v>1</v>
      </c>
      <c r="AV306" s="28"/>
      <c r="AW306" s="28"/>
      <c r="AX306" s="28"/>
      <c r="AY306" s="28"/>
      <c r="AZ306" s="28">
        <v>1</v>
      </c>
      <c r="BA306" s="28"/>
      <c r="BB306" s="28"/>
      <c r="BC306" s="28"/>
      <c r="BD306" s="28"/>
      <c r="BE306" s="28"/>
      <c r="BF306" s="28"/>
      <c r="BG306" s="28"/>
      <c r="BH306" s="28"/>
      <c r="BI306" s="28"/>
      <c r="BJ306" s="28"/>
      <c r="BK306" s="28"/>
      <c r="BL306" s="28"/>
      <c r="BM306" s="28"/>
      <c r="BN306" s="28">
        <f t="shared" si="11"/>
        <v>1</v>
      </c>
      <c r="BO306" s="24">
        <f t="shared" si="13"/>
        <v>0</v>
      </c>
      <c r="BP306" s="23"/>
      <c r="BQ306" s="23"/>
    </row>
    <row r="307" spans="1:69" ht="15.5">
      <c r="A307" s="27" t="s">
        <v>857</v>
      </c>
      <c r="B307" s="27" t="s">
        <v>858</v>
      </c>
      <c r="C307" s="28">
        <v>1</v>
      </c>
      <c r="D307" s="28"/>
      <c r="E307" s="29"/>
      <c r="F307" s="29"/>
      <c r="G307" s="28"/>
      <c r="H307" s="28"/>
      <c r="I307" s="28"/>
      <c r="J307" s="28"/>
      <c r="K307" s="28"/>
      <c r="L307" s="28"/>
      <c r="M307" s="28"/>
      <c r="N307" s="29"/>
      <c r="O307" s="28"/>
      <c r="P307" s="28"/>
      <c r="Q307" s="28"/>
      <c r="R307" s="28"/>
      <c r="S307" s="28"/>
      <c r="T307" s="29"/>
      <c r="U307" s="28"/>
      <c r="V307" s="28"/>
      <c r="W307" s="28"/>
      <c r="X307" s="28"/>
      <c r="Y307" s="28"/>
      <c r="Z307" s="28"/>
      <c r="AA307" s="28">
        <v>1</v>
      </c>
      <c r="AB307" s="28"/>
      <c r="AC307" s="28"/>
      <c r="AD307" s="28"/>
      <c r="AE307" s="28"/>
      <c r="AF307" s="28"/>
      <c r="AG307" s="28"/>
      <c r="AH307" s="28"/>
      <c r="AI307" s="28"/>
      <c r="AJ307" s="28"/>
      <c r="AK307" s="28"/>
      <c r="AL307" s="28"/>
      <c r="AM307" s="29"/>
      <c r="AN307" s="28"/>
      <c r="AO307" s="28"/>
      <c r="AP307" s="28"/>
      <c r="AQ307" s="28"/>
      <c r="AR307" s="28"/>
      <c r="AS307" s="28"/>
      <c r="AT307" s="28"/>
      <c r="AU307" s="8">
        <f t="shared" si="12"/>
        <v>2</v>
      </c>
      <c r="AV307" s="28"/>
      <c r="AW307" s="28"/>
      <c r="AX307" s="28"/>
      <c r="AY307" s="28"/>
      <c r="AZ307" s="28"/>
      <c r="BA307" s="28"/>
      <c r="BB307" s="28"/>
      <c r="BC307" s="28"/>
      <c r="BD307" s="28"/>
      <c r="BE307" s="28"/>
      <c r="BF307" s="28"/>
      <c r="BG307" s="28"/>
      <c r="BH307" s="28"/>
      <c r="BI307" s="28"/>
      <c r="BJ307" s="28"/>
      <c r="BK307" s="28"/>
      <c r="BL307" s="28"/>
      <c r="BM307" s="28"/>
      <c r="BN307" s="28">
        <f t="shared" si="11"/>
        <v>0</v>
      </c>
      <c r="BO307" s="24">
        <f t="shared" si="13"/>
        <v>2</v>
      </c>
      <c r="BP307" s="23"/>
      <c r="BQ307" s="23"/>
    </row>
    <row r="308" spans="1:69" ht="15.5">
      <c r="A308" s="27" t="s">
        <v>859</v>
      </c>
      <c r="B308" s="27" t="s">
        <v>860</v>
      </c>
      <c r="C308" s="28">
        <v>1</v>
      </c>
      <c r="D308" s="28"/>
      <c r="E308" s="29"/>
      <c r="F308" s="29"/>
      <c r="G308" s="28"/>
      <c r="H308" s="28"/>
      <c r="I308" s="28"/>
      <c r="J308" s="28"/>
      <c r="K308" s="28"/>
      <c r="L308" s="28"/>
      <c r="M308" s="28"/>
      <c r="N308" s="29"/>
      <c r="O308" s="28"/>
      <c r="P308" s="28"/>
      <c r="Q308" s="28"/>
      <c r="R308" s="28"/>
      <c r="S308" s="28"/>
      <c r="T308" s="29"/>
      <c r="U308" s="28"/>
      <c r="V308" s="28"/>
      <c r="W308" s="28"/>
      <c r="X308" s="28"/>
      <c r="Y308" s="28"/>
      <c r="Z308" s="28"/>
      <c r="AA308" s="28">
        <v>1</v>
      </c>
      <c r="AB308" s="28"/>
      <c r="AC308" s="28"/>
      <c r="AD308" s="28"/>
      <c r="AE308" s="28"/>
      <c r="AF308" s="28"/>
      <c r="AG308" s="28"/>
      <c r="AH308" s="28"/>
      <c r="AI308" s="28"/>
      <c r="AJ308" s="28"/>
      <c r="AK308" s="28"/>
      <c r="AL308" s="28"/>
      <c r="AM308" s="29"/>
      <c r="AN308" s="28"/>
      <c r="AO308" s="28"/>
      <c r="AP308" s="28"/>
      <c r="AQ308" s="28"/>
      <c r="AR308" s="28"/>
      <c r="AS308" s="28"/>
      <c r="AT308" s="28"/>
      <c r="AU308" s="8">
        <f t="shared" si="12"/>
        <v>2</v>
      </c>
      <c r="AV308" s="28">
        <v>1</v>
      </c>
      <c r="AW308" s="28"/>
      <c r="AX308" s="28"/>
      <c r="AY308" s="28"/>
      <c r="AZ308" s="28"/>
      <c r="BA308" s="28"/>
      <c r="BB308" s="28"/>
      <c r="BC308" s="28"/>
      <c r="BD308" s="28"/>
      <c r="BE308" s="28"/>
      <c r="BF308" s="28"/>
      <c r="BG308" s="28"/>
      <c r="BH308" s="28"/>
      <c r="BI308" s="28"/>
      <c r="BJ308" s="28"/>
      <c r="BK308" s="28"/>
      <c r="BL308" s="28"/>
      <c r="BM308" s="28"/>
      <c r="BN308" s="28">
        <f t="shared" si="11"/>
        <v>1</v>
      </c>
      <c r="BO308" s="24">
        <f t="shared" si="13"/>
        <v>1</v>
      </c>
      <c r="BP308" s="23"/>
      <c r="BQ308" s="23"/>
    </row>
    <row r="309" spans="1:69" ht="15.5">
      <c r="A309" s="27" t="s">
        <v>861</v>
      </c>
      <c r="B309" s="27" t="s">
        <v>862</v>
      </c>
      <c r="C309" s="28">
        <v>1</v>
      </c>
      <c r="D309" s="28"/>
      <c r="E309" s="29"/>
      <c r="F309" s="29"/>
      <c r="G309" s="28"/>
      <c r="H309" s="28"/>
      <c r="I309" s="28"/>
      <c r="J309" s="28"/>
      <c r="K309" s="28"/>
      <c r="L309" s="28"/>
      <c r="M309" s="28"/>
      <c r="N309" s="29"/>
      <c r="O309" s="28"/>
      <c r="P309" s="28"/>
      <c r="Q309" s="28"/>
      <c r="R309" s="28"/>
      <c r="S309" s="28"/>
      <c r="T309" s="29"/>
      <c r="U309" s="28"/>
      <c r="V309" s="28"/>
      <c r="W309" s="28"/>
      <c r="X309" s="28"/>
      <c r="Y309" s="28"/>
      <c r="Z309" s="28"/>
      <c r="AA309" s="28"/>
      <c r="AB309" s="28"/>
      <c r="AC309" s="28"/>
      <c r="AD309" s="28"/>
      <c r="AE309" s="28"/>
      <c r="AF309" s="28"/>
      <c r="AG309" s="28"/>
      <c r="AH309" s="28"/>
      <c r="AI309" s="28"/>
      <c r="AJ309" s="28"/>
      <c r="AK309" s="28"/>
      <c r="AL309" s="28"/>
      <c r="AM309" s="29"/>
      <c r="AN309" s="28"/>
      <c r="AO309" s="28"/>
      <c r="AP309" s="28"/>
      <c r="AQ309" s="28"/>
      <c r="AR309" s="28"/>
      <c r="AS309" s="28"/>
      <c r="AT309" s="28"/>
      <c r="AU309" s="8">
        <f t="shared" si="12"/>
        <v>1</v>
      </c>
      <c r="AV309" s="28"/>
      <c r="AW309" s="28"/>
      <c r="AX309" s="28"/>
      <c r="AY309" s="28"/>
      <c r="AZ309" s="28"/>
      <c r="BA309" s="28"/>
      <c r="BB309" s="28"/>
      <c r="BC309" s="28"/>
      <c r="BD309" s="28"/>
      <c r="BE309" s="28"/>
      <c r="BF309" s="28"/>
      <c r="BG309" s="28"/>
      <c r="BH309" s="28"/>
      <c r="BI309" s="28"/>
      <c r="BJ309" s="28"/>
      <c r="BK309" s="28"/>
      <c r="BL309" s="28"/>
      <c r="BM309" s="28"/>
      <c r="BN309" s="28">
        <f t="shared" si="11"/>
        <v>0</v>
      </c>
      <c r="BO309" s="24">
        <f t="shared" si="13"/>
        <v>1</v>
      </c>
      <c r="BP309" s="23"/>
      <c r="BQ309" s="23"/>
    </row>
    <row r="310" spans="1:69" ht="15.5">
      <c r="A310" s="27" t="s">
        <v>865</v>
      </c>
      <c r="B310" s="27" t="s">
        <v>866</v>
      </c>
      <c r="C310" s="28">
        <v>1</v>
      </c>
      <c r="D310" s="28"/>
      <c r="E310" s="29">
        <v>-1</v>
      </c>
      <c r="F310" s="29"/>
      <c r="G310" s="28"/>
      <c r="H310" s="28"/>
      <c r="I310" s="28"/>
      <c r="J310" s="28"/>
      <c r="K310" s="28"/>
      <c r="L310" s="28"/>
      <c r="M310" s="28"/>
      <c r="N310" s="29"/>
      <c r="O310" s="28"/>
      <c r="P310" s="28"/>
      <c r="Q310" s="28"/>
      <c r="R310" s="28"/>
      <c r="S310" s="28"/>
      <c r="T310" s="29"/>
      <c r="U310" s="28"/>
      <c r="V310" s="28"/>
      <c r="W310" s="28"/>
      <c r="X310" s="28"/>
      <c r="Y310" s="28"/>
      <c r="Z310" s="28"/>
      <c r="AA310" s="28"/>
      <c r="AB310" s="28"/>
      <c r="AC310" s="28"/>
      <c r="AD310" s="28"/>
      <c r="AE310" s="28"/>
      <c r="AF310" s="28"/>
      <c r="AG310" s="28"/>
      <c r="AH310" s="28"/>
      <c r="AI310" s="28"/>
      <c r="AJ310" s="28"/>
      <c r="AK310" s="28"/>
      <c r="AL310" s="28"/>
      <c r="AM310" s="29"/>
      <c r="AN310" s="28"/>
      <c r="AO310" s="28"/>
      <c r="AP310" s="28"/>
      <c r="AQ310" s="28"/>
      <c r="AR310" s="28"/>
      <c r="AS310" s="28"/>
      <c r="AT310" s="28"/>
      <c r="AU310" s="8">
        <f t="shared" si="12"/>
        <v>0</v>
      </c>
      <c r="AV310" s="28"/>
      <c r="AW310" s="28"/>
      <c r="AX310" s="28"/>
      <c r="AY310" s="28"/>
      <c r="AZ310" s="28"/>
      <c r="BA310" s="28"/>
      <c r="BB310" s="28"/>
      <c r="BC310" s="28"/>
      <c r="BD310" s="28"/>
      <c r="BE310" s="28"/>
      <c r="BF310" s="28"/>
      <c r="BG310" s="28"/>
      <c r="BH310" s="28"/>
      <c r="BI310" s="28"/>
      <c r="BJ310" s="28"/>
      <c r="BK310" s="28"/>
      <c r="BL310" s="28"/>
      <c r="BM310" s="28"/>
      <c r="BN310" s="28">
        <f t="shared" si="11"/>
        <v>0</v>
      </c>
      <c r="BO310" s="24">
        <f t="shared" si="13"/>
        <v>0</v>
      </c>
      <c r="BP310" s="23"/>
      <c r="BQ310" s="23"/>
    </row>
    <row r="311" spans="1:69" ht="15.5">
      <c r="A311" s="27" t="s">
        <v>869</v>
      </c>
      <c r="B311" s="27" t="s">
        <v>870</v>
      </c>
      <c r="C311" s="28">
        <v>1</v>
      </c>
      <c r="D311" s="28"/>
      <c r="E311" s="29">
        <v>-1</v>
      </c>
      <c r="F311" s="29"/>
      <c r="G311" s="28"/>
      <c r="H311" s="28"/>
      <c r="I311" s="28"/>
      <c r="J311" s="28"/>
      <c r="K311" s="28"/>
      <c r="L311" s="28"/>
      <c r="M311" s="28"/>
      <c r="N311" s="29"/>
      <c r="O311" s="28"/>
      <c r="P311" s="28"/>
      <c r="Q311" s="28"/>
      <c r="R311" s="28"/>
      <c r="S311" s="28"/>
      <c r="T311" s="29"/>
      <c r="U311" s="28"/>
      <c r="V311" s="28"/>
      <c r="W311" s="28"/>
      <c r="X311" s="28"/>
      <c r="Y311" s="28"/>
      <c r="Z311" s="28"/>
      <c r="AA311" s="28"/>
      <c r="AB311" s="28"/>
      <c r="AC311" s="28"/>
      <c r="AD311" s="28"/>
      <c r="AE311" s="28"/>
      <c r="AF311" s="28"/>
      <c r="AG311" s="28"/>
      <c r="AH311" s="28"/>
      <c r="AI311" s="28"/>
      <c r="AJ311" s="28"/>
      <c r="AK311" s="28"/>
      <c r="AL311" s="28"/>
      <c r="AM311" s="29"/>
      <c r="AN311" s="28"/>
      <c r="AO311" s="28"/>
      <c r="AP311" s="28"/>
      <c r="AQ311" s="28"/>
      <c r="AR311" s="28"/>
      <c r="AS311" s="28"/>
      <c r="AT311" s="28"/>
      <c r="AU311" s="8">
        <f t="shared" si="12"/>
        <v>0</v>
      </c>
      <c r="AV311" s="28"/>
      <c r="AW311" s="28"/>
      <c r="AX311" s="28"/>
      <c r="AY311" s="28"/>
      <c r="AZ311" s="28"/>
      <c r="BA311" s="28"/>
      <c r="BB311" s="28"/>
      <c r="BC311" s="28"/>
      <c r="BD311" s="28"/>
      <c r="BE311" s="28"/>
      <c r="BF311" s="28"/>
      <c r="BG311" s="28"/>
      <c r="BH311" s="28"/>
      <c r="BI311" s="28"/>
      <c r="BJ311" s="28"/>
      <c r="BK311" s="28"/>
      <c r="BL311" s="28"/>
      <c r="BM311" s="28"/>
      <c r="BN311" s="28">
        <f t="shared" si="11"/>
        <v>0</v>
      </c>
      <c r="BO311" s="24">
        <f t="shared" si="13"/>
        <v>0</v>
      </c>
      <c r="BP311" s="23"/>
      <c r="BQ311" s="23"/>
    </row>
    <row r="312" spans="1:69" ht="15.5">
      <c r="A312" s="27" t="s">
        <v>875</v>
      </c>
      <c r="B312" s="27" t="s">
        <v>876</v>
      </c>
      <c r="C312" s="28">
        <v>1</v>
      </c>
      <c r="D312" s="28"/>
      <c r="E312" s="29">
        <v>-1</v>
      </c>
      <c r="F312" s="29"/>
      <c r="G312" s="28"/>
      <c r="H312" s="28"/>
      <c r="I312" s="28"/>
      <c r="J312" s="28"/>
      <c r="K312" s="28"/>
      <c r="L312" s="28"/>
      <c r="M312" s="28"/>
      <c r="N312" s="29"/>
      <c r="O312" s="28"/>
      <c r="P312" s="28"/>
      <c r="Q312" s="28"/>
      <c r="R312" s="28"/>
      <c r="S312" s="28"/>
      <c r="T312" s="29"/>
      <c r="U312" s="28"/>
      <c r="V312" s="28"/>
      <c r="W312" s="28"/>
      <c r="X312" s="28"/>
      <c r="Y312" s="28"/>
      <c r="Z312" s="28"/>
      <c r="AA312" s="28"/>
      <c r="AB312" s="28"/>
      <c r="AC312" s="28"/>
      <c r="AD312" s="28"/>
      <c r="AE312" s="28"/>
      <c r="AF312" s="28"/>
      <c r="AG312" s="28"/>
      <c r="AH312" s="28"/>
      <c r="AI312" s="28"/>
      <c r="AJ312" s="28"/>
      <c r="AK312" s="28"/>
      <c r="AL312" s="28"/>
      <c r="AM312" s="29"/>
      <c r="AN312" s="28"/>
      <c r="AO312" s="28"/>
      <c r="AP312" s="28"/>
      <c r="AQ312" s="28"/>
      <c r="AR312" s="28"/>
      <c r="AS312" s="28"/>
      <c r="AT312" s="28"/>
      <c r="AU312" s="8">
        <f t="shared" si="12"/>
        <v>0</v>
      </c>
      <c r="AV312" s="28"/>
      <c r="AW312" s="28"/>
      <c r="AX312" s="28"/>
      <c r="AY312" s="28"/>
      <c r="AZ312" s="28"/>
      <c r="BA312" s="28"/>
      <c r="BB312" s="28"/>
      <c r="BC312" s="28"/>
      <c r="BD312" s="28"/>
      <c r="BE312" s="28"/>
      <c r="BF312" s="28"/>
      <c r="BG312" s="28"/>
      <c r="BH312" s="28"/>
      <c r="BI312" s="28"/>
      <c r="BJ312" s="28"/>
      <c r="BK312" s="28"/>
      <c r="BL312" s="28"/>
      <c r="BM312" s="28"/>
      <c r="BN312" s="28">
        <f t="shared" si="11"/>
        <v>0</v>
      </c>
      <c r="BO312" s="24">
        <f t="shared" si="13"/>
        <v>0</v>
      </c>
      <c r="BP312" s="23"/>
      <c r="BQ312" s="23"/>
    </row>
    <row r="313" spans="1:69" ht="15.5">
      <c r="A313" s="27" t="s">
        <v>877</v>
      </c>
      <c r="B313" s="27" t="s">
        <v>878</v>
      </c>
      <c r="C313" s="28">
        <v>1</v>
      </c>
      <c r="D313" s="28"/>
      <c r="E313" s="29"/>
      <c r="F313" s="29"/>
      <c r="G313" s="28"/>
      <c r="H313" s="28"/>
      <c r="I313" s="28"/>
      <c r="J313" s="28"/>
      <c r="K313" s="28"/>
      <c r="L313" s="28"/>
      <c r="M313" s="28"/>
      <c r="N313" s="29"/>
      <c r="O313" s="28"/>
      <c r="P313" s="28"/>
      <c r="Q313" s="28"/>
      <c r="R313" s="28"/>
      <c r="S313" s="28"/>
      <c r="T313" s="29"/>
      <c r="U313" s="28"/>
      <c r="V313" s="28"/>
      <c r="W313" s="28"/>
      <c r="X313" s="28"/>
      <c r="Y313" s="28"/>
      <c r="Z313" s="28"/>
      <c r="AA313" s="28"/>
      <c r="AB313" s="28"/>
      <c r="AC313" s="28"/>
      <c r="AD313" s="28"/>
      <c r="AE313" s="28"/>
      <c r="AF313" s="28"/>
      <c r="AG313" s="28"/>
      <c r="AH313" s="28"/>
      <c r="AI313" s="28"/>
      <c r="AJ313" s="28"/>
      <c r="AK313" s="28"/>
      <c r="AL313" s="28"/>
      <c r="AM313" s="29"/>
      <c r="AN313" s="28"/>
      <c r="AO313" s="28"/>
      <c r="AP313" s="28"/>
      <c r="AQ313" s="28"/>
      <c r="AR313" s="28"/>
      <c r="AS313" s="28"/>
      <c r="AT313" s="28"/>
      <c r="AU313" s="8">
        <f t="shared" si="12"/>
        <v>1</v>
      </c>
      <c r="AV313" s="28"/>
      <c r="AW313" s="28"/>
      <c r="AX313" s="28"/>
      <c r="AY313" s="28"/>
      <c r="AZ313" s="28"/>
      <c r="BA313" s="28"/>
      <c r="BB313" s="28"/>
      <c r="BC313" s="28"/>
      <c r="BD313" s="28"/>
      <c r="BE313" s="28"/>
      <c r="BF313" s="28"/>
      <c r="BG313" s="28"/>
      <c r="BH313" s="28"/>
      <c r="BI313" s="28"/>
      <c r="BJ313" s="28"/>
      <c r="BK313" s="28"/>
      <c r="BL313" s="28"/>
      <c r="BM313" s="28"/>
      <c r="BN313" s="28">
        <f t="shared" si="11"/>
        <v>0</v>
      </c>
      <c r="BO313" s="24">
        <f t="shared" si="13"/>
        <v>1</v>
      </c>
      <c r="BP313" s="23"/>
      <c r="BQ313" s="23"/>
    </row>
    <row r="314" spans="1:69" ht="15.5">
      <c r="A314" s="27" t="s">
        <v>879</v>
      </c>
      <c r="B314" s="27" t="s">
        <v>880</v>
      </c>
      <c r="C314" s="28">
        <v>1</v>
      </c>
      <c r="D314" s="28"/>
      <c r="E314" s="29"/>
      <c r="F314" s="29"/>
      <c r="G314" s="28"/>
      <c r="H314" s="28"/>
      <c r="I314" s="28"/>
      <c r="J314" s="28"/>
      <c r="K314" s="28"/>
      <c r="L314" s="28"/>
      <c r="M314" s="28"/>
      <c r="N314" s="29"/>
      <c r="O314" s="28"/>
      <c r="P314" s="28"/>
      <c r="Q314" s="28"/>
      <c r="R314" s="28"/>
      <c r="S314" s="28"/>
      <c r="T314" s="29"/>
      <c r="U314" s="28"/>
      <c r="V314" s="28"/>
      <c r="W314" s="28"/>
      <c r="X314" s="28"/>
      <c r="Y314" s="28"/>
      <c r="Z314" s="28"/>
      <c r="AA314" s="28"/>
      <c r="AB314" s="28"/>
      <c r="AC314" s="28"/>
      <c r="AD314" s="28"/>
      <c r="AE314" s="28"/>
      <c r="AF314" s="28"/>
      <c r="AG314" s="28"/>
      <c r="AH314" s="28"/>
      <c r="AI314" s="28"/>
      <c r="AJ314" s="28"/>
      <c r="AK314" s="28"/>
      <c r="AL314" s="28"/>
      <c r="AM314" s="29"/>
      <c r="AN314" s="28"/>
      <c r="AO314" s="28"/>
      <c r="AP314" s="28"/>
      <c r="AQ314" s="28"/>
      <c r="AR314" s="28"/>
      <c r="AS314" s="28"/>
      <c r="AT314" s="28"/>
      <c r="AU314" s="8">
        <f t="shared" si="12"/>
        <v>1</v>
      </c>
      <c r="AV314" s="28"/>
      <c r="AW314" s="28"/>
      <c r="AX314" s="28"/>
      <c r="AY314" s="28"/>
      <c r="AZ314" s="28"/>
      <c r="BA314" s="28"/>
      <c r="BB314" s="28"/>
      <c r="BC314" s="28"/>
      <c r="BD314" s="28"/>
      <c r="BE314" s="28"/>
      <c r="BF314" s="28"/>
      <c r="BG314" s="28"/>
      <c r="BH314" s="28"/>
      <c r="BI314" s="28"/>
      <c r="BJ314" s="28"/>
      <c r="BK314" s="28"/>
      <c r="BL314" s="28"/>
      <c r="BM314" s="28"/>
      <c r="BN314" s="28">
        <f t="shared" si="11"/>
        <v>0</v>
      </c>
      <c r="BO314" s="24">
        <f t="shared" si="13"/>
        <v>1</v>
      </c>
      <c r="BP314" s="23"/>
      <c r="BQ314" s="23"/>
    </row>
    <row r="315" spans="1:69" ht="15.5">
      <c r="A315" s="27" t="s">
        <v>882</v>
      </c>
      <c r="B315" s="27" t="s">
        <v>884</v>
      </c>
      <c r="C315" s="28">
        <v>1</v>
      </c>
      <c r="D315" s="28"/>
      <c r="E315" s="29"/>
      <c r="F315" s="29"/>
      <c r="G315" s="28"/>
      <c r="H315" s="28"/>
      <c r="I315" s="28"/>
      <c r="J315" s="28"/>
      <c r="K315" s="28"/>
      <c r="L315" s="28"/>
      <c r="M315" s="28"/>
      <c r="N315" s="29"/>
      <c r="O315" s="28"/>
      <c r="P315" s="28"/>
      <c r="Q315" s="28"/>
      <c r="R315" s="28"/>
      <c r="S315" s="28"/>
      <c r="T315" s="29"/>
      <c r="U315" s="28"/>
      <c r="V315" s="28"/>
      <c r="W315" s="28"/>
      <c r="X315" s="28"/>
      <c r="Y315" s="28"/>
      <c r="Z315" s="28"/>
      <c r="AA315" s="28">
        <v>1</v>
      </c>
      <c r="AB315" s="28"/>
      <c r="AC315" s="28"/>
      <c r="AD315" s="28"/>
      <c r="AE315" s="28"/>
      <c r="AF315" s="28"/>
      <c r="AG315" s="28"/>
      <c r="AH315" s="28"/>
      <c r="AI315" s="28"/>
      <c r="AJ315" s="28"/>
      <c r="AK315" s="28"/>
      <c r="AL315" s="28"/>
      <c r="AM315" s="29"/>
      <c r="AN315" s="28"/>
      <c r="AO315" s="28"/>
      <c r="AP315" s="28"/>
      <c r="AQ315" s="28"/>
      <c r="AR315" s="28"/>
      <c r="AS315" s="28"/>
      <c r="AT315" s="28"/>
      <c r="AU315" s="8">
        <f t="shared" si="12"/>
        <v>2</v>
      </c>
      <c r="AV315" s="28"/>
      <c r="AW315" s="28"/>
      <c r="AX315" s="28"/>
      <c r="AY315" s="28"/>
      <c r="AZ315" s="28"/>
      <c r="BA315" s="28"/>
      <c r="BB315" s="28"/>
      <c r="BC315" s="28"/>
      <c r="BD315" s="28"/>
      <c r="BE315" s="28"/>
      <c r="BF315" s="28"/>
      <c r="BG315" s="28"/>
      <c r="BH315" s="28"/>
      <c r="BI315" s="28"/>
      <c r="BJ315" s="28"/>
      <c r="BK315" s="28"/>
      <c r="BL315" s="28"/>
      <c r="BM315" s="28"/>
      <c r="BN315" s="28">
        <f t="shared" si="11"/>
        <v>0</v>
      </c>
      <c r="BO315" s="24">
        <f t="shared" si="13"/>
        <v>2</v>
      </c>
      <c r="BP315" s="23"/>
      <c r="BQ315" s="23"/>
    </row>
    <row r="316" spans="1:69" ht="15.5">
      <c r="A316" s="27" t="s">
        <v>887</v>
      </c>
      <c r="B316" s="27" t="s">
        <v>888</v>
      </c>
      <c r="C316" s="28">
        <v>1</v>
      </c>
      <c r="D316" s="28"/>
      <c r="E316" s="29"/>
      <c r="F316" s="29"/>
      <c r="G316" s="28"/>
      <c r="H316" s="28"/>
      <c r="I316" s="28"/>
      <c r="J316" s="28"/>
      <c r="K316" s="28"/>
      <c r="L316" s="28"/>
      <c r="M316" s="28"/>
      <c r="N316" s="29"/>
      <c r="O316" s="28"/>
      <c r="P316" s="28"/>
      <c r="Q316" s="28"/>
      <c r="R316" s="28"/>
      <c r="S316" s="28"/>
      <c r="T316" s="29"/>
      <c r="U316" s="28"/>
      <c r="V316" s="28"/>
      <c r="W316" s="28"/>
      <c r="X316" s="28"/>
      <c r="Y316" s="28"/>
      <c r="Z316" s="28"/>
      <c r="AA316" s="28">
        <v>1</v>
      </c>
      <c r="AB316" s="28"/>
      <c r="AC316" s="28"/>
      <c r="AD316" s="28"/>
      <c r="AE316" s="28"/>
      <c r="AF316" s="28"/>
      <c r="AG316" s="28"/>
      <c r="AH316" s="28"/>
      <c r="AI316" s="28"/>
      <c r="AJ316" s="28"/>
      <c r="AK316" s="28"/>
      <c r="AL316" s="28"/>
      <c r="AM316" s="29"/>
      <c r="AN316" s="28"/>
      <c r="AO316" s="28"/>
      <c r="AP316" s="28"/>
      <c r="AQ316" s="28"/>
      <c r="AR316" s="28"/>
      <c r="AS316" s="28"/>
      <c r="AT316" s="28"/>
      <c r="AU316" s="8">
        <f t="shared" si="12"/>
        <v>2</v>
      </c>
      <c r="AV316" s="28"/>
      <c r="AW316" s="28"/>
      <c r="AX316" s="28"/>
      <c r="AY316" s="28"/>
      <c r="AZ316" s="28"/>
      <c r="BA316" s="28"/>
      <c r="BB316" s="28"/>
      <c r="BC316" s="28"/>
      <c r="BD316" s="28"/>
      <c r="BE316" s="28"/>
      <c r="BF316" s="28"/>
      <c r="BG316" s="28"/>
      <c r="BH316" s="28"/>
      <c r="BI316" s="28"/>
      <c r="BJ316" s="28"/>
      <c r="BK316" s="28"/>
      <c r="BL316" s="28"/>
      <c r="BM316" s="28"/>
      <c r="BN316" s="28">
        <f t="shared" si="11"/>
        <v>0</v>
      </c>
      <c r="BO316" s="24">
        <f t="shared" si="13"/>
        <v>2</v>
      </c>
      <c r="BP316" s="23"/>
      <c r="BQ316" s="23"/>
    </row>
    <row r="317" spans="1:69" ht="15.5">
      <c r="A317" s="27" t="s">
        <v>889</v>
      </c>
      <c r="B317" s="27" t="s">
        <v>890</v>
      </c>
      <c r="C317" s="28">
        <v>1</v>
      </c>
      <c r="D317" s="28"/>
      <c r="E317" s="29"/>
      <c r="F317" s="29"/>
      <c r="G317" s="28"/>
      <c r="H317" s="28"/>
      <c r="I317" s="28"/>
      <c r="J317" s="28"/>
      <c r="K317" s="28"/>
      <c r="L317" s="28"/>
      <c r="M317" s="28"/>
      <c r="N317" s="29"/>
      <c r="O317" s="28"/>
      <c r="P317" s="28"/>
      <c r="Q317" s="28"/>
      <c r="R317" s="28"/>
      <c r="S317" s="28"/>
      <c r="T317" s="29"/>
      <c r="U317" s="28"/>
      <c r="V317" s="28"/>
      <c r="W317" s="28"/>
      <c r="X317" s="28"/>
      <c r="Y317" s="28"/>
      <c r="Z317" s="28"/>
      <c r="AA317" s="28">
        <v>1</v>
      </c>
      <c r="AB317" s="28"/>
      <c r="AC317" s="28"/>
      <c r="AD317" s="28"/>
      <c r="AE317" s="28"/>
      <c r="AF317" s="28"/>
      <c r="AG317" s="28"/>
      <c r="AH317" s="28"/>
      <c r="AI317" s="28"/>
      <c r="AJ317" s="28"/>
      <c r="AK317" s="28"/>
      <c r="AL317" s="28"/>
      <c r="AM317" s="29"/>
      <c r="AN317" s="28"/>
      <c r="AO317" s="28"/>
      <c r="AP317" s="28"/>
      <c r="AQ317" s="28"/>
      <c r="AR317" s="28"/>
      <c r="AS317" s="28"/>
      <c r="AT317" s="28"/>
      <c r="AU317" s="8">
        <f t="shared" si="12"/>
        <v>2</v>
      </c>
      <c r="AV317" s="28"/>
      <c r="AW317" s="28"/>
      <c r="AX317" s="28"/>
      <c r="AY317" s="28"/>
      <c r="AZ317" s="28"/>
      <c r="BA317" s="28"/>
      <c r="BB317" s="28">
        <v>1</v>
      </c>
      <c r="BC317" s="28"/>
      <c r="BD317" s="28"/>
      <c r="BE317" s="28"/>
      <c r="BF317" s="28"/>
      <c r="BG317" s="28"/>
      <c r="BH317" s="28"/>
      <c r="BI317" s="28"/>
      <c r="BJ317" s="28"/>
      <c r="BK317" s="28"/>
      <c r="BL317" s="28"/>
      <c r="BM317" s="28"/>
      <c r="BN317" s="28">
        <f t="shared" si="11"/>
        <v>1</v>
      </c>
      <c r="BO317" s="24">
        <f t="shared" si="13"/>
        <v>1</v>
      </c>
      <c r="BP317" s="23"/>
      <c r="BQ317" s="23"/>
    </row>
    <row r="318" spans="1:69" ht="15.5">
      <c r="A318" s="27" t="s">
        <v>893</v>
      </c>
      <c r="B318" s="27" t="s">
        <v>894</v>
      </c>
      <c r="C318" s="28">
        <v>1</v>
      </c>
      <c r="D318" s="28"/>
      <c r="E318" s="29"/>
      <c r="F318" s="29"/>
      <c r="G318" s="28"/>
      <c r="H318" s="28"/>
      <c r="I318" s="28"/>
      <c r="J318" s="28"/>
      <c r="K318" s="28"/>
      <c r="L318" s="28"/>
      <c r="M318" s="28"/>
      <c r="N318" s="29"/>
      <c r="O318" s="28"/>
      <c r="P318" s="28"/>
      <c r="Q318" s="28"/>
      <c r="R318" s="28"/>
      <c r="S318" s="28"/>
      <c r="T318" s="29"/>
      <c r="U318" s="28"/>
      <c r="V318" s="28"/>
      <c r="W318" s="28">
        <v>1</v>
      </c>
      <c r="X318" s="28"/>
      <c r="Y318" s="28"/>
      <c r="Z318" s="28"/>
      <c r="AA318" s="28">
        <v>1</v>
      </c>
      <c r="AB318" s="28"/>
      <c r="AC318" s="28"/>
      <c r="AD318" s="28"/>
      <c r="AE318" s="28"/>
      <c r="AF318" s="28"/>
      <c r="AG318" s="28"/>
      <c r="AH318" s="28"/>
      <c r="AI318" s="28"/>
      <c r="AJ318" s="28"/>
      <c r="AK318" s="28"/>
      <c r="AL318" s="28"/>
      <c r="AM318" s="29"/>
      <c r="AN318" s="28"/>
      <c r="AO318" s="28"/>
      <c r="AP318" s="28"/>
      <c r="AQ318" s="28"/>
      <c r="AR318" s="28"/>
      <c r="AS318" s="28"/>
      <c r="AT318" s="28"/>
      <c r="AU318" s="8">
        <f t="shared" si="12"/>
        <v>3</v>
      </c>
      <c r="AV318" s="28"/>
      <c r="AW318" s="28"/>
      <c r="AX318" s="28">
        <v>1</v>
      </c>
      <c r="AY318" s="28"/>
      <c r="AZ318" s="28"/>
      <c r="BA318" s="28"/>
      <c r="BB318" s="28"/>
      <c r="BC318" s="28"/>
      <c r="BD318" s="28"/>
      <c r="BE318" s="28"/>
      <c r="BF318" s="28"/>
      <c r="BG318" s="28"/>
      <c r="BH318" s="28"/>
      <c r="BI318" s="28"/>
      <c r="BJ318" s="28"/>
      <c r="BK318" s="28"/>
      <c r="BL318" s="28"/>
      <c r="BM318" s="28"/>
      <c r="BN318" s="28">
        <f t="shared" si="11"/>
        <v>1</v>
      </c>
      <c r="BO318" s="24">
        <f t="shared" si="13"/>
        <v>2</v>
      </c>
      <c r="BP318" s="23"/>
      <c r="BQ318" s="23"/>
    </row>
    <row r="319" spans="1:69" ht="15.5">
      <c r="A319" s="27" t="s">
        <v>899</v>
      </c>
      <c r="B319" s="27" t="s">
        <v>900</v>
      </c>
      <c r="C319" s="28"/>
      <c r="D319" s="28"/>
      <c r="E319" s="29"/>
      <c r="F319" s="29"/>
      <c r="G319" s="28"/>
      <c r="H319" s="28"/>
      <c r="I319" s="28"/>
      <c r="J319" s="28"/>
      <c r="K319" s="28"/>
      <c r="L319" s="28"/>
      <c r="M319" s="28"/>
      <c r="N319" s="29"/>
      <c r="O319" s="28"/>
      <c r="P319" s="28"/>
      <c r="Q319" s="28"/>
      <c r="R319" s="28"/>
      <c r="S319" s="28"/>
      <c r="T319" s="29"/>
      <c r="U319" s="28"/>
      <c r="V319" s="28"/>
      <c r="W319" s="28"/>
      <c r="X319" s="28"/>
      <c r="Y319" s="28"/>
      <c r="Z319" s="28"/>
      <c r="AA319" s="28">
        <v>1</v>
      </c>
      <c r="AB319" s="28"/>
      <c r="AC319" s="28"/>
      <c r="AD319" s="28"/>
      <c r="AE319" s="28"/>
      <c r="AF319" s="28"/>
      <c r="AG319" s="28"/>
      <c r="AH319" s="28"/>
      <c r="AI319" s="28"/>
      <c r="AJ319" s="28"/>
      <c r="AK319" s="28"/>
      <c r="AL319" s="28"/>
      <c r="AM319" s="29"/>
      <c r="AN319" s="28"/>
      <c r="AO319" s="28"/>
      <c r="AP319" s="28"/>
      <c r="AQ319" s="28"/>
      <c r="AR319" s="28"/>
      <c r="AS319" s="28"/>
      <c r="AT319" s="28"/>
      <c r="AU319" s="8">
        <f t="shared" si="12"/>
        <v>1</v>
      </c>
      <c r="AV319" s="28"/>
      <c r="AW319" s="28"/>
      <c r="AX319" s="28"/>
      <c r="AY319" s="28"/>
      <c r="AZ319" s="28"/>
      <c r="BA319" s="28"/>
      <c r="BB319" s="28"/>
      <c r="BC319" s="28"/>
      <c r="BD319" s="28"/>
      <c r="BE319" s="28"/>
      <c r="BF319" s="28"/>
      <c r="BG319" s="28"/>
      <c r="BH319" s="28"/>
      <c r="BI319" s="28"/>
      <c r="BJ319" s="28"/>
      <c r="BK319" s="28"/>
      <c r="BL319" s="28"/>
      <c r="BM319" s="28"/>
      <c r="BN319" s="28">
        <f t="shared" si="11"/>
        <v>0</v>
      </c>
      <c r="BO319" s="24">
        <f t="shared" si="13"/>
        <v>1</v>
      </c>
      <c r="BP319" s="23"/>
      <c r="BQ319" s="23"/>
    </row>
    <row r="320" spans="1:69" ht="15.5">
      <c r="A320" s="27" t="s">
        <v>903</v>
      </c>
      <c r="B320" s="27" t="s">
        <v>904</v>
      </c>
      <c r="C320" s="28">
        <v>1</v>
      </c>
      <c r="D320" s="28"/>
      <c r="E320" s="29"/>
      <c r="F320" s="29"/>
      <c r="G320" s="28"/>
      <c r="H320" s="28"/>
      <c r="I320" s="28"/>
      <c r="J320" s="28"/>
      <c r="K320" s="28"/>
      <c r="L320" s="28"/>
      <c r="M320" s="28"/>
      <c r="N320" s="29"/>
      <c r="O320" s="28"/>
      <c r="P320" s="28"/>
      <c r="Q320" s="28"/>
      <c r="R320" s="28"/>
      <c r="S320" s="28"/>
      <c r="T320" s="29"/>
      <c r="U320" s="28"/>
      <c r="V320" s="28"/>
      <c r="W320" s="28"/>
      <c r="X320" s="28"/>
      <c r="Y320" s="28"/>
      <c r="Z320" s="28"/>
      <c r="AA320" s="28">
        <v>1</v>
      </c>
      <c r="AB320" s="28"/>
      <c r="AC320" s="28"/>
      <c r="AD320" s="28"/>
      <c r="AE320" s="28"/>
      <c r="AF320" s="28"/>
      <c r="AG320" s="28"/>
      <c r="AH320" s="28"/>
      <c r="AI320" s="28"/>
      <c r="AJ320" s="28"/>
      <c r="AK320" s="28"/>
      <c r="AL320" s="28"/>
      <c r="AM320" s="29"/>
      <c r="AN320" s="28"/>
      <c r="AO320" s="28"/>
      <c r="AP320" s="28"/>
      <c r="AQ320" s="28"/>
      <c r="AR320" s="28"/>
      <c r="AS320" s="28"/>
      <c r="AT320" s="28"/>
      <c r="AU320" s="8">
        <f t="shared" si="12"/>
        <v>2</v>
      </c>
      <c r="AV320" s="28">
        <v>1</v>
      </c>
      <c r="AW320" s="28"/>
      <c r="AX320" s="28"/>
      <c r="AY320" s="28"/>
      <c r="AZ320" s="28"/>
      <c r="BA320" s="28"/>
      <c r="BB320" s="28"/>
      <c r="BC320" s="28"/>
      <c r="BD320" s="28"/>
      <c r="BE320" s="28"/>
      <c r="BF320" s="28"/>
      <c r="BG320" s="28"/>
      <c r="BH320" s="28"/>
      <c r="BI320" s="28"/>
      <c r="BJ320" s="28"/>
      <c r="BK320" s="28"/>
      <c r="BL320" s="28"/>
      <c r="BM320" s="28"/>
      <c r="BN320" s="28">
        <f t="shared" si="11"/>
        <v>1</v>
      </c>
      <c r="BO320" s="24">
        <f t="shared" si="13"/>
        <v>1</v>
      </c>
      <c r="BP320" s="23"/>
      <c r="BQ320" s="23"/>
    </row>
    <row r="321" spans="1:69" ht="15.5">
      <c r="A321" s="27" t="s">
        <v>909</v>
      </c>
      <c r="B321" s="27" t="s">
        <v>910</v>
      </c>
      <c r="C321" s="28">
        <v>1</v>
      </c>
      <c r="D321" s="28"/>
      <c r="E321" s="29"/>
      <c r="F321" s="29"/>
      <c r="G321" s="28"/>
      <c r="H321" s="28"/>
      <c r="I321" s="28"/>
      <c r="J321" s="28"/>
      <c r="K321" s="28"/>
      <c r="L321" s="28"/>
      <c r="M321" s="28"/>
      <c r="N321" s="29"/>
      <c r="O321" s="28"/>
      <c r="P321" s="28"/>
      <c r="Q321" s="28"/>
      <c r="R321" s="28"/>
      <c r="S321" s="28"/>
      <c r="T321" s="29"/>
      <c r="U321" s="28"/>
      <c r="V321" s="28"/>
      <c r="W321" s="28"/>
      <c r="X321" s="28"/>
      <c r="Y321" s="28"/>
      <c r="Z321" s="28"/>
      <c r="AA321" s="28">
        <v>1</v>
      </c>
      <c r="AB321" s="28"/>
      <c r="AC321" s="28"/>
      <c r="AD321" s="28"/>
      <c r="AE321" s="28"/>
      <c r="AF321" s="28"/>
      <c r="AG321" s="28"/>
      <c r="AH321" s="28"/>
      <c r="AI321" s="28"/>
      <c r="AJ321" s="28"/>
      <c r="AK321" s="28"/>
      <c r="AL321" s="28"/>
      <c r="AM321" s="29"/>
      <c r="AN321" s="28"/>
      <c r="AO321" s="28"/>
      <c r="AP321" s="28"/>
      <c r="AQ321" s="28"/>
      <c r="AR321" s="28"/>
      <c r="AS321" s="28"/>
      <c r="AT321" s="28"/>
      <c r="AU321" s="8">
        <f t="shared" si="12"/>
        <v>2</v>
      </c>
      <c r="AV321" s="28">
        <v>1</v>
      </c>
      <c r="AW321" s="28"/>
      <c r="AX321" s="28"/>
      <c r="AY321" s="28"/>
      <c r="AZ321" s="28"/>
      <c r="BA321" s="28"/>
      <c r="BB321" s="28"/>
      <c r="BC321" s="28"/>
      <c r="BD321" s="28"/>
      <c r="BE321" s="28"/>
      <c r="BF321" s="28"/>
      <c r="BG321" s="28"/>
      <c r="BH321" s="28"/>
      <c r="BI321" s="28"/>
      <c r="BJ321" s="28"/>
      <c r="BK321" s="28"/>
      <c r="BL321" s="28"/>
      <c r="BM321" s="28"/>
      <c r="BN321" s="28">
        <f t="shared" si="11"/>
        <v>1</v>
      </c>
      <c r="BO321" s="24">
        <f t="shared" si="13"/>
        <v>1</v>
      </c>
      <c r="BP321" s="23"/>
      <c r="BQ321" s="23"/>
    </row>
    <row r="322" spans="1:69" ht="15.5">
      <c r="A322" s="27" t="s">
        <v>911</v>
      </c>
      <c r="B322" s="27" t="s">
        <v>912</v>
      </c>
      <c r="C322" s="28">
        <v>1</v>
      </c>
      <c r="D322" s="28"/>
      <c r="E322" s="29"/>
      <c r="F322" s="29"/>
      <c r="G322" s="28"/>
      <c r="H322" s="28"/>
      <c r="I322" s="28"/>
      <c r="J322" s="28"/>
      <c r="K322" s="28"/>
      <c r="L322" s="28"/>
      <c r="M322" s="28"/>
      <c r="N322" s="29"/>
      <c r="O322" s="28"/>
      <c r="P322" s="28"/>
      <c r="Q322" s="28"/>
      <c r="R322" s="28"/>
      <c r="S322" s="28"/>
      <c r="T322" s="29"/>
      <c r="U322" s="28"/>
      <c r="V322" s="28"/>
      <c r="W322" s="28"/>
      <c r="X322" s="28"/>
      <c r="Y322" s="28"/>
      <c r="Z322" s="28"/>
      <c r="AA322" s="28">
        <v>1</v>
      </c>
      <c r="AB322" s="28"/>
      <c r="AC322" s="28"/>
      <c r="AD322" s="28"/>
      <c r="AE322" s="28"/>
      <c r="AF322" s="28"/>
      <c r="AG322" s="28"/>
      <c r="AH322" s="28"/>
      <c r="AI322" s="28"/>
      <c r="AJ322" s="28"/>
      <c r="AK322" s="28"/>
      <c r="AL322" s="28"/>
      <c r="AM322" s="29"/>
      <c r="AN322" s="28"/>
      <c r="AO322" s="28"/>
      <c r="AP322" s="28"/>
      <c r="AQ322" s="28"/>
      <c r="AR322" s="28"/>
      <c r="AS322" s="28"/>
      <c r="AT322" s="28"/>
      <c r="AU322" s="8">
        <f t="shared" si="12"/>
        <v>2</v>
      </c>
      <c r="AV322" s="28"/>
      <c r="AW322" s="28"/>
      <c r="AX322" s="28"/>
      <c r="AY322" s="28"/>
      <c r="AZ322" s="28"/>
      <c r="BA322" s="28">
        <v>1</v>
      </c>
      <c r="BB322" s="28"/>
      <c r="BC322" s="28"/>
      <c r="BD322" s="28"/>
      <c r="BE322" s="28"/>
      <c r="BF322" s="28"/>
      <c r="BG322" s="28"/>
      <c r="BH322" s="28"/>
      <c r="BI322" s="28"/>
      <c r="BJ322" s="28"/>
      <c r="BK322" s="28"/>
      <c r="BL322" s="28"/>
      <c r="BM322" s="28"/>
      <c r="BN322" s="28">
        <f t="shared" si="11"/>
        <v>1</v>
      </c>
      <c r="BO322" s="24">
        <f t="shared" si="13"/>
        <v>1</v>
      </c>
      <c r="BP322" s="23"/>
      <c r="BQ322" s="23"/>
    </row>
    <row r="323" spans="1:69" ht="15.5">
      <c r="A323" s="27" t="s">
        <v>915</v>
      </c>
      <c r="B323" s="27" t="s">
        <v>916</v>
      </c>
      <c r="C323" s="28">
        <v>1</v>
      </c>
      <c r="D323" s="28"/>
      <c r="E323" s="29">
        <v>-1</v>
      </c>
      <c r="F323" s="29"/>
      <c r="G323" s="28"/>
      <c r="H323" s="28"/>
      <c r="I323" s="28"/>
      <c r="J323" s="28">
        <v>1</v>
      </c>
      <c r="K323" s="28"/>
      <c r="L323" s="28"/>
      <c r="M323" s="28"/>
      <c r="N323" s="29"/>
      <c r="O323" s="28"/>
      <c r="P323" s="28"/>
      <c r="Q323" s="28"/>
      <c r="R323" s="28"/>
      <c r="S323" s="28"/>
      <c r="T323" s="29"/>
      <c r="U323" s="28"/>
      <c r="V323" s="28"/>
      <c r="W323" s="28"/>
      <c r="X323" s="28"/>
      <c r="Y323" s="28"/>
      <c r="Z323" s="28"/>
      <c r="AA323" s="28"/>
      <c r="AB323" s="28"/>
      <c r="AC323" s="28"/>
      <c r="AD323" s="28"/>
      <c r="AE323" s="28"/>
      <c r="AF323" s="28"/>
      <c r="AG323" s="28"/>
      <c r="AH323" s="28"/>
      <c r="AI323" s="28"/>
      <c r="AJ323" s="28"/>
      <c r="AK323" s="28"/>
      <c r="AL323" s="28"/>
      <c r="AM323" s="29"/>
      <c r="AN323" s="28"/>
      <c r="AO323" s="28"/>
      <c r="AP323" s="28"/>
      <c r="AQ323" s="28"/>
      <c r="AR323" s="28"/>
      <c r="AS323" s="28"/>
      <c r="AT323" s="28"/>
      <c r="AU323" s="8">
        <f t="shared" si="12"/>
        <v>1</v>
      </c>
      <c r="AV323" s="28">
        <v>1</v>
      </c>
      <c r="AW323" s="28"/>
      <c r="AX323" s="28"/>
      <c r="AY323" s="28"/>
      <c r="AZ323" s="28"/>
      <c r="BA323" s="28"/>
      <c r="BB323" s="28"/>
      <c r="BC323" s="28"/>
      <c r="BD323" s="28"/>
      <c r="BE323" s="28"/>
      <c r="BF323" s="28"/>
      <c r="BG323" s="28"/>
      <c r="BH323" s="28"/>
      <c r="BI323" s="28"/>
      <c r="BJ323" s="28"/>
      <c r="BK323" s="28"/>
      <c r="BL323" s="28"/>
      <c r="BM323" s="28"/>
      <c r="BN323" s="28">
        <f t="shared" si="11"/>
        <v>1</v>
      </c>
      <c r="BO323" s="24">
        <f t="shared" si="13"/>
        <v>0</v>
      </c>
      <c r="BP323" s="23"/>
      <c r="BQ323" s="23"/>
    </row>
    <row r="324" spans="1:69" ht="15.5">
      <c r="A324" s="27" t="s">
        <v>919</v>
      </c>
      <c r="B324" s="27" t="s">
        <v>920</v>
      </c>
      <c r="C324" s="28">
        <v>1</v>
      </c>
      <c r="D324" s="28"/>
      <c r="E324" s="29"/>
      <c r="F324" s="29"/>
      <c r="G324" s="28"/>
      <c r="H324" s="28"/>
      <c r="I324" s="28"/>
      <c r="J324" s="28"/>
      <c r="K324" s="28"/>
      <c r="L324" s="28"/>
      <c r="M324" s="28"/>
      <c r="N324" s="29"/>
      <c r="O324" s="28"/>
      <c r="P324" s="28"/>
      <c r="Q324" s="28"/>
      <c r="R324" s="28"/>
      <c r="S324" s="28"/>
      <c r="T324" s="29"/>
      <c r="U324" s="28"/>
      <c r="V324" s="28"/>
      <c r="W324" s="28"/>
      <c r="X324" s="28"/>
      <c r="Y324" s="28"/>
      <c r="Z324" s="28"/>
      <c r="AA324" s="28">
        <v>1</v>
      </c>
      <c r="AB324" s="28"/>
      <c r="AC324" s="28"/>
      <c r="AD324" s="28"/>
      <c r="AE324" s="28"/>
      <c r="AF324" s="28"/>
      <c r="AG324" s="28"/>
      <c r="AH324" s="28"/>
      <c r="AI324" s="28"/>
      <c r="AJ324" s="28"/>
      <c r="AK324" s="28">
        <v>1</v>
      </c>
      <c r="AL324" s="28"/>
      <c r="AM324" s="29"/>
      <c r="AN324" s="28"/>
      <c r="AO324" s="28"/>
      <c r="AP324" s="28"/>
      <c r="AQ324" s="28"/>
      <c r="AR324" s="28"/>
      <c r="AS324" s="28"/>
      <c r="AT324" s="28"/>
      <c r="AU324" s="8">
        <f t="shared" si="12"/>
        <v>3</v>
      </c>
      <c r="AV324" s="28">
        <v>1</v>
      </c>
      <c r="AW324" s="28"/>
      <c r="AX324" s="28"/>
      <c r="AY324" s="28"/>
      <c r="AZ324" s="28"/>
      <c r="BA324" s="28"/>
      <c r="BB324" s="28"/>
      <c r="BC324" s="28"/>
      <c r="BD324" s="28"/>
      <c r="BE324" s="28"/>
      <c r="BF324" s="28"/>
      <c r="BG324" s="28"/>
      <c r="BH324" s="28"/>
      <c r="BI324" s="28"/>
      <c r="BJ324" s="28"/>
      <c r="BK324" s="28"/>
      <c r="BL324" s="28"/>
      <c r="BM324" s="28"/>
      <c r="BN324" s="28">
        <f t="shared" si="11"/>
        <v>1</v>
      </c>
      <c r="BO324" s="24">
        <f t="shared" ref="BO324:BO387" si="14">IF(+AU324-BN324&lt;0,"",+AU324-BN324)</f>
        <v>2</v>
      </c>
      <c r="BP324" s="23"/>
      <c r="BQ324" s="23"/>
    </row>
    <row r="325" spans="1:69" ht="15.5">
      <c r="A325" s="27" t="s">
        <v>921</v>
      </c>
      <c r="B325" s="27" t="s">
        <v>922</v>
      </c>
      <c r="C325" s="28">
        <v>1</v>
      </c>
      <c r="D325" s="28"/>
      <c r="E325" s="29"/>
      <c r="F325" s="29"/>
      <c r="G325" s="28"/>
      <c r="H325" s="28"/>
      <c r="I325" s="28"/>
      <c r="J325" s="28"/>
      <c r="K325" s="28"/>
      <c r="L325" s="28"/>
      <c r="M325" s="28"/>
      <c r="N325" s="29"/>
      <c r="O325" s="28"/>
      <c r="P325" s="28"/>
      <c r="Q325" s="28"/>
      <c r="R325" s="28"/>
      <c r="S325" s="28"/>
      <c r="T325" s="29"/>
      <c r="U325" s="28"/>
      <c r="V325" s="28"/>
      <c r="W325" s="28"/>
      <c r="X325" s="28"/>
      <c r="Y325" s="28"/>
      <c r="Z325" s="28"/>
      <c r="AA325" s="28"/>
      <c r="AB325" s="28"/>
      <c r="AC325" s="28"/>
      <c r="AD325" s="28"/>
      <c r="AE325" s="28"/>
      <c r="AF325" s="28"/>
      <c r="AG325" s="28"/>
      <c r="AH325" s="28"/>
      <c r="AI325" s="28"/>
      <c r="AJ325" s="28"/>
      <c r="AK325" s="28"/>
      <c r="AL325" s="28"/>
      <c r="AM325" s="29"/>
      <c r="AN325" s="28"/>
      <c r="AO325" s="28"/>
      <c r="AP325" s="28"/>
      <c r="AQ325" s="28"/>
      <c r="AR325" s="28"/>
      <c r="AS325" s="28"/>
      <c r="AT325" s="28"/>
      <c r="AU325" s="8">
        <f t="shared" si="12"/>
        <v>1</v>
      </c>
      <c r="AV325" s="28"/>
      <c r="AW325" s="28">
        <v>1</v>
      </c>
      <c r="AX325" s="28"/>
      <c r="AY325" s="28"/>
      <c r="AZ325" s="28"/>
      <c r="BA325" s="28"/>
      <c r="BB325" s="28"/>
      <c r="BC325" s="28"/>
      <c r="BD325" s="28"/>
      <c r="BE325" s="28"/>
      <c r="BF325" s="28"/>
      <c r="BG325" s="28"/>
      <c r="BH325" s="28"/>
      <c r="BI325" s="28"/>
      <c r="BJ325" s="28"/>
      <c r="BK325" s="28"/>
      <c r="BL325" s="28"/>
      <c r="BM325" s="28"/>
      <c r="BN325" s="28">
        <f t="shared" si="11"/>
        <v>1</v>
      </c>
      <c r="BO325" s="24">
        <f t="shared" si="14"/>
        <v>0</v>
      </c>
      <c r="BP325" s="23"/>
      <c r="BQ325" s="23"/>
    </row>
    <row r="326" spans="1:69" ht="15.5">
      <c r="A326" s="27" t="s">
        <v>923</v>
      </c>
      <c r="B326" s="27" t="s">
        <v>924</v>
      </c>
      <c r="C326" s="28">
        <v>1</v>
      </c>
      <c r="D326" s="28"/>
      <c r="E326" s="29"/>
      <c r="F326" s="29"/>
      <c r="G326" s="28"/>
      <c r="H326" s="28"/>
      <c r="I326" s="28"/>
      <c r="J326" s="28"/>
      <c r="K326" s="28"/>
      <c r="L326" s="28"/>
      <c r="M326" s="28"/>
      <c r="N326" s="29"/>
      <c r="O326" s="28"/>
      <c r="P326" s="28"/>
      <c r="Q326" s="28"/>
      <c r="R326" s="28"/>
      <c r="S326" s="28"/>
      <c r="T326" s="29"/>
      <c r="U326" s="28"/>
      <c r="V326" s="28"/>
      <c r="W326" s="28"/>
      <c r="X326" s="28"/>
      <c r="Y326" s="28"/>
      <c r="Z326" s="28"/>
      <c r="AA326" s="28"/>
      <c r="AB326" s="28"/>
      <c r="AC326" s="28"/>
      <c r="AD326" s="28"/>
      <c r="AE326" s="28"/>
      <c r="AF326" s="28"/>
      <c r="AG326" s="28"/>
      <c r="AH326" s="28"/>
      <c r="AI326" s="28"/>
      <c r="AJ326" s="28"/>
      <c r="AK326" s="28"/>
      <c r="AL326" s="28"/>
      <c r="AM326" s="29"/>
      <c r="AN326" s="28"/>
      <c r="AO326" s="28"/>
      <c r="AP326" s="28"/>
      <c r="AQ326" s="28"/>
      <c r="AR326" s="28"/>
      <c r="AS326" s="28"/>
      <c r="AT326" s="28"/>
      <c r="AU326" s="8">
        <f t="shared" si="12"/>
        <v>1</v>
      </c>
      <c r="AV326" s="28">
        <v>1</v>
      </c>
      <c r="AW326" s="28"/>
      <c r="AX326" s="28"/>
      <c r="AY326" s="28"/>
      <c r="AZ326" s="28"/>
      <c r="BA326" s="28"/>
      <c r="BB326" s="28"/>
      <c r="BC326" s="28"/>
      <c r="BD326" s="28"/>
      <c r="BE326" s="28"/>
      <c r="BF326" s="28"/>
      <c r="BG326" s="28"/>
      <c r="BH326" s="28"/>
      <c r="BI326" s="28"/>
      <c r="BJ326" s="28"/>
      <c r="BK326" s="28"/>
      <c r="BL326" s="28"/>
      <c r="BM326" s="28"/>
      <c r="BN326" s="28">
        <f t="shared" si="11"/>
        <v>1</v>
      </c>
      <c r="BO326" s="24">
        <f t="shared" si="14"/>
        <v>0</v>
      </c>
      <c r="BP326" s="23"/>
      <c r="BQ326" s="23"/>
    </row>
    <row r="327" spans="1:69" ht="15.5">
      <c r="A327" s="27" t="s">
        <v>927</v>
      </c>
      <c r="B327" s="27" t="s">
        <v>928</v>
      </c>
      <c r="C327" s="28">
        <v>1</v>
      </c>
      <c r="D327" s="28"/>
      <c r="E327" s="29">
        <v>-1</v>
      </c>
      <c r="F327" s="29"/>
      <c r="G327" s="28"/>
      <c r="H327" s="28"/>
      <c r="I327" s="28"/>
      <c r="J327" s="28"/>
      <c r="K327" s="28"/>
      <c r="L327" s="28"/>
      <c r="M327" s="28"/>
      <c r="N327" s="29"/>
      <c r="O327" s="28"/>
      <c r="P327" s="28"/>
      <c r="Q327" s="28"/>
      <c r="R327" s="28"/>
      <c r="S327" s="28"/>
      <c r="T327" s="29"/>
      <c r="U327" s="28"/>
      <c r="V327" s="28"/>
      <c r="W327" s="28"/>
      <c r="X327" s="28"/>
      <c r="Y327" s="28"/>
      <c r="Z327" s="28"/>
      <c r="AA327" s="28"/>
      <c r="AB327" s="28"/>
      <c r="AC327" s="28"/>
      <c r="AD327" s="28"/>
      <c r="AE327" s="28"/>
      <c r="AF327" s="28"/>
      <c r="AG327" s="28"/>
      <c r="AH327" s="28"/>
      <c r="AI327" s="28"/>
      <c r="AJ327" s="28"/>
      <c r="AK327" s="28"/>
      <c r="AL327" s="28"/>
      <c r="AM327" s="29"/>
      <c r="AN327" s="28"/>
      <c r="AO327" s="28"/>
      <c r="AP327" s="28"/>
      <c r="AQ327" s="28"/>
      <c r="AR327" s="28"/>
      <c r="AS327" s="28"/>
      <c r="AT327" s="28"/>
      <c r="AU327" s="8">
        <f t="shared" si="12"/>
        <v>0</v>
      </c>
      <c r="AV327" s="28"/>
      <c r="AW327" s="28"/>
      <c r="AX327" s="28"/>
      <c r="AY327" s="28"/>
      <c r="AZ327" s="28"/>
      <c r="BA327" s="28"/>
      <c r="BB327" s="28"/>
      <c r="BC327" s="28"/>
      <c r="BD327" s="28"/>
      <c r="BE327" s="28"/>
      <c r="BF327" s="28"/>
      <c r="BG327" s="28"/>
      <c r="BH327" s="28"/>
      <c r="BI327" s="28"/>
      <c r="BJ327" s="28"/>
      <c r="BK327" s="28"/>
      <c r="BL327" s="28"/>
      <c r="BM327" s="28"/>
      <c r="BN327" s="28">
        <f t="shared" si="11"/>
        <v>0</v>
      </c>
      <c r="BO327" s="24">
        <f t="shared" si="14"/>
        <v>0</v>
      </c>
      <c r="BP327" s="23"/>
      <c r="BQ327" s="23"/>
    </row>
    <row r="328" spans="1:69" ht="15.5">
      <c r="A328" s="27" t="s">
        <v>931</v>
      </c>
      <c r="B328" s="27" t="s">
        <v>934</v>
      </c>
      <c r="C328" s="28">
        <v>1</v>
      </c>
      <c r="D328" s="28"/>
      <c r="E328" s="29"/>
      <c r="F328" s="29"/>
      <c r="G328" s="28"/>
      <c r="H328" s="28"/>
      <c r="I328" s="28"/>
      <c r="J328" s="28"/>
      <c r="K328" s="28"/>
      <c r="L328" s="28"/>
      <c r="M328" s="28"/>
      <c r="N328" s="29"/>
      <c r="O328" s="28"/>
      <c r="P328" s="28"/>
      <c r="Q328" s="28"/>
      <c r="R328" s="28"/>
      <c r="S328" s="28"/>
      <c r="T328" s="29"/>
      <c r="U328" s="28"/>
      <c r="V328" s="28"/>
      <c r="W328" s="28"/>
      <c r="X328" s="28"/>
      <c r="Y328" s="28"/>
      <c r="Z328" s="28"/>
      <c r="AA328" s="28"/>
      <c r="AB328" s="28"/>
      <c r="AC328" s="28"/>
      <c r="AD328" s="28"/>
      <c r="AE328" s="28"/>
      <c r="AF328" s="28"/>
      <c r="AG328" s="28"/>
      <c r="AH328" s="28"/>
      <c r="AI328" s="28"/>
      <c r="AJ328" s="28"/>
      <c r="AK328" s="28"/>
      <c r="AL328" s="28"/>
      <c r="AM328" s="29"/>
      <c r="AN328" s="28"/>
      <c r="AO328" s="28"/>
      <c r="AP328" s="28"/>
      <c r="AQ328" s="28"/>
      <c r="AR328" s="28"/>
      <c r="AS328" s="28"/>
      <c r="AT328" s="28"/>
      <c r="AU328" s="8">
        <f t="shared" si="12"/>
        <v>1</v>
      </c>
      <c r="AV328" s="28"/>
      <c r="AW328" s="28"/>
      <c r="AX328" s="28"/>
      <c r="AY328" s="28"/>
      <c r="AZ328" s="28"/>
      <c r="BA328" s="28"/>
      <c r="BB328" s="28"/>
      <c r="BC328" s="28"/>
      <c r="BD328" s="28"/>
      <c r="BE328" s="28"/>
      <c r="BF328" s="28"/>
      <c r="BG328" s="28"/>
      <c r="BH328" s="28"/>
      <c r="BI328" s="28"/>
      <c r="BJ328" s="28"/>
      <c r="BK328" s="28"/>
      <c r="BL328" s="28"/>
      <c r="BM328" s="28"/>
      <c r="BN328" s="28">
        <f t="shared" si="11"/>
        <v>0</v>
      </c>
      <c r="BO328" s="24">
        <f t="shared" si="14"/>
        <v>1</v>
      </c>
      <c r="BP328" s="23"/>
      <c r="BQ328" s="23"/>
    </row>
    <row r="329" spans="1:69" ht="15.5">
      <c r="A329" s="27" t="s">
        <v>937</v>
      </c>
      <c r="B329" s="27" t="s">
        <v>938</v>
      </c>
      <c r="C329" s="28">
        <v>1</v>
      </c>
      <c r="D329" s="28"/>
      <c r="E329" s="29"/>
      <c r="F329" s="29"/>
      <c r="G329" s="28"/>
      <c r="H329" s="28"/>
      <c r="I329" s="28"/>
      <c r="J329" s="28"/>
      <c r="K329" s="28"/>
      <c r="L329" s="28"/>
      <c r="M329" s="28"/>
      <c r="N329" s="29"/>
      <c r="O329" s="28"/>
      <c r="P329" s="28"/>
      <c r="Q329" s="28"/>
      <c r="R329" s="28"/>
      <c r="S329" s="28"/>
      <c r="T329" s="29"/>
      <c r="U329" s="28"/>
      <c r="V329" s="28"/>
      <c r="W329" s="28"/>
      <c r="X329" s="28"/>
      <c r="Y329" s="28"/>
      <c r="Z329" s="28"/>
      <c r="AA329" s="28">
        <v>1</v>
      </c>
      <c r="AB329" s="28"/>
      <c r="AC329" s="28"/>
      <c r="AD329" s="28"/>
      <c r="AE329" s="28"/>
      <c r="AF329" s="28"/>
      <c r="AG329" s="28"/>
      <c r="AH329" s="28"/>
      <c r="AI329" s="28"/>
      <c r="AJ329" s="28"/>
      <c r="AK329" s="28"/>
      <c r="AL329" s="28"/>
      <c r="AM329" s="29"/>
      <c r="AN329" s="28"/>
      <c r="AO329" s="28"/>
      <c r="AP329" s="28"/>
      <c r="AQ329" s="28"/>
      <c r="AR329" s="28"/>
      <c r="AS329" s="28"/>
      <c r="AT329" s="28"/>
      <c r="AU329" s="8">
        <f t="shared" si="12"/>
        <v>2</v>
      </c>
      <c r="AV329" s="28"/>
      <c r="AW329" s="28"/>
      <c r="AX329" s="28"/>
      <c r="AY329" s="28"/>
      <c r="AZ329" s="28"/>
      <c r="BA329" s="28"/>
      <c r="BB329" s="28"/>
      <c r="BC329" s="28"/>
      <c r="BD329" s="28"/>
      <c r="BE329" s="28"/>
      <c r="BF329" s="28"/>
      <c r="BG329" s="28"/>
      <c r="BH329" s="28"/>
      <c r="BI329" s="28"/>
      <c r="BJ329" s="28"/>
      <c r="BK329" s="28"/>
      <c r="BL329" s="28"/>
      <c r="BM329" s="28"/>
      <c r="BN329" s="28">
        <f t="shared" si="11"/>
        <v>0</v>
      </c>
      <c r="BO329" s="24">
        <f t="shared" si="14"/>
        <v>2</v>
      </c>
      <c r="BP329" s="23"/>
      <c r="BQ329" s="23"/>
    </row>
    <row r="330" spans="1:69" ht="15.5">
      <c r="A330" s="27" t="s">
        <v>941</v>
      </c>
      <c r="B330" s="27" t="s">
        <v>942</v>
      </c>
      <c r="C330" s="28">
        <v>1</v>
      </c>
      <c r="D330" s="28"/>
      <c r="E330" s="29"/>
      <c r="F330" s="29"/>
      <c r="G330" s="28"/>
      <c r="H330" s="28"/>
      <c r="I330" s="28"/>
      <c r="J330" s="28"/>
      <c r="K330" s="28"/>
      <c r="L330" s="28"/>
      <c r="M330" s="28"/>
      <c r="N330" s="29"/>
      <c r="O330" s="28"/>
      <c r="P330" s="28"/>
      <c r="Q330" s="28"/>
      <c r="R330" s="28"/>
      <c r="S330" s="28"/>
      <c r="T330" s="29"/>
      <c r="U330" s="28"/>
      <c r="V330" s="28"/>
      <c r="W330" s="28"/>
      <c r="X330" s="28"/>
      <c r="Y330" s="28"/>
      <c r="Z330" s="28"/>
      <c r="AA330" s="28">
        <v>1</v>
      </c>
      <c r="AB330" s="28"/>
      <c r="AC330" s="28"/>
      <c r="AD330" s="28"/>
      <c r="AE330" s="28"/>
      <c r="AF330" s="28"/>
      <c r="AG330" s="28"/>
      <c r="AH330" s="28"/>
      <c r="AI330" s="28"/>
      <c r="AJ330" s="28"/>
      <c r="AK330" s="28"/>
      <c r="AL330" s="28"/>
      <c r="AM330" s="29"/>
      <c r="AN330" s="28"/>
      <c r="AO330" s="28"/>
      <c r="AP330" s="28"/>
      <c r="AQ330" s="28"/>
      <c r="AR330" s="28"/>
      <c r="AS330" s="28"/>
      <c r="AT330" s="28"/>
      <c r="AU330" s="8">
        <f t="shared" si="12"/>
        <v>2</v>
      </c>
      <c r="AV330" s="28"/>
      <c r="AW330" s="28"/>
      <c r="AX330" s="28"/>
      <c r="AY330" s="28"/>
      <c r="AZ330" s="28"/>
      <c r="BA330" s="28"/>
      <c r="BB330" s="28"/>
      <c r="BC330" s="28"/>
      <c r="BD330" s="28"/>
      <c r="BE330" s="28"/>
      <c r="BF330" s="28"/>
      <c r="BG330" s="28"/>
      <c r="BH330" s="28"/>
      <c r="BI330" s="28"/>
      <c r="BJ330" s="28"/>
      <c r="BK330" s="28"/>
      <c r="BL330" s="28"/>
      <c r="BM330" s="28"/>
      <c r="BN330" s="28">
        <f t="shared" si="11"/>
        <v>0</v>
      </c>
      <c r="BO330" s="24">
        <f t="shared" si="14"/>
        <v>2</v>
      </c>
      <c r="BP330" s="23"/>
      <c r="BQ330" s="23"/>
    </row>
    <row r="331" spans="1:69" ht="15.5">
      <c r="A331" s="27" t="s">
        <v>945</v>
      </c>
      <c r="B331" s="27" t="s">
        <v>946</v>
      </c>
      <c r="C331" s="28">
        <v>1</v>
      </c>
      <c r="D331" s="28"/>
      <c r="E331" s="29"/>
      <c r="F331" s="29"/>
      <c r="G331" s="28"/>
      <c r="H331" s="28"/>
      <c r="I331" s="28"/>
      <c r="J331" s="28"/>
      <c r="K331" s="28"/>
      <c r="L331" s="28"/>
      <c r="M331" s="28"/>
      <c r="N331" s="29"/>
      <c r="O331" s="28"/>
      <c r="P331" s="28"/>
      <c r="Q331" s="28"/>
      <c r="R331" s="28"/>
      <c r="S331" s="28"/>
      <c r="T331" s="29"/>
      <c r="U331" s="28"/>
      <c r="V331" s="28"/>
      <c r="W331" s="28">
        <v>1</v>
      </c>
      <c r="X331" s="28"/>
      <c r="Y331" s="28"/>
      <c r="Z331" s="28"/>
      <c r="AA331" s="28">
        <v>1</v>
      </c>
      <c r="AB331" s="28"/>
      <c r="AC331" s="28"/>
      <c r="AD331" s="28"/>
      <c r="AE331" s="28"/>
      <c r="AF331" s="28"/>
      <c r="AG331" s="28"/>
      <c r="AH331" s="28"/>
      <c r="AI331" s="28"/>
      <c r="AJ331" s="28"/>
      <c r="AK331" s="28"/>
      <c r="AL331" s="28"/>
      <c r="AM331" s="29"/>
      <c r="AN331" s="28"/>
      <c r="AO331" s="28"/>
      <c r="AP331" s="28"/>
      <c r="AQ331" s="28"/>
      <c r="AR331" s="28"/>
      <c r="AS331" s="28"/>
      <c r="AT331" s="28"/>
      <c r="AU331" s="8">
        <f t="shared" si="12"/>
        <v>3</v>
      </c>
      <c r="AV331" s="28"/>
      <c r="AW331" s="28"/>
      <c r="AX331" s="28">
        <v>1</v>
      </c>
      <c r="AY331" s="28"/>
      <c r="AZ331" s="28"/>
      <c r="BA331" s="28"/>
      <c r="BB331" s="28"/>
      <c r="BC331" s="28"/>
      <c r="BD331" s="28"/>
      <c r="BE331" s="28"/>
      <c r="BF331" s="28"/>
      <c r="BG331" s="28"/>
      <c r="BH331" s="28"/>
      <c r="BI331" s="28"/>
      <c r="BJ331" s="28"/>
      <c r="BK331" s="28"/>
      <c r="BL331" s="28"/>
      <c r="BM331" s="28"/>
      <c r="BN331" s="28">
        <f t="shared" si="11"/>
        <v>1</v>
      </c>
      <c r="BO331" s="24">
        <f t="shared" si="14"/>
        <v>2</v>
      </c>
      <c r="BP331" s="23"/>
      <c r="BQ331" s="23"/>
    </row>
    <row r="332" spans="1:69" ht="15.5">
      <c r="A332" s="27" t="s">
        <v>949</v>
      </c>
      <c r="B332" s="27" t="s">
        <v>950</v>
      </c>
      <c r="C332" s="28">
        <v>1</v>
      </c>
      <c r="D332" s="28"/>
      <c r="E332" s="29"/>
      <c r="F332" s="29"/>
      <c r="G332" s="28"/>
      <c r="H332" s="28"/>
      <c r="I332" s="28"/>
      <c r="J332" s="28"/>
      <c r="K332" s="28"/>
      <c r="L332" s="28"/>
      <c r="M332" s="28"/>
      <c r="N332" s="29"/>
      <c r="O332" s="28"/>
      <c r="P332" s="28"/>
      <c r="Q332" s="28"/>
      <c r="R332" s="28"/>
      <c r="S332" s="28"/>
      <c r="T332" s="29"/>
      <c r="U332" s="28"/>
      <c r="V332" s="28"/>
      <c r="W332" s="28"/>
      <c r="X332" s="28"/>
      <c r="Y332" s="28"/>
      <c r="Z332" s="28"/>
      <c r="AA332" s="28">
        <v>1</v>
      </c>
      <c r="AB332" s="28"/>
      <c r="AC332" s="28"/>
      <c r="AD332" s="28"/>
      <c r="AE332" s="28"/>
      <c r="AF332" s="28"/>
      <c r="AG332" s="28"/>
      <c r="AH332" s="28"/>
      <c r="AI332" s="28"/>
      <c r="AJ332" s="28"/>
      <c r="AK332" s="28"/>
      <c r="AL332" s="28"/>
      <c r="AM332" s="29"/>
      <c r="AN332" s="28"/>
      <c r="AO332" s="28"/>
      <c r="AP332" s="28"/>
      <c r="AQ332" s="28"/>
      <c r="AR332" s="28"/>
      <c r="AS332" s="28"/>
      <c r="AT332" s="28"/>
      <c r="AU332" s="8">
        <f t="shared" si="12"/>
        <v>2</v>
      </c>
      <c r="AV332" s="28">
        <v>1</v>
      </c>
      <c r="AW332" s="28"/>
      <c r="AX332" s="28"/>
      <c r="AY332" s="28"/>
      <c r="AZ332" s="28"/>
      <c r="BA332" s="28"/>
      <c r="BB332" s="28"/>
      <c r="BC332" s="28"/>
      <c r="BD332" s="28"/>
      <c r="BE332" s="28"/>
      <c r="BF332" s="28"/>
      <c r="BG332" s="28"/>
      <c r="BH332" s="28"/>
      <c r="BI332" s="28"/>
      <c r="BJ332" s="28"/>
      <c r="BK332" s="28"/>
      <c r="BL332" s="28"/>
      <c r="BM332" s="28"/>
      <c r="BN332" s="28">
        <f t="shared" si="11"/>
        <v>1</v>
      </c>
      <c r="BO332" s="24">
        <f t="shared" si="14"/>
        <v>1</v>
      </c>
      <c r="BP332" s="23"/>
      <c r="BQ332" s="23"/>
    </row>
    <row r="333" spans="1:69" ht="15.75" customHeight="1">
      <c r="A333" s="27" t="s">
        <v>951</v>
      </c>
      <c r="B333" s="27" t="s">
        <v>952</v>
      </c>
      <c r="C333" s="28">
        <v>1</v>
      </c>
      <c r="D333" s="28"/>
      <c r="E333" s="29"/>
      <c r="F333" s="29"/>
      <c r="G333" s="28"/>
      <c r="H333" s="28"/>
      <c r="I333" s="28"/>
      <c r="J333" s="28"/>
      <c r="K333" s="28"/>
      <c r="L333" s="28"/>
      <c r="M333" s="28"/>
      <c r="N333" s="29"/>
      <c r="O333" s="28"/>
      <c r="P333" s="28"/>
      <c r="Q333" s="28"/>
      <c r="R333" s="28"/>
      <c r="S333" s="28"/>
      <c r="T333" s="29"/>
      <c r="U333" s="28"/>
      <c r="V333" s="28"/>
      <c r="W333" s="28"/>
      <c r="X333" s="28"/>
      <c r="Y333" s="28"/>
      <c r="Z333" s="28"/>
      <c r="AA333" s="28"/>
      <c r="AB333" s="28"/>
      <c r="AC333" s="28"/>
      <c r="AD333" s="28"/>
      <c r="AE333" s="28"/>
      <c r="AF333" s="28"/>
      <c r="AG333" s="28"/>
      <c r="AH333" s="28"/>
      <c r="AI333" s="28"/>
      <c r="AJ333" s="28"/>
      <c r="AK333" s="28"/>
      <c r="AL333" s="28"/>
      <c r="AM333" s="29"/>
      <c r="AN333" s="28"/>
      <c r="AO333" s="28"/>
      <c r="AP333" s="28"/>
      <c r="AQ333" s="28"/>
      <c r="AR333" s="28"/>
      <c r="AS333" s="28"/>
      <c r="AT333" s="28"/>
      <c r="AU333" s="8">
        <f t="shared" si="12"/>
        <v>1</v>
      </c>
      <c r="AV333" s="28"/>
      <c r="AW333" s="28"/>
      <c r="AX333" s="28"/>
      <c r="AY333" s="28"/>
      <c r="AZ333" s="28"/>
      <c r="BA333" s="28"/>
      <c r="BB333" s="28">
        <v>1</v>
      </c>
      <c r="BC333" s="28"/>
      <c r="BD333" s="28"/>
      <c r="BE333" s="28"/>
      <c r="BF333" s="28"/>
      <c r="BG333" s="28"/>
      <c r="BH333" s="28"/>
      <c r="BI333" s="28"/>
      <c r="BJ333" s="28"/>
      <c r="BK333" s="28"/>
      <c r="BL333" s="28"/>
      <c r="BM333" s="28"/>
      <c r="BN333" s="28">
        <f t="shared" si="11"/>
        <v>1</v>
      </c>
      <c r="BO333" s="24">
        <f t="shared" si="14"/>
        <v>0</v>
      </c>
      <c r="BP333" s="23"/>
      <c r="BQ333" s="23"/>
    </row>
    <row r="334" spans="1:69" ht="15.75" customHeight="1">
      <c r="A334" s="27" t="s">
        <v>953</v>
      </c>
      <c r="B334" s="27" t="s">
        <v>954</v>
      </c>
      <c r="C334" s="28">
        <v>1</v>
      </c>
      <c r="D334" s="28"/>
      <c r="E334" s="29"/>
      <c r="F334" s="29"/>
      <c r="G334" s="28"/>
      <c r="H334" s="28"/>
      <c r="I334" s="28"/>
      <c r="J334" s="28"/>
      <c r="K334" s="28"/>
      <c r="L334" s="28"/>
      <c r="M334" s="28"/>
      <c r="N334" s="29"/>
      <c r="O334" s="28"/>
      <c r="P334" s="28"/>
      <c r="Q334" s="28"/>
      <c r="R334" s="28"/>
      <c r="S334" s="28"/>
      <c r="T334" s="29"/>
      <c r="U334" s="28"/>
      <c r="V334" s="28"/>
      <c r="W334" s="28"/>
      <c r="X334" s="28"/>
      <c r="Y334" s="28"/>
      <c r="Z334" s="28"/>
      <c r="AA334" s="28">
        <v>1</v>
      </c>
      <c r="AB334" s="28"/>
      <c r="AC334" s="28"/>
      <c r="AD334" s="28"/>
      <c r="AE334" s="28"/>
      <c r="AF334" s="28"/>
      <c r="AG334" s="28"/>
      <c r="AH334" s="28"/>
      <c r="AI334" s="28"/>
      <c r="AJ334" s="28"/>
      <c r="AK334" s="28"/>
      <c r="AL334" s="28"/>
      <c r="AM334" s="29"/>
      <c r="AN334" s="28"/>
      <c r="AO334" s="28"/>
      <c r="AP334" s="28"/>
      <c r="AQ334" s="28"/>
      <c r="AR334" s="28"/>
      <c r="AS334" s="28"/>
      <c r="AT334" s="28"/>
      <c r="AU334" s="8">
        <f t="shared" si="12"/>
        <v>2</v>
      </c>
      <c r="AV334" s="28"/>
      <c r="AW334" s="28">
        <v>1</v>
      </c>
      <c r="AX334" s="28"/>
      <c r="AY334" s="28"/>
      <c r="AZ334" s="28"/>
      <c r="BA334" s="28"/>
      <c r="BB334" s="28"/>
      <c r="BC334" s="28"/>
      <c r="BD334" s="28"/>
      <c r="BE334" s="28"/>
      <c r="BF334" s="28"/>
      <c r="BG334" s="28"/>
      <c r="BH334" s="28"/>
      <c r="BI334" s="28"/>
      <c r="BJ334" s="28"/>
      <c r="BK334" s="28"/>
      <c r="BL334" s="28"/>
      <c r="BM334" s="28"/>
      <c r="BN334" s="28">
        <f t="shared" si="11"/>
        <v>1</v>
      </c>
      <c r="BO334" s="24">
        <f t="shared" si="14"/>
        <v>1</v>
      </c>
      <c r="BP334" s="23"/>
      <c r="BQ334" s="23"/>
    </row>
    <row r="335" spans="1:69" ht="15.75" customHeight="1">
      <c r="A335" s="27" t="s">
        <v>955</v>
      </c>
      <c r="B335" s="27" t="s">
        <v>956</v>
      </c>
      <c r="C335" s="28">
        <v>1</v>
      </c>
      <c r="D335" s="28"/>
      <c r="E335" s="29"/>
      <c r="F335" s="29"/>
      <c r="G335" s="28"/>
      <c r="H335" s="28"/>
      <c r="I335" s="28"/>
      <c r="J335" s="28"/>
      <c r="K335" s="28"/>
      <c r="L335" s="28"/>
      <c r="M335" s="28"/>
      <c r="N335" s="29"/>
      <c r="O335" s="28"/>
      <c r="P335" s="28"/>
      <c r="Q335" s="28"/>
      <c r="R335" s="28"/>
      <c r="S335" s="28"/>
      <c r="T335" s="29"/>
      <c r="U335" s="28"/>
      <c r="V335" s="28"/>
      <c r="W335" s="28"/>
      <c r="X335" s="28"/>
      <c r="Y335" s="28"/>
      <c r="Z335" s="28"/>
      <c r="AA335" s="28">
        <v>1</v>
      </c>
      <c r="AB335" s="28"/>
      <c r="AC335" s="28"/>
      <c r="AD335" s="28"/>
      <c r="AE335" s="28"/>
      <c r="AF335" s="28"/>
      <c r="AG335" s="28"/>
      <c r="AH335" s="28"/>
      <c r="AI335" s="28"/>
      <c r="AJ335" s="28"/>
      <c r="AK335" s="28"/>
      <c r="AL335" s="28"/>
      <c r="AM335" s="29"/>
      <c r="AN335" s="28"/>
      <c r="AO335" s="28"/>
      <c r="AP335" s="28"/>
      <c r="AQ335" s="28"/>
      <c r="AR335" s="28"/>
      <c r="AS335" s="28"/>
      <c r="AT335" s="28"/>
      <c r="AU335" s="8">
        <f t="shared" si="12"/>
        <v>2</v>
      </c>
      <c r="AV335" s="28"/>
      <c r="AW335" s="28"/>
      <c r="AX335" s="28"/>
      <c r="AY335" s="28">
        <v>1</v>
      </c>
      <c r="AZ335" s="28"/>
      <c r="BA335" s="28"/>
      <c r="BB335" s="28"/>
      <c r="BC335" s="28"/>
      <c r="BD335" s="28"/>
      <c r="BE335" s="28"/>
      <c r="BF335" s="28"/>
      <c r="BG335" s="28"/>
      <c r="BH335" s="28"/>
      <c r="BI335" s="28"/>
      <c r="BJ335" s="28"/>
      <c r="BK335" s="28"/>
      <c r="BL335" s="28"/>
      <c r="BM335" s="28"/>
      <c r="BN335" s="28">
        <f t="shared" si="11"/>
        <v>1</v>
      </c>
      <c r="BO335" s="24">
        <f t="shared" si="14"/>
        <v>1</v>
      </c>
      <c r="BP335" s="23"/>
      <c r="BQ335" s="23"/>
    </row>
    <row r="336" spans="1:69" ht="15.75" customHeight="1">
      <c r="A336" s="27" t="s">
        <v>957</v>
      </c>
      <c r="B336" s="27" t="s">
        <v>958</v>
      </c>
      <c r="C336" s="28">
        <v>1</v>
      </c>
      <c r="D336" s="28"/>
      <c r="E336" s="29"/>
      <c r="F336" s="29"/>
      <c r="G336" s="28"/>
      <c r="H336" s="28"/>
      <c r="I336" s="28"/>
      <c r="J336" s="28"/>
      <c r="K336" s="28"/>
      <c r="L336" s="28"/>
      <c r="M336" s="28"/>
      <c r="N336" s="29"/>
      <c r="O336" s="28"/>
      <c r="P336" s="28"/>
      <c r="Q336" s="28"/>
      <c r="R336" s="28"/>
      <c r="S336" s="28"/>
      <c r="T336" s="29"/>
      <c r="U336" s="28"/>
      <c r="V336" s="28"/>
      <c r="W336" s="28"/>
      <c r="X336" s="28"/>
      <c r="Y336" s="28"/>
      <c r="Z336" s="28"/>
      <c r="AA336" s="28">
        <v>1</v>
      </c>
      <c r="AB336" s="28"/>
      <c r="AC336" s="28"/>
      <c r="AD336" s="28"/>
      <c r="AE336" s="28"/>
      <c r="AF336" s="28"/>
      <c r="AG336" s="28"/>
      <c r="AH336" s="28"/>
      <c r="AI336" s="28"/>
      <c r="AJ336" s="28"/>
      <c r="AK336" s="28"/>
      <c r="AL336" s="28"/>
      <c r="AM336" s="29"/>
      <c r="AN336" s="28"/>
      <c r="AO336" s="28"/>
      <c r="AP336" s="28"/>
      <c r="AQ336" s="28"/>
      <c r="AR336" s="28"/>
      <c r="AS336" s="28"/>
      <c r="AT336" s="28"/>
      <c r="AU336" s="8">
        <f t="shared" si="12"/>
        <v>2</v>
      </c>
      <c r="AV336" s="28">
        <v>1</v>
      </c>
      <c r="AW336" s="28"/>
      <c r="AX336" s="28"/>
      <c r="AY336" s="28"/>
      <c r="AZ336" s="28"/>
      <c r="BA336" s="28"/>
      <c r="BB336" s="28"/>
      <c r="BC336" s="28"/>
      <c r="BD336" s="28"/>
      <c r="BE336" s="28"/>
      <c r="BF336" s="28"/>
      <c r="BG336" s="28"/>
      <c r="BH336" s="28"/>
      <c r="BI336" s="28"/>
      <c r="BJ336" s="28"/>
      <c r="BK336" s="28"/>
      <c r="BL336" s="28"/>
      <c r="BM336" s="28"/>
      <c r="BN336" s="28">
        <f t="shared" si="11"/>
        <v>1</v>
      </c>
      <c r="BO336" s="24">
        <f t="shared" si="14"/>
        <v>1</v>
      </c>
      <c r="BP336" s="23"/>
      <c r="BQ336" s="23"/>
    </row>
    <row r="337" spans="1:69" ht="15.75" customHeight="1">
      <c r="A337" s="27" t="s">
        <v>959</v>
      </c>
      <c r="B337" s="27" t="s">
        <v>960</v>
      </c>
      <c r="C337" s="28">
        <v>1</v>
      </c>
      <c r="D337" s="28"/>
      <c r="E337" s="29"/>
      <c r="F337" s="29"/>
      <c r="G337" s="28"/>
      <c r="H337" s="28"/>
      <c r="I337" s="28"/>
      <c r="J337" s="28"/>
      <c r="K337" s="28"/>
      <c r="L337" s="28"/>
      <c r="M337" s="28"/>
      <c r="N337" s="29"/>
      <c r="O337" s="28"/>
      <c r="P337" s="28"/>
      <c r="Q337" s="28"/>
      <c r="R337" s="28"/>
      <c r="S337" s="28"/>
      <c r="T337" s="29"/>
      <c r="U337" s="28">
        <v>1</v>
      </c>
      <c r="V337" s="28"/>
      <c r="W337" s="28"/>
      <c r="X337" s="28"/>
      <c r="Y337" s="28"/>
      <c r="Z337" s="28"/>
      <c r="AA337" s="28">
        <v>1</v>
      </c>
      <c r="AB337" s="28"/>
      <c r="AC337" s="28"/>
      <c r="AD337" s="28"/>
      <c r="AE337" s="28"/>
      <c r="AF337" s="28"/>
      <c r="AG337" s="28"/>
      <c r="AH337" s="28"/>
      <c r="AI337" s="28"/>
      <c r="AJ337" s="28"/>
      <c r="AK337" s="28"/>
      <c r="AL337" s="28"/>
      <c r="AM337" s="29"/>
      <c r="AN337" s="28"/>
      <c r="AO337" s="28"/>
      <c r="AP337" s="28"/>
      <c r="AQ337" s="28"/>
      <c r="AR337" s="28"/>
      <c r="AS337" s="28"/>
      <c r="AT337" s="28"/>
      <c r="AU337" s="8">
        <f t="shared" si="12"/>
        <v>3</v>
      </c>
      <c r="AV337" s="28"/>
      <c r="AW337" s="28">
        <v>1</v>
      </c>
      <c r="AX337" s="28"/>
      <c r="AY337" s="28"/>
      <c r="AZ337" s="28"/>
      <c r="BA337" s="28"/>
      <c r="BB337" s="28"/>
      <c r="BC337" s="28"/>
      <c r="BD337" s="28"/>
      <c r="BE337" s="28"/>
      <c r="BF337" s="28"/>
      <c r="BG337" s="28"/>
      <c r="BH337" s="28"/>
      <c r="BI337" s="28"/>
      <c r="BJ337" s="28"/>
      <c r="BK337" s="28"/>
      <c r="BL337" s="28"/>
      <c r="BM337" s="28"/>
      <c r="BN337" s="28">
        <f t="shared" si="11"/>
        <v>1</v>
      </c>
      <c r="BO337" s="24">
        <f t="shared" si="14"/>
        <v>2</v>
      </c>
      <c r="BP337" s="23"/>
      <c r="BQ337" s="23"/>
    </row>
    <row r="338" spans="1:69" ht="15.75" customHeight="1">
      <c r="A338" s="27" t="s">
        <v>961</v>
      </c>
      <c r="B338" s="27" t="s">
        <v>962</v>
      </c>
      <c r="C338" s="28">
        <v>1</v>
      </c>
      <c r="D338" s="28"/>
      <c r="E338" s="29"/>
      <c r="F338" s="29"/>
      <c r="G338" s="28"/>
      <c r="H338" s="28"/>
      <c r="I338" s="28"/>
      <c r="J338" s="28"/>
      <c r="K338" s="28"/>
      <c r="L338" s="28"/>
      <c r="M338" s="28"/>
      <c r="N338" s="29"/>
      <c r="O338" s="28"/>
      <c r="P338" s="28"/>
      <c r="Q338" s="28"/>
      <c r="R338" s="28"/>
      <c r="S338" s="28"/>
      <c r="T338" s="29"/>
      <c r="U338" s="28"/>
      <c r="V338" s="28"/>
      <c r="W338" s="28"/>
      <c r="X338" s="28"/>
      <c r="Y338" s="28"/>
      <c r="Z338" s="28"/>
      <c r="AA338" s="28">
        <v>1</v>
      </c>
      <c r="AB338" s="28"/>
      <c r="AC338" s="28"/>
      <c r="AD338" s="28"/>
      <c r="AE338" s="28"/>
      <c r="AF338" s="28"/>
      <c r="AG338" s="28"/>
      <c r="AH338" s="28"/>
      <c r="AI338" s="28"/>
      <c r="AJ338" s="28"/>
      <c r="AK338" s="28"/>
      <c r="AL338" s="28"/>
      <c r="AM338" s="29"/>
      <c r="AN338" s="28"/>
      <c r="AO338" s="28"/>
      <c r="AP338" s="28"/>
      <c r="AQ338" s="28"/>
      <c r="AR338" s="28"/>
      <c r="AS338" s="28"/>
      <c r="AT338" s="28"/>
      <c r="AU338" s="8">
        <f t="shared" si="12"/>
        <v>2</v>
      </c>
      <c r="AV338" s="28"/>
      <c r="AW338" s="28"/>
      <c r="AX338" s="28"/>
      <c r="AY338" s="28"/>
      <c r="AZ338" s="28"/>
      <c r="BA338" s="28">
        <v>1</v>
      </c>
      <c r="BB338" s="28"/>
      <c r="BC338" s="28"/>
      <c r="BD338" s="28"/>
      <c r="BE338" s="28"/>
      <c r="BF338" s="28"/>
      <c r="BG338" s="28"/>
      <c r="BH338" s="28"/>
      <c r="BI338" s="28"/>
      <c r="BJ338" s="28"/>
      <c r="BK338" s="28"/>
      <c r="BL338" s="28"/>
      <c r="BM338" s="28"/>
      <c r="BN338" s="28">
        <f t="shared" si="11"/>
        <v>1</v>
      </c>
      <c r="BO338" s="24">
        <f t="shared" si="14"/>
        <v>1</v>
      </c>
      <c r="BP338" s="23"/>
      <c r="BQ338" s="23"/>
    </row>
    <row r="339" spans="1:69" ht="15.75" customHeight="1">
      <c r="A339" s="27" t="s">
        <v>963</v>
      </c>
      <c r="B339" s="27" t="s">
        <v>964</v>
      </c>
      <c r="C339" s="28">
        <v>1</v>
      </c>
      <c r="D339" s="28"/>
      <c r="E339" s="29"/>
      <c r="F339" s="29"/>
      <c r="G339" s="28"/>
      <c r="H339" s="28"/>
      <c r="I339" s="28"/>
      <c r="J339" s="28"/>
      <c r="K339" s="28"/>
      <c r="L339" s="28"/>
      <c r="M339" s="28"/>
      <c r="N339" s="29"/>
      <c r="O339" s="28"/>
      <c r="P339" s="28"/>
      <c r="Q339" s="28"/>
      <c r="R339" s="28"/>
      <c r="S339" s="28"/>
      <c r="T339" s="29"/>
      <c r="U339" s="28"/>
      <c r="V339" s="28"/>
      <c r="W339" s="28"/>
      <c r="X339" s="28"/>
      <c r="Y339" s="28"/>
      <c r="Z339" s="28"/>
      <c r="AA339" s="28">
        <v>1</v>
      </c>
      <c r="AB339" s="28"/>
      <c r="AC339" s="28"/>
      <c r="AD339" s="28"/>
      <c r="AE339" s="28"/>
      <c r="AF339" s="28"/>
      <c r="AG339" s="28"/>
      <c r="AH339" s="28"/>
      <c r="AI339" s="28"/>
      <c r="AJ339" s="28"/>
      <c r="AK339" s="28"/>
      <c r="AL339" s="28"/>
      <c r="AM339" s="29"/>
      <c r="AN339" s="28"/>
      <c r="AO339" s="28"/>
      <c r="AP339" s="28"/>
      <c r="AQ339" s="28"/>
      <c r="AR339" s="28"/>
      <c r="AS339" s="28"/>
      <c r="AT339" s="28"/>
      <c r="AU339" s="8">
        <f t="shared" si="12"/>
        <v>2</v>
      </c>
      <c r="AV339" s="28"/>
      <c r="AW339" s="28"/>
      <c r="AX339" s="28"/>
      <c r="AY339" s="28"/>
      <c r="AZ339" s="28"/>
      <c r="BA339" s="28"/>
      <c r="BB339" s="28"/>
      <c r="BC339" s="28"/>
      <c r="BD339" s="28"/>
      <c r="BE339" s="28"/>
      <c r="BF339" s="28"/>
      <c r="BG339" s="28"/>
      <c r="BH339" s="28"/>
      <c r="BI339" s="28"/>
      <c r="BJ339" s="28"/>
      <c r="BK339" s="28"/>
      <c r="BL339" s="28"/>
      <c r="BM339" s="28"/>
      <c r="BN339" s="28">
        <f t="shared" si="11"/>
        <v>0</v>
      </c>
      <c r="BO339" s="24">
        <f t="shared" si="14"/>
        <v>2</v>
      </c>
      <c r="BP339" s="23"/>
      <c r="BQ339" s="23"/>
    </row>
    <row r="340" spans="1:69" ht="15.75" customHeight="1">
      <c r="A340" s="27" t="s">
        <v>965</v>
      </c>
      <c r="B340" s="27" t="s">
        <v>966</v>
      </c>
      <c r="C340" s="28">
        <v>1</v>
      </c>
      <c r="D340" s="28"/>
      <c r="E340" s="29"/>
      <c r="F340" s="29"/>
      <c r="G340" s="28"/>
      <c r="H340" s="28"/>
      <c r="I340" s="28"/>
      <c r="J340" s="28"/>
      <c r="K340" s="28"/>
      <c r="L340" s="28"/>
      <c r="M340" s="28"/>
      <c r="N340" s="29"/>
      <c r="O340" s="28"/>
      <c r="P340" s="28"/>
      <c r="Q340" s="28"/>
      <c r="R340" s="28"/>
      <c r="S340" s="28"/>
      <c r="T340" s="29"/>
      <c r="U340" s="28"/>
      <c r="V340" s="28"/>
      <c r="W340" s="28"/>
      <c r="X340" s="28"/>
      <c r="Y340" s="28"/>
      <c r="Z340" s="28"/>
      <c r="AA340" s="28"/>
      <c r="AB340" s="28"/>
      <c r="AC340" s="28"/>
      <c r="AD340" s="28"/>
      <c r="AE340" s="28"/>
      <c r="AF340" s="28"/>
      <c r="AG340" s="28"/>
      <c r="AH340" s="28"/>
      <c r="AI340" s="28"/>
      <c r="AJ340" s="28"/>
      <c r="AK340" s="28"/>
      <c r="AL340" s="28"/>
      <c r="AM340" s="29"/>
      <c r="AN340" s="28"/>
      <c r="AO340" s="28"/>
      <c r="AP340" s="28"/>
      <c r="AQ340" s="28"/>
      <c r="AR340" s="28"/>
      <c r="AS340" s="28"/>
      <c r="AT340" s="28"/>
      <c r="AU340" s="8">
        <f t="shared" si="12"/>
        <v>1</v>
      </c>
      <c r="AV340" s="28"/>
      <c r="AW340" s="28"/>
      <c r="AX340" s="28">
        <v>1</v>
      </c>
      <c r="AY340" s="28"/>
      <c r="AZ340" s="28"/>
      <c r="BA340" s="28"/>
      <c r="BB340" s="28"/>
      <c r="BC340" s="28"/>
      <c r="BD340" s="28"/>
      <c r="BE340" s="28"/>
      <c r="BF340" s="28"/>
      <c r="BG340" s="28"/>
      <c r="BH340" s="28"/>
      <c r="BI340" s="28"/>
      <c r="BJ340" s="28"/>
      <c r="BK340" s="28"/>
      <c r="BL340" s="28"/>
      <c r="BM340" s="28"/>
      <c r="BN340" s="28">
        <f t="shared" si="11"/>
        <v>1</v>
      </c>
      <c r="BO340" s="24">
        <f t="shared" si="14"/>
        <v>0</v>
      </c>
      <c r="BP340" s="23"/>
      <c r="BQ340" s="23"/>
    </row>
    <row r="341" spans="1:69" ht="15.75" customHeight="1">
      <c r="A341" s="27" t="s">
        <v>967</v>
      </c>
      <c r="B341" s="27" t="s">
        <v>968</v>
      </c>
      <c r="C341" s="28"/>
      <c r="D341" s="28"/>
      <c r="E341" s="29"/>
      <c r="F341" s="29"/>
      <c r="G341" s="28"/>
      <c r="H341" s="28"/>
      <c r="I341" s="28"/>
      <c r="J341" s="28"/>
      <c r="K341" s="28"/>
      <c r="L341" s="28"/>
      <c r="M341" s="28"/>
      <c r="N341" s="29"/>
      <c r="O341" s="28"/>
      <c r="P341" s="28"/>
      <c r="Q341" s="28"/>
      <c r="R341" s="28"/>
      <c r="S341" s="28"/>
      <c r="T341" s="29"/>
      <c r="U341" s="28"/>
      <c r="V341" s="28"/>
      <c r="W341" s="28"/>
      <c r="X341" s="28"/>
      <c r="Y341" s="28"/>
      <c r="Z341" s="28"/>
      <c r="AA341" s="28">
        <v>1</v>
      </c>
      <c r="AB341" s="28"/>
      <c r="AC341" s="28"/>
      <c r="AD341" s="28"/>
      <c r="AE341" s="28"/>
      <c r="AF341" s="28"/>
      <c r="AG341" s="28"/>
      <c r="AH341" s="28"/>
      <c r="AI341" s="28"/>
      <c r="AJ341" s="28"/>
      <c r="AK341" s="28"/>
      <c r="AL341" s="28"/>
      <c r="AM341" s="29"/>
      <c r="AN341" s="28"/>
      <c r="AO341" s="28"/>
      <c r="AP341" s="28"/>
      <c r="AQ341" s="28"/>
      <c r="AR341" s="28"/>
      <c r="AS341" s="28"/>
      <c r="AT341" s="28"/>
      <c r="AU341" s="8">
        <f t="shared" si="12"/>
        <v>1</v>
      </c>
      <c r="AV341" s="28"/>
      <c r="AW341" s="28"/>
      <c r="AX341" s="28"/>
      <c r="AY341" s="28"/>
      <c r="AZ341" s="28">
        <v>1</v>
      </c>
      <c r="BA341" s="28"/>
      <c r="BB341" s="28"/>
      <c r="BC341" s="28"/>
      <c r="BD341" s="28"/>
      <c r="BE341" s="28"/>
      <c r="BF341" s="28"/>
      <c r="BG341" s="28"/>
      <c r="BH341" s="28"/>
      <c r="BI341" s="28"/>
      <c r="BJ341" s="28"/>
      <c r="BK341" s="28"/>
      <c r="BL341" s="28"/>
      <c r="BM341" s="28"/>
      <c r="BN341" s="28">
        <f t="shared" si="11"/>
        <v>1</v>
      </c>
      <c r="BO341" s="24">
        <f t="shared" si="14"/>
        <v>0</v>
      </c>
      <c r="BP341" s="23"/>
      <c r="BQ341" s="23"/>
    </row>
    <row r="342" spans="1:69" ht="15.75" customHeight="1">
      <c r="A342" s="27" t="s">
        <v>969</v>
      </c>
      <c r="B342" s="27" t="s">
        <v>970</v>
      </c>
      <c r="C342" s="28">
        <v>1</v>
      </c>
      <c r="D342" s="28"/>
      <c r="E342" s="29">
        <v>-1</v>
      </c>
      <c r="F342" s="29"/>
      <c r="G342" s="28"/>
      <c r="H342" s="28"/>
      <c r="I342" s="28"/>
      <c r="J342" s="28"/>
      <c r="K342" s="28"/>
      <c r="L342" s="28"/>
      <c r="M342" s="28"/>
      <c r="N342" s="29"/>
      <c r="O342" s="28"/>
      <c r="P342" s="28"/>
      <c r="Q342" s="28"/>
      <c r="R342" s="28"/>
      <c r="S342" s="28"/>
      <c r="T342" s="29"/>
      <c r="U342" s="28"/>
      <c r="V342" s="28"/>
      <c r="W342" s="28"/>
      <c r="X342" s="28"/>
      <c r="Y342" s="28"/>
      <c r="Z342" s="28"/>
      <c r="AA342" s="28"/>
      <c r="AB342" s="28"/>
      <c r="AC342" s="28"/>
      <c r="AD342" s="28"/>
      <c r="AE342" s="28"/>
      <c r="AF342" s="28"/>
      <c r="AG342" s="28"/>
      <c r="AH342" s="28"/>
      <c r="AI342" s="28"/>
      <c r="AJ342" s="28"/>
      <c r="AK342" s="28"/>
      <c r="AL342" s="28"/>
      <c r="AM342" s="29"/>
      <c r="AN342" s="28"/>
      <c r="AO342" s="28"/>
      <c r="AP342" s="28"/>
      <c r="AQ342" s="28"/>
      <c r="AR342" s="28"/>
      <c r="AS342" s="28"/>
      <c r="AT342" s="28"/>
      <c r="AU342" s="8">
        <f t="shared" si="12"/>
        <v>0</v>
      </c>
      <c r="AV342" s="28"/>
      <c r="AW342" s="28"/>
      <c r="AX342" s="28"/>
      <c r="AY342" s="28"/>
      <c r="AZ342" s="28"/>
      <c r="BA342" s="28"/>
      <c r="BB342" s="28"/>
      <c r="BC342" s="28"/>
      <c r="BD342" s="28"/>
      <c r="BE342" s="28"/>
      <c r="BF342" s="28"/>
      <c r="BG342" s="28"/>
      <c r="BH342" s="28"/>
      <c r="BI342" s="28"/>
      <c r="BJ342" s="28"/>
      <c r="BK342" s="28"/>
      <c r="BL342" s="28"/>
      <c r="BM342" s="28"/>
      <c r="BN342" s="28">
        <f t="shared" si="11"/>
        <v>0</v>
      </c>
      <c r="BO342" s="24">
        <f t="shared" si="14"/>
        <v>0</v>
      </c>
      <c r="BP342" s="23"/>
      <c r="BQ342" s="23"/>
    </row>
    <row r="343" spans="1:69" ht="15.75" customHeight="1">
      <c r="A343" s="27" t="s">
        <v>821</v>
      </c>
      <c r="B343" s="27" t="s">
        <v>822</v>
      </c>
      <c r="C343" s="28">
        <v>1</v>
      </c>
      <c r="D343" s="28"/>
      <c r="E343" s="29"/>
      <c r="F343" s="29"/>
      <c r="G343" s="28"/>
      <c r="H343" s="28"/>
      <c r="I343" s="28"/>
      <c r="J343" s="28"/>
      <c r="K343" s="28"/>
      <c r="L343" s="28"/>
      <c r="M343" s="28"/>
      <c r="N343" s="29"/>
      <c r="O343" s="28"/>
      <c r="P343" s="28"/>
      <c r="Q343" s="28"/>
      <c r="R343" s="28"/>
      <c r="S343" s="28"/>
      <c r="T343" s="29"/>
      <c r="U343" s="28"/>
      <c r="V343" s="28"/>
      <c r="W343" s="28"/>
      <c r="X343" s="28"/>
      <c r="Y343" s="28"/>
      <c r="Z343" s="28"/>
      <c r="AA343" s="28"/>
      <c r="AB343" s="28"/>
      <c r="AC343" s="28"/>
      <c r="AD343" s="28"/>
      <c r="AE343" s="28"/>
      <c r="AF343" s="28"/>
      <c r="AG343" s="28"/>
      <c r="AH343" s="28"/>
      <c r="AI343" s="28"/>
      <c r="AJ343" s="28"/>
      <c r="AK343" s="28"/>
      <c r="AL343" s="28"/>
      <c r="AM343" s="29"/>
      <c r="AN343" s="28"/>
      <c r="AO343" s="28"/>
      <c r="AP343" s="28"/>
      <c r="AQ343" s="28"/>
      <c r="AR343" s="28"/>
      <c r="AS343" s="28"/>
      <c r="AT343" s="28"/>
      <c r="AU343" s="8">
        <f t="shared" si="12"/>
        <v>1</v>
      </c>
      <c r="AV343" s="28"/>
      <c r="AW343" s="28"/>
      <c r="AX343" s="28"/>
      <c r="AY343" s="28"/>
      <c r="AZ343" s="28"/>
      <c r="BA343" s="28"/>
      <c r="BB343" s="28"/>
      <c r="BC343" s="28"/>
      <c r="BD343" s="28"/>
      <c r="BE343" s="28"/>
      <c r="BF343" s="28"/>
      <c r="BG343" s="28"/>
      <c r="BH343" s="28"/>
      <c r="BI343" s="28"/>
      <c r="BJ343" s="28"/>
      <c r="BK343" s="28"/>
      <c r="BL343" s="28"/>
      <c r="BM343" s="28"/>
      <c r="BN343" s="28">
        <f t="shared" si="11"/>
        <v>0</v>
      </c>
      <c r="BO343" s="24">
        <f t="shared" si="14"/>
        <v>1</v>
      </c>
      <c r="BP343" s="23"/>
      <c r="BQ343" s="23"/>
    </row>
    <row r="344" spans="1:69" ht="15.75" customHeight="1">
      <c r="A344" s="27" t="s">
        <v>823</v>
      </c>
      <c r="B344" s="27" t="s">
        <v>824</v>
      </c>
      <c r="C344" s="28">
        <v>1</v>
      </c>
      <c r="D344" s="28"/>
      <c r="E344" s="29"/>
      <c r="F344" s="29"/>
      <c r="G344" s="28"/>
      <c r="H344" s="28"/>
      <c r="I344" s="28"/>
      <c r="J344" s="28"/>
      <c r="K344" s="28"/>
      <c r="L344" s="28"/>
      <c r="M344" s="28"/>
      <c r="N344" s="29"/>
      <c r="O344" s="28"/>
      <c r="P344" s="28"/>
      <c r="Q344" s="28"/>
      <c r="R344" s="28"/>
      <c r="S344" s="28"/>
      <c r="T344" s="29"/>
      <c r="U344" s="28"/>
      <c r="V344" s="28"/>
      <c r="W344" s="28"/>
      <c r="X344" s="28"/>
      <c r="Y344" s="28"/>
      <c r="Z344" s="28"/>
      <c r="AA344" s="28"/>
      <c r="AB344" s="28"/>
      <c r="AC344" s="28"/>
      <c r="AD344" s="28"/>
      <c r="AE344" s="28"/>
      <c r="AF344" s="28"/>
      <c r="AG344" s="28"/>
      <c r="AH344" s="28"/>
      <c r="AI344" s="28"/>
      <c r="AJ344" s="28"/>
      <c r="AK344" s="28"/>
      <c r="AL344" s="28"/>
      <c r="AM344" s="29"/>
      <c r="AN344" s="28"/>
      <c r="AO344" s="28"/>
      <c r="AP344" s="28"/>
      <c r="AQ344" s="28"/>
      <c r="AR344" s="28"/>
      <c r="AS344" s="28"/>
      <c r="AT344" s="28"/>
      <c r="AU344" s="8">
        <f t="shared" si="12"/>
        <v>1</v>
      </c>
      <c r="AV344" s="28"/>
      <c r="AW344" s="28"/>
      <c r="AX344" s="28"/>
      <c r="AY344" s="28"/>
      <c r="AZ344" s="28"/>
      <c r="BA344" s="28"/>
      <c r="BB344" s="28"/>
      <c r="BC344" s="28"/>
      <c r="BD344" s="28"/>
      <c r="BE344" s="28"/>
      <c r="BF344" s="28"/>
      <c r="BG344" s="28"/>
      <c r="BH344" s="28"/>
      <c r="BI344" s="28"/>
      <c r="BJ344" s="28"/>
      <c r="BK344" s="28"/>
      <c r="BL344" s="28"/>
      <c r="BM344" s="28"/>
      <c r="BN344" s="28">
        <f t="shared" si="11"/>
        <v>0</v>
      </c>
      <c r="BO344" s="24">
        <f t="shared" si="14"/>
        <v>1</v>
      </c>
      <c r="BP344" s="23"/>
      <c r="BQ344" s="23"/>
    </row>
    <row r="345" spans="1:69" ht="15.75" customHeight="1">
      <c r="A345" s="27" t="s">
        <v>825</v>
      </c>
      <c r="B345" s="27" t="s">
        <v>826</v>
      </c>
      <c r="C345" s="28">
        <v>1</v>
      </c>
      <c r="D345" s="28"/>
      <c r="E345" s="29"/>
      <c r="F345" s="29"/>
      <c r="G345" s="28"/>
      <c r="H345" s="28"/>
      <c r="I345" s="28"/>
      <c r="J345" s="28"/>
      <c r="K345" s="28"/>
      <c r="L345" s="28"/>
      <c r="M345" s="28"/>
      <c r="N345" s="29"/>
      <c r="O345" s="28"/>
      <c r="P345" s="28"/>
      <c r="Q345" s="28"/>
      <c r="R345" s="28"/>
      <c r="S345" s="28"/>
      <c r="T345" s="29"/>
      <c r="U345" s="28"/>
      <c r="V345" s="28"/>
      <c r="W345" s="28"/>
      <c r="X345" s="28"/>
      <c r="Y345" s="28"/>
      <c r="Z345" s="28"/>
      <c r="AA345" s="28"/>
      <c r="AB345" s="28"/>
      <c r="AC345" s="28"/>
      <c r="AD345" s="28"/>
      <c r="AE345" s="28"/>
      <c r="AF345" s="28"/>
      <c r="AG345" s="28"/>
      <c r="AH345" s="28"/>
      <c r="AI345" s="28"/>
      <c r="AJ345" s="28"/>
      <c r="AK345" s="28"/>
      <c r="AL345" s="28"/>
      <c r="AM345" s="29"/>
      <c r="AN345" s="28"/>
      <c r="AO345" s="28"/>
      <c r="AP345" s="28"/>
      <c r="AQ345" s="28"/>
      <c r="AR345" s="28"/>
      <c r="AS345" s="28"/>
      <c r="AT345" s="28"/>
      <c r="AU345" s="8">
        <f t="shared" si="12"/>
        <v>1</v>
      </c>
      <c r="AV345" s="28"/>
      <c r="AW345" s="28"/>
      <c r="AX345" s="28"/>
      <c r="AY345" s="28"/>
      <c r="AZ345" s="28"/>
      <c r="BA345" s="28"/>
      <c r="BB345" s="28"/>
      <c r="BC345" s="28"/>
      <c r="BD345" s="28"/>
      <c r="BE345" s="28"/>
      <c r="BF345" s="28"/>
      <c r="BG345" s="28"/>
      <c r="BH345" s="28"/>
      <c r="BI345" s="28"/>
      <c r="BJ345" s="28"/>
      <c r="BK345" s="28"/>
      <c r="BL345" s="28"/>
      <c r="BM345" s="28"/>
      <c r="BN345" s="28">
        <f t="shared" si="11"/>
        <v>0</v>
      </c>
      <c r="BO345" s="24">
        <f t="shared" si="14"/>
        <v>1</v>
      </c>
      <c r="BP345" s="23"/>
      <c r="BQ345" s="23"/>
    </row>
    <row r="346" spans="1:69" ht="15.75" customHeight="1">
      <c r="A346" s="27" t="s">
        <v>827</v>
      </c>
      <c r="B346" s="27" t="s">
        <v>828</v>
      </c>
      <c r="C346" s="28">
        <v>1</v>
      </c>
      <c r="D346" s="28"/>
      <c r="E346" s="29"/>
      <c r="F346" s="29"/>
      <c r="G346" s="28"/>
      <c r="H346" s="28"/>
      <c r="I346" s="28"/>
      <c r="J346" s="28"/>
      <c r="K346" s="28"/>
      <c r="L346" s="28"/>
      <c r="M346" s="28"/>
      <c r="N346" s="29"/>
      <c r="O346" s="28"/>
      <c r="P346" s="28"/>
      <c r="Q346" s="28"/>
      <c r="R346" s="28"/>
      <c r="S346" s="28"/>
      <c r="T346" s="29"/>
      <c r="U346" s="28"/>
      <c r="V346" s="28"/>
      <c r="W346" s="28"/>
      <c r="X346" s="28"/>
      <c r="Y346" s="28"/>
      <c r="Z346" s="28"/>
      <c r="AA346" s="28"/>
      <c r="AB346" s="28"/>
      <c r="AC346" s="28"/>
      <c r="AD346" s="28"/>
      <c r="AE346" s="28"/>
      <c r="AF346" s="28"/>
      <c r="AG346" s="28"/>
      <c r="AH346" s="28"/>
      <c r="AI346" s="28"/>
      <c r="AJ346" s="28"/>
      <c r="AK346" s="28"/>
      <c r="AL346" s="28"/>
      <c r="AM346" s="29"/>
      <c r="AN346" s="28"/>
      <c r="AO346" s="28"/>
      <c r="AP346" s="28"/>
      <c r="AQ346" s="28"/>
      <c r="AR346" s="28"/>
      <c r="AS346" s="28"/>
      <c r="AT346" s="28"/>
      <c r="AU346" s="8">
        <f t="shared" si="12"/>
        <v>1</v>
      </c>
      <c r="AV346" s="28"/>
      <c r="AW346" s="28"/>
      <c r="AX346" s="28"/>
      <c r="AY346" s="28"/>
      <c r="AZ346" s="28"/>
      <c r="BA346" s="28"/>
      <c r="BB346" s="28"/>
      <c r="BC346" s="28"/>
      <c r="BD346" s="28"/>
      <c r="BE346" s="28"/>
      <c r="BF346" s="28"/>
      <c r="BG346" s="28"/>
      <c r="BH346" s="28"/>
      <c r="BI346" s="28"/>
      <c r="BJ346" s="28"/>
      <c r="BK346" s="28"/>
      <c r="BL346" s="28"/>
      <c r="BM346" s="28"/>
      <c r="BN346" s="28">
        <f t="shared" si="11"/>
        <v>0</v>
      </c>
      <c r="BO346" s="24">
        <f t="shared" si="14"/>
        <v>1</v>
      </c>
      <c r="BP346" s="23"/>
      <c r="BQ346" s="23"/>
    </row>
    <row r="347" spans="1:69" ht="15.75" customHeight="1">
      <c r="A347" s="27" t="s">
        <v>829</v>
      </c>
      <c r="B347" s="27" t="s">
        <v>830</v>
      </c>
      <c r="C347" s="28">
        <v>1</v>
      </c>
      <c r="D347" s="28"/>
      <c r="E347" s="29"/>
      <c r="F347" s="29"/>
      <c r="G347" s="28"/>
      <c r="H347" s="28"/>
      <c r="I347" s="28"/>
      <c r="J347" s="28"/>
      <c r="K347" s="28"/>
      <c r="L347" s="28"/>
      <c r="M347" s="28"/>
      <c r="N347" s="29"/>
      <c r="O347" s="28"/>
      <c r="P347" s="28"/>
      <c r="Q347" s="28"/>
      <c r="R347" s="28"/>
      <c r="S347" s="28"/>
      <c r="T347" s="29"/>
      <c r="U347" s="28"/>
      <c r="V347" s="28"/>
      <c r="W347" s="28"/>
      <c r="X347" s="28"/>
      <c r="Y347" s="28"/>
      <c r="Z347" s="28"/>
      <c r="AA347" s="28"/>
      <c r="AB347" s="28"/>
      <c r="AC347" s="28"/>
      <c r="AD347" s="28"/>
      <c r="AE347" s="28"/>
      <c r="AF347" s="28"/>
      <c r="AG347" s="28"/>
      <c r="AH347" s="28"/>
      <c r="AI347" s="28"/>
      <c r="AJ347" s="28"/>
      <c r="AK347" s="28"/>
      <c r="AL347" s="28"/>
      <c r="AM347" s="29"/>
      <c r="AN347" s="28"/>
      <c r="AO347" s="28"/>
      <c r="AP347" s="28"/>
      <c r="AQ347" s="28"/>
      <c r="AR347" s="28"/>
      <c r="AS347" s="28"/>
      <c r="AT347" s="28"/>
      <c r="AU347" s="8">
        <f t="shared" si="12"/>
        <v>1</v>
      </c>
      <c r="AV347" s="28"/>
      <c r="AW347" s="28"/>
      <c r="AX347" s="28"/>
      <c r="AY347" s="28"/>
      <c r="AZ347" s="28"/>
      <c r="BA347" s="28"/>
      <c r="BB347" s="28"/>
      <c r="BC347" s="28"/>
      <c r="BD347" s="28"/>
      <c r="BE347" s="28"/>
      <c r="BF347" s="28"/>
      <c r="BG347" s="28"/>
      <c r="BH347" s="28"/>
      <c r="BI347" s="28"/>
      <c r="BJ347" s="28"/>
      <c r="BK347" s="28"/>
      <c r="BL347" s="28"/>
      <c r="BM347" s="28"/>
      <c r="BN347" s="28">
        <f t="shared" si="11"/>
        <v>0</v>
      </c>
      <c r="BO347" s="24">
        <f t="shared" si="14"/>
        <v>1</v>
      </c>
      <c r="BP347" s="23"/>
      <c r="BQ347" s="23"/>
    </row>
    <row r="348" spans="1:69" ht="15.75" customHeight="1">
      <c r="A348" s="27" t="s">
        <v>831</v>
      </c>
      <c r="B348" s="27" t="s">
        <v>832</v>
      </c>
      <c r="C348" s="28">
        <v>1</v>
      </c>
      <c r="D348" s="28"/>
      <c r="E348" s="29"/>
      <c r="F348" s="29"/>
      <c r="G348" s="28"/>
      <c r="H348" s="28"/>
      <c r="I348" s="28"/>
      <c r="J348" s="28"/>
      <c r="K348" s="28"/>
      <c r="L348" s="28"/>
      <c r="M348" s="28"/>
      <c r="N348" s="29"/>
      <c r="O348" s="28"/>
      <c r="P348" s="28"/>
      <c r="Q348" s="28"/>
      <c r="R348" s="28"/>
      <c r="S348" s="28"/>
      <c r="T348" s="29"/>
      <c r="U348" s="28"/>
      <c r="V348" s="28"/>
      <c r="W348" s="28"/>
      <c r="X348" s="28"/>
      <c r="Y348" s="28"/>
      <c r="Z348" s="28"/>
      <c r="AA348" s="28"/>
      <c r="AB348" s="28"/>
      <c r="AC348" s="28"/>
      <c r="AD348" s="28"/>
      <c r="AE348" s="28"/>
      <c r="AF348" s="28"/>
      <c r="AG348" s="28"/>
      <c r="AH348" s="28"/>
      <c r="AI348" s="28"/>
      <c r="AJ348" s="28"/>
      <c r="AK348" s="28"/>
      <c r="AL348" s="28"/>
      <c r="AM348" s="29"/>
      <c r="AN348" s="28"/>
      <c r="AO348" s="28"/>
      <c r="AP348" s="28"/>
      <c r="AQ348" s="28"/>
      <c r="AR348" s="28"/>
      <c r="AS348" s="28"/>
      <c r="AT348" s="28"/>
      <c r="AU348" s="8">
        <f t="shared" si="12"/>
        <v>1</v>
      </c>
      <c r="AV348" s="28"/>
      <c r="AW348" s="28"/>
      <c r="AX348" s="28"/>
      <c r="AY348" s="28"/>
      <c r="AZ348" s="28"/>
      <c r="BA348" s="28"/>
      <c r="BB348" s="28"/>
      <c r="BC348" s="28"/>
      <c r="BD348" s="28"/>
      <c r="BE348" s="28"/>
      <c r="BF348" s="28"/>
      <c r="BG348" s="28"/>
      <c r="BH348" s="28"/>
      <c r="BI348" s="28"/>
      <c r="BJ348" s="28"/>
      <c r="BK348" s="28"/>
      <c r="BL348" s="28"/>
      <c r="BM348" s="28"/>
      <c r="BN348" s="28">
        <f t="shared" si="11"/>
        <v>0</v>
      </c>
      <c r="BO348" s="24">
        <f t="shared" si="14"/>
        <v>1</v>
      </c>
      <c r="BP348" s="23"/>
      <c r="BQ348" s="23"/>
    </row>
    <row r="349" spans="1:69" ht="15.75" customHeight="1">
      <c r="A349" s="27" t="s">
        <v>971</v>
      </c>
      <c r="B349" s="27" t="s">
        <v>972</v>
      </c>
      <c r="C349" s="28">
        <v>1</v>
      </c>
      <c r="D349" s="28"/>
      <c r="E349" s="29"/>
      <c r="F349" s="29"/>
      <c r="G349" s="28"/>
      <c r="H349" s="28"/>
      <c r="I349" s="28"/>
      <c r="J349" s="28"/>
      <c r="K349" s="28"/>
      <c r="L349" s="28"/>
      <c r="M349" s="28"/>
      <c r="N349" s="29"/>
      <c r="O349" s="28"/>
      <c r="P349" s="28"/>
      <c r="Q349" s="28"/>
      <c r="R349" s="28"/>
      <c r="S349" s="28"/>
      <c r="T349" s="29"/>
      <c r="U349" s="28"/>
      <c r="V349" s="28"/>
      <c r="W349" s="28"/>
      <c r="X349" s="28"/>
      <c r="Y349" s="28"/>
      <c r="Z349" s="28"/>
      <c r="AA349" s="28"/>
      <c r="AB349" s="28"/>
      <c r="AC349" s="28"/>
      <c r="AD349" s="28"/>
      <c r="AE349" s="28"/>
      <c r="AF349" s="28"/>
      <c r="AG349" s="28"/>
      <c r="AH349" s="28"/>
      <c r="AI349" s="28"/>
      <c r="AJ349" s="28"/>
      <c r="AK349" s="28"/>
      <c r="AL349" s="28"/>
      <c r="AM349" s="29"/>
      <c r="AN349" s="28"/>
      <c r="AO349" s="28"/>
      <c r="AP349" s="28"/>
      <c r="AQ349" s="28"/>
      <c r="AR349" s="28"/>
      <c r="AS349" s="28"/>
      <c r="AT349" s="28"/>
      <c r="AU349" s="8">
        <f t="shared" si="12"/>
        <v>1</v>
      </c>
      <c r="AV349" s="28"/>
      <c r="AW349" s="28"/>
      <c r="AX349" s="28"/>
      <c r="AY349" s="28"/>
      <c r="AZ349" s="28"/>
      <c r="BA349" s="28"/>
      <c r="BB349" s="28"/>
      <c r="BC349" s="28"/>
      <c r="BD349" s="28"/>
      <c r="BE349" s="28"/>
      <c r="BF349" s="28"/>
      <c r="BG349" s="28"/>
      <c r="BH349" s="28"/>
      <c r="BI349" s="28"/>
      <c r="BJ349" s="28"/>
      <c r="BK349" s="28"/>
      <c r="BL349" s="28"/>
      <c r="BM349" s="28"/>
      <c r="BN349" s="28">
        <f t="shared" si="11"/>
        <v>0</v>
      </c>
      <c r="BO349" s="24">
        <f t="shared" si="14"/>
        <v>1</v>
      </c>
      <c r="BP349" s="23"/>
      <c r="BQ349" s="23"/>
    </row>
    <row r="350" spans="1:69" ht="15.75" customHeight="1">
      <c r="A350" s="27" t="s">
        <v>973</v>
      </c>
      <c r="B350" s="27" t="s">
        <v>974</v>
      </c>
      <c r="C350" s="28">
        <v>1</v>
      </c>
      <c r="D350" s="28"/>
      <c r="E350" s="29"/>
      <c r="F350" s="29"/>
      <c r="G350" s="28"/>
      <c r="H350" s="28"/>
      <c r="I350" s="28"/>
      <c r="J350" s="28"/>
      <c r="K350" s="28"/>
      <c r="L350" s="28"/>
      <c r="M350" s="28"/>
      <c r="N350" s="29"/>
      <c r="O350" s="28"/>
      <c r="P350" s="28"/>
      <c r="Q350" s="28"/>
      <c r="R350" s="28"/>
      <c r="S350" s="28"/>
      <c r="T350" s="29"/>
      <c r="U350" s="28"/>
      <c r="V350" s="28"/>
      <c r="W350" s="28"/>
      <c r="X350" s="28"/>
      <c r="Y350" s="28"/>
      <c r="Z350" s="28"/>
      <c r="AA350" s="28"/>
      <c r="AB350" s="28"/>
      <c r="AC350" s="28"/>
      <c r="AD350" s="28"/>
      <c r="AE350" s="28"/>
      <c r="AF350" s="28"/>
      <c r="AG350" s="28"/>
      <c r="AH350" s="28"/>
      <c r="AI350" s="28"/>
      <c r="AJ350" s="28"/>
      <c r="AK350" s="28"/>
      <c r="AL350" s="28"/>
      <c r="AM350" s="29"/>
      <c r="AN350" s="28"/>
      <c r="AO350" s="28"/>
      <c r="AP350" s="28"/>
      <c r="AQ350" s="28"/>
      <c r="AR350" s="28"/>
      <c r="AS350" s="28"/>
      <c r="AT350" s="28"/>
      <c r="AU350" s="8">
        <f t="shared" si="12"/>
        <v>1</v>
      </c>
      <c r="AV350" s="28"/>
      <c r="AW350" s="28"/>
      <c r="AX350" s="28"/>
      <c r="AY350" s="28"/>
      <c r="AZ350" s="28"/>
      <c r="BA350" s="28"/>
      <c r="BB350" s="28"/>
      <c r="BC350" s="28"/>
      <c r="BD350" s="28"/>
      <c r="BE350" s="28"/>
      <c r="BF350" s="28"/>
      <c r="BG350" s="28"/>
      <c r="BH350" s="28"/>
      <c r="BI350" s="28"/>
      <c r="BJ350" s="28"/>
      <c r="BK350" s="28"/>
      <c r="BL350" s="28"/>
      <c r="BM350" s="28"/>
      <c r="BN350" s="28">
        <f t="shared" si="11"/>
        <v>0</v>
      </c>
      <c r="BO350" s="24">
        <f t="shared" si="14"/>
        <v>1</v>
      </c>
      <c r="BP350" s="23"/>
      <c r="BQ350" s="23"/>
    </row>
    <row r="351" spans="1:69" ht="15.75" customHeight="1">
      <c r="A351" s="27" t="s">
        <v>833</v>
      </c>
      <c r="B351" s="27" t="s">
        <v>834</v>
      </c>
      <c r="C351" s="28">
        <v>1</v>
      </c>
      <c r="D351" s="28"/>
      <c r="E351" s="29"/>
      <c r="F351" s="29"/>
      <c r="G351" s="28"/>
      <c r="H351" s="28"/>
      <c r="I351" s="28"/>
      <c r="J351" s="28"/>
      <c r="K351" s="28"/>
      <c r="L351" s="28"/>
      <c r="M351" s="28"/>
      <c r="N351" s="29"/>
      <c r="O351" s="28"/>
      <c r="P351" s="28"/>
      <c r="Q351" s="28"/>
      <c r="R351" s="28"/>
      <c r="S351" s="28"/>
      <c r="T351" s="29"/>
      <c r="U351" s="28"/>
      <c r="V351" s="28"/>
      <c r="W351" s="28"/>
      <c r="X351" s="28"/>
      <c r="Y351" s="28"/>
      <c r="Z351" s="28"/>
      <c r="AA351" s="28"/>
      <c r="AB351" s="28"/>
      <c r="AC351" s="28"/>
      <c r="AD351" s="28"/>
      <c r="AE351" s="28"/>
      <c r="AF351" s="28"/>
      <c r="AG351" s="28"/>
      <c r="AH351" s="28"/>
      <c r="AI351" s="28"/>
      <c r="AJ351" s="28"/>
      <c r="AK351" s="28"/>
      <c r="AL351" s="28"/>
      <c r="AM351" s="29"/>
      <c r="AN351" s="28"/>
      <c r="AO351" s="28"/>
      <c r="AP351" s="28"/>
      <c r="AQ351" s="28"/>
      <c r="AR351" s="28"/>
      <c r="AS351" s="28"/>
      <c r="AT351" s="28"/>
      <c r="AU351" s="8">
        <f t="shared" si="12"/>
        <v>1</v>
      </c>
      <c r="AV351" s="28"/>
      <c r="AW351" s="28"/>
      <c r="AX351" s="28"/>
      <c r="AY351" s="28"/>
      <c r="AZ351" s="28"/>
      <c r="BA351" s="28"/>
      <c r="BB351" s="28"/>
      <c r="BC351" s="28"/>
      <c r="BD351" s="28"/>
      <c r="BE351" s="28"/>
      <c r="BF351" s="28"/>
      <c r="BG351" s="28"/>
      <c r="BH351" s="28"/>
      <c r="BI351" s="28"/>
      <c r="BJ351" s="28"/>
      <c r="BK351" s="28"/>
      <c r="BL351" s="28"/>
      <c r="BM351" s="28"/>
      <c r="BN351" s="28">
        <f t="shared" si="11"/>
        <v>0</v>
      </c>
      <c r="BO351" s="24">
        <f t="shared" si="14"/>
        <v>1</v>
      </c>
      <c r="BP351" s="23"/>
      <c r="BQ351" s="23"/>
    </row>
    <row r="352" spans="1:69" ht="15.75" customHeight="1">
      <c r="A352" s="27" t="s">
        <v>835</v>
      </c>
      <c r="B352" s="27" t="s">
        <v>836</v>
      </c>
      <c r="C352" s="28">
        <v>1</v>
      </c>
      <c r="D352" s="28"/>
      <c r="E352" s="29"/>
      <c r="F352" s="29"/>
      <c r="G352" s="28"/>
      <c r="H352" s="28"/>
      <c r="I352" s="28"/>
      <c r="J352" s="28"/>
      <c r="K352" s="28"/>
      <c r="L352" s="28"/>
      <c r="M352" s="28"/>
      <c r="N352" s="29"/>
      <c r="O352" s="28"/>
      <c r="P352" s="28"/>
      <c r="Q352" s="28"/>
      <c r="R352" s="28"/>
      <c r="S352" s="28"/>
      <c r="T352" s="29"/>
      <c r="U352" s="28"/>
      <c r="V352" s="28"/>
      <c r="W352" s="28"/>
      <c r="X352" s="28"/>
      <c r="Y352" s="28"/>
      <c r="Z352" s="28"/>
      <c r="AA352" s="28"/>
      <c r="AB352" s="28"/>
      <c r="AC352" s="28"/>
      <c r="AD352" s="28"/>
      <c r="AE352" s="28"/>
      <c r="AF352" s="28"/>
      <c r="AG352" s="28"/>
      <c r="AH352" s="28"/>
      <c r="AI352" s="28"/>
      <c r="AJ352" s="28"/>
      <c r="AK352" s="28"/>
      <c r="AL352" s="28"/>
      <c r="AM352" s="29"/>
      <c r="AN352" s="28"/>
      <c r="AO352" s="28"/>
      <c r="AP352" s="28"/>
      <c r="AQ352" s="28"/>
      <c r="AR352" s="28"/>
      <c r="AS352" s="28"/>
      <c r="AT352" s="28"/>
      <c r="AU352" s="8">
        <f t="shared" si="12"/>
        <v>1</v>
      </c>
      <c r="AV352" s="28"/>
      <c r="AW352" s="28"/>
      <c r="AX352" s="28"/>
      <c r="AY352" s="28"/>
      <c r="AZ352" s="28"/>
      <c r="BA352" s="28"/>
      <c r="BB352" s="28"/>
      <c r="BC352" s="28"/>
      <c r="BD352" s="28"/>
      <c r="BE352" s="28"/>
      <c r="BF352" s="28"/>
      <c r="BG352" s="28"/>
      <c r="BH352" s="28"/>
      <c r="BI352" s="28"/>
      <c r="BJ352" s="28"/>
      <c r="BK352" s="28"/>
      <c r="BL352" s="28"/>
      <c r="BM352" s="28"/>
      <c r="BN352" s="28">
        <f t="shared" si="11"/>
        <v>0</v>
      </c>
      <c r="BO352" s="24">
        <f t="shared" si="14"/>
        <v>1</v>
      </c>
      <c r="BP352" s="23"/>
      <c r="BQ352" s="23"/>
    </row>
    <row r="353" spans="1:69" ht="15.75" customHeight="1">
      <c r="A353" s="27" t="s">
        <v>837</v>
      </c>
      <c r="B353" s="27" t="s">
        <v>838</v>
      </c>
      <c r="C353" s="28">
        <v>1</v>
      </c>
      <c r="D353" s="28"/>
      <c r="E353" s="29"/>
      <c r="F353" s="29"/>
      <c r="G353" s="28"/>
      <c r="H353" s="28"/>
      <c r="I353" s="28"/>
      <c r="J353" s="28"/>
      <c r="K353" s="28"/>
      <c r="L353" s="28"/>
      <c r="M353" s="28"/>
      <c r="N353" s="29"/>
      <c r="O353" s="28"/>
      <c r="P353" s="28"/>
      <c r="Q353" s="28"/>
      <c r="R353" s="28"/>
      <c r="S353" s="28"/>
      <c r="T353" s="29"/>
      <c r="U353" s="28"/>
      <c r="V353" s="28"/>
      <c r="W353" s="28"/>
      <c r="X353" s="28"/>
      <c r="Y353" s="28"/>
      <c r="Z353" s="28"/>
      <c r="AA353" s="28"/>
      <c r="AB353" s="28"/>
      <c r="AC353" s="28"/>
      <c r="AD353" s="28"/>
      <c r="AE353" s="28"/>
      <c r="AF353" s="28"/>
      <c r="AG353" s="28"/>
      <c r="AH353" s="28"/>
      <c r="AI353" s="28"/>
      <c r="AJ353" s="28"/>
      <c r="AK353" s="28"/>
      <c r="AL353" s="28"/>
      <c r="AM353" s="29"/>
      <c r="AN353" s="28"/>
      <c r="AO353" s="28"/>
      <c r="AP353" s="28"/>
      <c r="AQ353" s="28"/>
      <c r="AR353" s="28"/>
      <c r="AS353" s="28"/>
      <c r="AT353" s="28"/>
      <c r="AU353" s="8">
        <f t="shared" si="12"/>
        <v>1</v>
      </c>
      <c r="AV353" s="28"/>
      <c r="AW353" s="28"/>
      <c r="AX353" s="28"/>
      <c r="AY353" s="28"/>
      <c r="AZ353" s="28"/>
      <c r="BA353" s="28"/>
      <c r="BB353" s="28"/>
      <c r="BC353" s="28"/>
      <c r="BD353" s="28"/>
      <c r="BE353" s="28"/>
      <c r="BF353" s="28"/>
      <c r="BG353" s="28"/>
      <c r="BH353" s="28"/>
      <c r="BI353" s="28"/>
      <c r="BJ353" s="28"/>
      <c r="BK353" s="28"/>
      <c r="BL353" s="28"/>
      <c r="BM353" s="28"/>
      <c r="BN353" s="28">
        <f t="shared" si="11"/>
        <v>0</v>
      </c>
      <c r="BO353" s="24">
        <f t="shared" si="14"/>
        <v>1</v>
      </c>
      <c r="BP353" s="23"/>
      <c r="BQ353" s="23"/>
    </row>
    <row r="354" spans="1:69" ht="15.75" customHeight="1">
      <c r="A354" s="27" t="s">
        <v>839</v>
      </c>
      <c r="B354" s="27" t="s">
        <v>840</v>
      </c>
      <c r="C354" s="28">
        <v>1</v>
      </c>
      <c r="D354" s="28"/>
      <c r="E354" s="29"/>
      <c r="F354" s="29"/>
      <c r="G354" s="28"/>
      <c r="H354" s="28"/>
      <c r="I354" s="28"/>
      <c r="J354" s="28"/>
      <c r="K354" s="28"/>
      <c r="L354" s="28"/>
      <c r="M354" s="28"/>
      <c r="N354" s="29"/>
      <c r="O354" s="28"/>
      <c r="P354" s="28"/>
      <c r="Q354" s="28"/>
      <c r="R354" s="28"/>
      <c r="S354" s="28"/>
      <c r="T354" s="29"/>
      <c r="U354" s="28"/>
      <c r="V354" s="28"/>
      <c r="W354" s="28"/>
      <c r="X354" s="28"/>
      <c r="Y354" s="28"/>
      <c r="Z354" s="28"/>
      <c r="AA354" s="28"/>
      <c r="AB354" s="28"/>
      <c r="AC354" s="28"/>
      <c r="AD354" s="28"/>
      <c r="AE354" s="28"/>
      <c r="AF354" s="28"/>
      <c r="AG354" s="28"/>
      <c r="AH354" s="28"/>
      <c r="AI354" s="28"/>
      <c r="AJ354" s="28"/>
      <c r="AK354" s="28"/>
      <c r="AL354" s="28"/>
      <c r="AM354" s="29"/>
      <c r="AN354" s="28"/>
      <c r="AO354" s="28"/>
      <c r="AP354" s="28"/>
      <c r="AQ354" s="28"/>
      <c r="AR354" s="28"/>
      <c r="AS354" s="28"/>
      <c r="AT354" s="28"/>
      <c r="AU354" s="8">
        <f t="shared" si="12"/>
        <v>1</v>
      </c>
      <c r="AV354" s="28"/>
      <c r="AW354" s="28"/>
      <c r="AX354" s="28">
        <v>1</v>
      </c>
      <c r="AY354" s="28"/>
      <c r="AZ354" s="28"/>
      <c r="BA354" s="28"/>
      <c r="BB354" s="28"/>
      <c r="BC354" s="28"/>
      <c r="BD354" s="28"/>
      <c r="BE354" s="28"/>
      <c r="BF354" s="28"/>
      <c r="BG354" s="28"/>
      <c r="BH354" s="28"/>
      <c r="BI354" s="28"/>
      <c r="BJ354" s="28"/>
      <c r="BK354" s="28"/>
      <c r="BL354" s="28"/>
      <c r="BM354" s="28"/>
      <c r="BN354" s="28">
        <f t="shared" si="11"/>
        <v>1</v>
      </c>
      <c r="BO354" s="24">
        <f t="shared" si="14"/>
        <v>0</v>
      </c>
      <c r="BP354" s="23"/>
      <c r="BQ354" s="23"/>
    </row>
    <row r="355" spans="1:69" ht="15.75" customHeight="1">
      <c r="A355" s="27" t="s">
        <v>841</v>
      </c>
      <c r="B355" s="27" t="s">
        <v>842</v>
      </c>
      <c r="C355" s="28">
        <v>1</v>
      </c>
      <c r="D355" s="28"/>
      <c r="E355" s="29"/>
      <c r="F355" s="29"/>
      <c r="G355" s="28"/>
      <c r="H355" s="28"/>
      <c r="I355" s="28"/>
      <c r="J355" s="28"/>
      <c r="K355" s="28"/>
      <c r="L355" s="28"/>
      <c r="M355" s="28"/>
      <c r="N355" s="29"/>
      <c r="O355" s="28"/>
      <c r="P355" s="28"/>
      <c r="Q355" s="28"/>
      <c r="R355" s="28"/>
      <c r="S355" s="28"/>
      <c r="T355" s="29"/>
      <c r="U355" s="28"/>
      <c r="V355" s="28"/>
      <c r="W355" s="28"/>
      <c r="X355" s="28"/>
      <c r="Y355" s="28"/>
      <c r="Z355" s="28"/>
      <c r="AA355" s="28"/>
      <c r="AB355" s="28"/>
      <c r="AC355" s="28"/>
      <c r="AD355" s="28"/>
      <c r="AE355" s="28"/>
      <c r="AF355" s="28"/>
      <c r="AG355" s="28"/>
      <c r="AH355" s="28"/>
      <c r="AI355" s="28"/>
      <c r="AJ355" s="28"/>
      <c r="AK355" s="28"/>
      <c r="AL355" s="28"/>
      <c r="AM355" s="29"/>
      <c r="AN355" s="28"/>
      <c r="AO355" s="28"/>
      <c r="AP355" s="28"/>
      <c r="AQ355" s="28"/>
      <c r="AR355" s="28"/>
      <c r="AS355" s="28"/>
      <c r="AT355" s="28"/>
      <c r="AU355" s="8">
        <f t="shared" si="12"/>
        <v>1</v>
      </c>
      <c r="AV355" s="28"/>
      <c r="AW355" s="28"/>
      <c r="AX355" s="28"/>
      <c r="AY355" s="28">
        <v>1</v>
      </c>
      <c r="AZ355" s="28"/>
      <c r="BA355" s="28"/>
      <c r="BB355" s="28"/>
      <c r="BC355" s="28"/>
      <c r="BD355" s="28"/>
      <c r="BE355" s="28"/>
      <c r="BF355" s="28"/>
      <c r="BG355" s="28"/>
      <c r="BH355" s="28"/>
      <c r="BI355" s="28"/>
      <c r="BJ355" s="28"/>
      <c r="BK355" s="28"/>
      <c r="BL355" s="28"/>
      <c r="BM355" s="28"/>
      <c r="BN355" s="28">
        <f t="shared" si="11"/>
        <v>1</v>
      </c>
      <c r="BO355" s="24">
        <f t="shared" si="14"/>
        <v>0</v>
      </c>
      <c r="BP355" s="23"/>
      <c r="BQ355" s="23"/>
    </row>
    <row r="356" spans="1:69" ht="15.75" customHeight="1">
      <c r="A356" s="27" t="s">
        <v>843</v>
      </c>
      <c r="B356" s="27" t="s">
        <v>844</v>
      </c>
      <c r="C356" s="28">
        <v>1</v>
      </c>
      <c r="D356" s="28"/>
      <c r="E356" s="29"/>
      <c r="F356" s="29"/>
      <c r="G356" s="28"/>
      <c r="H356" s="28"/>
      <c r="I356" s="28"/>
      <c r="J356" s="28"/>
      <c r="K356" s="28"/>
      <c r="L356" s="28"/>
      <c r="M356" s="28"/>
      <c r="N356" s="29"/>
      <c r="O356" s="28"/>
      <c r="P356" s="28"/>
      <c r="Q356" s="28"/>
      <c r="R356" s="28"/>
      <c r="S356" s="28"/>
      <c r="T356" s="29"/>
      <c r="U356" s="28"/>
      <c r="V356" s="28"/>
      <c r="W356" s="28"/>
      <c r="X356" s="28"/>
      <c r="Y356" s="28"/>
      <c r="Z356" s="28"/>
      <c r="AA356" s="28"/>
      <c r="AB356" s="28"/>
      <c r="AC356" s="28"/>
      <c r="AD356" s="28"/>
      <c r="AE356" s="28"/>
      <c r="AF356" s="28"/>
      <c r="AG356" s="28"/>
      <c r="AH356" s="28"/>
      <c r="AI356" s="28"/>
      <c r="AJ356" s="28"/>
      <c r="AK356" s="28"/>
      <c r="AL356" s="28"/>
      <c r="AM356" s="29"/>
      <c r="AN356" s="28"/>
      <c r="AO356" s="28"/>
      <c r="AP356" s="28"/>
      <c r="AQ356" s="28"/>
      <c r="AR356" s="28"/>
      <c r="AS356" s="28"/>
      <c r="AT356" s="28"/>
      <c r="AU356" s="8">
        <f t="shared" si="12"/>
        <v>1</v>
      </c>
      <c r="AV356" s="28">
        <v>1</v>
      </c>
      <c r="AW356" s="28"/>
      <c r="AX356" s="28"/>
      <c r="AY356" s="28"/>
      <c r="AZ356" s="28"/>
      <c r="BA356" s="28"/>
      <c r="BB356" s="28"/>
      <c r="BC356" s="28"/>
      <c r="BD356" s="28"/>
      <c r="BE356" s="28"/>
      <c r="BF356" s="28"/>
      <c r="BG356" s="28"/>
      <c r="BH356" s="28"/>
      <c r="BI356" s="28"/>
      <c r="BJ356" s="28"/>
      <c r="BK356" s="28"/>
      <c r="BL356" s="28"/>
      <c r="BM356" s="28"/>
      <c r="BN356" s="28">
        <f t="shared" si="11"/>
        <v>1</v>
      </c>
      <c r="BO356" s="24">
        <f t="shared" si="14"/>
        <v>0</v>
      </c>
      <c r="BP356" s="23"/>
      <c r="BQ356" s="23"/>
    </row>
    <row r="357" spans="1:69" ht="15.75" customHeight="1">
      <c r="A357" s="27" t="s">
        <v>845</v>
      </c>
      <c r="B357" s="27" t="s">
        <v>846</v>
      </c>
      <c r="C357" s="28">
        <v>1</v>
      </c>
      <c r="D357" s="28"/>
      <c r="E357" s="29"/>
      <c r="F357" s="29"/>
      <c r="G357" s="28"/>
      <c r="H357" s="28"/>
      <c r="I357" s="28"/>
      <c r="J357" s="28"/>
      <c r="K357" s="28"/>
      <c r="L357" s="28"/>
      <c r="M357" s="28"/>
      <c r="N357" s="29"/>
      <c r="O357" s="28"/>
      <c r="P357" s="28"/>
      <c r="Q357" s="28"/>
      <c r="R357" s="28"/>
      <c r="S357" s="28"/>
      <c r="T357" s="29"/>
      <c r="U357" s="28"/>
      <c r="V357" s="28"/>
      <c r="W357" s="28"/>
      <c r="X357" s="28"/>
      <c r="Y357" s="28"/>
      <c r="Z357" s="28"/>
      <c r="AA357" s="28"/>
      <c r="AB357" s="28"/>
      <c r="AC357" s="28"/>
      <c r="AD357" s="28"/>
      <c r="AE357" s="28"/>
      <c r="AF357" s="28"/>
      <c r="AG357" s="28"/>
      <c r="AH357" s="28"/>
      <c r="AI357" s="28"/>
      <c r="AJ357" s="28"/>
      <c r="AK357" s="28"/>
      <c r="AL357" s="28"/>
      <c r="AM357" s="29"/>
      <c r="AN357" s="28"/>
      <c r="AO357" s="28"/>
      <c r="AP357" s="28"/>
      <c r="AQ357" s="28"/>
      <c r="AR357" s="28"/>
      <c r="AS357" s="28"/>
      <c r="AT357" s="28"/>
      <c r="AU357" s="8">
        <f t="shared" si="12"/>
        <v>1</v>
      </c>
      <c r="AV357" s="28"/>
      <c r="AW357" s="28"/>
      <c r="AX357" s="28"/>
      <c r="AY357" s="28"/>
      <c r="AZ357" s="28"/>
      <c r="BA357" s="28"/>
      <c r="BB357" s="28"/>
      <c r="BC357" s="28"/>
      <c r="BD357" s="28"/>
      <c r="BE357" s="28"/>
      <c r="BF357" s="28"/>
      <c r="BG357" s="28"/>
      <c r="BH357" s="28"/>
      <c r="BI357" s="28"/>
      <c r="BJ357" s="28"/>
      <c r="BK357" s="28"/>
      <c r="BL357" s="28"/>
      <c r="BM357" s="28"/>
      <c r="BN357" s="28">
        <f t="shared" si="11"/>
        <v>0</v>
      </c>
      <c r="BO357" s="24">
        <f t="shared" si="14"/>
        <v>1</v>
      </c>
      <c r="BP357" s="23"/>
      <c r="BQ357" s="23"/>
    </row>
    <row r="358" spans="1:69" ht="15.75" customHeight="1">
      <c r="A358" s="27" t="s">
        <v>975</v>
      </c>
      <c r="B358" s="27" t="s">
        <v>976</v>
      </c>
      <c r="C358" s="28">
        <v>1</v>
      </c>
      <c r="D358" s="28"/>
      <c r="E358" s="29"/>
      <c r="F358" s="29"/>
      <c r="G358" s="28"/>
      <c r="H358" s="28"/>
      <c r="I358" s="28"/>
      <c r="J358" s="28"/>
      <c r="K358" s="28"/>
      <c r="L358" s="28"/>
      <c r="M358" s="28"/>
      <c r="N358" s="29"/>
      <c r="O358" s="28"/>
      <c r="P358" s="28"/>
      <c r="Q358" s="28"/>
      <c r="R358" s="28"/>
      <c r="S358" s="28"/>
      <c r="T358" s="29"/>
      <c r="U358" s="28"/>
      <c r="V358" s="28"/>
      <c r="W358" s="28"/>
      <c r="X358" s="28"/>
      <c r="Y358" s="28"/>
      <c r="Z358" s="28"/>
      <c r="AA358" s="28"/>
      <c r="AB358" s="28"/>
      <c r="AC358" s="28"/>
      <c r="AD358" s="28"/>
      <c r="AE358" s="28"/>
      <c r="AF358" s="28"/>
      <c r="AG358" s="28"/>
      <c r="AH358" s="28"/>
      <c r="AI358" s="28"/>
      <c r="AJ358" s="28"/>
      <c r="AK358" s="28"/>
      <c r="AL358" s="28"/>
      <c r="AM358" s="29"/>
      <c r="AN358" s="28"/>
      <c r="AO358" s="28"/>
      <c r="AP358" s="28"/>
      <c r="AQ358" s="28"/>
      <c r="AR358" s="28"/>
      <c r="AS358" s="28"/>
      <c r="AT358" s="28"/>
      <c r="AU358" s="8">
        <f t="shared" si="12"/>
        <v>1</v>
      </c>
      <c r="AV358" s="28"/>
      <c r="AW358" s="28"/>
      <c r="AX358" s="28"/>
      <c r="AY358" s="28"/>
      <c r="AZ358" s="28"/>
      <c r="BA358" s="28"/>
      <c r="BB358" s="28"/>
      <c r="BC358" s="28"/>
      <c r="BD358" s="28"/>
      <c r="BE358" s="28"/>
      <c r="BF358" s="28"/>
      <c r="BG358" s="28"/>
      <c r="BH358" s="28"/>
      <c r="BI358" s="28"/>
      <c r="BJ358" s="28"/>
      <c r="BK358" s="28"/>
      <c r="BL358" s="28"/>
      <c r="BM358" s="28"/>
      <c r="BN358" s="28">
        <f t="shared" si="11"/>
        <v>0</v>
      </c>
      <c r="BO358" s="24">
        <f t="shared" si="14"/>
        <v>1</v>
      </c>
      <c r="BP358" s="23"/>
      <c r="BQ358" s="23"/>
    </row>
    <row r="359" spans="1:69" ht="15.75" customHeight="1">
      <c r="A359" s="3" t="s">
        <v>340</v>
      </c>
      <c r="B359" s="3" t="s">
        <v>341</v>
      </c>
      <c r="C359" s="8"/>
      <c r="D359" s="8"/>
      <c r="E359" s="21"/>
      <c r="F359" s="21"/>
      <c r="G359" s="8"/>
      <c r="H359" s="8"/>
      <c r="I359" s="8"/>
      <c r="J359" s="8"/>
      <c r="K359" s="8"/>
      <c r="L359" s="8"/>
      <c r="M359" s="8"/>
      <c r="N359" s="21"/>
      <c r="O359" s="8"/>
      <c r="P359" s="8"/>
      <c r="Q359" s="8"/>
      <c r="R359" s="8"/>
      <c r="S359" s="8"/>
      <c r="T359" s="21"/>
      <c r="U359" s="8">
        <v>3</v>
      </c>
      <c r="V359" s="8"/>
      <c r="W359" s="8"/>
      <c r="X359" s="8"/>
      <c r="Y359" s="8"/>
      <c r="Z359" s="8"/>
      <c r="AA359" s="8"/>
      <c r="AB359" s="8"/>
      <c r="AC359" s="8">
        <v>3</v>
      </c>
      <c r="AD359" s="8"/>
      <c r="AE359" s="8"/>
      <c r="AF359" s="8"/>
      <c r="AG359" s="8"/>
      <c r="AH359" s="8"/>
      <c r="AI359" s="8">
        <v>3</v>
      </c>
      <c r="AJ359" s="8"/>
      <c r="AK359" s="8"/>
      <c r="AL359" s="8"/>
      <c r="AM359" s="21"/>
      <c r="AN359" s="8"/>
      <c r="AO359" s="8"/>
      <c r="AP359" s="8"/>
      <c r="AQ359" s="8"/>
      <c r="AR359" s="8"/>
      <c r="AS359" s="8"/>
      <c r="AT359" s="8"/>
      <c r="AU359" s="8">
        <f t="shared" si="12"/>
        <v>9</v>
      </c>
      <c r="AV359" s="8"/>
      <c r="AW359" s="8"/>
      <c r="AX359" s="8"/>
      <c r="AY359" s="8"/>
      <c r="AZ359" s="8">
        <v>3</v>
      </c>
      <c r="BA359" s="8">
        <v>1</v>
      </c>
      <c r="BB359" s="8"/>
      <c r="BC359" s="8"/>
      <c r="BD359" s="8"/>
      <c r="BE359" s="8"/>
      <c r="BF359" s="8"/>
      <c r="BG359" s="8"/>
      <c r="BH359" s="8"/>
      <c r="BI359" s="8"/>
      <c r="BJ359" s="8"/>
      <c r="BK359" s="8"/>
      <c r="BL359" s="8"/>
      <c r="BM359" s="8"/>
      <c r="BN359" s="8">
        <f t="shared" si="11"/>
        <v>4</v>
      </c>
      <c r="BO359" s="24">
        <f t="shared" si="14"/>
        <v>5</v>
      </c>
      <c r="BP359" s="23"/>
      <c r="BQ359" s="23"/>
    </row>
    <row r="360" spans="1:69" ht="15.75" customHeight="1">
      <c r="A360" s="3" t="s">
        <v>338</v>
      </c>
      <c r="B360" s="3" t="s">
        <v>339</v>
      </c>
      <c r="C360" s="8"/>
      <c r="D360" s="8"/>
      <c r="E360" s="21"/>
      <c r="F360" s="21"/>
      <c r="G360" s="8"/>
      <c r="H360" s="8"/>
      <c r="I360" s="8"/>
      <c r="J360" s="8"/>
      <c r="K360" s="8"/>
      <c r="L360" s="8"/>
      <c r="M360" s="8"/>
      <c r="N360" s="21"/>
      <c r="O360" s="8"/>
      <c r="P360" s="8"/>
      <c r="Q360" s="8"/>
      <c r="R360" s="8"/>
      <c r="S360" s="8"/>
      <c r="T360" s="21"/>
      <c r="U360" s="8">
        <v>5</v>
      </c>
      <c r="V360" s="8"/>
      <c r="W360" s="8"/>
      <c r="X360" s="8"/>
      <c r="Y360" s="8"/>
      <c r="Z360" s="8"/>
      <c r="AA360" s="8"/>
      <c r="AB360" s="8"/>
      <c r="AC360" s="8">
        <v>5</v>
      </c>
      <c r="AD360" s="8"/>
      <c r="AE360" s="8"/>
      <c r="AF360" s="8"/>
      <c r="AG360" s="8"/>
      <c r="AH360" s="8"/>
      <c r="AI360" s="8">
        <v>3</v>
      </c>
      <c r="AJ360" s="8"/>
      <c r="AK360" s="8"/>
      <c r="AL360" s="8"/>
      <c r="AM360" s="21"/>
      <c r="AN360" s="8"/>
      <c r="AO360" s="8"/>
      <c r="AP360" s="8"/>
      <c r="AQ360" s="8">
        <v>5</v>
      </c>
      <c r="AR360" s="8"/>
      <c r="AS360" s="8"/>
      <c r="AT360" s="8"/>
      <c r="AU360" s="8">
        <f t="shared" si="12"/>
        <v>18</v>
      </c>
      <c r="AV360" s="8"/>
      <c r="AW360" s="8"/>
      <c r="AX360" s="8"/>
      <c r="AY360" s="8"/>
      <c r="AZ360" s="8">
        <v>5</v>
      </c>
      <c r="BA360" s="8"/>
      <c r="BB360" s="8">
        <v>4</v>
      </c>
      <c r="BC360" s="8"/>
      <c r="BD360" s="8"/>
      <c r="BE360" s="8">
        <v>2</v>
      </c>
      <c r="BF360" s="8"/>
      <c r="BG360" s="8"/>
      <c r="BH360" s="8"/>
      <c r="BI360" s="8"/>
      <c r="BJ360" s="8"/>
      <c r="BK360" s="8"/>
      <c r="BL360" s="8"/>
      <c r="BM360" s="8"/>
      <c r="BN360" s="8">
        <f t="shared" si="11"/>
        <v>11</v>
      </c>
      <c r="BO360" s="24">
        <f t="shared" si="14"/>
        <v>7</v>
      </c>
      <c r="BP360" s="23"/>
      <c r="BQ360" s="23"/>
    </row>
    <row r="361" spans="1:69" ht="15.75" customHeight="1">
      <c r="A361" s="3" t="s">
        <v>336</v>
      </c>
      <c r="B361" s="3" t="s">
        <v>337</v>
      </c>
      <c r="C361" s="8"/>
      <c r="D361" s="8"/>
      <c r="E361" s="21"/>
      <c r="F361" s="21"/>
      <c r="G361" s="8"/>
      <c r="H361" s="8"/>
      <c r="I361" s="8"/>
      <c r="J361" s="8"/>
      <c r="K361" s="8"/>
      <c r="L361" s="8"/>
      <c r="M361" s="8"/>
      <c r="N361" s="21"/>
      <c r="O361" s="8"/>
      <c r="P361" s="8"/>
      <c r="Q361" s="8"/>
      <c r="R361" s="8"/>
      <c r="S361" s="8"/>
      <c r="T361" s="21"/>
      <c r="U361" s="8">
        <v>5</v>
      </c>
      <c r="V361" s="8"/>
      <c r="W361" s="8"/>
      <c r="X361" s="8"/>
      <c r="Y361" s="8"/>
      <c r="Z361" s="8"/>
      <c r="AA361" s="8"/>
      <c r="AB361" s="8"/>
      <c r="AC361" s="8">
        <v>5</v>
      </c>
      <c r="AD361" s="8"/>
      <c r="AE361" s="8"/>
      <c r="AF361" s="8"/>
      <c r="AG361" s="8"/>
      <c r="AH361" s="8"/>
      <c r="AI361" s="8">
        <v>3</v>
      </c>
      <c r="AJ361" s="8"/>
      <c r="AK361" s="8"/>
      <c r="AL361" s="8"/>
      <c r="AM361" s="21"/>
      <c r="AN361" s="8"/>
      <c r="AO361" s="8"/>
      <c r="AP361" s="8"/>
      <c r="AQ361" s="8">
        <v>2</v>
      </c>
      <c r="AR361" s="8"/>
      <c r="AS361" s="8"/>
      <c r="AT361" s="8"/>
      <c r="AU361" s="8">
        <f t="shared" si="12"/>
        <v>15</v>
      </c>
      <c r="AV361" s="8"/>
      <c r="AW361" s="8"/>
      <c r="AX361" s="8"/>
      <c r="AY361" s="8">
        <v>5</v>
      </c>
      <c r="AZ361" s="8"/>
      <c r="BA361" s="8">
        <v>3</v>
      </c>
      <c r="BB361" s="8">
        <v>1</v>
      </c>
      <c r="BC361" s="8"/>
      <c r="BD361" s="8">
        <v>1</v>
      </c>
      <c r="BE361" s="8"/>
      <c r="BF361" s="8"/>
      <c r="BG361" s="8"/>
      <c r="BH361" s="8"/>
      <c r="BI361" s="8"/>
      <c r="BJ361" s="8"/>
      <c r="BK361" s="8"/>
      <c r="BL361" s="8"/>
      <c r="BM361" s="8"/>
      <c r="BN361" s="8">
        <f t="shared" si="11"/>
        <v>10</v>
      </c>
      <c r="BO361" s="24">
        <f t="shared" si="14"/>
        <v>5</v>
      </c>
      <c r="BP361" s="23"/>
      <c r="BQ361" s="23"/>
    </row>
    <row r="362" spans="1:69" ht="15.75" customHeight="1">
      <c r="A362" s="3" t="s">
        <v>881</v>
      </c>
      <c r="B362" s="3" t="s">
        <v>883</v>
      </c>
      <c r="C362" s="8"/>
      <c r="D362" s="8"/>
      <c r="E362" s="21"/>
      <c r="F362" s="21"/>
      <c r="G362" s="8"/>
      <c r="H362" s="8"/>
      <c r="I362" s="8"/>
      <c r="J362" s="8"/>
      <c r="K362" s="8"/>
      <c r="L362" s="8"/>
      <c r="M362" s="8"/>
      <c r="N362" s="21"/>
      <c r="O362" s="8"/>
      <c r="P362" s="8"/>
      <c r="Q362" s="8"/>
      <c r="R362" s="8"/>
      <c r="S362" s="8"/>
      <c r="T362" s="21"/>
      <c r="U362" s="8">
        <v>3</v>
      </c>
      <c r="V362" s="8"/>
      <c r="W362" s="8"/>
      <c r="X362" s="8"/>
      <c r="Y362" s="8"/>
      <c r="Z362" s="8"/>
      <c r="AA362" s="8"/>
      <c r="AB362" s="8"/>
      <c r="AC362" s="8">
        <v>3</v>
      </c>
      <c r="AD362" s="8"/>
      <c r="AE362" s="8"/>
      <c r="AF362" s="8"/>
      <c r="AG362" s="8"/>
      <c r="AH362" s="8"/>
      <c r="AI362" s="8"/>
      <c r="AJ362" s="8"/>
      <c r="AK362" s="8"/>
      <c r="AL362" s="8"/>
      <c r="AM362" s="21"/>
      <c r="AN362" s="8"/>
      <c r="AO362" s="8"/>
      <c r="AP362" s="8"/>
      <c r="AQ362" s="8"/>
      <c r="AR362" s="8"/>
      <c r="AS362" s="8"/>
      <c r="AT362" s="8"/>
      <c r="AU362" s="8">
        <f t="shared" si="12"/>
        <v>6</v>
      </c>
      <c r="AV362" s="8"/>
      <c r="AW362" s="8"/>
      <c r="AX362" s="8"/>
      <c r="AY362" s="8">
        <v>2</v>
      </c>
      <c r="AZ362" s="8"/>
      <c r="BA362" s="8"/>
      <c r="BB362" s="8"/>
      <c r="BC362" s="8"/>
      <c r="BD362" s="8"/>
      <c r="BE362" s="8"/>
      <c r="BF362" s="8"/>
      <c r="BG362" s="8"/>
      <c r="BH362" s="8"/>
      <c r="BI362" s="8"/>
      <c r="BJ362" s="8"/>
      <c r="BK362" s="8"/>
      <c r="BL362" s="8"/>
      <c r="BM362" s="8"/>
      <c r="BN362" s="8">
        <f t="shared" si="11"/>
        <v>2</v>
      </c>
      <c r="BO362" s="24">
        <f t="shared" si="14"/>
        <v>4</v>
      </c>
      <c r="BP362" s="23"/>
      <c r="BQ362" s="23"/>
    </row>
    <row r="363" spans="1:69" ht="15.75" customHeight="1">
      <c r="A363" s="3" t="s">
        <v>885</v>
      </c>
      <c r="B363" s="3" t="s">
        <v>886</v>
      </c>
      <c r="C363" s="8"/>
      <c r="D363" s="8"/>
      <c r="E363" s="21"/>
      <c r="F363" s="21"/>
      <c r="G363" s="8"/>
      <c r="H363" s="8"/>
      <c r="I363" s="8"/>
      <c r="J363" s="8"/>
      <c r="K363" s="8"/>
      <c r="L363" s="8"/>
      <c r="M363" s="8"/>
      <c r="N363" s="21"/>
      <c r="O363" s="8"/>
      <c r="P363" s="8"/>
      <c r="Q363" s="8"/>
      <c r="R363" s="8"/>
      <c r="S363" s="8"/>
      <c r="T363" s="21"/>
      <c r="U363" s="8">
        <v>3</v>
      </c>
      <c r="V363" s="8"/>
      <c r="W363" s="8"/>
      <c r="X363" s="8"/>
      <c r="Y363" s="8"/>
      <c r="Z363" s="8"/>
      <c r="AA363" s="8"/>
      <c r="AB363" s="8"/>
      <c r="AC363" s="8"/>
      <c r="AD363" s="8"/>
      <c r="AE363" s="8"/>
      <c r="AF363" s="8"/>
      <c r="AG363" s="8"/>
      <c r="AH363" s="8"/>
      <c r="AI363" s="8"/>
      <c r="AJ363" s="8"/>
      <c r="AK363" s="8"/>
      <c r="AL363" s="8"/>
      <c r="AM363" s="21"/>
      <c r="AN363" s="8"/>
      <c r="AO363" s="8"/>
      <c r="AP363" s="8"/>
      <c r="AQ363" s="8"/>
      <c r="AR363" s="8"/>
      <c r="AS363" s="8"/>
      <c r="AT363" s="8"/>
      <c r="AU363" s="8">
        <f t="shared" si="12"/>
        <v>3</v>
      </c>
      <c r="AV363" s="8"/>
      <c r="AW363" s="8"/>
      <c r="AX363" s="8">
        <v>1</v>
      </c>
      <c r="AY363" s="8">
        <v>1</v>
      </c>
      <c r="AZ363" s="8">
        <v>1</v>
      </c>
      <c r="BA363" s="8"/>
      <c r="BB363" s="8"/>
      <c r="BC363" s="8"/>
      <c r="BD363" s="8"/>
      <c r="BE363" s="8"/>
      <c r="BF363" s="8"/>
      <c r="BG363" s="8"/>
      <c r="BH363" s="8"/>
      <c r="BI363" s="8"/>
      <c r="BJ363" s="8"/>
      <c r="BK363" s="8"/>
      <c r="BL363" s="8"/>
      <c r="BM363" s="8"/>
      <c r="BN363" s="8">
        <f t="shared" si="11"/>
        <v>3</v>
      </c>
      <c r="BO363" s="24">
        <f t="shared" si="14"/>
        <v>0</v>
      </c>
      <c r="BP363" s="23"/>
      <c r="BQ363" s="23"/>
    </row>
    <row r="364" spans="1:69" ht="15.75" customHeight="1">
      <c r="A364" s="3" t="s">
        <v>334</v>
      </c>
      <c r="B364" s="3" t="s">
        <v>335</v>
      </c>
      <c r="C364" s="8"/>
      <c r="D364" s="8"/>
      <c r="E364" s="21"/>
      <c r="F364" s="21"/>
      <c r="G364" s="8"/>
      <c r="H364" s="8"/>
      <c r="I364" s="8"/>
      <c r="J364" s="8"/>
      <c r="K364" s="8"/>
      <c r="L364" s="8"/>
      <c r="M364" s="8"/>
      <c r="N364" s="21"/>
      <c r="O364" s="8"/>
      <c r="P364" s="8"/>
      <c r="Q364" s="8"/>
      <c r="R364" s="8"/>
      <c r="S364" s="8"/>
      <c r="T364" s="21"/>
      <c r="U364" s="8">
        <v>5</v>
      </c>
      <c r="V364" s="8"/>
      <c r="W364" s="8"/>
      <c r="X364" s="8"/>
      <c r="Y364" s="8"/>
      <c r="Z364" s="8"/>
      <c r="AA364" s="8"/>
      <c r="AB364" s="8"/>
      <c r="AC364" s="8"/>
      <c r="AD364" s="8"/>
      <c r="AE364" s="8"/>
      <c r="AF364" s="8"/>
      <c r="AG364" s="8"/>
      <c r="AH364" s="8"/>
      <c r="AI364" s="8"/>
      <c r="AJ364" s="8"/>
      <c r="AK364" s="8"/>
      <c r="AL364" s="8"/>
      <c r="AM364" s="21"/>
      <c r="AN364" s="8"/>
      <c r="AO364" s="8"/>
      <c r="AP364" s="8"/>
      <c r="AQ364" s="8"/>
      <c r="AR364" s="8"/>
      <c r="AS364" s="8"/>
      <c r="AT364" s="8"/>
      <c r="AU364" s="8">
        <f t="shared" si="12"/>
        <v>5</v>
      </c>
      <c r="AV364" s="8"/>
      <c r="AW364" s="8"/>
      <c r="AX364" s="8"/>
      <c r="AY364" s="8"/>
      <c r="AZ364" s="8"/>
      <c r="BA364" s="8">
        <v>2</v>
      </c>
      <c r="BB364" s="8">
        <v>3</v>
      </c>
      <c r="BC364" s="8"/>
      <c r="BD364" s="8"/>
      <c r="BE364" s="8"/>
      <c r="BF364" s="8"/>
      <c r="BG364" s="8"/>
      <c r="BH364" s="8"/>
      <c r="BI364" s="8"/>
      <c r="BJ364" s="8"/>
      <c r="BK364" s="8"/>
      <c r="BL364" s="8"/>
      <c r="BM364" s="8"/>
      <c r="BN364" s="8">
        <f t="shared" si="11"/>
        <v>5</v>
      </c>
      <c r="BO364" s="24">
        <f t="shared" si="14"/>
        <v>0</v>
      </c>
      <c r="BP364" s="23"/>
      <c r="BQ364" s="23"/>
    </row>
    <row r="365" spans="1:69" ht="15.75" customHeight="1">
      <c r="A365" s="3" t="s">
        <v>332</v>
      </c>
      <c r="B365" s="3" t="s">
        <v>333</v>
      </c>
      <c r="C365" s="8"/>
      <c r="D365" s="8"/>
      <c r="E365" s="21"/>
      <c r="F365" s="21"/>
      <c r="G365" s="8"/>
      <c r="H365" s="8"/>
      <c r="I365" s="8"/>
      <c r="J365" s="8"/>
      <c r="K365" s="8"/>
      <c r="L365" s="8"/>
      <c r="M365" s="8"/>
      <c r="N365" s="21"/>
      <c r="O365" s="8"/>
      <c r="P365" s="8"/>
      <c r="Q365" s="8"/>
      <c r="R365" s="8"/>
      <c r="S365" s="8"/>
      <c r="T365" s="21"/>
      <c r="U365" s="8">
        <v>5</v>
      </c>
      <c r="V365" s="8"/>
      <c r="W365" s="8"/>
      <c r="X365" s="8"/>
      <c r="Y365" s="8"/>
      <c r="Z365" s="8"/>
      <c r="AA365" s="8"/>
      <c r="AB365" s="8"/>
      <c r="AC365" s="8"/>
      <c r="AD365" s="8"/>
      <c r="AE365" s="8"/>
      <c r="AF365" s="8"/>
      <c r="AG365" s="8"/>
      <c r="AH365" s="8"/>
      <c r="AI365" s="8"/>
      <c r="AJ365" s="8"/>
      <c r="AK365" s="8"/>
      <c r="AL365" s="8"/>
      <c r="AM365" s="21"/>
      <c r="AN365" s="8"/>
      <c r="AO365" s="8"/>
      <c r="AP365" s="8"/>
      <c r="AQ365" s="8"/>
      <c r="AR365" s="8"/>
      <c r="AS365" s="8"/>
      <c r="AT365" s="8"/>
      <c r="AU365" s="8">
        <f t="shared" si="12"/>
        <v>5</v>
      </c>
      <c r="AV365" s="8"/>
      <c r="AW365" s="8"/>
      <c r="AX365" s="8"/>
      <c r="AY365" s="8"/>
      <c r="AZ365" s="8"/>
      <c r="BA365" s="8">
        <v>2</v>
      </c>
      <c r="BB365" s="8"/>
      <c r="BC365" s="8"/>
      <c r="BD365" s="8">
        <v>1</v>
      </c>
      <c r="BE365" s="8"/>
      <c r="BF365" s="8"/>
      <c r="BG365" s="8"/>
      <c r="BH365" s="8"/>
      <c r="BI365" s="8"/>
      <c r="BJ365" s="8"/>
      <c r="BK365" s="8"/>
      <c r="BL365" s="8"/>
      <c r="BM365" s="8"/>
      <c r="BN365" s="8">
        <f t="shared" si="11"/>
        <v>3</v>
      </c>
      <c r="BO365" s="24">
        <f t="shared" si="14"/>
        <v>2</v>
      </c>
      <c r="BP365" s="23"/>
      <c r="BQ365" s="23"/>
    </row>
    <row r="366" spans="1:69" ht="15.75" customHeight="1">
      <c r="A366" s="3" t="s">
        <v>895</v>
      </c>
      <c r="B366" s="3" t="s">
        <v>896</v>
      </c>
      <c r="C366" s="8"/>
      <c r="D366" s="8"/>
      <c r="E366" s="21"/>
      <c r="F366" s="21"/>
      <c r="G366" s="8"/>
      <c r="H366" s="8"/>
      <c r="I366" s="8"/>
      <c r="J366" s="8"/>
      <c r="K366" s="8"/>
      <c r="L366" s="8"/>
      <c r="M366" s="8"/>
      <c r="N366" s="21"/>
      <c r="O366" s="8"/>
      <c r="P366" s="8"/>
      <c r="Q366" s="8"/>
      <c r="R366" s="8"/>
      <c r="S366" s="8"/>
      <c r="T366" s="21"/>
      <c r="U366" s="8">
        <v>3</v>
      </c>
      <c r="V366" s="8"/>
      <c r="W366" s="8"/>
      <c r="X366" s="8"/>
      <c r="Y366" s="8"/>
      <c r="Z366" s="8"/>
      <c r="AA366" s="8"/>
      <c r="AB366" s="8"/>
      <c r="AC366" s="8"/>
      <c r="AD366" s="8"/>
      <c r="AE366" s="8"/>
      <c r="AF366" s="8"/>
      <c r="AG366" s="8"/>
      <c r="AH366" s="8"/>
      <c r="AI366" s="8"/>
      <c r="AJ366" s="8"/>
      <c r="AK366" s="8"/>
      <c r="AL366" s="8"/>
      <c r="AM366" s="21"/>
      <c r="AN366" s="8"/>
      <c r="AO366" s="8"/>
      <c r="AP366" s="8"/>
      <c r="AQ366" s="8"/>
      <c r="AR366" s="8"/>
      <c r="AS366" s="8"/>
      <c r="AT366" s="8"/>
      <c r="AU366" s="8">
        <f t="shared" si="12"/>
        <v>3</v>
      </c>
      <c r="AV366" s="8"/>
      <c r="AW366" s="8"/>
      <c r="AX366" s="8"/>
      <c r="AY366" s="8">
        <v>1</v>
      </c>
      <c r="AZ366" s="8">
        <v>1</v>
      </c>
      <c r="BA366" s="8"/>
      <c r="BB366" s="8"/>
      <c r="BC366" s="8"/>
      <c r="BD366" s="8">
        <v>1</v>
      </c>
      <c r="BE366" s="8"/>
      <c r="BF366" s="8"/>
      <c r="BG366" s="8"/>
      <c r="BH366" s="8"/>
      <c r="BI366" s="8"/>
      <c r="BJ366" s="8"/>
      <c r="BK366" s="8"/>
      <c r="BL366" s="8"/>
      <c r="BM366" s="8"/>
      <c r="BN366" s="8">
        <f t="shared" si="11"/>
        <v>3</v>
      </c>
      <c r="BO366" s="24">
        <f t="shared" si="14"/>
        <v>0</v>
      </c>
      <c r="BP366" s="23"/>
      <c r="BQ366" s="23"/>
    </row>
    <row r="367" spans="1:69" ht="15.75" customHeight="1">
      <c r="A367" s="3" t="s">
        <v>897</v>
      </c>
      <c r="B367" s="3" t="s">
        <v>898</v>
      </c>
      <c r="C367" s="8"/>
      <c r="D367" s="8"/>
      <c r="E367" s="21"/>
      <c r="F367" s="21"/>
      <c r="G367" s="8"/>
      <c r="H367" s="8"/>
      <c r="I367" s="8"/>
      <c r="J367" s="8"/>
      <c r="K367" s="8"/>
      <c r="L367" s="8"/>
      <c r="M367" s="8"/>
      <c r="N367" s="21"/>
      <c r="O367" s="8"/>
      <c r="P367" s="8"/>
      <c r="Q367" s="8"/>
      <c r="R367" s="8"/>
      <c r="S367" s="8"/>
      <c r="T367" s="21"/>
      <c r="U367" s="8">
        <v>3</v>
      </c>
      <c r="V367" s="8"/>
      <c r="W367" s="8"/>
      <c r="X367" s="8"/>
      <c r="Y367" s="8"/>
      <c r="Z367" s="8"/>
      <c r="AA367" s="8"/>
      <c r="AB367" s="8"/>
      <c r="AC367" s="8"/>
      <c r="AD367" s="8"/>
      <c r="AE367" s="8"/>
      <c r="AF367" s="8"/>
      <c r="AG367" s="8"/>
      <c r="AH367" s="8"/>
      <c r="AI367" s="8"/>
      <c r="AJ367" s="8"/>
      <c r="AK367" s="8"/>
      <c r="AL367" s="8"/>
      <c r="AM367" s="21"/>
      <c r="AN367" s="8"/>
      <c r="AO367" s="8"/>
      <c r="AP367" s="8"/>
      <c r="AQ367" s="8"/>
      <c r="AR367" s="8"/>
      <c r="AS367" s="8"/>
      <c r="AT367" s="8"/>
      <c r="AU367" s="8">
        <f t="shared" si="12"/>
        <v>3</v>
      </c>
      <c r="AV367" s="8"/>
      <c r="AW367" s="8"/>
      <c r="AX367" s="8"/>
      <c r="AY367" s="8">
        <v>1</v>
      </c>
      <c r="AZ367" s="8"/>
      <c r="BA367" s="8"/>
      <c r="BB367" s="8">
        <v>1</v>
      </c>
      <c r="BC367" s="8"/>
      <c r="BD367" s="8"/>
      <c r="BE367" s="8"/>
      <c r="BF367" s="8"/>
      <c r="BG367" s="8"/>
      <c r="BH367" s="8"/>
      <c r="BI367" s="8"/>
      <c r="BJ367" s="8"/>
      <c r="BK367" s="8"/>
      <c r="BL367" s="8"/>
      <c r="BM367" s="8"/>
      <c r="BN367" s="8">
        <f t="shared" si="11"/>
        <v>2</v>
      </c>
      <c r="BO367" s="24">
        <f t="shared" si="14"/>
        <v>1</v>
      </c>
      <c r="BP367" s="23"/>
      <c r="BQ367" s="23"/>
    </row>
    <row r="368" spans="1:69" ht="15.75" customHeight="1">
      <c r="A368" s="3" t="s">
        <v>901</v>
      </c>
      <c r="B368" s="3" t="s">
        <v>902</v>
      </c>
      <c r="C368" s="8"/>
      <c r="D368" s="8"/>
      <c r="E368" s="21"/>
      <c r="F368" s="21"/>
      <c r="G368" s="8"/>
      <c r="H368" s="8"/>
      <c r="I368" s="8"/>
      <c r="J368" s="8"/>
      <c r="K368" s="8"/>
      <c r="L368" s="8"/>
      <c r="M368" s="8"/>
      <c r="N368" s="21"/>
      <c r="O368" s="8"/>
      <c r="P368" s="8"/>
      <c r="Q368" s="8"/>
      <c r="R368" s="8"/>
      <c r="S368" s="8"/>
      <c r="T368" s="21"/>
      <c r="U368" s="8">
        <v>3</v>
      </c>
      <c r="V368" s="8"/>
      <c r="W368" s="8"/>
      <c r="X368" s="8"/>
      <c r="Y368" s="8"/>
      <c r="Z368" s="8"/>
      <c r="AA368" s="8"/>
      <c r="AB368" s="8"/>
      <c r="AC368" s="8"/>
      <c r="AD368" s="8"/>
      <c r="AE368" s="8"/>
      <c r="AF368" s="8"/>
      <c r="AG368" s="8"/>
      <c r="AH368" s="8"/>
      <c r="AI368" s="8"/>
      <c r="AJ368" s="8"/>
      <c r="AK368" s="8"/>
      <c r="AL368" s="8"/>
      <c r="AM368" s="21"/>
      <c r="AN368" s="8"/>
      <c r="AO368" s="8"/>
      <c r="AP368" s="8"/>
      <c r="AQ368" s="8"/>
      <c r="AR368" s="8"/>
      <c r="AS368" s="8"/>
      <c r="AT368" s="8"/>
      <c r="AU368" s="8">
        <f t="shared" si="12"/>
        <v>3</v>
      </c>
      <c r="AV368" s="8"/>
      <c r="AW368" s="8"/>
      <c r="AX368" s="8"/>
      <c r="AY368" s="8"/>
      <c r="AZ368" s="8"/>
      <c r="BA368" s="8"/>
      <c r="BB368" s="8"/>
      <c r="BC368" s="8"/>
      <c r="BD368" s="8"/>
      <c r="BE368" s="8">
        <v>1</v>
      </c>
      <c r="BF368" s="8"/>
      <c r="BG368" s="8"/>
      <c r="BH368" s="8"/>
      <c r="BI368" s="8"/>
      <c r="BJ368" s="8"/>
      <c r="BK368" s="8"/>
      <c r="BL368" s="8"/>
      <c r="BM368" s="8"/>
      <c r="BN368" s="8">
        <f t="shared" si="11"/>
        <v>1</v>
      </c>
      <c r="BO368" s="24">
        <f t="shared" si="14"/>
        <v>2</v>
      </c>
      <c r="BP368" s="23"/>
      <c r="BQ368" s="23"/>
    </row>
    <row r="369" spans="1:69" ht="15.75" customHeight="1">
      <c r="A369" s="3" t="s">
        <v>907</v>
      </c>
      <c r="B369" s="3" t="s">
        <v>908</v>
      </c>
      <c r="C369" s="8"/>
      <c r="D369" s="8"/>
      <c r="E369" s="21"/>
      <c r="F369" s="21"/>
      <c r="G369" s="8"/>
      <c r="H369" s="8"/>
      <c r="I369" s="8"/>
      <c r="J369" s="8"/>
      <c r="K369" s="8"/>
      <c r="L369" s="8"/>
      <c r="M369" s="8"/>
      <c r="N369" s="21"/>
      <c r="O369" s="8"/>
      <c r="P369" s="8"/>
      <c r="Q369" s="8"/>
      <c r="R369" s="8"/>
      <c r="S369" s="8"/>
      <c r="T369" s="21"/>
      <c r="U369" s="8">
        <v>3</v>
      </c>
      <c r="V369" s="8"/>
      <c r="W369" s="8"/>
      <c r="X369" s="8"/>
      <c r="Y369" s="8"/>
      <c r="Z369" s="8"/>
      <c r="AA369" s="8"/>
      <c r="AB369" s="8"/>
      <c r="AC369" s="8"/>
      <c r="AD369" s="8"/>
      <c r="AE369" s="8"/>
      <c r="AF369" s="8"/>
      <c r="AG369" s="8"/>
      <c r="AH369" s="8"/>
      <c r="AI369" s="8"/>
      <c r="AJ369" s="8"/>
      <c r="AK369" s="8"/>
      <c r="AL369" s="8"/>
      <c r="AM369" s="21"/>
      <c r="AN369" s="8"/>
      <c r="AO369" s="8"/>
      <c r="AP369" s="8"/>
      <c r="AQ369" s="8"/>
      <c r="AR369" s="8"/>
      <c r="AS369" s="8"/>
      <c r="AT369" s="8"/>
      <c r="AU369" s="8">
        <f t="shared" si="12"/>
        <v>3</v>
      </c>
      <c r="AV369" s="8"/>
      <c r="AW369" s="8"/>
      <c r="AX369" s="8"/>
      <c r="AY369" s="8">
        <v>1</v>
      </c>
      <c r="AZ369" s="8"/>
      <c r="BA369" s="8"/>
      <c r="BB369" s="8"/>
      <c r="BC369" s="8"/>
      <c r="BD369" s="8"/>
      <c r="BE369" s="8"/>
      <c r="BF369" s="8"/>
      <c r="BG369" s="8"/>
      <c r="BH369" s="8"/>
      <c r="BI369" s="8"/>
      <c r="BJ369" s="8"/>
      <c r="BK369" s="8"/>
      <c r="BL369" s="8"/>
      <c r="BM369" s="8"/>
      <c r="BN369" s="8">
        <f t="shared" si="11"/>
        <v>1</v>
      </c>
      <c r="BO369" s="24">
        <f t="shared" si="14"/>
        <v>2</v>
      </c>
      <c r="BP369" s="23"/>
      <c r="BQ369" s="23"/>
    </row>
    <row r="370" spans="1:69" ht="15.75" customHeight="1">
      <c r="A370" s="3" t="s">
        <v>330</v>
      </c>
      <c r="B370" s="3" t="s">
        <v>331</v>
      </c>
      <c r="C370" s="8"/>
      <c r="D370" s="8"/>
      <c r="E370" s="21"/>
      <c r="F370" s="21"/>
      <c r="G370" s="8"/>
      <c r="H370" s="8"/>
      <c r="I370" s="8"/>
      <c r="J370" s="8"/>
      <c r="K370" s="8"/>
      <c r="L370" s="8"/>
      <c r="M370" s="8"/>
      <c r="N370" s="21"/>
      <c r="O370" s="8"/>
      <c r="P370" s="8"/>
      <c r="Q370" s="8"/>
      <c r="R370" s="8"/>
      <c r="S370" s="8"/>
      <c r="T370" s="21"/>
      <c r="U370" s="8">
        <v>3</v>
      </c>
      <c r="V370" s="8"/>
      <c r="W370" s="8"/>
      <c r="X370" s="8"/>
      <c r="Y370" s="8"/>
      <c r="Z370" s="8"/>
      <c r="AA370" s="8"/>
      <c r="AB370" s="8"/>
      <c r="AC370" s="8"/>
      <c r="AD370" s="8"/>
      <c r="AE370" s="8"/>
      <c r="AF370" s="8"/>
      <c r="AG370" s="8"/>
      <c r="AH370" s="8"/>
      <c r="AI370" s="8"/>
      <c r="AJ370" s="8"/>
      <c r="AK370" s="8"/>
      <c r="AL370" s="8"/>
      <c r="AM370" s="21"/>
      <c r="AN370" s="8"/>
      <c r="AO370" s="8"/>
      <c r="AP370" s="8"/>
      <c r="AQ370" s="8"/>
      <c r="AR370" s="8"/>
      <c r="AS370" s="8"/>
      <c r="AT370" s="8"/>
      <c r="AU370" s="8">
        <f t="shared" si="12"/>
        <v>3</v>
      </c>
      <c r="AV370" s="8"/>
      <c r="AW370" s="8"/>
      <c r="AX370" s="8"/>
      <c r="AY370" s="8"/>
      <c r="AZ370" s="8"/>
      <c r="BA370" s="8"/>
      <c r="BB370" s="8"/>
      <c r="BC370" s="8"/>
      <c r="BD370" s="8"/>
      <c r="BE370" s="8"/>
      <c r="BF370" s="8"/>
      <c r="BG370" s="8"/>
      <c r="BH370" s="8"/>
      <c r="BI370" s="8"/>
      <c r="BJ370" s="8"/>
      <c r="BK370" s="8"/>
      <c r="BL370" s="8"/>
      <c r="BM370" s="8"/>
      <c r="BN370" s="8">
        <f t="shared" si="11"/>
        <v>0</v>
      </c>
      <c r="BO370" s="24">
        <f t="shared" si="14"/>
        <v>3</v>
      </c>
      <c r="BP370" s="23"/>
      <c r="BQ370" s="23"/>
    </row>
    <row r="371" spans="1:69" ht="15.75" customHeight="1">
      <c r="A371" s="3" t="s">
        <v>328</v>
      </c>
      <c r="B371" s="3" t="s">
        <v>329</v>
      </c>
      <c r="C371" s="8"/>
      <c r="D371" s="8"/>
      <c r="E371" s="21"/>
      <c r="F371" s="21"/>
      <c r="G371" s="8"/>
      <c r="H371" s="8"/>
      <c r="I371" s="8"/>
      <c r="J371" s="8"/>
      <c r="K371" s="8"/>
      <c r="L371" s="8"/>
      <c r="M371" s="8"/>
      <c r="N371" s="21"/>
      <c r="O371" s="8"/>
      <c r="P371" s="8"/>
      <c r="Q371" s="8"/>
      <c r="R371" s="8"/>
      <c r="S371" s="8"/>
      <c r="T371" s="21"/>
      <c r="U371" s="8">
        <v>3</v>
      </c>
      <c r="V371" s="8"/>
      <c r="W371" s="8"/>
      <c r="X371" s="8"/>
      <c r="Y371" s="8"/>
      <c r="Z371" s="8"/>
      <c r="AA371" s="8"/>
      <c r="AB371" s="8"/>
      <c r="AC371" s="8"/>
      <c r="AD371" s="8"/>
      <c r="AE371" s="8"/>
      <c r="AF371" s="8"/>
      <c r="AG371" s="8"/>
      <c r="AH371" s="8"/>
      <c r="AI371" s="8"/>
      <c r="AJ371" s="8"/>
      <c r="AK371" s="8"/>
      <c r="AL371" s="8"/>
      <c r="AM371" s="21"/>
      <c r="AN371" s="8"/>
      <c r="AO371" s="8"/>
      <c r="AP371" s="8"/>
      <c r="AQ371" s="8"/>
      <c r="AR371" s="8"/>
      <c r="AS371" s="8"/>
      <c r="AT371" s="8"/>
      <c r="AU371" s="8">
        <f t="shared" si="12"/>
        <v>3</v>
      </c>
      <c r="AV371" s="8"/>
      <c r="AW371" s="8"/>
      <c r="AX371" s="8"/>
      <c r="AY371" s="8"/>
      <c r="AZ371" s="8"/>
      <c r="BA371" s="8"/>
      <c r="BB371" s="8"/>
      <c r="BC371" s="8"/>
      <c r="BD371" s="8"/>
      <c r="BE371" s="8">
        <v>1</v>
      </c>
      <c r="BF371" s="8"/>
      <c r="BG371" s="8"/>
      <c r="BH371" s="8"/>
      <c r="BI371" s="8"/>
      <c r="BJ371" s="8"/>
      <c r="BK371" s="8"/>
      <c r="BL371" s="8"/>
      <c r="BM371" s="8"/>
      <c r="BN371" s="8">
        <f t="shared" si="11"/>
        <v>1</v>
      </c>
      <c r="BO371" s="24">
        <f t="shared" si="14"/>
        <v>2</v>
      </c>
      <c r="BP371" s="23"/>
      <c r="BQ371" s="23"/>
    </row>
    <row r="372" spans="1:69" ht="15.75" customHeight="1">
      <c r="A372" s="3" t="s">
        <v>917</v>
      </c>
      <c r="B372" s="3" t="s">
        <v>918</v>
      </c>
      <c r="C372" s="8"/>
      <c r="D372" s="8"/>
      <c r="E372" s="21"/>
      <c r="F372" s="21"/>
      <c r="G372" s="8"/>
      <c r="H372" s="8"/>
      <c r="I372" s="8"/>
      <c r="J372" s="8"/>
      <c r="K372" s="8"/>
      <c r="L372" s="8"/>
      <c r="M372" s="8"/>
      <c r="N372" s="21"/>
      <c r="O372" s="8"/>
      <c r="P372" s="8"/>
      <c r="Q372" s="8"/>
      <c r="R372" s="8"/>
      <c r="S372" s="8"/>
      <c r="T372" s="21"/>
      <c r="U372" s="8">
        <v>3</v>
      </c>
      <c r="V372" s="8"/>
      <c r="W372" s="8"/>
      <c r="X372" s="8"/>
      <c r="Y372" s="8"/>
      <c r="Z372" s="8"/>
      <c r="AA372" s="8"/>
      <c r="AB372" s="8"/>
      <c r="AC372" s="8"/>
      <c r="AD372" s="8"/>
      <c r="AE372" s="8"/>
      <c r="AF372" s="8"/>
      <c r="AG372" s="8"/>
      <c r="AH372" s="8"/>
      <c r="AI372" s="8">
        <v>3</v>
      </c>
      <c r="AJ372" s="8"/>
      <c r="AK372" s="8"/>
      <c r="AL372" s="8"/>
      <c r="AM372" s="21"/>
      <c r="AN372" s="8"/>
      <c r="AO372" s="8"/>
      <c r="AP372" s="8"/>
      <c r="AQ372" s="8"/>
      <c r="AR372" s="8"/>
      <c r="AS372" s="8"/>
      <c r="AT372" s="8"/>
      <c r="AU372" s="8">
        <f t="shared" si="12"/>
        <v>6</v>
      </c>
      <c r="AV372" s="8"/>
      <c r="AW372" s="8"/>
      <c r="AX372" s="8"/>
      <c r="AY372" s="8"/>
      <c r="AZ372" s="8"/>
      <c r="BA372" s="8"/>
      <c r="BB372" s="8">
        <v>4</v>
      </c>
      <c r="BC372" s="8"/>
      <c r="BD372" s="8"/>
      <c r="BE372" s="8"/>
      <c r="BF372" s="8"/>
      <c r="BG372" s="8"/>
      <c r="BH372" s="8"/>
      <c r="BI372" s="8"/>
      <c r="BJ372" s="8"/>
      <c r="BK372" s="8"/>
      <c r="BL372" s="8"/>
      <c r="BM372" s="8"/>
      <c r="BN372" s="8">
        <f t="shared" si="11"/>
        <v>4</v>
      </c>
      <c r="BO372" s="24">
        <f t="shared" si="14"/>
        <v>2</v>
      </c>
      <c r="BP372" s="23"/>
      <c r="BQ372" s="23"/>
    </row>
    <row r="373" spans="1:69" ht="15.75" customHeight="1">
      <c r="A373" s="3" t="s">
        <v>925</v>
      </c>
      <c r="B373" s="3" t="s">
        <v>926</v>
      </c>
      <c r="C373" s="8"/>
      <c r="D373" s="8"/>
      <c r="E373" s="21"/>
      <c r="F373" s="21"/>
      <c r="G373" s="8"/>
      <c r="H373" s="8"/>
      <c r="I373" s="8"/>
      <c r="J373" s="8"/>
      <c r="K373" s="8"/>
      <c r="L373" s="8"/>
      <c r="M373" s="8"/>
      <c r="N373" s="21"/>
      <c r="O373" s="8"/>
      <c r="P373" s="8"/>
      <c r="Q373" s="8"/>
      <c r="R373" s="8"/>
      <c r="S373" s="8"/>
      <c r="T373" s="21"/>
      <c r="U373" s="8">
        <v>3</v>
      </c>
      <c r="V373" s="8"/>
      <c r="W373" s="8"/>
      <c r="X373" s="8"/>
      <c r="Y373" s="8"/>
      <c r="Z373" s="8"/>
      <c r="AA373" s="8"/>
      <c r="AB373" s="8"/>
      <c r="AC373" s="8"/>
      <c r="AD373" s="8"/>
      <c r="AE373" s="8"/>
      <c r="AF373" s="8"/>
      <c r="AG373" s="8"/>
      <c r="AH373" s="8"/>
      <c r="AI373" s="8">
        <v>3</v>
      </c>
      <c r="AJ373" s="8"/>
      <c r="AK373" s="8"/>
      <c r="AL373" s="8">
        <v>5</v>
      </c>
      <c r="AM373" s="21"/>
      <c r="AN373" s="8"/>
      <c r="AO373" s="8"/>
      <c r="AP373" s="8"/>
      <c r="AQ373" s="8"/>
      <c r="AR373" s="8"/>
      <c r="AS373" s="8"/>
      <c r="AT373" s="8"/>
      <c r="AU373" s="8">
        <f t="shared" si="12"/>
        <v>11</v>
      </c>
      <c r="AV373" s="8"/>
      <c r="AW373" s="8"/>
      <c r="AX373" s="8"/>
      <c r="AY373" s="8">
        <v>2</v>
      </c>
      <c r="AZ373" s="8"/>
      <c r="BA373" s="8"/>
      <c r="BB373" s="8">
        <v>1</v>
      </c>
      <c r="BC373" s="8"/>
      <c r="BD373" s="8"/>
      <c r="BE373" s="8">
        <v>2</v>
      </c>
      <c r="BF373" s="8"/>
      <c r="BG373" s="8"/>
      <c r="BH373" s="8"/>
      <c r="BI373" s="8"/>
      <c r="BJ373" s="8"/>
      <c r="BK373" s="8"/>
      <c r="BL373" s="8"/>
      <c r="BM373" s="8"/>
      <c r="BN373" s="8">
        <f t="shared" si="11"/>
        <v>5</v>
      </c>
      <c r="BO373" s="24">
        <f t="shared" si="14"/>
        <v>6</v>
      </c>
      <c r="BP373" s="23"/>
      <c r="BQ373" s="23"/>
    </row>
    <row r="374" spans="1:69" ht="15.75" customHeight="1">
      <c r="A374" s="3" t="s">
        <v>929</v>
      </c>
      <c r="B374" s="3" t="s">
        <v>930</v>
      </c>
      <c r="C374" s="8"/>
      <c r="D374" s="8"/>
      <c r="E374" s="21"/>
      <c r="F374" s="21"/>
      <c r="G374" s="8"/>
      <c r="H374" s="8"/>
      <c r="I374" s="8"/>
      <c r="J374" s="8"/>
      <c r="K374" s="8"/>
      <c r="L374" s="8"/>
      <c r="M374" s="8"/>
      <c r="N374" s="21"/>
      <c r="O374" s="8"/>
      <c r="P374" s="8"/>
      <c r="Q374" s="8"/>
      <c r="R374" s="8"/>
      <c r="S374" s="8"/>
      <c r="T374" s="21"/>
      <c r="U374" s="8">
        <v>3</v>
      </c>
      <c r="V374" s="8"/>
      <c r="W374" s="8"/>
      <c r="X374" s="8"/>
      <c r="Y374" s="8"/>
      <c r="Z374" s="8"/>
      <c r="AA374" s="8"/>
      <c r="AB374" s="8"/>
      <c r="AC374" s="8"/>
      <c r="AD374" s="8"/>
      <c r="AE374" s="8"/>
      <c r="AF374" s="8"/>
      <c r="AG374" s="8"/>
      <c r="AH374" s="8"/>
      <c r="AI374" s="8">
        <v>3</v>
      </c>
      <c r="AJ374" s="8"/>
      <c r="AK374" s="8"/>
      <c r="AL374" s="8"/>
      <c r="AM374" s="21"/>
      <c r="AN374" s="8"/>
      <c r="AO374" s="8"/>
      <c r="AP374" s="8"/>
      <c r="AQ374" s="8"/>
      <c r="AR374" s="8"/>
      <c r="AS374" s="8"/>
      <c r="AT374" s="8"/>
      <c r="AU374" s="8">
        <f t="shared" si="12"/>
        <v>6</v>
      </c>
      <c r="AV374" s="8"/>
      <c r="AW374" s="8"/>
      <c r="AX374" s="8"/>
      <c r="AY374" s="8"/>
      <c r="AZ374" s="8"/>
      <c r="BA374" s="8"/>
      <c r="BB374" s="8"/>
      <c r="BC374" s="8"/>
      <c r="BD374" s="8"/>
      <c r="BE374" s="8"/>
      <c r="BF374" s="8"/>
      <c r="BG374" s="8"/>
      <c r="BH374" s="8"/>
      <c r="BI374" s="8"/>
      <c r="BJ374" s="8"/>
      <c r="BK374" s="8"/>
      <c r="BL374" s="8"/>
      <c r="BM374" s="8"/>
      <c r="BN374" s="8">
        <f t="shared" si="11"/>
        <v>0</v>
      </c>
      <c r="BO374" s="24">
        <f t="shared" si="14"/>
        <v>6</v>
      </c>
      <c r="BP374" s="23"/>
      <c r="BQ374" s="23"/>
    </row>
    <row r="375" spans="1:69" ht="15.75" customHeight="1">
      <c r="A375" s="3" t="s">
        <v>932</v>
      </c>
      <c r="B375" s="3" t="s">
        <v>933</v>
      </c>
      <c r="C375" s="8"/>
      <c r="D375" s="8"/>
      <c r="E375" s="21"/>
      <c r="F375" s="21"/>
      <c r="G375" s="8"/>
      <c r="H375" s="8"/>
      <c r="I375" s="8"/>
      <c r="J375" s="8"/>
      <c r="K375" s="8"/>
      <c r="L375" s="8"/>
      <c r="M375" s="8"/>
      <c r="N375" s="21"/>
      <c r="O375" s="8"/>
      <c r="P375" s="8"/>
      <c r="Q375" s="8"/>
      <c r="R375" s="8"/>
      <c r="S375" s="8"/>
      <c r="T375" s="21"/>
      <c r="U375" s="8">
        <v>3</v>
      </c>
      <c r="V375" s="8"/>
      <c r="W375" s="8"/>
      <c r="X375" s="8"/>
      <c r="Y375" s="8"/>
      <c r="Z375" s="8"/>
      <c r="AA375" s="8"/>
      <c r="AB375" s="8"/>
      <c r="AC375" s="8"/>
      <c r="AD375" s="8"/>
      <c r="AE375" s="8"/>
      <c r="AF375" s="8"/>
      <c r="AG375" s="8"/>
      <c r="AH375" s="8"/>
      <c r="AI375" s="8"/>
      <c r="AJ375" s="8"/>
      <c r="AK375" s="8"/>
      <c r="AL375" s="8"/>
      <c r="AM375" s="21"/>
      <c r="AN375" s="8"/>
      <c r="AO375" s="8"/>
      <c r="AP375" s="8"/>
      <c r="AQ375" s="8"/>
      <c r="AR375" s="8"/>
      <c r="AS375" s="8"/>
      <c r="AT375" s="8"/>
      <c r="AU375" s="8">
        <f t="shared" si="12"/>
        <v>3</v>
      </c>
      <c r="AV375" s="8"/>
      <c r="AW375" s="8"/>
      <c r="AX375" s="8"/>
      <c r="AY375" s="8"/>
      <c r="AZ375" s="8"/>
      <c r="BA375" s="8"/>
      <c r="BB375" s="8"/>
      <c r="BC375" s="8"/>
      <c r="BD375" s="8"/>
      <c r="BE375" s="8"/>
      <c r="BF375" s="8"/>
      <c r="BG375" s="8"/>
      <c r="BH375" s="8"/>
      <c r="BI375" s="8"/>
      <c r="BJ375" s="8"/>
      <c r="BK375" s="8"/>
      <c r="BL375" s="8"/>
      <c r="BM375" s="8"/>
      <c r="BN375" s="8">
        <f t="shared" si="11"/>
        <v>0</v>
      </c>
      <c r="BO375" s="24">
        <f t="shared" si="14"/>
        <v>3</v>
      </c>
      <c r="BP375" s="23"/>
      <c r="BQ375" s="23"/>
    </row>
    <row r="376" spans="1:69" ht="15.75" customHeight="1">
      <c r="A376" s="3" t="s">
        <v>935</v>
      </c>
      <c r="B376" s="3" t="s">
        <v>936</v>
      </c>
      <c r="C376" s="8"/>
      <c r="D376" s="8"/>
      <c r="E376" s="21"/>
      <c r="F376" s="21"/>
      <c r="G376" s="8"/>
      <c r="H376" s="8"/>
      <c r="I376" s="8"/>
      <c r="J376" s="8"/>
      <c r="K376" s="8"/>
      <c r="L376" s="8"/>
      <c r="M376" s="8"/>
      <c r="N376" s="21"/>
      <c r="O376" s="8"/>
      <c r="P376" s="8"/>
      <c r="Q376" s="8"/>
      <c r="R376" s="8"/>
      <c r="S376" s="8"/>
      <c r="T376" s="21"/>
      <c r="U376" s="8">
        <v>3</v>
      </c>
      <c r="V376" s="8"/>
      <c r="W376" s="8"/>
      <c r="X376" s="8"/>
      <c r="Y376" s="8"/>
      <c r="Z376" s="8"/>
      <c r="AA376" s="8"/>
      <c r="AB376" s="8"/>
      <c r="AC376" s="8"/>
      <c r="AD376" s="8"/>
      <c r="AE376" s="8"/>
      <c r="AF376" s="8"/>
      <c r="AG376" s="8"/>
      <c r="AH376" s="8"/>
      <c r="AI376" s="8"/>
      <c r="AJ376" s="8"/>
      <c r="AK376" s="8"/>
      <c r="AL376" s="8"/>
      <c r="AM376" s="21"/>
      <c r="AN376" s="8"/>
      <c r="AO376" s="8"/>
      <c r="AP376" s="8"/>
      <c r="AQ376" s="8"/>
      <c r="AR376" s="8"/>
      <c r="AS376" s="8"/>
      <c r="AT376" s="8"/>
      <c r="AU376" s="8">
        <f t="shared" si="12"/>
        <v>3</v>
      </c>
      <c r="AV376" s="8"/>
      <c r="AW376" s="8"/>
      <c r="AX376" s="8"/>
      <c r="AY376" s="8">
        <v>1</v>
      </c>
      <c r="AZ376" s="8"/>
      <c r="BA376" s="8"/>
      <c r="BB376" s="8"/>
      <c r="BC376" s="8"/>
      <c r="BD376" s="8"/>
      <c r="BE376" s="8"/>
      <c r="BF376" s="8"/>
      <c r="BG376" s="8"/>
      <c r="BH376" s="8"/>
      <c r="BI376" s="8"/>
      <c r="BJ376" s="8"/>
      <c r="BK376" s="8"/>
      <c r="BL376" s="8"/>
      <c r="BM376" s="8"/>
      <c r="BN376" s="8">
        <f t="shared" si="11"/>
        <v>1</v>
      </c>
      <c r="BO376" s="24">
        <f t="shared" si="14"/>
        <v>2</v>
      </c>
      <c r="BP376" s="23"/>
      <c r="BQ376" s="23"/>
    </row>
    <row r="377" spans="1:69" ht="15.75" customHeight="1">
      <c r="A377" s="3" t="s">
        <v>939</v>
      </c>
      <c r="B377" s="3" t="s">
        <v>940</v>
      </c>
      <c r="C377" s="8"/>
      <c r="D377" s="8"/>
      <c r="E377" s="21"/>
      <c r="F377" s="21"/>
      <c r="G377" s="8"/>
      <c r="H377" s="8"/>
      <c r="I377" s="8"/>
      <c r="J377" s="8"/>
      <c r="K377" s="8"/>
      <c r="L377" s="8"/>
      <c r="M377" s="8"/>
      <c r="N377" s="21"/>
      <c r="O377" s="8"/>
      <c r="P377" s="8"/>
      <c r="Q377" s="8"/>
      <c r="R377" s="8"/>
      <c r="S377" s="8"/>
      <c r="T377" s="21"/>
      <c r="U377" s="8">
        <v>3</v>
      </c>
      <c r="V377" s="8"/>
      <c r="W377" s="8"/>
      <c r="X377" s="8"/>
      <c r="Y377" s="8"/>
      <c r="Z377" s="8"/>
      <c r="AA377" s="8"/>
      <c r="AB377" s="8"/>
      <c r="AC377" s="8"/>
      <c r="AD377" s="8"/>
      <c r="AE377" s="8"/>
      <c r="AF377" s="8"/>
      <c r="AG377" s="8"/>
      <c r="AH377" s="8"/>
      <c r="AI377" s="8">
        <v>2</v>
      </c>
      <c r="AJ377" s="8"/>
      <c r="AK377" s="8"/>
      <c r="AL377" s="8"/>
      <c r="AM377" s="21"/>
      <c r="AN377" s="8"/>
      <c r="AO377" s="8"/>
      <c r="AP377" s="8"/>
      <c r="AQ377" s="8"/>
      <c r="AR377" s="8"/>
      <c r="AS377" s="8"/>
      <c r="AT377" s="8"/>
      <c r="AU377" s="8">
        <f t="shared" si="12"/>
        <v>5</v>
      </c>
      <c r="AV377" s="8"/>
      <c r="AW377" s="8"/>
      <c r="AX377" s="8"/>
      <c r="AY377" s="8">
        <v>1</v>
      </c>
      <c r="AZ377" s="8">
        <v>1</v>
      </c>
      <c r="BA377" s="8"/>
      <c r="BB377" s="8">
        <v>1</v>
      </c>
      <c r="BC377" s="8"/>
      <c r="BD377" s="8">
        <v>1</v>
      </c>
      <c r="BE377" s="8"/>
      <c r="BF377" s="8"/>
      <c r="BG377" s="8"/>
      <c r="BH377" s="8"/>
      <c r="BI377" s="8"/>
      <c r="BJ377" s="8"/>
      <c r="BK377" s="8"/>
      <c r="BL377" s="8"/>
      <c r="BM377" s="8"/>
      <c r="BN377" s="8">
        <f t="shared" si="11"/>
        <v>4</v>
      </c>
      <c r="BO377" s="24">
        <f t="shared" si="14"/>
        <v>1</v>
      </c>
      <c r="BP377" s="23"/>
      <c r="BQ377" s="23"/>
    </row>
    <row r="378" spans="1:69" ht="15.75" customHeight="1">
      <c r="A378" s="3" t="s">
        <v>943</v>
      </c>
      <c r="B378" s="3" t="s">
        <v>944</v>
      </c>
      <c r="C378" s="8"/>
      <c r="D378" s="8"/>
      <c r="E378" s="21"/>
      <c r="F378" s="21"/>
      <c r="G378" s="8"/>
      <c r="H378" s="8"/>
      <c r="I378" s="8"/>
      <c r="J378" s="8"/>
      <c r="K378" s="8"/>
      <c r="L378" s="8"/>
      <c r="M378" s="8"/>
      <c r="N378" s="21"/>
      <c r="O378" s="8"/>
      <c r="P378" s="8"/>
      <c r="Q378" s="8"/>
      <c r="R378" s="8"/>
      <c r="S378" s="8"/>
      <c r="T378" s="21"/>
      <c r="U378" s="8">
        <v>3</v>
      </c>
      <c r="V378" s="8"/>
      <c r="W378" s="8"/>
      <c r="X378" s="8"/>
      <c r="Y378" s="8"/>
      <c r="Z378" s="8"/>
      <c r="AA378" s="8"/>
      <c r="AB378" s="8"/>
      <c r="AC378" s="8"/>
      <c r="AD378" s="8"/>
      <c r="AE378" s="8"/>
      <c r="AF378" s="8"/>
      <c r="AG378" s="8"/>
      <c r="AH378" s="8"/>
      <c r="AI378" s="8">
        <v>2</v>
      </c>
      <c r="AJ378" s="8"/>
      <c r="AK378" s="8"/>
      <c r="AL378" s="8"/>
      <c r="AM378" s="21"/>
      <c r="AN378" s="8"/>
      <c r="AO378" s="8"/>
      <c r="AP378" s="8"/>
      <c r="AQ378" s="8"/>
      <c r="AR378" s="8"/>
      <c r="AS378" s="8"/>
      <c r="AT378" s="8"/>
      <c r="AU378" s="8">
        <f t="shared" si="12"/>
        <v>5</v>
      </c>
      <c r="AV378" s="8"/>
      <c r="AW378" s="8"/>
      <c r="AX378" s="8">
        <v>1</v>
      </c>
      <c r="AY378" s="8">
        <v>1</v>
      </c>
      <c r="AZ378" s="8"/>
      <c r="BA378" s="8"/>
      <c r="BB378" s="8"/>
      <c r="BC378" s="8"/>
      <c r="BD378" s="8">
        <v>3</v>
      </c>
      <c r="BE378" s="8"/>
      <c r="BF378" s="8"/>
      <c r="BG378" s="8"/>
      <c r="BH378" s="8"/>
      <c r="BI378" s="8"/>
      <c r="BJ378" s="8"/>
      <c r="BK378" s="8"/>
      <c r="BL378" s="8"/>
      <c r="BM378" s="8"/>
      <c r="BN378" s="8">
        <f t="shared" si="11"/>
        <v>5</v>
      </c>
      <c r="BO378" s="24">
        <f t="shared" si="14"/>
        <v>0</v>
      </c>
      <c r="BP378" s="23"/>
      <c r="BQ378" s="23"/>
    </row>
    <row r="379" spans="1:69" ht="15.75" customHeight="1">
      <c r="A379" s="3" t="s">
        <v>947</v>
      </c>
      <c r="B379" s="3" t="s">
        <v>948</v>
      </c>
      <c r="C379" s="8"/>
      <c r="D379" s="8"/>
      <c r="E379" s="21"/>
      <c r="F379" s="21"/>
      <c r="G379" s="8"/>
      <c r="H379" s="8"/>
      <c r="I379" s="8"/>
      <c r="J379" s="8"/>
      <c r="K379" s="8"/>
      <c r="L379" s="8"/>
      <c r="M379" s="8"/>
      <c r="N379" s="21"/>
      <c r="O379" s="8"/>
      <c r="P379" s="8"/>
      <c r="Q379" s="8"/>
      <c r="R379" s="8"/>
      <c r="S379" s="8"/>
      <c r="T379" s="21"/>
      <c r="U379" s="8">
        <v>2</v>
      </c>
      <c r="V379" s="8"/>
      <c r="W379" s="8"/>
      <c r="X379" s="8"/>
      <c r="Y379" s="8"/>
      <c r="Z379" s="8"/>
      <c r="AA379" s="8"/>
      <c r="AB379" s="8"/>
      <c r="AC379" s="8"/>
      <c r="AD379" s="8"/>
      <c r="AE379" s="8"/>
      <c r="AF379" s="8"/>
      <c r="AG379" s="8"/>
      <c r="AH379" s="8"/>
      <c r="AI379" s="8"/>
      <c r="AJ379" s="8"/>
      <c r="AK379" s="8"/>
      <c r="AL379" s="8"/>
      <c r="AM379" s="21"/>
      <c r="AN379" s="8"/>
      <c r="AO379" s="8"/>
      <c r="AP379" s="8"/>
      <c r="AQ379" s="8"/>
      <c r="AR379" s="8"/>
      <c r="AS379" s="8"/>
      <c r="AT379" s="8"/>
      <c r="AU379" s="8">
        <f t="shared" si="12"/>
        <v>2</v>
      </c>
      <c r="AV379" s="8"/>
      <c r="AW379" s="8"/>
      <c r="AX379" s="8"/>
      <c r="AY379" s="8">
        <v>1</v>
      </c>
      <c r="AZ379" s="8"/>
      <c r="BA379" s="8">
        <v>1</v>
      </c>
      <c r="BB379" s="8"/>
      <c r="BC379" s="8"/>
      <c r="BD379" s="8"/>
      <c r="BE379" s="8"/>
      <c r="BF379" s="8"/>
      <c r="BG379" s="8"/>
      <c r="BH379" s="8"/>
      <c r="BI379" s="8"/>
      <c r="BJ379" s="8"/>
      <c r="BK379" s="8"/>
      <c r="BL379" s="8"/>
      <c r="BM379" s="8"/>
      <c r="BN379" s="8">
        <f t="shared" si="11"/>
        <v>2</v>
      </c>
      <c r="BO379" s="24">
        <f t="shared" si="14"/>
        <v>0</v>
      </c>
      <c r="BP379" s="23"/>
      <c r="BQ379" s="23"/>
    </row>
    <row r="380" spans="1:69" ht="15.75" customHeight="1">
      <c r="A380" s="3" t="s">
        <v>57</v>
      </c>
      <c r="B380" s="3" t="s">
        <v>58</v>
      </c>
      <c r="C380" s="8"/>
      <c r="D380" s="8"/>
      <c r="E380" s="21"/>
      <c r="F380" s="21"/>
      <c r="G380" s="8"/>
      <c r="H380" s="8"/>
      <c r="I380" s="8"/>
      <c r="J380" s="8"/>
      <c r="K380" s="8"/>
      <c r="L380" s="8"/>
      <c r="M380" s="8"/>
      <c r="N380" s="21"/>
      <c r="O380" s="8"/>
      <c r="P380" s="8"/>
      <c r="Q380" s="8">
        <v>5</v>
      </c>
      <c r="R380" s="8"/>
      <c r="S380" s="8"/>
      <c r="T380" s="21"/>
      <c r="U380" s="8"/>
      <c r="V380" s="8"/>
      <c r="W380" s="8"/>
      <c r="X380" s="8"/>
      <c r="Y380" s="8"/>
      <c r="Z380" s="8"/>
      <c r="AA380" s="8"/>
      <c r="AB380" s="8">
        <v>5</v>
      </c>
      <c r="AC380" s="8"/>
      <c r="AD380" s="8"/>
      <c r="AE380" s="8"/>
      <c r="AF380" s="8"/>
      <c r="AG380" s="8"/>
      <c r="AH380" s="8"/>
      <c r="AI380" s="8"/>
      <c r="AJ380" s="8"/>
      <c r="AK380" s="8"/>
      <c r="AL380" s="8"/>
      <c r="AM380" s="21"/>
      <c r="AN380" s="8"/>
      <c r="AO380" s="8"/>
      <c r="AP380" s="8"/>
      <c r="AQ380" s="8">
        <v>5</v>
      </c>
      <c r="AR380" s="8"/>
      <c r="AS380" s="8"/>
      <c r="AT380" s="8"/>
      <c r="AU380" s="8">
        <f t="shared" si="12"/>
        <v>15</v>
      </c>
      <c r="AV380" s="8"/>
      <c r="AW380" s="8">
        <v>1</v>
      </c>
      <c r="AX380" s="8"/>
      <c r="AY380" s="8">
        <v>4</v>
      </c>
      <c r="AZ380" s="8"/>
      <c r="BA380" s="8">
        <v>2</v>
      </c>
      <c r="BB380" s="8"/>
      <c r="BC380" s="8"/>
      <c r="BD380" s="8">
        <v>1</v>
      </c>
      <c r="BE380" s="8"/>
      <c r="BF380" s="8"/>
      <c r="BG380" s="8"/>
      <c r="BH380" s="8"/>
      <c r="BI380" s="8"/>
      <c r="BJ380" s="8"/>
      <c r="BK380" s="8"/>
      <c r="BL380" s="8"/>
      <c r="BM380" s="8"/>
      <c r="BN380" s="8">
        <f t="shared" si="11"/>
        <v>8</v>
      </c>
      <c r="BO380" s="24">
        <f t="shared" si="14"/>
        <v>7</v>
      </c>
      <c r="BP380" s="23"/>
      <c r="BQ380" s="23"/>
    </row>
    <row r="381" spans="1:69" ht="15.75" customHeight="1">
      <c r="A381" s="3" t="s">
        <v>59</v>
      </c>
      <c r="B381" s="3" t="s">
        <v>60</v>
      </c>
      <c r="C381" s="8">
        <v>5</v>
      </c>
      <c r="D381" s="8"/>
      <c r="E381" s="21">
        <v>-3</v>
      </c>
      <c r="F381" s="21"/>
      <c r="G381" s="8"/>
      <c r="H381" s="8"/>
      <c r="I381" s="8"/>
      <c r="J381" s="8"/>
      <c r="K381" s="8"/>
      <c r="L381" s="8"/>
      <c r="M381" s="8"/>
      <c r="N381" s="21"/>
      <c r="O381" s="8"/>
      <c r="P381" s="8"/>
      <c r="Q381" s="8">
        <v>5</v>
      </c>
      <c r="R381" s="8"/>
      <c r="S381" s="8"/>
      <c r="T381" s="21"/>
      <c r="U381" s="8"/>
      <c r="V381" s="8"/>
      <c r="W381" s="8"/>
      <c r="X381" s="8"/>
      <c r="Y381" s="8"/>
      <c r="Z381" s="8"/>
      <c r="AA381" s="8"/>
      <c r="AB381" s="8">
        <v>5</v>
      </c>
      <c r="AC381" s="8"/>
      <c r="AD381" s="8"/>
      <c r="AE381" s="8"/>
      <c r="AF381" s="8"/>
      <c r="AG381" s="8"/>
      <c r="AH381" s="8"/>
      <c r="AI381" s="8"/>
      <c r="AJ381" s="8"/>
      <c r="AK381" s="8"/>
      <c r="AL381" s="8"/>
      <c r="AM381" s="21"/>
      <c r="AN381" s="8"/>
      <c r="AO381" s="8"/>
      <c r="AP381" s="8"/>
      <c r="AQ381" s="8">
        <v>5</v>
      </c>
      <c r="AR381" s="8"/>
      <c r="AS381" s="8"/>
      <c r="AT381" s="8"/>
      <c r="AU381" s="8">
        <f t="shared" si="12"/>
        <v>17</v>
      </c>
      <c r="AV381" s="8">
        <v>4</v>
      </c>
      <c r="AW381" s="8">
        <v>4</v>
      </c>
      <c r="AX381" s="8"/>
      <c r="AY381" s="8"/>
      <c r="AZ381" s="8">
        <v>1</v>
      </c>
      <c r="BA381" s="8">
        <v>1</v>
      </c>
      <c r="BB381" s="8">
        <v>2</v>
      </c>
      <c r="BC381" s="8"/>
      <c r="BD381" s="8">
        <v>1</v>
      </c>
      <c r="BE381" s="8">
        <v>1</v>
      </c>
      <c r="BF381" s="8"/>
      <c r="BG381" s="8"/>
      <c r="BH381" s="8"/>
      <c r="BI381" s="8"/>
      <c r="BJ381" s="8"/>
      <c r="BK381" s="8"/>
      <c r="BL381" s="8"/>
      <c r="BM381" s="8"/>
      <c r="BN381" s="8">
        <f t="shared" si="11"/>
        <v>14</v>
      </c>
      <c r="BO381" s="24">
        <f t="shared" si="14"/>
        <v>3</v>
      </c>
      <c r="BP381" s="23"/>
      <c r="BQ381" s="23"/>
    </row>
    <row r="382" spans="1:69" ht="15.75" customHeight="1">
      <c r="A382" s="32" t="s">
        <v>61</v>
      </c>
      <c r="B382" s="32" t="s">
        <v>62</v>
      </c>
      <c r="C382" s="25"/>
      <c r="D382" s="25"/>
      <c r="E382" s="26"/>
      <c r="F382" s="26"/>
      <c r="G382" s="25"/>
      <c r="H382" s="25"/>
      <c r="I382" s="25"/>
      <c r="J382" s="25"/>
      <c r="K382" s="25"/>
      <c r="L382" s="25"/>
      <c r="M382" s="25"/>
      <c r="N382" s="26"/>
      <c r="O382" s="25"/>
      <c r="P382" s="25"/>
      <c r="Q382" s="25">
        <v>5</v>
      </c>
      <c r="R382" s="25"/>
      <c r="S382" s="25"/>
      <c r="T382" s="26"/>
      <c r="U382" s="25"/>
      <c r="V382" s="25"/>
      <c r="W382" s="25"/>
      <c r="X382" s="25"/>
      <c r="Y382" s="25"/>
      <c r="Z382" s="25"/>
      <c r="AA382" s="25"/>
      <c r="AB382" s="25"/>
      <c r="AC382" s="25"/>
      <c r="AD382" s="25"/>
      <c r="AE382" s="25"/>
      <c r="AF382" s="25"/>
      <c r="AG382" s="25"/>
      <c r="AH382" s="25"/>
      <c r="AI382" s="25"/>
      <c r="AJ382" s="25"/>
      <c r="AK382" s="25"/>
      <c r="AL382" s="25"/>
      <c r="AM382" s="26"/>
      <c r="AN382" s="25"/>
      <c r="AO382" s="25"/>
      <c r="AP382" s="25"/>
      <c r="AQ382" s="25"/>
      <c r="AR382" s="25"/>
      <c r="AS382" s="25"/>
      <c r="AT382" s="25"/>
      <c r="AU382" s="8">
        <f t="shared" si="12"/>
        <v>5</v>
      </c>
      <c r="AV382" s="25"/>
      <c r="AW382" s="25"/>
      <c r="AX382" s="25"/>
      <c r="AY382" s="25"/>
      <c r="AZ382" s="25">
        <v>4</v>
      </c>
      <c r="BA382" s="25"/>
      <c r="BB382" s="25"/>
      <c r="BC382" s="25"/>
      <c r="BD382" s="25"/>
      <c r="BE382" s="25"/>
      <c r="BF382" s="25"/>
      <c r="BG382" s="25"/>
      <c r="BH382" s="25"/>
      <c r="BI382" s="25"/>
      <c r="BJ382" s="25"/>
      <c r="BK382" s="25"/>
      <c r="BL382" s="25"/>
      <c r="BM382" s="25"/>
      <c r="BN382" s="25">
        <f t="shared" si="11"/>
        <v>4</v>
      </c>
      <c r="BO382" s="24">
        <f t="shared" si="14"/>
        <v>1</v>
      </c>
      <c r="BP382" s="23"/>
      <c r="BQ382" s="23"/>
    </row>
    <row r="383" spans="1:69" ht="15.75" customHeight="1">
      <c r="A383" s="3" t="s">
        <v>851</v>
      </c>
      <c r="B383" s="3" t="s">
        <v>852</v>
      </c>
      <c r="C383" s="8"/>
      <c r="D383" s="8"/>
      <c r="E383" s="21"/>
      <c r="F383" s="21"/>
      <c r="G383" s="8"/>
      <c r="H383" s="8"/>
      <c r="I383" s="8"/>
      <c r="J383" s="8"/>
      <c r="K383" s="8"/>
      <c r="L383" s="8"/>
      <c r="M383" s="8"/>
      <c r="N383" s="21"/>
      <c r="O383" s="8"/>
      <c r="P383" s="8"/>
      <c r="Q383" s="8">
        <v>5</v>
      </c>
      <c r="R383" s="8"/>
      <c r="S383" s="8"/>
      <c r="T383" s="21"/>
      <c r="U383" s="8"/>
      <c r="V383" s="8"/>
      <c r="W383" s="8"/>
      <c r="X383" s="8"/>
      <c r="Y383" s="8"/>
      <c r="Z383" s="8"/>
      <c r="AA383" s="8"/>
      <c r="AB383" s="8"/>
      <c r="AC383" s="8"/>
      <c r="AD383" s="8"/>
      <c r="AE383" s="8"/>
      <c r="AF383" s="8"/>
      <c r="AG383" s="8"/>
      <c r="AH383" s="8"/>
      <c r="AI383" s="8"/>
      <c r="AJ383" s="8"/>
      <c r="AK383" s="8"/>
      <c r="AL383" s="8"/>
      <c r="AM383" s="21"/>
      <c r="AN383" s="8"/>
      <c r="AO383" s="8"/>
      <c r="AP383" s="8"/>
      <c r="AQ383" s="8"/>
      <c r="AR383" s="8"/>
      <c r="AS383" s="8"/>
      <c r="AT383" s="8"/>
      <c r="AU383" s="8">
        <f t="shared" si="12"/>
        <v>5</v>
      </c>
      <c r="AV383" s="8"/>
      <c r="AW383" s="8"/>
      <c r="AX383" s="8"/>
      <c r="AY383" s="8"/>
      <c r="AZ383" s="8"/>
      <c r="BA383" s="8"/>
      <c r="BB383" s="8"/>
      <c r="BC383" s="8"/>
      <c r="BD383" s="8"/>
      <c r="BE383" s="8">
        <v>1</v>
      </c>
      <c r="BF383" s="8"/>
      <c r="BG383" s="8"/>
      <c r="BH383" s="8"/>
      <c r="BI383" s="8"/>
      <c r="BJ383" s="8"/>
      <c r="BK383" s="8"/>
      <c r="BL383" s="8"/>
      <c r="BM383" s="8"/>
      <c r="BN383" s="8">
        <f t="shared" si="11"/>
        <v>1</v>
      </c>
      <c r="BO383" s="24">
        <f t="shared" si="14"/>
        <v>4</v>
      </c>
      <c r="BP383" s="23"/>
      <c r="BQ383" s="23"/>
    </row>
    <row r="384" spans="1:69" ht="15.75" customHeight="1">
      <c r="A384" s="3" t="s">
        <v>853</v>
      </c>
      <c r="B384" s="3" t="s">
        <v>855</v>
      </c>
      <c r="C384" s="8"/>
      <c r="D384" s="8"/>
      <c r="E384" s="21"/>
      <c r="F384" s="21"/>
      <c r="G384" s="8"/>
      <c r="H384" s="8"/>
      <c r="I384" s="8"/>
      <c r="J384" s="8"/>
      <c r="K384" s="8"/>
      <c r="L384" s="8"/>
      <c r="M384" s="8"/>
      <c r="N384" s="21"/>
      <c r="O384" s="8"/>
      <c r="P384" s="8"/>
      <c r="Q384" s="8">
        <v>5</v>
      </c>
      <c r="R384" s="8"/>
      <c r="S384" s="8"/>
      <c r="T384" s="21"/>
      <c r="U384" s="8"/>
      <c r="V384" s="8"/>
      <c r="W384" s="8"/>
      <c r="X384" s="8"/>
      <c r="Y384" s="8"/>
      <c r="Z384" s="8"/>
      <c r="AA384" s="8"/>
      <c r="AB384" s="8"/>
      <c r="AC384" s="8"/>
      <c r="AD384" s="8"/>
      <c r="AE384" s="8"/>
      <c r="AF384" s="8"/>
      <c r="AG384" s="8"/>
      <c r="AH384" s="8"/>
      <c r="AI384" s="8"/>
      <c r="AJ384" s="8"/>
      <c r="AK384" s="8"/>
      <c r="AL384" s="8"/>
      <c r="AM384" s="21"/>
      <c r="AN384" s="8"/>
      <c r="AO384" s="8"/>
      <c r="AP384" s="8"/>
      <c r="AQ384" s="8"/>
      <c r="AR384" s="8"/>
      <c r="AS384" s="8"/>
      <c r="AT384" s="8"/>
      <c r="AU384" s="8">
        <f t="shared" si="12"/>
        <v>5</v>
      </c>
      <c r="AV384" s="8"/>
      <c r="AW384" s="8">
        <v>1</v>
      </c>
      <c r="AX384" s="8"/>
      <c r="AY384" s="8">
        <v>1</v>
      </c>
      <c r="AZ384" s="8"/>
      <c r="BA384" s="8"/>
      <c r="BB384" s="8"/>
      <c r="BC384" s="8"/>
      <c r="BD384" s="8"/>
      <c r="BE384" s="8"/>
      <c r="BF384" s="8"/>
      <c r="BG384" s="8"/>
      <c r="BH384" s="8"/>
      <c r="BI384" s="8"/>
      <c r="BJ384" s="8"/>
      <c r="BK384" s="8"/>
      <c r="BL384" s="8"/>
      <c r="BM384" s="8"/>
      <c r="BN384" s="8">
        <f t="shared" si="11"/>
        <v>2</v>
      </c>
      <c r="BO384" s="24">
        <f t="shared" si="14"/>
        <v>3</v>
      </c>
      <c r="BP384" s="23"/>
      <c r="BQ384" s="23"/>
    </row>
    <row r="385" spans="1:69" ht="15.75" customHeight="1">
      <c r="A385" s="3" t="s">
        <v>977</v>
      </c>
      <c r="B385" s="3" t="s">
        <v>978</v>
      </c>
      <c r="C385" s="8"/>
      <c r="D385" s="8"/>
      <c r="E385" s="21"/>
      <c r="F385" s="21"/>
      <c r="G385" s="8"/>
      <c r="H385" s="8"/>
      <c r="I385" s="8"/>
      <c r="J385" s="8"/>
      <c r="K385" s="8"/>
      <c r="L385" s="8"/>
      <c r="M385" s="8"/>
      <c r="N385" s="21"/>
      <c r="O385" s="8"/>
      <c r="P385" s="8"/>
      <c r="Q385" s="8">
        <v>5</v>
      </c>
      <c r="R385" s="8"/>
      <c r="S385" s="8"/>
      <c r="T385" s="21"/>
      <c r="U385" s="8"/>
      <c r="V385" s="8"/>
      <c r="W385" s="8"/>
      <c r="X385" s="8"/>
      <c r="Y385" s="8"/>
      <c r="Z385" s="8"/>
      <c r="AA385" s="8"/>
      <c r="AB385" s="8"/>
      <c r="AC385" s="8"/>
      <c r="AD385" s="8"/>
      <c r="AE385" s="8"/>
      <c r="AF385" s="8"/>
      <c r="AG385" s="8"/>
      <c r="AH385" s="8"/>
      <c r="AI385" s="8"/>
      <c r="AJ385" s="8"/>
      <c r="AK385" s="8"/>
      <c r="AL385" s="8"/>
      <c r="AM385" s="21"/>
      <c r="AN385" s="8"/>
      <c r="AO385" s="8"/>
      <c r="AP385" s="8"/>
      <c r="AQ385" s="8"/>
      <c r="AR385" s="8"/>
      <c r="AS385" s="8"/>
      <c r="AT385" s="8"/>
      <c r="AU385" s="8">
        <f t="shared" si="12"/>
        <v>5</v>
      </c>
      <c r="AV385" s="8"/>
      <c r="AW385" s="8"/>
      <c r="AX385" s="8"/>
      <c r="AY385" s="8"/>
      <c r="AZ385" s="8"/>
      <c r="BA385" s="8">
        <v>1</v>
      </c>
      <c r="BB385" s="8">
        <v>1</v>
      </c>
      <c r="BC385" s="8"/>
      <c r="BD385" s="8"/>
      <c r="BE385" s="8"/>
      <c r="BF385" s="8"/>
      <c r="BG385" s="8"/>
      <c r="BH385" s="8"/>
      <c r="BI385" s="8"/>
      <c r="BJ385" s="8"/>
      <c r="BK385" s="8"/>
      <c r="BL385" s="8"/>
      <c r="BM385" s="8"/>
      <c r="BN385" s="8">
        <f t="shared" si="11"/>
        <v>2</v>
      </c>
      <c r="BO385" s="24">
        <f t="shared" si="14"/>
        <v>3</v>
      </c>
      <c r="BP385" s="23"/>
      <c r="BQ385" s="23"/>
    </row>
    <row r="386" spans="1:69" ht="15.75" customHeight="1">
      <c r="A386" s="3" t="s">
        <v>63</v>
      </c>
      <c r="B386" s="3" t="s">
        <v>64</v>
      </c>
      <c r="C386" s="8">
        <v>5</v>
      </c>
      <c r="D386" s="8"/>
      <c r="E386" s="21"/>
      <c r="F386" s="21"/>
      <c r="G386" s="8"/>
      <c r="H386" s="8"/>
      <c r="I386" s="8"/>
      <c r="J386" s="8"/>
      <c r="K386" s="8"/>
      <c r="L386" s="8"/>
      <c r="M386" s="8"/>
      <c r="N386" s="21"/>
      <c r="O386" s="8"/>
      <c r="P386" s="8"/>
      <c r="Q386" s="8">
        <v>5</v>
      </c>
      <c r="R386" s="8"/>
      <c r="S386" s="8"/>
      <c r="T386" s="21"/>
      <c r="U386" s="8"/>
      <c r="V386" s="8"/>
      <c r="W386" s="8"/>
      <c r="X386" s="8"/>
      <c r="Y386" s="8"/>
      <c r="Z386" s="8"/>
      <c r="AA386" s="8"/>
      <c r="AB386" s="8">
        <v>5</v>
      </c>
      <c r="AC386" s="8"/>
      <c r="AD386" s="8"/>
      <c r="AE386" s="8"/>
      <c r="AF386" s="8"/>
      <c r="AG386" s="8"/>
      <c r="AH386" s="8"/>
      <c r="AI386" s="8"/>
      <c r="AJ386" s="8"/>
      <c r="AK386" s="8"/>
      <c r="AL386" s="8"/>
      <c r="AM386" s="21"/>
      <c r="AN386" s="8"/>
      <c r="AO386" s="8"/>
      <c r="AP386" s="8"/>
      <c r="AQ386" s="8"/>
      <c r="AR386" s="8"/>
      <c r="AS386" s="8"/>
      <c r="AT386" s="8"/>
      <c r="AU386" s="8">
        <f t="shared" si="12"/>
        <v>15</v>
      </c>
      <c r="AV386" s="8">
        <v>5</v>
      </c>
      <c r="AW386" s="8">
        <v>1</v>
      </c>
      <c r="AX386" s="8"/>
      <c r="AY386" s="8">
        <v>4</v>
      </c>
      <c r="AZ386" s="8"/>
      <c r="BA386" s="8">
        <v>2</v>
      </c>
      <c r="BB386" s="8"/>
      <c r="BC386" s="8"/>
      <c r="BD386" s="8">
        <v>1</v>
      </c>
      <c r="BE386" s="8"/>
      <c r="BF386" s="8"/>
      <c r="BG386" s="8"/>
      <c r="BH386" s="8"/>
      <c r="BI386" s="8"/>
      <c r="BJ386" s="8"/>
      <c r="BK386" s="8"/>
      <c r="BL386" s="8"/>
      <c r="BM386" s="8"/>
      <c r="BN386" s="8">
        <f t="shared" si="11"/>
        <v>13</v>
      </c>
      <c r="BO386" s="24">
        <f t="shared" si="14"/>
        <v>2</v>
      </c>
      <c r="BP386" s="23"/>
      <c r="BQ386" s="23"/>
    </row>
    <row r="387" spans="1:69" ht="15.75" customHeight="1">
      <c r="A387" s="3" t="s">
        <v>65</v>
      </c>
      <c r="B387" s="3" t="s">
        <v>66</v>
      </c>
      <c r="C387" s="8">
        <v>5</v>
      </c>
      <c r="D387" s="8"/>
      <c r="E387" s="21"/>
      <c r="F387" s="21"/>
      <c r="G387" s="8"/>
      <c r="H387" s="8"/>
      <c r="I387" s="8"/>
      <c r="J387" s="8"/>
      <c r="K387" s="8"/>
      <c r="L387" s="8"/>
      <c r="M387" s="8"/>
      <c r="N387" s="21"/>
      <c r="O387" s="8"/>
      <c r="P387" s="8"/>
      <c r="Q387" s="8">
        <v>5</v>
      </c>
      <c r="R387" s="8"/>
      <c r="S387" s="8"/>
      <c r="T387" s="21"/>
      <c r="U387" s="8"/>
      <c r="V387" s="8"/>
      <c r="W387" s="8"/>
      <c r="X387" s="8"/>
      <c r="Y387" s="8"/>
      <c r="Z387" s="8"/>
      <c r="AA387" s="8"/>
      <c r="AB387" s="8">
        <v>5</v>
      </c>
      <c r="AC387" s="8"/>
      <c r="AD387" s="8"/>
      <c r="AE387" s="8"/>
      <c r="AF387" s="8"/>
      <c r="AG387" s="8"/>
      <c r="AH387" s="8"/>
      <c r="AI387" s="8"/>
      <c r="AJ387" s="8"/>
      <c r="AK387" s="8"/>
      <c r="AL387" s="8"/>
      <c r="AM387" s="21"/>
      <c r="AN387" s="8"/>
      <c r="AO387" s="8"/>
      <c r="AP387" s="8"/>
      <c r="AQ387" s="8"/>
      <c r="AR387" s="8"/>
      <c r="AS387" s="8"/>
      <c r="AT387" s="8"/>
      <c r="AU387" s="8">
        <f t="shared" si="12"/>
        <v>15</v>
      </c>
      <c r="AV387" s="8">
        <v>7</v>
      </c>
      <c r="AW387" s="8">
        <v>3</v>
      </c>
      <c r="AX387" s="8"/>
      <c r="AY387" s="8"/>
      <c r="AZ387" s="8"/>
      <c r="BA387" s="8">
        <v>1</v>
      </c>
      <c r="BB387" s="8">
        <v>2</v>
      </c>
      <c r="BC387" s="8"/>
      <c r="BD387" s="8">
        <v>2</v>
      </c>
      <c r="BE387" s="8"/>
      <c r="BF387" s="8"/>
      <c r="BG387" s="8"/>
      <c r="BH387" s="8"/>
      <c r="BI387" s="8"/>
      <c r="BJ387" s="8"/>
      <c r="BK387" s="8"/>
      <c r="BL387" s="8"/>
      <c r="BM387" s="8"/>
      <c r="BN387" s="8">
        <f t="shared" si="11"/>
        <v>15</v>
      </c>
      <c r="BO387" s="24">
        <f t="shared" si="14"/>
        <v>0</v>
      </c>
      <c r="BP387" s="23"/>
      <c r="BQ387" s="23"/>
    </row>
    <row r="388" spans="1:69" ht="15.75" customHeight="1">
      <c r="A388" s="3" t="s">
        <v>67</v>
      </c>
      <c r="B388" s="3" t="s">
        <v>68</v>
      </c>
      <c r="C388" s="8">
        <v>3</v>
      </c>
      <c r="D388" s="8"/>
      <c r="E388" s="21"/>
      <c r="F388" s="21"/>
      <c r="G388" s="8"/>
      <c r="H388" s="8"/>
      <c r="I388" s="8"/>
      <c r="J388" s="8"/>
      <c r="K388" s="8"/>
      <c r="L388" s="8"/>
      <c r="M388" s="8"/>
      <c r="N388" s="21"/>
      <c r="O388" s="8"/>
      <c r="P388" s="8"/>
      <c r="Q388" s="8">
        <v>5</v>
      </c>
      <c r="R388" s="8"/>
      <c r="S388" s="8"/>
      <c r="T388" s="21"/>
      <c r="U388" s="8"/>
      <c r="V388" s="8"/>
      <c r="W388" s="8"/>
      <c r="X388" s="8"/>
      <c r="Y388" s="8"/>
      <c r="Z388" s="8"/>
      <c r="AA388" s="8"/>
      <c r="AB388" s="8"/>
      <c r="AC388" s="8"/>
      <c r="AD388" s="8"/>
      <c r="AE388" s="8"/>
      <c r="AF388" s="8"/>
      <c r="AG388" s="8"/>
      <c r="AH388" s="8"/>
      <c r="AI388" s="8"/>
      <c r="AJ388" s="8"/>
      <c r="AK388" s="8"/>
      <c r="AL388" s="8"/>
      <c r="AM388" s="21"/>
      <c r="AN388" s="8"/>
      <c r="AO388" s="8"/>
      <c r="AP388" s="8"/>
      <c r="AQ388" s="8"/>
      <c r="AR388" s="8"/>
      <c r="AS388" s="8"/>
      <c r="AT388" s="8"/>
      <c r="AU388" s="8">
        <f t="shared" si="12"/>
        <v>8</v>
      </c>
      <c r="AV388" s="8">
        <v>5</v>
      </c>
      <c r="AW388" s="8">
        <v>1</v>
      </c>
      <c r="AX388" s="8">
        <v>2</v>
      </c>
      <c r="AY388" s="8"/>
      <c r="AZ388" s="8"/>
      <c r="BA388" s="8"/>
      <c r="BB388" s="8"/>
      <c r="BC388" s="8"/>
      <c r="BD388" s="8"/>
      <c r="BE388" s="8"/>
      <c r="BF388" s="8"/>
      <c r="BG388" s="8"/>
      <c r="BH388" s="8"/>
      <c r="BI388" s="8"/>
      <c r="BJ388" s="8"/>
      <c r="BK388" s="8"/>
      <c r="BL388" s="8"/>
      <c r="BM388" s="8"/>
      <c r="BN388" s="8">
        <f t="shared" si="11"/>
        <v>8</v>
      </c>
      <c r="BO388" s="24">
        <f t="shared" ref="BO388:BO439" si="15">IF(+AU388-BN388&lt;0,"",+AU388-BN388)</f>
        <v>0</v>
      </c>
      <c r="BP388" s="23"/>
      <c r="BQ388" s="23"/>
    </row>
    <row r="389" spans="1:69" ht="15.75" customHeight="1">
      <c r="A389" s="3" t="s">
        <v>863</v>
      </c>
      <c r="B389" s="3" t="s">
        <v>864</v>
      </c>
      <c r="C389" s="8"/>
      <c r="D389" s="8"/>
      <c r="E389" s="21"/>
      <c r="F389" s="21"/>
      <c r="G389" s="8"/>
      <c r="H389" s="8"/>
      <c r="I389" s="8"/>
      <c r="J389" s="8"/>
      <c r="K389" s="8"/>
      <c r="L389" s="8"/>
      <c r="M389" s="8"/>
      <c r="N389" s="21"/>
      <c r="O389" s="8"/>
      <c r="P389" s="8"/>
      <c r="Q389" s="8">
        <v>5</v>
      </c>
      <c r="R389" s="8"/>
      <c r="S389" s="8"/>
      <c r="T389" s="21"/>
      <c r="U389" s="8"/>
      <c r="V389" s="8"/>
      <c r="W389" s="8"/>
      <c r="X389" s="8"/>
      <c r="Y389" s="8"/>
      <c r="Z389" s="8"/>
      <c r="AA389" s="8"/>
      <c r="AB389" s="8"/>
      <c r="AC389" s="8"/>
      <c r="AD389" s="8"/>
      <c r="AE389" s="8"/>
      <c r="AF389" s="8"/>
      <c r="AG389" s="8"/>
      <c r="AH389" s="8"/>
      <c r="AI389" s="8"/>
      <c r="AJ389" s="8"/>
      <c r="AK389" s="8"/>
      <c r="AL389" s="8"/>
      <c r="AM389" s="21"/>
      <c r="AN389" s="8"/>
      <c r="AO389" s="8"/>
      <c r="AP389" s="8"/>
      <c r="AQ389" s="8"/>
      <c r="AR389" s="8"/>
      <c r="AS389" s="8"/>
      <c r="AT389" s="8"/>
      <c r="AU389" s="8">
        <f t="shared" si="12"/>
        <v>5</v>
      </c>
      <c r="AV389" s="8"/>
      <c r="AW389" s="8"/>
      <c r="AX389" s="8"/>
      <c r="AY389" s="8"/>
      <c r="AZ389" s="8"/>
      <c r="BA389" s="8">
        <v>1</v>
      </c>
      <c r="BB389" s="8"/>
      <c r="BC389" s="8"/>
      <c r="BD389" s="8"/>
      <c r="BE389" s="8"/>
      <c r="BF389" s="8"/>
      <c r="BG389" s="8"/>
      <c r="BH389" s="8"/>
      <c r="BI389" s="8"/>
      <c r="BJ389" s="8"/>
      <c r="BK389" s="8"/>
      <c r="BL389" s="8"/>
      <c r="BM389" s="8"/>
      <c r="BN389" s="8">
        <f t="shared" si="11"/>
        <v>1</v>
      </c>
      <c r="BO389" s="24">
        <f t="shared" si="15"/>
        <v>4</v>
      </c>
      <c r="BP389" s="23"/>
      <c r="BQ389" s="23"/>
    </row>
    <row r="390" spans="1:69" ht="15.75" customHeight="1">
      <c r="A390" s="3" t="s">
        <v>867</v>
      </c>
      <c r="B390" s="3" t="s">
        <v>868</v>
      </c>
      <c r="C390" s="8"/>
      <c r="D390" s="8"/>
      <c r="E390" s="21"/>
      <c r="F390" s="21"/>
      <c r="G390" s="8"/>
      <c r="H390" s="8"/>
      <c r="I390" s="8"/>
      <c r="J390" s="8"/>
      <c r="K390" s="8"/>
      <c r="L390" s="8"/>
      <c r="M390" s="8"/>
      <c r="N390" s="21"/>
      <c r="O390" s="8"/>
      <c r="P390" s="8"/>
      <c r="Q390" s="8">
        <v>5</v>
      </c>
      <c r="R390" s="8"/>
      <c r="S390" s="8"/>
      <c r="T390" s="21"/>
      <c r="U390" s="8"/>
      <c r="V390" s="8"/>
      <c r="W390" s="8"/>
      <c r="X390" s="8"/>
      <c r="Y390" s="8"/>
      <c r="Z390" s="8"/>
      <c r="AA390" s="8"/>
      <c r="AB390" s="8"/>
      <c r="AC390" s="8"/>
      <c r="AD390" s="8"/>
      <c r="AE390" s="8"/>
      <c r="AF390" s="8"/>
      <c r="AG390" s="8"/>
      <c r="AH390" s="8"/>
      <c r="AI390" s="8"/>
      <c r="AJ390" s="8"/>
      <c r="AK390" s="8"/>
      <c r="AL390" s="8"/>
      <c r="AM390" s="21"/>
      <c r="AN390" s="8"/>
      <c r="AO390" s="8"/>
      <c r="AP390" s="8"/>
      <c r="AQ390" s="8"/>
      <c r="AR390" s="8"/>
      <c r="AS390" s="8"/>
      <c r="AT390" s="8"/>
      <c r="AU390" s="8">
        <f t="shared" si="12"/>
        <v>5</v>
      </c>
      <c r="AV390" s="8"/>
      <c r="AW390" s="8"/>
      <c r="AX390" s="8"/>
      <c r="AY390" s="8"/>
      <c r="AZ390" s="8">
        <v>2</v>
      </c>
      <c r="BA390" s="8">
        <v>1</v>
      </c>
      <c r="BB390" s="8"/>
      <c r="BC390" s="8"/>
      <c r="BD390" s="8"/>
      <c r="BE390" s="8"/>
      <c r="BF390" s="8"/>
      <c r="BG390" s="8"/>
      <c r="BH390" s="8"/>
      <c r="BI390" s="8"/>
      <c r="BJ390" s="8"/>
      <c r="BK390" s="8"/>
      <c r="BL390" s="8"/>
      <c r="BM390" s="8"/>
      <c r="BN390" s="8">
        <f t="shared" si="11"/>
        <v>3</v>
      </c>
      <c r="BO390" s="24">
        <f t="shared" si="15"/>
        <v>2</v>
      </c>
      <c r="BP390" s="23"/>
      <c r="BQ390" s="23"/>
    </row>
    <row r="391" spans="1:69" ht="15.75" customHeight="1">
      <c r="A391" s="3" t="s">
        <v>871</v>
      </c>
      <c r="B391" s="3" t="s">
        <v>872</v>
      </c>
      <c r="C391" s="8"/>
      <c r="D391" s="8"/>
      <c r="E391" s="21"/>
      <c r="F391" s="21"/>
      <c r="G391" s="8"/>
      <c r="H391" s="8"/>
      <c r="I391" s="8"/>
      <c r="J391" s="8"/>
      <c r="K391" s="8"/>
      <c r="L391" s="8"/>
      <c r="M391" s="8"/>
      <c r="N391" s="21"/>
      <c r="O391" s="8"/>
      <c r="P391" s="8"/>
      <c r="Q391" s="8">
        <v>5</v>
      </c>
      <c r="R391" s="8"/>
      <c r="S391" s="8"/>
      <c r="T391" s="21"/>
      <c r="U391" s="8"/>
      <c r="V391" s="8"/>
      <c r="W391" s="8"/>
      <c r="X391" s="8"/>
      <c r="Y391" s="8"/>
      <c r="Z391" s="8"/>
      <c r="AA391" s="8"/>
      <c r="AB391" s="8"/>
      <c r="AC391" s="8"/>
      <c r="AD391" s="8"/>
      <c r="AE391" s="8"/>
      <c r="AF391" s="8"/>
      <c r="AG391" s="8"/>
      <c r="AH391" s="8"/>
      <c r="AI391" s="8"/>
      <c r="AJ391" s="8"/>
      <c r="AK391" s="8"/>
      <c r="AL391" s="8"/>
      <c r="AM391" s="21"/>
      <c r="AN391" s="8"/>
      <c r="AO391" s="8"/>
      <c r="AP391" s="8"/>
      <c r="AQ391" s="8"/>
      <c r="AR391" s="8"/>
      <c r="AS391" s="8"/>
      <c r="AT391" s="8"/>
      <c r="AU391" s="8">
        <f t="shared" si="12"/>
        <v>5</v>
      </c>
      <c r="AV391" s="8"/>
      <c r="AW391" s="8"/>
      <c r="AX391" s="8"/>
      <c r="AY391" s="8"/>
      <c r="AZ391" s="8"/>
      <c r="BA391" s="8"/>
      <c r="BB391" s="8"/>
      <c r="BC391" s="8"/>
      <c r="BD391" s="8">
        <v>1</v>
      </c>
      <c r="BE391" s="8">
        <v>1</v>
      </c>
      <c r="BF391" s="8"/>
      <c r="BG391" s="8"/>
      <c r="BH391" s="8"/>
      <c r="BI391" s="8"/>
      <c r="BJ391" s="8"/>
      <c r="BK391" s="8"/>
      <c r="BL391" s="8"/>
      <c r="BM391" s="8"/>
      <c r="BN391" s="8">
        <f t="shared" si="11"/>
        <v>2</v>
      </c>
      <c r="BO391" s="24">
        <f t="shared" si="15"/>
        <v>3</v>
      </c>
      <c r="BP391" s="23"/>
      <c r="BQ391" s="23"/>
    </row>
    <row r="392" spans="1:69" ht="15.75" customHeight="1">
      <c r="A392" s="3" t="s">
        <v>873</v>
      </c>
      <c r="B392" s="3" t="s">
        <v>874</v>
      </c>
      <c r="C392" s="8"/>
      <c r="D392" s="8"/>
      <c r="E392" s="21"/>
      <c r="F392" s="21"/>
      <c r="G392" s="8"/>
      <c r="H392" s="8"/>
      <c r="I392" s="8"/>
      <c r="J392" s="8"/>
      <c r="K392" s="8"/>
      <c r="L392" s="8"/>
      <c r="M392" s="8"/>
      <c r="N392" s="21"/>
      <c r="O392" s="8"/>
      <c r="P392" s="8"/>
      <c r="Q392" s="8">
        <v>5</v>
      </c>
      <c r="R392" s="8"/>
      <c r="S392" s="8"/>
      <c r="T392" s="21"/>
      <c r="U392" s="8"/>
      <c r="V392" s="8"/>
      <c r="W392" s="8"/>
      <c r="X392" s="8"/>
      <c r="Y392" s="8"/>
      <c r="Z392" s="8"/>
      <c r="AA392" s="8"/>
      <c r="AB392" s="8"/>
      <c r="AC392" s="8"/>
      <c r="AD392" s="8"/>
      <c r="AE392" s="8"/>
      <c r="AF392" s="8"/>
      <c r="AG392" s="8"/>
      <c r="AH392" s="8"/>
      <c r="AI392" s="8"/>
      <c r="AJ392" s="8"/>
      <c r="AK392" s="8"/>
      <c r="AL392" s="8"/>
      <c r="AM392" s="21"/>
      <c r="AN392" s="8"/>
      <c r="AO392" s="8"/>
      <c r="AP392" s="8"/>
      <c r="AQ392" s="8"/>
      <c r="AR392" s="8"/>
      <c r="AS392" s="8"/>
      <c r="AT392" s="8"/>
      <c r="AU392" s="8">
        <f t="shared" si="12"/>
        <v>5</v>
      </c>
      <c r="AV392" s="8"/>
      <c r="AW392" s="8">
        <v>1</v>
      </c>
      <c r="AX392" s="8"/>
      <c r="AY392" s="8">
        <v>1</v>
      </c>
      <c r="AZ392" s="8"/>
      <c r="BA392" s="8"/>
      <c r="BB392" s="8"/>
      <c r="BC392" s="8"/>
      <c r="BD392" s="8"/>
      <c r="BE392" s="8"/>
      <c r="BF392" s="8"/>
      <c r="BG392" s="8"/>
      <c r="BH392" s="8"/>
      <c r="BI392" s="8"/>
      <c r="BJ392" s="8"/>
      <c r="BK392" s="8"/>
      <c r="BL392" s="8"/>
      <c r="BM392" s="8"/>
      <c r="BN392" s="8">
        <f t="shared" si="11"/>
        <v>2</v>
      </c>
      <c r="BO392" s="24">
        <f t="shared" si="15"/>
        <v>3</v>
      </c>
      <c r="BP392" s="23"/>
      <c r="BQ392" s="23"/>
    </row>
    <row r="393" spans="1:69" ht="15.75" customHeight="1">
      <c r="A393" s="3" t="s">
        <v>979</v>
      </c>
      <c r="B393" s="3" t="s">
        <v>980</v>
      </c>
      <c r="C393" s="8"/>
      <c r="D393" s="8"/>
      <c r="E393" s="21"/>
      <c r="F393" s="21"/>
      <c r="G393" s="8"/>
      <c r="H393" s="8"/>
      <c r="I393" s="8"/>
      <c r="J393" s="8"/>
      <c r="K393" s="8"/>
      <c r="L393" s="8"/>
      <c r="M393" s="8"/>
      <c r="N393" s="21"/>
      <c r="O393" s="8"/>
      <c r="P393" s="8"/>
      <c r="Q393" s="8">
        <v>5</v>
      </c>
      <c r="R393" s="8"/>
      <c r="S393" s="8"/>
      <c r="T393" s="21"/>
      <c r="U393" s="8"/>
      <c r="V393" s="8"/>
      <c r="W393" s="8"/>
      <c r="X393" s="8"/>
      <c r="Y393" s="8"/>
      <c r="Z393" s="8"/>
      <c r="AA393" s="8"/>
      <c r="AB393" s="8"/>
      <c r="AC393" s="8"/>
      <c r="AD393" s="8"/>
      <c r="AE393" s="8"/>
      <c r="AF393" s="8"/>
      <c r="AG393" s="8"/>
      <c r="AH393" s="8"/>
      <c r="AI393" s="8"/>
      <c r="AJ393" s="8"/>
      <c r="AK393" s="8"/>
      <c r="AL393" s="8"/>
      <c r="AM393" s="21"/>
      <c r="AN393" s="8"/>
      <c r="AO393" s="8"/>
      <c r="AP393" s="8"/>
      <c r="AQ393" s="8"/>
      <c r="AR393" s="8"/>
      <c r="AS393" s="8"/>
      <c r="AT393" s="8"/>
      <c r="AU393" s="8">
        <f t="shared" si="12"/>
        <v>5</v>
      </c>
      <c r="AV393" s="8"/>
      <c r="AW393" s="8"/>
      <c r="AX393" s="8"/>
      <c r="AY393" s="8"/>
      <c r="AZ393" s="8"/>
      <c r="BA393" s="8"/>
      <c r="BB393" s="8"/>
      <c r="BC393" s="8"/>
      <c r="BD393" s="8">
        <v>2</v>
      </c>
      <c r="BE393" s="8"/>
      <c r="BF393" s="8"/>
      <c r="BG393" s="8"/>
      <c r="BH393" s="8"/>
      <c r="BI393" s="8"/>
      <c r="BJ393" s="8"/>
      <c r="BK393" s="8"/>
      <c r="BL393" s="8"/>
      <c r="BM393" s="8"/>
      <c r="BN393" s="8">
        <f t="shared" si="11"/>
        <v>2</v>
      </c>
      <c r="BO393" s="24">
        <f t="shared" si="15"/>
        <v>3</v>
      </c>
      <c r="BP393" s="23"/>
      <c r="BQ393" s="23"/>
    </row>
    <row r="394" spans="1:69" ht="15.75" customHeight="1">
      <c r="A394" s="3" t="s">
        <v>71</v>
      </c>
      <c r="B394" s="3" t="s">
        <v>72</v>
      </c>
      <c r="C394" s="8">
        <v>5</v>
      </c>
      <c r="D394" s="8">
        <v>1</v>
      </c>
      <c r="E394" s="21">
        <v>-2</v>
      </c>
      <c r="F394" s="21"/>
      <c r="G394" s="8">
        <v>1</v>
      </c>
      <c r="H394" s="8"/>
      <c r="I394" s="8"/>
      <c r="J394" s="8"/>
      <c r="K394" s="8"/>
      <c r="L394" s="8"/>
      <c r="M394" s="8"/>
      <c r="N394" s="21"/>
      <c r="O394" s="8"/>
      <c r="P394" s="8"/>
      <c r="Q394" s="8">
        <v>5</v>
      </c>
      <c r="R394" s="8"/>
      <c r="S394" s="8"/>
      <c r="T394" s="21"/>
      <c r="U394" s="8"/>
      <c r="V394" s="8"/>
      <c r="W394" s="8"/>
      <c r="X394" s="8"/>
      <c r="Y394" s="8"/>
      <c r="Z394" s="8"/>
      <c r="AA394" s="8"/>
      <c r="AB394" s="8"/>
      <c r="AC394" s="8"/>
      <c r="AD394" s="8"/>
      <c r="AE394" s="8"/>
      <c r="AF394" s="8"/>
      <c r="AG394" s="8"/>
      <c r="AH394" s="8"/>
      <c r="AI394" s="8"/>
      <c r="AJ394" s="8"/>
      <c r="AK394" s="8"/>
      <c r="AL394" s="8"/>
      <c r="AM394" s="21"/>
      <c r="AN394" s="8"/>
      <c r="AO394" s="8"/>
      <c r="AP394" s="8"/>
      <c r="AQ394" s="8"/>
      <c r="AR394" s="8"/>
      <c r="AS394" s="8"/>
      <c r="AT394" s="8"/>
      <c r="AU394" s="8">
        <f t="shared" si="12"/>
        <v>10</v>
      </c>
      <c r="AV394" s="8">
        <v>7</v>
      </c>
      <c r="AW394" s="8">
        <v>2</v>
      </c>
      <c r="AX394" s="8">
        <v>1</v>
      </c>
      <c r="AY394" s="8"/>
      <c r="AZ394" s="8"/>
      <c r="BA394" s="8"/>
      <c r="BB394" s="8"/>
      <c r="BC394" s="8"/>
      <c r="BD394" s="8"/>
      <c r="BE394" s="8"/>
      <c r="BF394" s="8"/>
      <c r="BG394" s="8"/>
      <c r="BH394" s="8"/>
      <c r="BI394" s="8"/>
      <c r="BJ394" s="8"/>
      <c r="BK394" s="8"/>
      <c r="BL394" s="8"/>
      <c r="BM394" s="8"/>
      <c r="BN394" s="8">
        <f t="shared" si="11"/>
        <v>10</v>
      </c>
      <c r="BO394" s="24">
        <f t="shared" si="15"/>
        <v>0</v>
      </c>
      <c r="BP394" s="23"/>
      <c r="BQ394" s="23"/>
    </row>
    <row r="395" spans="1:69" ht="15.75" customHeight="1">
      <c r="A395" s="3" t="s">
        <v>75</v>
      </c>
      <c r="B395" s="3" t="s">
        <v>76</v>
      </c>
      <c r="C395" s="8">
        <v>10</v>
      </c>
      <c r="D395" s="8"/>
      <c r="E395" s="21"/>
      <c r="F395" s="21"/>
      <c r="G395" s="8">
        <v>2</v>
      </c>
      <c r="H395" s="8"/>
      <c r="I395" s="8">
        <v>2</v>
      </c>
      <c r="J395" s="8"/>
      <c r="K395" s="8"/>
      <c r="L395" s="8"/>
      <c r="M395" s="8"/>
      <c r="N395" s="21"/>
      <c r="O395" s="8"/>
      <c r="P395" s="8"/>
      <c r="Q395" s="8">
        <v>5</v>
      </c>
      <c r="R395" s="8"/>
      <c r="S395" s="8"/>
      <c r="T395" s="21"/>
      <c r="U395" s="8"/>
      <c r="V395" s="8"/>
      <c r="W395" s="8"/>
      <c r="X395" s="8"/>
      <c r="Y395" s="8"/>
      <c r="Z395" s="8"/>
      <c r="AA395" s="8"/>
      <c r="AB395" s="8">
        <v>5</v>
      </c>
      <c r="AC395" s="8"/>
      <c r="AD395" s="8"/>
      <c r="AE395" s="8"/>
      <c r="AF395" s="8"/>
      <c r="AG395" s="8"/>
      <c r="AH395" s="8"/>
      <c r="AI395" s="8"/>
      <c r="AJ395" s="8"/>
      <c r="AK395" s="8">
        <v>2</v>
      </c>
      <c r="AL395" s="8"/>
      <c r="AM395" s="21"/>
      <c r="AN395" s="8"/>
      <c r="AO395" s="8"/>
      <c r="AP395" s="8"/>
      <c r="AQ395" s="8"/>
      <c r="AR395" s="8"/>
      <c r="AS395" s="8"/>
      <c r="AT395" s="8"/>
      <c r="AU395" s="8">
        <f t="shared" si="12"/>
        <v>26</v>
      </c>
      <c r="AV395" s="8">
        <v>17</v>
      </c>
      <c r="AW395" s="8">
        <v>2</v>
      </c>
      <c r="AX395" s="8"/>
      <c r="AY395" s="8"/>
      <c r="AZ395" s="8"/>
      <c r="BA395" s="8">
        <v>2</v>
      </c>
      <c r="BB395" s="8">
        <v>1</v>
      </c>
      <c r="BC395" s="8"/>
      <c r="BD395" s="8">
        <v>2</v>
      </c>
      <c r="BE395" s="8"/>
      <c r="BF395" s="8"/>
      <c r="BG395" s="8"/>
      <c r="BH395" s="8"/>
      <c r="BI395" s="8"/>
      <c r="BJ395" s="8"/>
      <c r="BK395" s="8"/>
      <c r="BL395" s="8"/>
      <c r="BM395" s="8"/>
      <c r="BN395" s="8">
        <f t="shared" si="11"/>
        <v>24</v>
      </c>
      <c r="BO395" s="24">
        <f t="shared" si="15"/>
        <v>2</v>
      </c>
      <c r="BP395" s="23"/>
      <c r="BQ395" s="23"/>
    </row>
    <row r="396" spans="1:69" ht="15.75" customHeight="1">
      <c r="A396" s="3" t="s">
        <v>79</v>
      </c>
      <c r="B396" s="3" t="s">
        <v>80</v>
      </c>
      <c r="C396" s="8">
        <v>5</v>
      </c>
      <c r="D396" s="8"/>
      <c r="E396" s="21">
        <v>-2</v>
      </c>
      <c r="F396" s="21"/>
      <c r="G396" s="8">
        <v>1</v>
      </c>
      <c r="H396" s="8"/>
      <c r="I396" s="8"/>
      <c r="J396" s="8"/>
      <c r="K396" s="8"/>
      <c r="L396" s="8"/>
      <c r="M396" s="8"/>
      <c r="N396" s="21"/>
      <c r="O396" s="8"/>
      <c r="P396" s="8"/>
      <c r="Q396" s="8">
        <v>5</v>
      </c>
      <c r="R396" s="8"/>
      <c r="S396" s="8"/>
      <c r="T396" s="21"/>
      <c r="U396" s="8"/>
      <c r="V396" s="8"/>
      <c r="W396" s="8"/>
      <c r="X396" s="8"/>
      <c r="Y396" s="8"/>
      <c r="Z396" s="8"/>
      <c r="AA396" s="8"/>
      <c r="AB396" s="8"/>
      <c r="AC396" s="8"/>
      <c r="AD396" s="8"/>
      <c r="AE396" s="8"/>
      <c r="AF396" s="8"/>
      <c r="AG396" s="8"/>
      <c r="AH396" s="8"/>
      <c r="AI396" s="8"/>
      <c r="AJ396" s="8"/>
      <c r="AK396" s="8">
        <v>2</v>
      </c>
      <c r="AL396" s="8"/>
      <c r="AM396" s="21"/>
      <c r="AN396" s="8"/>
      <c r="AO396" s="8"/>
      <c r="AP396" s="8"/>
      <c r="AQ396" s="8"/>
      <c r="AR396" s="8"/>
      <c r="AS396" s="8"/>
      <c r="AT396" s="8"/>
      <c r="AU396" s="8">
        <f t="shared" si="12"/>
        <v>11</v>
      </c>
      <c r="AV396" s="8">
        <v>5</v>
      </c>
      <c r="AW396" s="8">
        <v>2</v>
      </c>
      <c r="AX396" s="8">
        <v>2</v>
      </c>
      <c r="AY396" s="8"/>
      <c r="AZ396" s="8"/>
      <c r="BA396" s="8"/>
      <c r="BB396" s="8"/>
      <c r="BC396" s="8"/>
      <c r="BD396" s="8"/>
      <c r="BE396" s="8"/>
      <c r="BF396" s="8"/>
      <c r="BG396" s="8"/>
      <c r="BH396" s="8"/>
      <c r="BI396" s="8"/>
      <c r="BJ396" s="8"/>
      <c r="BK396" s="8"/>
      <c r="BL396" s="8"/>
      <c r="BM396" s="8"/>
      <c r="BN396" s="8">
        <f t="shared" si="11"/>
        <v>9</v>
      </c>
      <c r="BO396" s="24">
        <f t="shared" si="15"/>
        <v>2</v>
      </c>
      <c r="BP396" s="23"/>
      <c r="BQ396" s="23"/>
    </row>
    <row r="397" spans="1:69" ht="15.75" customHeight="1">
      <c r="A397" s="3" t="s">
        <v>83</v>
      </c>
      <c r="B397" s="3" t="s">
        <v>84</v>
      </c>
      <c r="C397" s="8">
        <v>4</v>
      </c>
      <c r="D397" s="8"/>
      <c r="E397" s="21"/>
      <c r="F397" s="21"/>
      <c r="G397" s="8"/>
      <c r="H397" s="8"/>
      <c r="I397" s="8"/>
      <c r="J397" s="8"/>
      <c r="K397" s="8"/>
      <c r="L397" s="8"/>
      <c r="M397" s="8"/>
      <c r="N397" s="21"/>
      <c r="O397" s="8"/>
      <c r="P397" s="8"/>
      <c r="Q397" s="8">
        <v>3</v>
      </c>
      <c r="R397" s="8"/>
      <c r="S397" s="8"/>
      <c r="T397" s="21"/>
      <c r="U397" s="8"/>
      <c r="V397" s="8"/>
      <c r="W397" s="8"/>
      <c r="X397" s="8"/>
      <c r="Y397" s="8"/>
      <c r="Z397" s="8"/>
      <c r="AA397" s="8"/>
      <c r="AB397" s="8"/>
      <c r="AC397" s="8"/>
      <c r="AD397" s="8"/>
      <c r="AE397" s="8"/>
      <c r="AF397" s="8"/>
      <c r="AG397" s="8"/>
      <c r="AH397" s="8"/>
      <c r="AI397" s="8"/>
      <c r="AJ397" s="8"/>
      <c r="AK397" s="8"/>
      <c r="AL397" s="8"/>
      <c r="AM397" s="21"/>
      <c r="AN397" s="8"/>
      <c r="AO397" s="8"/>
      <c r="AP397" s="8"/>
      <c r="AQ397" s="8"/>
      <c r="AR397" s="8"/>
      <c r="AS397" s="8"/>
      <c r="AT397" s="8"/>
      <c r="AU397" s="8">
        <f t="shared" si="12"/>
        <v>7</v>
      </c>
      <c r="AV397" s="8">
        <v>4</v>
      </c>
      <c r="AW397" s="8">
        <v>1</v>
      </c>
      <c r="AX397" s="8"/>
      <c r="AY397" s="8">
        <v>1</v>
      </c>
      <c r="AZ397" s="8">
        <v>1</v>
      </c>
      <c r="BA397" s="8"/>
      <c r="BB397" s="8"/>
      <c r="BC397" s="8"/>
      <c r="BD397" s="8"/>
      <c r="BE397" s="8"/>
      <c r="BF397" s="8"/>
      <c r="BG397" s="8"/>
      <c r="BH397" s="8"/>
      <c r="BI397" s="8"/>
      <c r="BJ397" s="8"/>
      <c r="BK397" s="8"/>
      <c r="BL397" s="8"/>
      <c r="BM397" s="8"/>
      <c r="BN397" s="8">
        <f t="shared" si="11"/>
        <v>7</v>
      </c>
      <c r="BO397" s="24">
        <f t="shared" si="15"/>
        <v>0</v>
      </c>
      <c r="BP397" s="23"/>
      <c r="BQ397" s="23"/>
    </row>
    <row r="398" spans="1:69" ht="15.75" customHeight="1">
      <c r="A398" s="3" t="s">
        <v>87</v>
      </c>
      <c r="B398" s="3" t="s">
        <v>88</v>
      </c>
      <c r="C398" s="8">
        <v>6</v>
      </c>
      <c r="D398" s="8"/>
      <c r="E398" s="21"/>
      <c r="F398" s="21"/>
      <c r="G398" s="8"/>
      <c r="H398" s="8"/>
      <c r="I398" s="8"/>
      <c r="J398" s="8"/>
      <c r="K398" s="8"/>
      <c r="L398" s="8"/>
      <c r="M398" s="8"/>
      <c r="N398" s="21"/>
      <c r="O398" s="8"/>
      <c r="P398" s="8"/>
      <c r="Q398" s="8">
        <v>3</v>
      </c>
      <c r="R398" s="8"/>
      <c r="S398" s="8"/>
      <c r="T398" s="21"/>
      <c r="U398" s="8"/>
      <c r="V398" s="8"/>
      <c r="W398" s="8"/>
      <c r="X398" s="8"/>
      <c r="Y398" s="8"/>
      <c r="Z398" s="8"/>
      <c r="AA398" s="8"/>
      <c r="AB398" s="8"/>
      <c r="AC398" s="8"/>
      <c r="AD398" s="8"/>
      <c r="AE398" s="8"/>
      <c r="AF398" s="8"/>
      <c r="AG398" s="8"/>
      <c r="AH398" s="8"/>
      <c r="AI398" s="8"/>
      <c r="AJ398" s="8"/>
      <c r="AK398" s="8"/>
      <c r="AL398" s="8"/>
      <c r="AM398" s="21"/>
      <c r="AN398" s="8">
        <v>5</v>
      </c>
      <c r="AO398" s="8"/>
      <c r="AP398" s="8"/>
      <c r="AQ398" s="8"/>
      <c r="AR398" s="8"/>
      <c r="AS398" s="8"/>
      <c r="AT398" s="8"/>
      <c r="AU398" s="8">
        <f t="shared" si="12"/>
        <v>14</v>
      </c>
      <c r="AV398" s="8">
        <v>7</v>
      </c>
      <c r="AW398" s="8"/>
      <c r="AX398" s="8"/>
      <c r="AY398" s="8">
        <v>1</v>
      </c>
      <c r="AZ398" s="8"/>
      <c r="BA398" s="8"/>
      <c r="BB398" s="8"/>
      <c r="BC398" s="8"/>
      <c r="BD398" s="8"/>
      <c r="BE398" s="8">
        <v>2</v>
      </c>
      <c r="BF398" s="8"/>
      <c r="BG398" s="8"/>
      <c r="BH398" s="8"/>
      <c r="BI398" s="8"/>
      <c r="BJ398" s="8"/>
      <c r="BK398" s="8"/>
      <c r="BL398" s="8"/>
      <c r="BM398" s="8"/>
      <c r="BN398" s="8">
        <f t="shared" si="11"/>
        <v>10</v>
      </c>
      <c r="BO398" s="24">
        <f t="shared" si="15"/>
        <v>4</v>
      </c>
      <c r="BP398" s="23"/>
      <c r="BQ398" s="23"/>
    </row>
    <row r="399" spans="1:69" ht="15.75" customHeight="1">
      <c r="A399" s="3" t="s">
        <v>90</v>
      </c>
      <c r="B399" s="3" t="s">
        <v>92</v>
      </c>
      <c r="C399" s="8">
        <v>2</v>
      </c>
      <c r="D399" s="8"/>
      <c r="E399" s="21"/>
      <c r="F399" s="21"/>
      <c r="G399" s="8"/>
      <c r="H399" s="8"/>
      <c r="I399" s="8"/>
      <c r="J399" s="8"/>
      <c r="K399" s="8"/>
      <c r="L399" s="8"/>
      <c r="M399" s="8"/>
      <c r="N399" s="21"/>
      <c r="O399" s="8"/>
      <c r="P399" s="8"/>
      <c r="Q399" s="8">
        <v>3</v>
      </c>
      <c r="R399" s="8"/>
      <c r="S399" s="8"/>
      <c r="T399" s="21"/>
      <c r="U399" s="8"/>
      <c r="V399" s="8"/>
      <c r="W399" s="8"/>
      <c r="X399" s="8"/>
      <c r="Y399" s="8"/>
      <c r="Z399" s="8"/>
      <c r="AA399" s="8"/>
      <c r="AB399" s="8"/>
      <c r="AC399" s="8"/>
      <c r="AD399" s="8"/>
      <c r="AE399" s="8"/>
      <c r="AF399" s="8"/>
      <c r="AG399" s="8"/>
      <c r="AH399" s="8"/>
      <c r="AI399" s="8"/>
      <c r="AJ399" s="8"/>
      <c r="AK399" s="8"/>
      <c r="AL399" s="8"/>
      <c r="AM399" s="21"/>
      <c r="AN399" s="8"/>
      <c r="AO399" s="8"/>
      <c r="AP399" s="8"/>
      <c r="AQ399" s="8"/>
      <c r="AR399" s="8"/>
      <c r="AS399" s="8"/>
      <c r="AT399" s="8"/>
      <c r="AU399" s="8">
        <f t="shared" si="12"/>
        <v>5</v>
      </c>
      <c r="AV399" s="8">
        <v>3</v>
      </c>
      <c r="AW399" s="8"/>
      <c r="AX399" s="8">
        <v>1</v>
      </c>
      <c r="AY399" s="8"/>
      <c r="AZ399" s="8">
        <v>1</v>
      </c>
      <c r="BA399" s="8"/>
      <c r="BB399" s="8"/>
      <c r="BC399" s="8"/>
      <c r="BD399" s="8"/>
      <c r="BE399" s="8"/>
      <c r="BF399" s="8"/>
      <c r="BG399" s="8"/>
      <c r="BH399" s="8"/>
      <c r="BI399" s="8"/>
      <c r="BJ399" s="8"/>
      <c r="BK399" s="8"/>
      <c r="BL399" s="8"/>
      <c r="BM399" s="8"/>
      <c r="BN399" s="8">
        <f t="shared" si="11"/>
        <v>5</v>
      </c>
      <c r="BO399" s="24">
        <f t="shared" si="15"/>
        <v>0</v>
      </c>
      <c r="BP399" s="23"/>
      <c r="BQ399" s="23"/>
    </row>
    <row r="400" spans="1:69" ht="15.75" customHeight="1">
      <c r="A400" s="3" t="s">
        <v>981</v>
      </c>
      <c r="B400" s="3" t="s">
        <v>982</v>
      </c>
      <c r="C400" s="8">
        <v>2</v>
      </c>
      <c r="D400" s="8"/>
      <c r="E400" s="21"/>
      <c r="F400" s="21"/>
      <c r="G400" s="8"/>
      <c r="H400" s="8"/>
      <c r="I400" s="8"/>
      <c r="J400" s="8"/>
      <c r="K400" s="8"/>
      <c r="L400" s="8"/>
      <c r="M400" s="8"/>
      <c r="N400" s="21"/>
      <c r="O400" s="8"/>
      <c r="P400" s="8"/>
      <c r="Q400" s="8">
        <v>3</v>
      </c>
      <c r="R400" s="8"/>
      <c r="S400" s="8"/>
      <c r="T400" s="21"/>
      <c r="U400" s="8"/>
      <c r="V400" s="8"/>
      <c r="W400" s="8"/>
      <c r="X400" s="8"/>
      <c r="Y400" s="8"/>
      <c r="Z400" s="8"/>
      <c r="AA400" s="8"/>
      <c r="AB400" s="8"/>
      <c r="AC400" s="8"/>
      <c r="AD400" s="8"/>
      <c r="AE400" s="8"/>
      <c r="AF400" s="8"/>
      <c r="AG400" s="8"/>
      <c r="AH400" s="8"/>
      <c r="AI400" s="8"/>
      <c r="AJ400" s="8"/>
      <c r="AK400" s="8"/>
      <c r="AL400" s="8"/>
      <c r="AM400" s="21"/>
      <c r="AN400" s="8"/>
      <c r="AO400" s="8"/>
      <c r="AP400" s="8"/>
      <c r="AQ400" s="8"/>
      <c r="AR400" s="8"/>
      <c r="AS400" s="8"/>
      <c r="AT400" s="8"/>
      <c r="AU400" s="8">
        <f t="shared" si="12"/>
        <v>5</v>
      </c>
      <c r="AV400" s="8">
        <v>2</v>
      </c>
      <c r="AW400" s="8">
        <v>1</v>
      </c>
      <c r="AX400" s="8"/>
      <c r="AY400" s="8"/>
      <c r="AZ400" s="8"/>
      <c r="BA400" s="8">
        <v>1</v>
      </c>
      <c r="BB400" s="8"/>
      <c r="BC400" s="8"/>
      <c r="BD400" s="8"/>
      <c r="BE400" s="8"/>
      <c r="BF400" s="8"/>
      <c r="BG400" s="8"/>
      <c r="BH400" s="8"/>
      <c r="BI400" s="8"/>
      <c r="BJ400" s="8"/>
      <c r="BK400" s="8"/>
      <c r="BL400" s="8"/>
      <c r="BM400" s="8"/>
      <c r="BN400" s="8">
        <f t="shared" si="11"/>
        <v>4</v>
      </c>
      <c r="BO400" s="24">
        <f t="shared" si="15"/>
        <v>1</v>
      </c>
      <c r="BP400" s="23"/>
      <c r="BQ400" s="23"/>
    </row>
    <row r="401" spans="1:69" ht="15.75" customHeight="1">
      <c r="A401" s="3" t="s">
        <v>278</v>
      </c>
      <c r="B401" s="3" t="s">
        <v>279</v>
      </c>
      <c r="C401" s="8">
        <v>5</v>
      </c>
      <c r="D401" s="8"/>
      <c r="E401" s="21"/>
      <c r="F401" s="21"/>
      <c r="G401" s="8"/>
      <c r="H401" s="8"/>
      <c r="I401" s="8"/>
      <c r="J401" s="8"/>
      <c r="K401" s="8"/>
      <c r="L401" s="8"/>
      <c r="M401" s="8"/>
      <c r="N401" s="21"/>
      <c r="O401" s="8"/>
      <c r="P401" s="8"/>
      <c r="Q401" s="8">
        <v>3</v>
      </c>
      <c r="R401" s="8"/>
      <c r="S401" s="8"/>
      <c r="T401" s="21"/>
      <c r="U401" s="8"/>
      <c r="V401" s="8"/>
      <c r="W401" s="8"/>
      <c r="X401" s="8"/>
      <c r="Y401" s="8"/>
      <c r="Z401" s="8"/>
      <c r="AA401" s="8"/>
      <c r="AB401" s="8"/>
      <c r="AC401" s="8"/>
      <c r="AD401" s="8"/>
      <c r="AE401" s="8"/>
      <c r="AF401" s="8"/>
      <c r="AG401" s="8"/>
      <c r="AH401" s="8"/>
      <c r="AI401" s="8"/>
      <c r="AJ401" s="8"/>
      <c r="AK401" s="8"/>
      <c r="AL401" s="8"/>
      <c r="AM401" s="21"/>
      <c r="AN401" s="8"/>
      <c r="AO401" s="8"/>
      <c r="AP401" s="8"/>
      <c r="AQ401" s="8"/>
      <c r="AR401" s="8"/>
      <c r="AS401" s="8"/>
      <c r="AT401" s="8"/>
      <c r="AU401" s="8">
        <f t="shared" si="12"/>
        <v>8</v>
      </c>
      <c r="AV401" s="8">
        <v>6</v>
      </c>
      <c r="AW401" s="8"/>
      <c r="AX401" s="8"/>
      <c r="AY401" s="8"/>
      <c r="AZ401" s="8"/>
      <c r="BA401" s="8"/>
      <c r="BB401" s="8"/>
      <c r="BC401" s="8"/>
      <c r="BD401" s="8"/>
      <c r="BE401" s="8"/>
      <c r="BF401" s="8"/>
      <c r="BG401" s="8"/>
      <c r="BH401" s="8"/>
      <c r="BI401" s="8"/>
      <c r="BJ401" s="8"/>
      <c r="BK401" s="8"/>
      <c r="BL401" s="8"/>
      <c r="BM401" s="8"/>
      <c r="BN401" s="8">
        <f t="shared" si="11"/>
        <v>6</v>
      </c>
      <c r="BO401" s="24">
        <f t="shared" si="15"/>
        <v>2</v>
      </c>
      <c r="BP401" s="23"/>
      <c r="BQ401" s="23"/>
    </row>
    <row r="402" spans="1:69" ht="15.75" customHeight="1">
      <c r="A402" s="3" t="s">
        <v>280</v>
      </c>
      <c r="B402" s="3" t="s">
        <v>281</v>
      </c>
      <c r="C402" s="8">
        <v>3</v>
      </c>
      <c r="D402" s="8"/>
      <c r="E402" s="21"/>
      <c r="F402" s="21"/>
      <c r="G402" s="8"/>
      <c r="H402" s="8"/>
      <c r="I402" s="8"/>
      <c r="J402" s="8"/>
      <c r="K402" s="8"/>
      <c r="L402" s="8"/>
      <c r="M402" s="8"/>
      <c r="N402" s="21"/>
      <c r="O402" s="8"/>
      <c r="P402" s="8"/>
      <c r="Q402" s="8">
        <v>3</v>
      </c>
      <c r="R402" s="8"/>
      <c r="S402" s="8"/>
      <c r="T402" s="21"/>
      <c r="U402" s="8"/>
      <c r="V402" s="8"/>
      <c r="W402" s="8"/>
      <c r="X402" s="8"/>
      <c r="Y402" s="8"/>
      <c r="Z402" s="8"/>
      <c r="AA402" s="8"/>
      <c r="AB402" s="8"/>
      <c r="AC402" s="8"/>
      <c r="AD402" s="8"/>
      <c r="AE402" s="8"/>
      <c r="AF402" s="8"/>
      <c r="AG402" s="8"/>
      <c r="AH402" s="8"/>
      <c r="AI402" s="8"/>
      <c r="AJ402" s="8"/>
      <c r="AK402" s="8"/>
      <c r="AL402" s="8"/>
      <c r="AM402" s="21"/>
      <c r="AN402" s="8"/>
      <c r="AO402" s="8"/>
      <c r="AP402" s="8"/>
      <c r="AQ402" s="8"/>
      <c r="AR402" s="8"/>
      <c r="AS402" s="8"/>
      <c r="AT402" s="8"/>
      <c r="AU402" s="8">
        <f t="shared" si="12"/>
        <v>6</v>
      </c>
      <c r="AV402" s="8">
        <v>3</v>
      </c>
      <c r="AW402" s="8"/>
      <c r="AX402" s="8"/>
      <c r="AY402" s="8"/>
      <c r="AZ402" s="8"/>
      <c r="BA402" s="8"/>
      <c r="BB402" s="8"/>
      <c r="BC402" s="8"/>
      <c r="BD402" s="8"/>
      <c r="BE402" s="8"/>
      <c r="BF402" s="8"/>
      <c r="BG402" s="8"/>
      <c r="BH402" s="8"/>
      <c r="BI402" s="8"/>
      <c r="BJ402" s="8"/>
      <c r="BK402" s="8"/>
      <c r="BL402" s="8"/>
      <c r="BM402" s="8"/>
      <c r="BN402" s="8">
        <f t="shared" si="11"/>
        <v>3</v>
      </c>
      <c r="BO402" s="24">
        <f t="shared" si="15"/>
        <v>3</v>
      </c>
      <c r="BP402" s="23"/>
      <c r="BQ402" s="23"/>
    </row>
    <row r="403" spans="1:69" ht="15.75" customHeight="1">
      <c r="A403" s="3" t="s">
        <v>162</v>
      </c>
      <c r="B403" s="3" t="s">
        <v>163</v>
      </c>
      <c r="C403" s="8">
        <v>3</v>
      </c>
      <c r="D403" s="8"/>
      <c r="E403" s="21"/>
      <c r="F403" s="21"/>
      <c r="G403" s="8"/>
      <c r="H403" s="8"/>
      <c r="I403" s="8"/>
      <c r="J403" s="8"/>
      <c r="K403" s="8"/>
      <c r="L403" s="8"/>
      <c r="M403" s="8"/>
      <c r="N403" s="21"/>
      <c r="O403" s="8"/>
      <c r="P403" s="8"/>
      <c r="Q403" s="8"/>
      <c r="R403" s="8"/>
      <c r="S403" s="8"/>
      <c r="T403" s="21"/>
      <c r="U403" s="8"/>
      <c r="V403" s="8"/>
      <c r="W403" s="8"/>
      <c r="X403" s="8"/>
      <c r="Y403" s="8"/>
      <c r="Z403" s="8"/>
      <c r="AA403" s="8"/>
      <c r="AB403" s="8"/>
      <c r="AC403" s="8"/>
      <c r="AD403" s="8"/>
      <c r="AE403" s="8"/>
      <c r="AF403" s="8"/>
      <c r="AG403" s="8"/>
      <c r="AH403" s="8"/>
      <c r="AI403" s="8"/>
      <c r="AJ403" s="8"/>
      <c r="AK403" s="8"/>
      <c r="AL403" s="8"/>
      <c r="AM403" s="21"/>
      <c r="AN403" s="8"/>
      <c r="AO403" s="8"/>
      <c r="AP403" s="8"/>
      <c r="AQ403" s="8"/>
      <c r="AR403" s="8"/>
      <c r="AS403" s="8"/>
      <c r="AT403" s="8"/>
      <c r="AU403" s="8">
        <f t="shared" si="12"/>
        <v>3</v>
      </c>
      <c r="AV403" s="8">
        <v>3</v>
      </c>
      <c r="AW403" s="8"/>
      <c r="AX403" s="8"/>
      <c r="AY403" s="8"/>
      <c r="AZ403" s="8"/>
      <c r="BA403" s="8"/>
      <c r="BB403" s="8"/>
      <c r="BC403" s="8"/>
      <c r="BD403" s="8"/>
      <c r="BE403" s="8"/>
      <c r="BF403" s="8"/>
      <c r="BG403" s="8"/>
      <c r="BH403" s="8"/>
      <c r="BI403" s="8"/>
      <c r="BJ403" s="8"/>
      <c r="BK403" s="8"/>
      <c r="BL403" s="8"/>
      <c r="BM403" s="8"/>
      <c r="BN403" s="8">
        <f t="shared" si="11"/>
        <v>3</v>
      </c>
      <c r="BO403" s="24">
        <f t="shared" si="15"/>
        <v>0</v>
      </c>
      <c r="BP403" s="23"/>
      <c r="BQ403" s="23"/>
    </row>
    <row r="404" spans="1:69" ht="15.75" customHeight="1">
      <c r="A404" s="3" t="s">
        <v>164</v>
      </c>
      <c r="B404" s="3" t="s">
        <v>165</v>
      </c>
      <c r="C404" s="8">
        <v>3</v>
      </c>
      <c r="D404" s="8"/>
      <c r="E404" s="21"/>
      <c r="F404" s="21"/>
      <c r="G404" s="8"/>
      <c r="H404" s="8"/>
      <c r="I404" s="8"/>
      <c r="J404" s="8"/>
      <c r="K404" s="8"/>
      <c r="L404" s="8"/>
      <c r="M404" s="8"/>
      <c r="N404" s="21"/>
      <c r="O404" s="8"/>
      <c r="P404" s="8"/>
      <c r="Q404" s="8"/>
      <c r="R404" s="8"/>
      <c r="S404" s="8"/>
      <c r="T404" s="21"/>
      <c r="U404" s="8"/>
      <c r="V404" s="8"/>
      <c r="W404" s="8"/>
      <c r="X404" s="8"/>
      <c r="Y404" s="8"/>
      <c r="Z404" s="8"/>
      <c r="AA404" s="8"/>
      <c r="AB404" s="8"/>
      <c r="AC404" s="8"/>
      <c r="AD404" s="8"/>
      <c r="AE404" s="8"/>
      <c r="AF404" s="8"/>
      <c r="AG404" s="8"/>
      <c r="AH404" s="8"/>
      <c r="AI404" s="8"/>
      <c r="AJ404" s="8"/>
      <c r="AK404" s="8"/>
      <c r="AL404" s="8"/>
      <c r="AM404" s="21"/>
      <c r="AN404" s="8"/>
      <c r="AO404" s="8"/>
      <c r="AP404" s="8"/>
      <c r="AQ404" s="8"/>
      <c r="AR404" s="8"/>
      <c r="AS404" s="8"/>
      <c r="AT404" s="8"/>
      <c r="AU404" s="8">
        <f t="shared" si="12"/>
        <v>3</v>
      </c>
      <c r="AV404" s="8">
        <v>3</v>
      </c>
      <c r="AW404" s="8"/>
      <c r="AX404" s="8"/>
      <c r="AY404" s="8"/>
      <c r="AZ404" s="8"/>
      <c r="BA404" s="8"/>
      <c r="BB404" s="8"/>
      <c r="BC404" s="8"/>
      <c r="BD404" s="8"/>
      <c r="BE404" s="8"/>
      <c r="BF404" s="8"/>
      <c r="BG404" s="8"/>
      <c r="BH404" s="8"/>
      <c r="BI404" s="8"/>
      <c r="BJ404" s="8"/>
      <c r="BK404" s="8"/>
      <c r="BL404" s="8"/>
      <c r="BM404" s="8"/>
      <c r="BN404" s="8">
        <f t="shared" si="11"/>
        <v>3</v>
      </c>
      <c r="BO404" s="24">
        <f t="shared" si="15"/>
        <v>0</v>
      </c>
      <c r="BP404" s="23"/>
      <c r="BQ404" s="23"/>
    </row>
    <row r="405" spans="1:69" ht="15.75" customHeight="1">
      <c r="A405" s="3" t="s">
        <v>130</v>
      </c>
      <c r="B405" s="3" t="s">
        <v>131</v>
      </c>
      <c r="C405" s="8">
        <v>3</v>
      </c>
      <c r="D405" s="8"/>
      <c r="E405" s="21">
        <v>-1</v>
      </c>
      <c r="F405" s="21"/>
      <c r="G405" s="8"/>
      <c r="H405" s="8"/>
      <c r="I405" s="8"/>
      <c r="J405" s="8"/>
      <c r="K405" s="8"/>
      <c r="L405" s="8"/>
      <c r="M405" s="8"/>
      <c r="N405" s="21"/>
      <c r="O405" s="8"/>
      <c r="P405" s="8"/>
      <c r="Q405" s="8"/>
      <c r="R405" s="8"/>
      <c r="S405" s="8"/>
      <c r="T405" s="21"/>
      <c r="U405" s="8"/>
      <c r="V405" s="8"/>
      <c r="W405" s="8"/>
      <c r="X405" s="8"/>
      <c r="Y405" s="8"/>
      <c r="Z405" s="8"/>
      <c r="AA405" s="8"/>
      <c r="AB405" s="8"/>
      <c r="AC405" s="8"/>
      <c r="AD405" s="8"/>
      <c r="AE405" s="8"/>
      <c r="AF405" s="8"/>
      <c r="AG405" s="8"/>
      <c r="AH405" s="8"/>
      <c r="AI405" s="8"/>
      <c r="AJ405" s="8"/>
      <c r="AK405" s="8"/>
      <c r="AL405" s="8"/>
      <c r="AM405" s="21"/>
      <c r="AN405" s="8"/>
      <c r="AO405" s="8"/>
      <c r="AP405" s="8"/>
      <c r="AQ405" s="8"/>
      <c r="AR405" s="8"/>
      <c r="AS405" s="8"/>
      <c r="AT405" s="8"/>
      <c r="AU405" s="8">
        <f t="shared" si="12"/>
        <v>2</v>
      </c>
      <c r="AV405" s="8">
        <v>2</v>
      </c>
      <c r="AW405" s="8"/>
      <c r="AX405" s="8"/>
      <c r="AY405" s="8"/>
      <c r="AZ405" s="8"/>
      <c r="BA405" s="8"/>
      <c r="BB405" s="8"/>
      <c r="BC405" s="8"/>
      <c r="BD405" s="8"/>
      <c r="BE405" s="8"/>
      <c r="BF405" s="8"/>
      <c r="BG405" s="8"/>
      <c r="BH405" s="8"/>
      <c r="BI405" s="8"/>
      <c r="BJ405" s="8"/>
      <c r="BK405" s="8"/>
      <c r="BL405" s="8"/>
      <c r="BM405" s="8"/>
      <c r="BN405" s="8">
        <f t="shared" si="11"/>
        <v>2</v>
      </c>
      <c r="BO405" s="24">
        <f t="shared" si="15"/>
        <v>0</v>
      </c>
      <c r="BP405" s="23"/>
      <c r="BQ405" s="23"/>
    </row>
    <row r="406" spans="1:69" ht="15.75" customHeight="1">
      <c r="A406" s="3" t="s">
        <v>132</v>
      </c>
      <c r="B406" s="3" t="s">
        <v>133</v>
      </c>
      <c r="C406" s="8">
        <v>3</v>
      </c>
      <c r="D406" s="8"/>
      <c r="E406" s="21"/>
      <c r="F406" s="21"/>
      <c r="G406" s="8"/>
      <c r="H406" s="8"/>
      <c r="I406" s="8"/>
      <c r="J406" s="8"/>
      <c r="K406" s="8"/>
      <c r="L406" s="8"/>
      <c r="M406" s="8"/>
      <c r="N406" s="21"/>
      <c r="O406" s="8"/>
      <c r="P406" s="8"/>
      <c r="Q406" s="8">
        <v>3</v>
      </c>
      <c r="R406" s="8"/>
      <c r="S406" s="8"/>
      <c r="T406" s="21"/>
      <c r="U406" s="8"/>
      <c r="V406" s="8"/>
      <c r="W406" s="8"/>
      <c r="X406" s="8"/>
      <c r="Y406" s="8"/>
      <c r="Z406" s="8"/>
      <c r="AA406" s="8"/>
      <c r="AB406" s="8"/>
      <c r="AC406" s="8"/>
      <c r="AD406" s="8"/>
      <c r="AE406" s="8"/>
      <c r="AF406" s="8"/>
      <c r="AG406" s="8"/>
      <c r="AH406" s="8"/>
      <c r="AI406" s="8"/>
      <c r="AJ406" s="8"/>
      <c r="AK406" s="8"/>
      <c r="AL406" s="8"/>
      <c r="AM406" s="21"/>
      <c r="AN406" s="8"/>
      <c r="AO406" s="8"/>
      <c r="AP406" s="8"/>
      <c r="AQ406" s="8"/>
      <c r="AR406" s="8"/>
      <c r="AS406" s="8"/>
      <c r="AT406" s="8"/>
      <c r="AU406" s="8">
        <f t="shared" si="12"/>
        <v>6</v>
      </c>
      <c r="AV406" s="8">
        <v>3</v>
      </c>
      <c r="AW406" s="8"/>
      <c r="AX406" s="8"/>
      <c r="AY406" s="8">
        <v>1</v>
      </c>
      <c r="AZ406" s="8"/>
      <c r="BA406" s="8">
        <v>1</v>
      </c>
      <c r="BB406" s="8"/>
      <c r="BC406" s="8"/>
      <c r="BD406" s="8"/>
      <c r="BE406" s="8"/>
      <c r="BF406" s="8"/>
      <c r="BG406" s="8"/>
      <c r="BH406" s="8"/>
      <c r="BI406" s="8"/>
      <c r="BJ406" s="8"/>
      <c r="BK406" s="8"/>
      <c r="BL406" s="8"/>
      <c r="BM406" s="8"/>
      <c r="BN406" s="8">
        <f t="shared" si="11"/>
        <v>5</v>
      </c>
      <c r="BO406" s="24">
        <f t="shared" si="15"/>
        <v>1</v>
      </c>
      <c r="BP406" s="23"/>
      <c r="BQ406" s="23"/>
    </row>
    <row r="407" spans="1:69" ht="15.75" customHeight="1">
      <c r="A407" s="10" t="s">
        <v>168</v>
      </c>
      <c r="B407" s="10" t="s">
        <v>169</v>
      </c>
      <c r="C407" s="11"/>
      <c r="D407" s="11"/>
      <c r="E407" s="33"/>
      <c r="F407" s="33"/>
      <c r="G407" s="11"/>
      <c r="H407" s="11"/>
      <c r="I407" s="11"/>
      <c r="J407" s="11"/>
      <c r="K407" s="11"/>
      <c r="L407" s="11"/>
      <c r="M407" s="11"/>
      <c r="N407" s="33"/>
      <c r="O407" s="11"/>
      <c r="P407" s="11"/>
      <c r="Q407" s="11">
        <v>3</v>
      </c>
      <c r="R407" s="11"/>
      <c r="S407" s="11"/>
      <c r="T407" s="33"/>
      <c r="U407" s="11"/>
      <c r="V407" s="11"/>
      <c r="W407" s="11"/>
      <c r="X407" s="11"/>
      <c r="Y407" s="11"/>
      <c r="Z407" s="11"/>
      <c r="AA407" s="11"/>
      <c r="AB407" s="11"/>
      <c r="AC407" s="11"/>
      <c r="AD407" s="11"/>
      <c r="AE407" s="11"/>
      <c r="AF407" s="11"/>
      <c r="AG407" s="11"/>
      <c r="AH407" s="11"/>
      <c r="AI407" s="11"/>
      <c r="AJ407" s="11"/>
      <c r="AK407" s="11"/>
      <c r="AL407" s="11"/>
      <c r="AM407" s="33"/>
      <c r="AN407" s="11"/>
      <c r="AO407" s="11"/>
      <c r="AP407" s="11"/>
      <c r="AQ407" s="11"/>
      <c r="AR407" s="11"/>
      <c r="AS407" s="11"/>
      <c r="AT407" s="11"/>
      <c r="AU407" s="8">
        <f t="shared" si="12"/>
        <v>3</v>
      </c>
      <c r="AV407" s="11">
        <v>1</v>
      </c>
      <c r="AW407" s="11"/>
      <c r="AX407" s="11"/>
      <c r="AY407" s="11"/>
      <c r="AZ407" s="11">
        <v>1</v>
      </c>
      <c r="BA407" s="11">
        <v>1</v>
      </c>
      <c r="BB407" s="11"/>
      <c r="BC407" s="11"/>
      <c r="BD407" s="11"/>
      <c r="BE407" s="11"/>
      <c r="BF407" s="11"/>
      <c r="BG407" s="11"/>
      <c r="BH407" s="11"/>
      <c r="BI407" s="11"/>
      <c r="BJ407" s="11"/>
      <c r="BK407" s="11"/>
      <c r="BL407" s="11"/>
      <c r="BM407" s="11"/>
      <c r="BN407" s="8">
        <f t="shared" si="11"/>
        <v>3</v>
      </c>
      <c r="BO407" s="24">
        <f t="shared" si="15"/>
        <v>0</v>
      </c>
      <c r="BP407" s="23"/>
      <c r="BQ407" s="23"/>
    </row>
    <row r="408" spans="1:69" ht="15.75" customHeight="1">
      <c r="A408" s="10" t="s">
        <v>282</v>
      </c>
      <c r="B408" s="10" t="s">
        <v>283</v>
      </c>
      <c r="C408" s="11"/>
      <c r="D408" s="11"/>
      <c r="E408" s="33"/>
      <c r="F408" s="33"/>
      <c r="G408" s="11"/>
      <c r="H408" s="11"/>
      <c r="I408" s="11"/>
      <c r="J408" s="11"/>
      <c r="K408" s="11"/>
      <c r="L408" s="11"/>
      <c r="M408" s="11"/>
      <c r="N408" s="33"/>
      <c r="O408" s="11"/>
      <c r="P408" s="11"/>
      <c r="Q408" s="11">
        <v>3</v>
      </c>
      <c r="R408" s="11"/>
      <c r="S408" s="11"/>
      <c r="T408" s="33"/>
      <c r="U408" s="11"/>
      <c r="V408" s="11"/>
      <c r="W408" s="11"/>
      <c r="X408" s="11"/>
      <c r="Y408" s="11"/>
      <c r="Z408" s="11"/>
      <c r="AA408" s="11"/>
      <c r="AB408" s="11"/>
      <c r="AC408" s="11"/>
      <c r="AD408" s="11"/>
      <c r="AE408" s="11"/>
      <c r="AF408" s="11"/>
      <c r="AG408" s="11"/>
      <c r="AH408" s="11"/>
      <c r="AI408" s="11"/>
      <c r="AJ408" s="11"/>
      <c r="AK408" s="11"/>
      <c r="AL408" s="11"/>
      <c r="AM408" s="33"/>
      <c r="AN408" s="11"/>
      <c r="AO408" s="11"/>
      <c r="AP408" s="11"/>
      <c r="AQ408" s="11"/>
      <c r="AR408" s="11"/>
      <c r="AS408" s="11"/>
      <c r="AT408" s="11"/>
      <c r="AU408" s="8">
        <f t="shared" si="12"/>
        <v>3</v>
      </c>
      <c r="AV408" s="11"/>
      <c r="AW408" s="11"/>
      <c r="AX408" s="11"/>
      <c r="AY408" s="11"/>
      <c r="AZ408" s="11"/>
      <c r="BA408" s="11"/>
      <c r="BB408" s="11">
        <v>1</v>
      </c>
      <c r="BC408" s="11"/>
      <c r="BD408" s="11"/>
      <c r="BE408" s="11"/>
      <c r="BF408" s="11"/>
      <c r="BG408" s="11"/>
      <c r="BH408" s="11"/>
      <c r="BI408" s="11"/>
      <c r="BJ408" s="11"/>
      <c r="BK408" s="11"/>
      <c r="BL408" s="11"/>
      <c r="BM408" s="11"/>
      <c r="BN408" s="8">
        <f t="shared" si="11"/>
        <v>1</v>
      </c>
      <c r="BO408" s="24">
        <f t="shared" si="15"/>
        <v>2</v>
      </c>
      <c r="BP408" s="23"/>
      <c r="BQ408" s="23"/>
    </row>
    <row r="409" spans="1:69" ht="15.75" customHeight="1">
      <c r="A409" s="10" t="s">
        <v>255</v>
      </c>
      <c r="B409" s="10" t="s">
        <v>256</v>
      </c>
      <c r="C409" s="11"/>
      <c r="D409" s="11"/>
      <c r="E409" s="33"/>
      <c r="F409" s="33"/>
      <c r="G409" s="11"/>
      <c r="H409" s="11"/>
      <c r="I409" s="11"/>
      <c r="J409" s="11"/>
      <c r="K409" s="11"/>
      <c r="L409" s="11"/>
      <c r="M409" s="11"/>
      <c r="N409" s="33"/>
      <c r="O409" s="11"/>
      <c r="P409" s="11"/>
      <c r="Q409" s="11">
        <v>3</v>
      </c>
      <c r="R409" s="11"/>
      <c r="S409" s="11"/>
      <c r="T409" s="33"/>
      <c r="U409" s="11"/>
      <c r="V409" s="11"/>
      <c r="W409" s="11"/>
      <c r="X409" s="11"/>
      <c r="Y409" s="11"/>
      <c r="Z409" s="11"/>
      <c r="AA409" s="11"/>
      <c r="AB409" s="11"/>
      <c r="AC409" s="11"/>
      <c r="AD409" s="11"/>
      <c r="AE409" s="11"/>
      <c r="AF409" s="11"/>
      <c r="AG409" s="11"/>
      <c r="AH409" s="11"/>
      <c r="AI409" s="11"/>
      <c r="AJ409" s="11"/>
      <c r="AK409" s="11"/>
      <c r="AL409" s="11"/>
      <c r="AM409" s="33"/>
      <c r="AN409" s="11"/>
      <c r="AO409" s="11"/>
      <c r="AP409" s="11"/>
      <c r="AQ409" s="11"/>
      <c r="AR409" s="11"/>
      <c r="AS409" s="11"/>
      <c r="AT409" s="11"/>
      <c r="AU409" s="8">
        <f t="shared" si="12"/>
        <v>3</v>
      </c>
      <c r="AV409" s="11"/>
      <c r="AW409" s="11"/>
      <c r="AX409" s="11">
        <v>1</v>
      </c>
      <c r="AY409" s="11"/>
      <c r="AZ409" s="11"/>
      <c r="BA409" s="11"/>
      <c r="BB409" s="11"/>
      <c r="BC409" s="11"/>
      <c r="BD409" s="11"/>
      <c r="BE409" s="11"/>
      <c r="BF409" s="11"/>
      <c r="BG409" s="11"/>
      <c r="BH409" s="11"/>
      <c r="BI409" s="11"/>
      <c r="BJ409" s="11"/>
      <c r="BK409" s="11"/>
      <c r="BL409" s="11"/>
      <c r="BM409" s="11"/>
      <c r="BN409" s="8">
        <f t="shared" si="11"/>
        <v>1</v>
      </c>
      <c r="BO409" s="24">
        <f t="shared" si="15"/>
        <v>2</v>
      </c>
      <c r="BP409" s="23"/>
      <c r="BQ409" s="23"/>
    </row>
    <row r="410" spans="1:69" ht="15.75" customHeight="1">
      <c r="A410" s="10" t="s">
        <v>257</v>
      </c>
      <c r="B410" s="10" t="s">
        <v>258</v>
      </c>
      <c r="C410" s="11"/>
      <c r="D410" s="11"/>
      <c r="E410" s="33"/>
      <c r="F410" s="33"/>
      <c r="G410" s="11"/>
      <c r="H410" s="11"/>
      <c r="I410" s="11"/>
      <c r="J410" s="11"/>
      <c r="K410" s="11"/>
      <c r="L410" s="11"/>
      <c r="M410" s="11"/>
      <c r="N410" s="33"/>
      <c r="O410" s="11"/>
      <c r="P410" s="11"/>
      <c r="Q410" s="11">
        <v>3</v>
      </c>
      <c r="R410" s="11"/>
      <c r="S410" s="11"/>
      <c r="T410" s="33"/>
      <c r="U410" s="11"/>
      <c r="V410" s="11"/>
      <c r="W410" s="11"/>
      <c r="X410" s="11"/>
      <c r="Y410" s="11"/>
      <c r="Z410" s="11"/>
      <c r="AA410" s="11"/>
      <c r="AB410" s="11"/>
      <c r="AC410" s="11"/>
      <c r="AD410" s="11"/>
      <c r="AE410" s="11"/>
      <c r="AF410" s="11"/>
      <c r="AG410" s="11"/>
      <c r="AH410" s="11"/>
      <c r="AI410" s="11"/>
      <c r="AJ410" s="11"/>
      <c r="AK410" s="11"/>
      <c r="AL410" s="11"/>
      <c r="AM410" s="33"/>
      <c r="AN410" s="11"/>
      <c r="AO410" s="11"/>
      <c r="AP410" s="11"/>
      <c r="AQ410" s="11"/>
      <c r="AR410" s="11"/>
      <c r="AS410" s="11"/>
      <c r="AT410" s="11"/>
      <c r="AU410" s="8">
        <f t="shared" si="12"/>
        <v>3</v>
      </c>
      <c r="AV410" s="11"/>
      <c r="AW410" s="11"/>
      <c r="AX410" s="11"/>
      <c r="AY410" s="11"/>
      <c r="AZ410" s="11"/>
      <c r="BA410" s="11"/>
      <c r="BB410" s="11"/>
      <c r="BC410" s="11"/>
      <c r="BD410" s="11"/>
      <c r="BE410" s="11"/>
      <c r="BF410" s="11"/>
      <c r="BG410" s="11"/>
      <c r="BH410" s="11"/>
      <c r="BI410" s="11"/>
      <c r="BJ410" s="11"/>
      <c r="BK410" s="11"/>
      <c r="BL410" s="11"/>
      <c r="BM410" s="11"/>
      <c r="BN410" s="8">
        <f t="shared" si="11"/>
        <v>0</v>
      </c>
      <c r="BO410" s="24">
        <f t="shared" si="15"/>
        <v>3</v>
      </c>
      <c r="BP410" s="23"/>
      <c r="BQ410" s="23"/>
    </row>
    <row r="411" spans="1:69" ht="15.75" customHeight="1">
      <c r="A411" s="10" t="s">
        <v>170</v>
      </c>
      <c r="B411" s="10" t="s">
        <v>171</v>
      </c>
      <c r="C411" s="11"/>
      <c r="D411" s="11"/>
      <c r="E411" s="33"/>
      <c r="F411" s="33"/>
      <c r="G411" s="11"/>
      <c r="H411" s="11"/>
      <c r="I411" s="11"/>
      <c r="J411" s="11"/>
      <c r="K411" s="11"/>
      <c r="L411" s="11"/>
      <c r="M411" s="11"/>
      <c r="N411" s="33"/>
      <c r="O411" s="11"/>
      <c r="P411" s="11"/>
      <c r="Q411" s="11">
        <v>3</v>
      </c>
      <c r="R411" s="11"/>
      <c r="S411" s="11"/>
      <c r="T411" s="33"/>
      <c r="U411" s="11"/>
      <c r="V411" s="11"/>
      <c r="W411" s="11"/>
      <c r="X411" s="11"/>
      <c r="Y411" s="11"/>
      <c r="Z411" s="11"/>
      <c r="AA411" s="11"/>
      <c r="AB411" s="11"/>
      <c r="AC411" s="11"/>
      <c r="AD411" s="11"/>
      <c r="AE411" s="11"/>
      <c r="AF411" s="11"/>
      <c r="AG411" s="11"/>
      <c r="AH411" s="11"/>
      <c r="AI411" s="11"/>
      <c r="AJ411" s="11"/>
      <c r="AK411" s="11"/>
      <c r="AL411" s="11"/>
      <c r="AM411" s="33"/>
      <c r="AN411" s="11"/>
      <c r="AO411" s="11"/>
      <c r="AP411" s="11"/>
      <c r="AQ411" s="11"/>
      <c r="AR411" s="11"/>
      <c r="AS411" s="11"/>
      <c r="AT411" s="11"/>
      <c r="AU411" s="8">
        <f t="shared" si="12"/>
        <v>3</v>
      </c>
      <c r="AV411" s="11"/>
      <c r="AW411" s="11"/>
      <c r="AX411" s="11"/>
      <c r="AY411" s="11"/>
      <c r="AZ411" s="11"/>
      <c r="BA411" s="11"/>
      <c r="BB411" s="11"/>
      <c r="BC411" s="11"/>
      <c r="BD411" s="11"/>
      <c r="BE411" s="11"/>
      <c r="BF411" s="11"/>
      <c r="BG411" s="11"/>
      <c r="BH411" s="11"/>
      <c r="BI411" s="11"/>
      <c r="BJ411" s="11"/>
      <c r="BK411" s="11"/>
      <c r="BL411" s="11"/>
      <c r="BM411" s="11"/>
      <c r="BN411" s="8">
        <f t="shared" si="11"/>
        <v>0</v>
      </c>
      <c r="BO411" s="24">
        <f t="shared" si="15"/>
        <v>3</v>
      </c>
      <c r="BP411" s="23"/>
      <c r="BQ411" s="23"/>
    </row>
    <row r="412" spans="1:69" ht="15.75" customHeight="1">
      <c r="A412" s="10" t="s">
        <v>172</v>
      </c>
      <c r="B412" s="10" t="s">
        <v>173</v>
      </c>
      <c r="C412" s="11"/>
      <c r="D412" s="11"/>
      <c r="E412" s="33"/>
      <c r="F412" s="33"/>
      <c r="G412" s="11"/>
      <c r="H412" s="11"/>
      <c r="I412" s="11"/>
      <c r="J412" s="11"/>
      <c r="K412" s="11"/>
      <c r="L412" s="11"/>
      <c r="M412" s="11"/>
      <c r="N412" s="33"/>
      <c r="O412" s="11"/>
      <c r="P412" s="11"/>
      <c r="Q412" s="11">
        <v>3</v>
      </c>
      <c r="R412" s="11"/>
      <c r="S412" s="11"/>
      <c r="T412" s="33"/>
      <c r="U412" s="11"/>
      <c r="V412" s="11"/>
      <c r="W412" s="11"/>
      <c r="X412" s="11"/>
      <c r="Y412" s="11"/>
      <c r="Z412" s="11"/>
      <c r="AA412" s="11"/>
      <c r="AB412" s="11"/>
      <c r="AC412" s="11"/>
      <c r="AD412" s="11"/>
      <c r="AE412" s="11"/>
      <c r="AF412" s="11"/>
      <c r="AG412" s="11"/>
      <c r="AH412" s="11"/>
      <c r="AI412" s="11"/>
      <c r="AJ412" s="11"/>
      <c r="AK412" s="11"/>
      <c r="AL412" s="11"/>
      <c r="AM412" s="33"/>
      <c r="AN412" s="11"/>
      <c r="AO412" s="11"/>
      <c r="AP412" s="11"/>
      <c r="AQ412" s="11"/>
      <c r="AR412" s="11"/>
      <c r="AS412" s="11"/>
      <c r="AT412" s="11"/>
      <c r="AU412" s="8">
        <f t="shared" si="12"/>
        <v>3</v>
      </c>
      <c r="AV412" s="11"/>
      <c r="AW412" s="11"/>
      <c r="AX412" s="11"/>
      <c r="AY412" s="11"/>
      <c r="AZ412" s="11"/>
      <c r="BA412" s="11"/>
      <c r="BB412" s="11"/>
      <c r="BC412" s="11"/>
      <c r="BD412" s="11"/>
      <c r="BE412" s="11"/>
      <c r="BF412" s="11"/>
      <c r="BG412" s="11"/>
      <c r="BH412" s="11"/>
      <c r="BI412" s="11"/>
      <c r="BJ412" s="11"/>
      <c r="BK412" s="11"/>
      <c r="BL412" s="11"/>
      <c r="BM412" s="11"/>
      <c r="BN412" s="8">
        <f t="shared" si="11"/>
        <v>0</v>
      </c>
      <c r="BO412" s="24">
        <f t="shared" si="15"/>
        <v>3</v>
      </c>
      <c r="BP412" s="23"/>
      <c r="BQ412" s="23"/>
    </row>
    <row r="413" spans="1:69" ht="15.75" customHeight="1">
      <c r="A413" s="10" t="s">
        <v>174</v>
      </c>
      <c r="B413" s="10" t="s">
        <v>175</v>
      </c>
      <c r="C413" s="11"/>
      <c r="D413" s="11"/>
      <c r="E413" s="33"/>
      <c r="F413" s="33"/>
      <c r="G413" s="11"/>
      <c r="H413" s="11"/>
      <c r="I413" s="11"/>
      <c r="J413" s="11"/>
      <c r="K413" s="11"/>
      <c r="L413" s="11"/>
      <c r="M413" s="11"/>
      <c r="N413" s="33"/>
      <c r="O413" s="11"/>
      <c r="P413" s="11"/>
      <c r="Q413" s="11">
        <v>3</v>
      </c>
      <c r="R413" s="11"/>
      <c r="S413" s="11"/>
      <c r="T413" s="33"/>
      <c r="U413" s="11"/>
      <c r="V413" s="11"/>
      <c r="W413" s="11"/>
      <c r="X413" s="11"/>
      <c r="Y413" s="11"/>
      <c r="Z413" s="11"/>
      <c r="AA413" s="11"/>
      <c r="AB413" s="11"/>
      <c r="AC413" s="11"/>
      <c r="AD413" s="11"/>
      <c r="AE413" s="11"/>
      <c r="AF413" s="11"/>
      <c r="AG413" s="11"/>
      <c r="AH413" s="11"/>
      <c r="AI413" s="11"/>
      <c r="AJ413" s="11"/>
      <c r="AK413" s="11"/>
      <c r="AL413" s="11"/>
      <c r="AM413" s="33"/>
      <c r="AN413" s="11"/>
      <c r="AO413" s="11"/>
      <c r="AP413" s="11"/>
      <c r="AQ413" s="11"/>
      <c r="AR413" s="11"/>
      <c r="AS413" s="11"/>
      <c r="AT413" s="11"/>
      <c r="AU413" s="8">
        <f t="shared" si="12"/>
        <v>3</v>
      </c>
      <c r="AV413" s="11">
        <v>1</v>
      </c>
      <c r="AW413" s="11"/>
      <c r="AX413" s="11"/>
      <c r="AY413" s="11"/>
      <c r="AZ413" s="11"/>
      <c r="BA413" s="11"/>
      <c r="BB413" s="11"/>
      <c r="BC413" s="11"/>
      <c r="BD413" s="11"/>
      <c r="BE413" s="11"/>
      <c r="BF413" s="11"/>
      <c r="BG413" s="11"/>
      <c r="BH413" s="11"/>
      <c r="BI413" s="11"/>
      <c r="BJ413" s="11"/>
      <c r="BK413" s="11"/>
      <c r="BL413" s="11"/>
      <c r="BM413" s="11"/>
      <c r="BN413" s="8">
        <f t="shared" si="11"/>
        <v>1</v>
      </c>
      <c r="BO413" s="24">
        <f t="shared" si="15"/>
        <v>2</v>
      </c>
      <c r="BP413" s="23"/>
      <c r="BQ413" s="23"/>
    </row>
    <row r="414" spans="1:69" ht="15.75" customHeight="1">
      <c r="A414" s="10" t="s">
        <v>983</v>
      </c>
      <c r="B414" s="10" t="s">
        <v>984</v>
      </c>
      <c r="C414" s="11"/>
      <c r="D414" s="11"/>
      <c r="E414" s="33"/>
      <c r="F414" s="33"/>
      <c r="G414" s="11"/>
      <c r="H414" s="11"/>
      <c r="I414" s="11"/>
      <c r="J414" s="11"/>
      <c r="K414" s="11"/>
      <c r="L414" s="11"/>
      <c r="M414" s="11"/>
      <c r="N414" s="33"/>
      <c r="O414" s="11"/>
      <c r="P414" s="11"/>
      <c r="Q414" s="11">
        <v>3</v>
      </c>
      <c r="R414" s="11"/>
      <c r="S414" s="11"/>
      <c r="T414" s="33"/>
      <c r="U414" s="11"/>
      <c r="V414" s="11"/>
      <c r="W414" s="11"/>
      <c r="X414" s="11"/>
      <c r="Y414" s="11"/>
      <c r="Z414" s="11"/>
      <c r="AA414" s="11"/>
      <c r="AB414" s="11"/>
      <c r="AC414" s="11"/>
      <c r="AD414" s="11"/>
      <c r="AE414" s="11"/>
      <c r="AF414" s="11"/>
      <c r="AG414" s="11"/>
      <c r="AH414" s="11"/>
      <c r="AI414" s="11"/>
      <c r="AJ414" s="11"/>
      <c r="AK414" s="11"/>
      <c r="AL414" s="11"/>
      <c r="AM414" s="33"/>
      <c r="AN414" s="11"/>
      <c r="AO414" s="11"/>
      <c r="AP414" s="11"/>
      <c r="AQ414" s="11"/>
      <c r="AR414" s="11"/>
      <c r="AS414" s="11"/>
      <c r="AT414" s="11"/>
      <c r="AU414" s="8">
        <f t="shared" si="12"/>
        <v>3</v>
      </c>
      <c r="AV414" s="11"/>
      <c r="AW414" s="11">
        <v>1</v>
      </c>
      <c r="AX414" s="11"/>
      <c r="AY414" s="11"/>
      <c r="AZ414" s="11"/>
      <c r="BA414" s="11"/>
      <c r="BB414" s="11"/>
      <c r="BC414" s="11"/>
      <c r="BD414" s="11"/>
      <c r="BE414" s="11"/>
      <c r="BF414" s="11"/>
      <c r="BG414" s="11"/>
      <c r="BH414" s="11"/>
      <c r="BI414" s="11"/>
      <c r="BJ414" s="11"/>
      <c r="BK414" s="11"/>
      <c r="BL414" s="11"/>
      <c r="BM414" s="11"/>
      <c r="BN414" s="8">
        <f t="shared" si="11"/>
        <v>1</v>
      </c>
      <c r="BO414" s="24">
        <f t="shared" si="15"/>
        <v>2</v>
      </c>
      <c r="BP414" s="23"/>
      <c r="BQ414" s="23"/>
    </row>
    <row r="415" spans="1:69" ht="15.75" customHeight="1">
      <c r="A415" s="10" t="s">
        <v>985</v>
      </c>
      <c r="B415" s="10" t="s">
        <v>986</v>
      </c>
      <c r="C415" s="11"/>
      <c r="D415" s="11"/>
      <c r="E415" s="33"/>
      <c r="F415" s="33"/>
      <c r="G415" s="11"/>
      <c r="H415" s="11"/>
      <c r="I415" s="11"/>
      <c r="J415" s="11"/>
      <c r="K415" s="11"/>
      <c r="L415" s="11"/>
      <c r="M415" s="11"/>
      <c r="N415" s="33"/>
      <c r="O415" s="11"/>
      <c r="P415" s="11"/>
      <c r="Q415" s="11">
        <v>3</v>
      </c>
      <c r="R415" s="11"/>
      <c r="S415" s="11"/>
      <c r="T415" s="33"/>
      <c r="U415" s="11"/>
      <c r="V415" s="11"/>
      <c r="W415" s="11"/>
      <c r="X415" s="11"/>
      <c r="Y415" s="11"/>
      <c r="Z415" s="11"/>
      <c r="AA415" s="11"/>
      <c r="AB415" s="11"/>
      <c r="AC415" s="11"/>
      <c r="AD415" s="11"/>
      <c r="AE415" s="11"/>
      <c r="AF415" s="11"/>
      <c r="AG415" s="11"/>
      <c r="AH415" s="11"/>
      <c r="AI415" s="11"/>
      <c r="AJ415" s="11"/>
      <c r="AK415" s="11"/>
      <c r="AL415" s="11"/>
      <c r="AM415" s="33"/>
      <c r="AN415" s="11"/>
      <c r="AO415" s="11"/>
      <c r="AP415" s="11"/>
      <c r="AQ415" s="11"/>
      <c r="AR415" s="11"/>
      <c r="AS415" s="11"/>
      <c r="AT415" s="11"/>
      <c r="AU415" s="8">
        <f t="shared" si="12"/>
        <v>3</v>
      </c>
      <c r="AV415" s="11"/>
      <c r="AW415" s="11"/>
      <c r="AX415" s="11"/>
      <c r="AY415" s="11"/>
      <c r="AZ415" s="11"/>
      <c r="BA415" s="11">
        <v>1</v>
      </c>
      <c r="BB415" s="11"/>
      <c r="BC415" s="11"/>
      <c r="BD415" s="11"/>
      <c r="BE415" s="11"/>
      <c r="BF415" s="11"/>
      <c r="BG415" s="11"/>
      <c r="BH415" s="11"/>
      <c r="BI415" s="11"/>
      <c r="BJ415" s="11"/>
      <c r="BK415" s="11"/>
      <c r="BL415" s="11"/>
      <c r="BM415" s="11"/>
      <c r="BN415" s="8">
        <f t="shared" si="11"/>
        <v>1</v>
      </c>
      <c r="BO415" s="24">
        <f t="shared" si="15"/>
        <v>2</v>
      </c>
      <c r="BP415" s="23"/>
      <c r="BQ415" s="23"/>
    </row>
    <row r="416" spans="1:69" ht="15.75" customHeight="1">
      <c r="A416" s="10" t="s">
        <v>987</v>
      </c>
      <c r="B416" s="10" t="s">
        <v>988</v>
      </c>
      <c r="C416" s="11"/>
      <c r="D416" s="11"/>
      <c r="E416" s="33"/>
      <c r="F416" s="33"/>
      <c r="G416" s="11"/>
      <c r="H416" s="11"/>
      <c r="I416" s="11"/>
      <c r="J416" s="11"/>
      <c r="K416" s="11"/>
      <c r="L416" s="11"/>
      <c r="M416" s="11"/>
      <c r="N416" s="33"/>
      <c r="O416" s="11"/>
      <c r="P416" s="11"/>
      <c r="Q416" s="11">
        <v>3</v>
      </c>
      <c r="R416" s="11"/>
      <c r="S416" s="11"/>
      <c r="T416" s="33"/>
      <c r="U416" s="11"/>
      <c r="V416" s="11"/>
      <c r="W416" s="11"/>
      <c r="X416" s="11"/>
      <c r="Y416" s="11"/>
      <c r="Z416" s="11"/>
      <c r="AA416" s="11"/>
      <c r="AB416" s="11"/>
      <c r="AC416" s="11"/>
      <c r="AD416" s="11"/>
      <c r="AE416" s="11"/>
      <c r="AF416" s="11"/>
      <c r="AG416" s="11"/>
      <c r="AH416" s="11"/>
      <c r="AI416" s="11"/>
      <c r="AJ416" s="11"/>
      <c r="AK416" s="11"/>
      <c r="AL416" s="11"/>
      <c r="AM416" s="33"/>
      <c r="AN416" s="11"/>
      <c r="AO416" s="11"/>
      <c r="AP416" s="11"/>
      <c r="AQ416" s="11"/>
      <c r="AR416" s="11"/>
      <c r="AS416" s="11"/>
      <c r="AT416" s="11"/>
      <c r="AU416" s="8">
        <f t="shared" si="12"/>
        <v>3</v>
      </c>
      <c r="AV416" s="11"/>
      <c r="AW416" s="11"/>
      <c r="AX416" s="11"/>
      <c r="AY416" s="11"/>
      <c r="AZ416" s="11"/>
      <c r="BA416" s="11"/>
      <c r="BB416" s="11"/>
      <c r="BC416" s="11"/>
      <c r="BD416" s="11"/>
      <c r="BE416" s="11"/>
      <c r="BF416" s="11"/>
      <c r="BG416" s="11"/>
      <c r="BH416" s="11"/>
      <c r="BI416" s="11"/>
      <c r="BJ416" s="11"/>
      <c r="BK416" s="11"/>
      <c r="BL416" s="11"/>
      <c r="BM416" s="11"/>
      <c r="BN416" s="8">
        <f t="shared" si="11"/>
        <v>0</v>
      </c>
      <c r="BO416" s="24">
        <f t="shared" si="15"/>
        <v>3</v>
      </c>
      <c r="BP416" s="23"/>
      <c r="BQ416" s="23"/>
    </row>
    <row r="417" spans="1:69" ht="15.75" customHeight="1">
      <c r="A417" s="10" t="s">
        <v>989</v>
      </c>
      <c r="B417" s="10" t="s">
        <v>990</v>
      </c>
      <c r="C417" s="11"/>
      <c r="D417" s="11"/>
      <c r="E417" s="33"/>
      <c r="F417" s="33"/>
      <c r="G417" s="11"/>
      <c r="H417" s="11"/>
      <c r="I417" s="11"/>
      <c r="J417" s="11"/>
      <c r="K417" s="11"/>
      <c r="L417" s="11"/>
      <c r="M417" s="11"/>
      <c r="N417" s="33"/>
      <c r="O417" s="11"/>
      <c r="P417" s="11"/>
      <c r="Q417" s="11">
        <v>3</v>
      </c>
      <c r="R417" s="11"/>
      <c r="S417" s="11"/>
      <c r="T417" s="33"/>
      <c r="U417" s="11"/>
      <c r="V417" s="11"/>
      <c r="W417" s="11"/>
      <c r="X417" s="11"/>
      <c r="Y417" s="11"/>
      <c r="Z417" s="11"/>
      <c r="AA417" s="11"/>
      <c r="AB417" s="11"/>
      <c r="AC417" s="11"/>
      <c r="AD417" s="11"/>
      <c r="AE417" s="11"/>
      <c r="AF417" s="11"/>
      <c r="AG417" s="11"/>
      <c r="AH417" s="11"/>
      <c r="AI417" s="11"/>
      <c r="AJ417" s="11"/>
      <c r="AK417" s="11"/>
      <c r="AL417" s="11"/>
      <c r="AM417" s="33"/>
      <c r="AN417" s="11"/>
      <c r="AO417" s="11"/>
      <c r="AP417" s="11"/>
      <c r="AQ417" s="11"/>
      <c r="AR417" s="11"/>
      <c r="AS417" s="11"/>
      <c r="AT417" s="11"/>
      <c r="AU417" s="8">
        <f t="shared" si="12"/>
        <v>3</v>
      </c>
      <c r="AV417" s="11"/>
      <c r="AW417" s="11">
        <v>1</v>
      </c>
      <c r="AX417" s="11"/>
      <c r="AY417" s="11"/>
      <c r="AZ417" s="11"/>
      <c r="BA417" s="11"/>
      <c r="BB417" s="11"/>
      <c r="BC417" s="11"/>
      <c r="BD417" s="11"/>
      <c r="BE417" s="11"/>
      <c r="BF417" s="11"/>
      <c r="BG417" s="11"/>
      <c r="BH417" s="11"/>
      <c r="BI417" s="11"/>
      <c r="BJ417" s="11"/>
      <c r="BK417" s="11"/>
      <c r="BL417" s="11"/>
      <c r="BM417" s="11"/>
      <c r="BN417" s="8">
        <f t="shared" si="11"/>
        <v>1</v>
      </c>
      <c r="BO417" s="24">
        <f t="shared" si="15"/>
        <v>2</v>
      </c>
      <c r="BP417" s="23"/>
      <c r="BQ417" s="23"/>
    </row>
    <row r="418" spans="1:69" ht="15.75" customHeight="1">
      <c r="A418" s="10" t="s">
        <v>991</v>
      </c>
      <c r="B418" s="10" t="s">
        <v>992</v>
      </c>
      <c r="C418" s="11"/>
      <c r="D418" s="11"/>
      <c r="E418" s="33"/>
      <c r="F418" s="33"/>
      <c r="G418" s="11"/>
      <c r="H418" s="11"/>
      <c r="I418" s="11"/>
      <c r="J418" s="11"/>
      <c r="K418" s="11"/>
      <c r="L418" s="11"/>
      <c r="M418" s="11"/>
      <c r="N418" s="33"/>
      <c r="O418" s="11"/>
      <c r="P418" s="11"/>
      <c r="Q418" s="11">
        <v>3</v>
      </c>
      <c r="R418" s="11"/>
      <c r="S418" s="11"/>
      <c r="T418" s="33"/>
      <c r="U418" s="11"/>
      <c r="V418" s="11"/>
      <c r="W418" s="11"/>
      <c r="X418" s="11"/>
      <c r="Y418" s="11"/>
      <c r="Z418" s="11"/>
      <c r="AA418" s="11"/>
      <c r="AB418" s="11"/>
      <c r="AC418" s="11"/>
      <c r="AD418" s="11"/>
      <c r="AE418" s="11"/>
      <c r="AF418" s="11"/>
      <c r="AG418" s="11"/>
      <c r="AH418" s="11"/>
      <c r="AI418" s="11"/>
      <c r="AJ418" s="11"/>
      <c r="AK418" s="11"/>
      <c r="AL418" s="11"/>
      <c r="AM418" s="33"/>
      <c r="AN418" s="11"/>
      <c r="AO418" s="11"/>
      <c r="AP418" s="11"/>
      <c r="AQ418" s="11"/>
      <c r="AR418" s="11"/>
      <c r="AS418" s="11"/>
      <c r="AT418" s="11"/>
      <c r="AU418" s="8">
        <f t="shared" si="12"/>
        <v>3</v>
      </c>
      <c r="AV418" s="11"/>
      <c r="AW418" s="11"/>
      <c r="AX418" s="11"/>
      <c r="AY418" s="11"/>
      <c r="AZ418" s="11"/>
      <c r="BA418" s="11"/>
      <c r="BB418" s="11"/>
      <c r="BC418" s="11"/>
      <c r="BD418" s="11"/>
      <c r="BE418" s="11"/>
      <c r="BF418" s="11"/>
      <c r="BG418" s="11"/>
      <c r="BH418" s="11"/>
      <c r="BI418" s="11"/>
      <c r="BJ418" s="11"/>
      <c r="BK418" s="11"/>
      <c r="BL418" s="11"/>
      <c r="BM418" s="11"/>
      <c r="BN418" s="8">
        <f t="shared" si="11"/>
        <v>0</v>
      </c>
      <c r="BO418" s="24">
        <f t="shared" si="15"/>
        <v>3</v>
      </c>
      <c r="BP418" s="23"/>
      <c r="BQ418" s="23"/>
    </row>
    <row r="419" spans="1:69" ht="15.75" customHeight="1">
      <c r="A419" s="10" t="s">
        <v>993</v>
      </c>
      <c r="B419" s="10" t="s">
        <v>994</v>
      </c>
      <c r="C419" s="11"/>
      <c r="D419" s="11"/>
      <c r="E419" s="33"/>
      <c r="F419" s="33"/>
      <c r="G419" s="11"/>
      <c r="H419" s="11"/>
      <c r="I419" s="11"/>
      <c r="J419" s="11"/>
      <c r="K419" s="11"/>
      <c r="L419" s="11"/>
      <c r="M419" s="11"/>
      <c r="N419" s="33"/>
      <c r="O419" s="11"/>
      <c r="P419" s="11"/>
      <c r="Q419" s="11">
        <v>3</v>
      </c>
      <c r="R419" s="11"/>
      <c r="S419" s="11"/>
      <c r="T419" s="33"/>
      <c r="U419" s="11"/>
      <c r="V419" s="11"/>
      <c r="W419" s="11"/>
      <c r="X419" s="11"/>
      <c r="Y419" s="11"/>
      <c r="Z419" s="11"/>
      <c r="AA419" s="11"/>
      <c r="AB419" s="11"/>
      <c r="AC419" s="11"/>
      <c r="AD419" s="11"/>
      <c r="AE419" s="11"/>
      <c r="AF419" s="11"/>
      <c r="AG419" s="11"/>
      <c r="AH419" s="11"/>
      <c r="AI419" s="11"/>
      <c r="AJ419" s="11"/>
      <c r="AK419" s="11"/>
      <c r="AL419" s="11"/>
      <c r="AM419" s="33"/>
      <c r="AN419" s="11"/>
      <c r="AO419" s="11"/>
      <c r="AP419" s="11"/>
      <c r="AQ419" s="11"/>
      <c r="AR419" s="11"/>
      <c r="AS419" s="11"/>
      <c r="AT419" s="11"/>
      <c r="AU419" s="8">
        <f t="shared" si="12"/>
        <v>3</v>
      </c>
      <c r="AV419" s="11"/>
      <c r="AW419" s="11"/>
      <c r="AX419" s="11"/>
      <c r="AY419" s="11"/>
      <c r="AZ419" s="11"/>
      <c r="BA419" s="11">
        <v>1</v>
      </c>
      <c r="BB419" s="11"/>
      <c r="BC419" s="11"/>
      <c r="BD419" s="11"/>
      <c r="BE419" s="11"/>
      <c r="BF419" s="11"/>
      <c r="BG419" s="11"/>
      <c r="BH419" s="11"/>
      <c r="BI419" s="11"/>
      <c r="BJ419" s="11"/>
      <c r="BK419" s="11"/>
      <c r="BL419" s="11"/>
      <c r="BM419" s="11"/>
      <c r="BN419" s="8">
        <f t="shared" si="11"/>
        <v>1</v>
      </c>
      <c r="BO419" s="24">
        <f t="shared" si="15"/>
        <v>2</v>
      </c>
      <c r="BP419" s="23"/>
      <c r="BQ419" s="23"/>
    </row>
    <row r="420" spans="1:69" ht="15.75" customHeight="1">
      <c r="A420" s="10" t="s">
        <v>995</v>
      </c>
      <c r="B420" s="10" t="s">
        <v>996</v>
      </c>
      <c r="C420" s="11"/>
      <c r="D420" s="11"/>
      <c r="E420" s="33"/>
      <c r="F420" s="33"/>
      <c r="G420" s="11"/>
      <c r="H420" s="11"/>
      <c r="I420" s="11"/>
      <c r="J420" s="11"/>
      <c r="K420" s="11"/>
      <c r="L420" s="11"/>
      <c r="M420" s="11"/>
      <c r="N420" s="33"/>
      <c r="O420" s="11"/>
      <c r="P420" s="11"/>
      <c r="Q420" s="11">
        <v>3</v>
      </c>
      <c r="R420" s="11"/>
      <c r="S420" s="11"/>
      <c r="T420" s="33"/>
      <c r="U420" s="11"/>
      <c r="V420" s="11"/>
      <c r="W420" s="11"/>
      <c r="X420" s="11"/>
      <c r="Y420" s="11"/>
      <c r="Z420" s="11"/>
      <c r="AA420" s="11"/>
      <c r="AB420" s="11"/>
      <c r="AC420" s="11"/>
      <c r="AD420" s="11"/>
      <c r="AE420" s="11"/>
      <c r="AF420" s="11"/>
      <c r="AG420" s="11"/>
      <c r="AH420" s="11"/>
      <c r="AI420" s="11"/>
      <c r="AJ420" s="11"/>
      <c r="AK420" s="11"/>
      <c r="AL420" s="11"/>
      <c r="AM420" s="33"/>
      <c r="AN420" s="11"/>
      <c r="AO420" s="11"/>
      <c r="AP420" s="11"/>
      <c r="AQ420" s="11"/>
      <c r="AR420" s="11"/>
      <c r="AS420" s="11"/>
      <c r="AT420" s="11"/>
      <c r="AU420" s="8">
        <f t="shared" si="12"/>
        <v>3</v>
      </c>
      <c r="AV420" s="11">
        <v>2</v>
      </c>
      <c r="AW420" s="11"/>
      <c r="AX420" s="11"/>
      <c r="AY420" s="11"/>
      <c r="AZ420" s="11"/>
      <c r="BA420" s="11"/>
      <c r="BB420" s="11"/>
      <c r="BC420" s="11"/>
      <c r="BD420" s="11"/>
      <c r="BE420" s="11"/>
      <c r="BF420" s="11"/>
      <c r="BG420" s="11"/>
      <c r="BH420" s="11"/>
      <c r="BI420" s="11"/>
      <c r="BJ420" s="11"/>
      <c r="BK420" s="11"/>
      <c r="BL420" s="11"/>
      <c r="BM420" s="11"/>
      <c r="BN420" s="8">
        <f t="shared" si="11"/>
        <v>2</v>
      </c>
      <c r="BO420" s="24">
        <f t="shared" si="15"/>
        <v>1</v>
      </c>
      <c r="BP420" s="23"/>
      <c r="BQ420" s="23"/>
    </row>
    <row r="421" spans="1:69" ht="15.75" customHeight="1">
      <c r="A421" s="10" t="s">
        <v>997</v>
      </c>
      <c r="B421" s="10" t="s">
        <v>998</v>
      </c>
      <c r="C421" s="11"/>
      <c r="D421" s="11"/>
      <c r="E421" s="33"/>
      <c r="F421" s="33"/>
      <c r="G421" s="11"/>
      <c r="H421" s="11"/>
      <c r="I421" s="11"/>
      <c r="J421" s="11"/>
      <c r="K421" s="11"/>
      <c r="L421" s="11"/>
      <c r="M421" s="11"/>
      <c r="N421" s="33"/>
      <c r="O421" s="11"/>
      <c r="P421" s="11"/>
      <c r="Q421" s="11">
        <v>3</v>
      </c>
      <c r="R421" s="11"/>
      <c r="S421" s="11"/>
      <c r="T421" s="33"/>
      <c r="U421" s="11"/>
      <c r="V421" s="11"/>
      <c r="W421" s="11"/>
      <c r="X421" s="11"/>
      <c r="Y421" s="11"/>
      <c r="Z421" s="11"/>
      <c r="AA421" s="11"/>
      <c r="AB421" s="11"/>
      <c r="AC421" s="11"/>
      <c r="AD421" s="11"/>
      <c r="AE421" s="11"/>
      <c r="AF421" s="11"/>
      <c r="AG421" s="11"/>
      <c r="AH421" s="11"/>
      <c r="AI421" s="11"/>
      <c r="AJ421" s="11"/>
      <c r="AK421" s="11"/>
      <c r="AL421" s="11"/>
      <c r="AM421" s="33"/>
      <c r="AN421" s="11"/>
      <c r="AO421" s="11"/>
      <c r="AP421" s="11"/>
      <c r="AQ421" s="11"/>
      <c r="AR421" s="11"/>
      <c r="AS421" s="11"/>
      <c r="AT421" s="11"/>
      <c r="AU421" s="8">
        <f t="shared" si="12"/>
        <v>3</v>
      </c>
      <c r="AV421" s="11"/>
      <c r="AW421" s="11"/>
      <c r="AX421" s="11"/>
      <c r="AY421" s="11"/>
      <c r="AZ421" s="11"/>
      <c r="BA421" s="11"/>
      <c r="BB421" s="11"/>
      <c r="BC421" s="11"/>
      <c r="BD421" s="11"/>
      <c r="BE421" s="11"/>
      <c r="BF421" s="11"/>
      <c r="BG421" s="11"/>
      <c r="BH421" s="11"/>
      <c r="BI421" s="11"/>
      <c r="BJ421" s="11"/>
      <c r="BK421" s="11"/>
      <c r="BL421" s="11"/>
      <c r="BM421" s="11"/>
      <c r="BN421" s="8">
        <f t="shared" si="11"/>
        <v>0</v>
      </c>
      <c r="BO421" s="24">
        <f t="shared" si="15"/>
        <v>3</v>
      </c>
      <c r="BP421" s="23"/>
      <c r="BQ421" s="23"/>
    </row>
    <row r="422" spans="1:69" ht="15.75" customHeight="1">
      <c r="A422" s="10" t="s">
        <v>999</v>
      </c>
      <c r="B422" s="10" t="s">
        <v>1000</v>
      </c>
      <c r="C422" s="11"/>
      <c r="D422" s="11"/>
      <c r="E422" s="33"/>
      <c r="F422" s="33"/>
      <c r="G422" s="11"/>
      <c r="H422" s="11"/>
      <c r="I422" s="11"/>
      <c r="J422" s="11"/>
      <c r="K422" s="11"/>
      <c r="L422" s="11">
        <v>10</v>
      </c>
      <c r="M422" s="11"/>
      <c r="N422" s="33"/>
      <c r="O422" s="11"/>
      <c r="P422" s="11"/>
      <c r="Q422" s="11"/>
      <c r="R422" s="11"/>
      <c r="S422" s="11"/>
      <c r="T422" s="33"/>
      <c r="U422" s="11"/>
      <c r="V422" s="11"/>
      <c r="W422" s="11"/>
      <c r="X422" s="11"/>
      <c r="Y422" s="11"/>
      <c r="Z422" s="11"/>
      <c r="AA422" s="11"/>
      <c r="AB422" s="11"/>
      <c r="AC422" s="11"/>
      <c r="AD422" s="11"/>
      <c r="AE422" s="11"/>
      <c r="AF422" s="11"/>
      <c r="AG422" s="11"/>
      <c r="AH422" s="11"/>
      <c r="AI422" s="11"/>
      <c r="AJ422" s="11"/>
      <c r="AK422" s="11"/>
      <c r="AL422" s="11"/>
      <c r="AM422" s="33"/>
      <c r="AN422" s="11"/>
      <c r="AO422" s="11"/>
      <c r="AP422" s="11"/>
      <c r="AQ422" s="11"/>
      <c r="AR422" s="11"/>
      <c r="AS422" s="11"/>
      <c r="AT422" s="11"/>
      <c r="AU422" s="8">
        <f t="shared" si="12"/>
        <v>10</v>
      </c>
      <c r="AV422" s="11">
        <v>4</v>
      </c>
      <c r="AW422" s="11">
        <v>1</v>
      </c>
      <c r="AX422" s="11">
        <v>3</v>
      </c>
      <c r="AY422" s="11"/>
      <c r="AZ422" s="11">
        <v>1</v>
      </c>
      <c r="BA422" s="11"/>
      <c r="BB422" s="11"/>
      <c r="BC422" s="11"/>
      <c r="BD422" s="11">
        <v>1</v>
      </c>
      <c r="BE422" s="11"/>
      <c r="BF422" s="11"/>
      <c r="BG422" s="11"/>
      <c r="BH422" s="11"/>
      <c r="BI422" s="11"/>
      <c r="BJ422" s="11"/>
      <c r="BK422" s="11"/>
      <c r="BL422" s="11"/>
      <c r="BM422" s="11"/>
      <c r="BN422" s="8">
        <f t="shared" si="11"/>
        <v>10</v>
      </c>
      <c r="BO422" s="24">
        <f t="shared" si="15"/>
        <v>0</v>
      </c>
      <c r="BP422" s="23"/>
      <c r="BQ422" s="23"/>
    </row>
    <row r="423" spans="1:69" ht="15.75" customHeight="1">
      <c r="A423" s="10" t="s">
        <v>1001</v>
      </c>
      <c r="B423" s="10" t="s">
        <v>1002</v>
      </c>
      <c r="C423" s="11"/>
      <c r="D423" s="11"/>
      <c r="E423" s="33"/>
      <c r="F423" s="33"/>
      <c r="G423" s="11"/>
      <c r="H423" s="11"/>
      <c r="I423" s="11"/>
      <c r="J423" s="11"/>
      <c r="K423" s="11"/>
      <c r="L423" s="11">
        <v>10</v>
      </c>
      <c r="M423" s="11"/>
      <c r="N423" s="33"/>
      <c r="O423" s="11"/>
      <c r="P423" s="11"/>
      <c r="Q423" s="11"/>
      <c r="R423" s="11"/>
      <c r="S423" s="11"/>
      <c r="T423" s="33"/>
      <c r="U423" s="11"/>
      <c r="V423" s="11"/>
      <c r="W423" s="11"/>
      <c r="X423" s="11"/>
      <c r="Y423" s="11"/>
      <c r="Z423" s="11"/>
      <c r="AA423" s="11"/>
      <c r="AB423" s="11"/>
      <c r="AC423" s="11"/>
      <c r="AD423" s="11"/>
      <c r="AE423" s="11"/>
      <c r="AF423" s="11"/>
      <c r="AG423" s="11"/>
      <c r="AH423" s="11"/>
      <c r="AI423" s="11"/>
      <c r="AJ423" s="11"/>
      <c r="AK423" s="11"/>
      <c r="AL423" s="11"/>
      <c r="AM423" s="33"/>
      <c r="AN423" s="11"/>
      <c r="AO423" s="11"/>
      <c r="AP423" s="11"/>
      <c r="AQ423" s="11"/>
      <c r="AR423" s="11"/>
      <c r="AS423" s="11"/>
      <c r="AT423" s="11"/>
      <c r="AU423" s="8">
        <f t="shared" si="12"/>
        <v>10</v>
      </c>
      <c r="AV423" s="11">
        <v>4</v>
      </c>
      <c r="AW423" s="11">
        <v>1</v>
      </c>
      <c r="AX423" s="11"/>
      <c r="AY423" s="11"/>
      <c r="AZ423" s="11"/>
      <c r="BA423" s="11">
        <v>2</v>
      </c>
      <c r="BB423" s="11"/>
      <c r="BC423" s="11"/>
      <c r="BD423" s="11">
        <v>1</v>
      </c>
      <c r="BE423" s="11">
        <v>1</v>
      </c>
      <c r="BF423" s="11"/>
      <c r="BG423" s="11"/>
      <c r="BH423" s="11"/>
      <c r="BI423" s="11"/>
      <c r="BJ423" s="11"/>
      <c r="BK423" s="11"/>
      <c r="BL423" s="11"/>
      <c r="BM423" s="11"/>
      <c r="BN423" s="8">
        <f t="shared" si="11"/>
        <v>9</v>
      </c>
      <c r="BO423" s="24">
        <f t="shared" si="15"/>
        <v>1</v>
      </c>
      <c r="BP423" s="23"/>
      <c r="BQ423" s="23"/>
    </row>
    <row r="424" spans="1:69" ht="15.75" customHeight="1">
      <c r="A424" s="10" t="s">
        <v>1003</v>
      </c>
      <c r="B424" s="10" t="s">
        <v>1004</v>
      </c>
      <c r="C424" s="11"/>
      <c r="D424" s="11"/>
      <c r="E424" s="33"/>
      <c r="F424" s="33"/>
      <c r="G424" s="11"/>
      <c r="H424" s="11"/>
      <c r="I424" s="11"/>
      <c r="J424" s="11"/>
      <c r="K424" s="11"/>
      <c r="L424" s="11">
        <v>10</v>
      </c>
      <c r="M424" s="11"/>
      <c r="N424" s="33"/>
      <c r="O424" s="11"/>
      <c r="P424" s="11"/>
      <c r="Q424" s="11"/>
      <c r="R424" s="11"/>
      <c r="S424" s="11"/>
      <c r="T424" s="33"/>
      <c r="U424" s="11"/>
      <c r="V424" s="11"/>
      <c r="W424" s="11"/>
      <c r="X424" s="11"/>
      <c r="Y424" s="11"/>
      <c r="Z424" s="11"/>
      <c r="AA424" s="11"/>
      <c r="AB424" s="11"/>
      <c r="AC424" s="11"/>
      <c r="AD424" s="11"/>
      <c r="AE424" s="11"/>
      <c r="AF424" s="11"/>
      <c r="AG424" s="11"/>
      <c r="AH424" s="11"/>
      <c r="AI424" s="11"/>
      <c r="AJ424" s="11"/>
      <c r="AK424" s="11"/>
      <c r="AL424" s="11"/>
      <c r="AM424" s="33"/>
      <c r="AN424" s="11"/>
      <c r="AO424" s="11"/>
      <c r="AP424" s="11"/>
      <c r="AQ424" s="11"/>
      <c r="AR424" s="11"/>
      <c r="AS424" s="11"/>
      <c r="AT424" s="11"/>
      <c r="AU424" s="8">
        <f t="shared" si="12"/>
        <v>10</v>
      </c>
      <c r="AV424" s="11"/>
      <c r="AW424" s="11">
        <v>1</v>
      </c>
      <c r="AX424" s="11"/>
      <c r="AY424" s="11"/>
      <c r="AZ424" s="11"/>
      <c r="BA424" s="11">
        <v>3</v>
      </c>
      <c r="BB424" s="11"/>
      <c r="BC424" s="11"/>
      <c r="BD424" s="11"/>
      <c r="BE424" s="11"/>
      <c r="BF424" s="11"/>
      <c r="BG424" s="11"/>
      <c r="BH424" s="11"/>
      <c r="BI424" s="11"/>
      <c r="BJ424" s="11"/>
      <c r="BK424" s="11"/>
      <c r="BL424" s="11"/>
      <c r="BM424" s="11"/>
      <c r="BN424" s="8">
        <f t="shared" si="11"/>
        <v>4</v>
      </c>
      <c r="BO424" s="24">
        <f t="shared" si="15"/>
        <v>6</v>
      </c>
      <c r="BP424" s="23"/>
      <c r="BQ424" s="23"/>
    </row>
    <row r="425" spans="1:69" ht="15.75" customHeight="1">
      <c r="A425" s="10" t="s">
        <v>1005</v>
      </c>
      <c r="B425" s="10" t="s">
        <v>1006</v>
      </c>
      <c r="C425" s="11"/>
      <c r="D425" s="11"/>
      <c r="E425" s="33"/>
      <c r="F425" s="33"/>
      <c r="G425" s="11"/>
      <c r="H425" s="11"/>
      <c r="I425" s="11"/>
      <c r="J425" s="11"/>
      <c r="K425" s="11"/>
      <c r="L425" s="11">
        <v>10</v>
      </c>
      <c r="M425" s="11"/>
      <c r="N425" s="33"/>
      <c r="O425" s="11"/>
      <c r="P425" s="11"/>
      <c r="Q425" s="11"/>
      <c r="R425" s="11"/>
      <c r="S425" s="11"/>
      <c r="T425" s="33"/>
      <c r="U425" s="11"/>
      <c r="V425" s="11"/>
      <c r="W425" s="11"/>
      <c r="X425" s="11"/>
      <c r="Y425" s="11"/>
      <c r="Z425" s="11"/>
      <c r="AA425" s="11"/>
      <c r="AB425" s="11"/>
      <c r="AC425" s="11"/>
      <c r="AD425" s="11"/>
      <c r="AE425" s="11"/>
      <c r="AF425" s="11"/>
      <c r="AG425" s="11"/>
      <c r="AH425" s="11"/>
      <c r="AI425" s="11"/>
      <c r="AJ425" s="11"/>
      <c r="AK425" s="11"/>
      <c r="AL425" s="11"/>
      <c r="AM425" s="33"/>
      <c r="AN425" s="11"/>
      <c r="AO425" s="11"/>
      <c r="AP425" s="11"/>
      <c r="AQ425" s="11"/>
      <c r="AR425" s="11"/>
      <c r="AS425" s="11"/>
      <c r="AT425" s="11"/>
      <c r="AU425" s="8">
        <f t="shared" si="12"/>
        <v>10</v>
      </c>
      <c r="AV425" s="11">
        <v>6</v>
      </c>
      <c r="AW425" s="11"/>
      <c r="AX425" s="11">
        <v>1</v>
      </c>
      <c r="AY425" s="11"/>
      <c r="AZ425" s="11"/>
      <c r="BA425" s="11"/>
      <c r="BB425" s="11">
        <v>1</v>
      </c>
      <c r="BC425" s="11"/>
      <c r="BD425" s="11"/>
      <c r="BE425" s="11"/>
      <c r="BF425" s="11"/>
      <c r="BG425" s="11"/>
      <c r="BH425" s="11"/>
      <c r="BI425" s="11"/>
      <c r="BJ425" s="11"/>
      <c r="BK425" s="11"/>
      <c r="BL425" s="11"/>
      <c r="BM425" s="11"/>
      <c r="BN425" s="8">
        <f t="shared" si="11"/>
        <v>8</v>
      </c>
      <c r="BO425" s="24">
        <f t="shared" si="15"/>
        <v>2</v>
      </c>
      <c r="BP425" s="23"/>
      <c r="BQ425" s="23"/>
    </row>
    <row r="426" spans="1:69" ht="15.75" customHeight="1">
      <c r="A426" s="10" t="s">
        <v>1007</v>
      </c>
      <c r="B426" s="10" t="s">
        <v>1008</v>
      </c>
      <c r="C426" s="11"/>
      <c r="D426" s="11"/>
      <c r="E426" s="33"/>
      <c r="F426" s="33"/>
      <c r="G426" s="11"/>
      <c r="H426" s="11"/>
      <c r="I426" s="11"/>
      <c r="J426" s="11"/>
      <c r="K426" s="11"/>
      <c r="L426" s="11">
        <v>10</v>
      </c>
      <c r="M426" s="11"/>
      <c r="N426" s="33"/>
      <c r="O426" s="11"/>
      <c r="P426" s="11"/>
      <c r="Q426" s="11"/>
      <c r="R426" s="11"/>
      <c r="S426" s="11"/>
      <c r="T426" s="33"/>
      <c r="U426" s="11"/>
      <c r="V426" s="11"/>
      <c r="W426" s="11"/>
      <c r="X426" s="11"/>
      <c r="Y426" s="11"/>
      <c r="Z426" s="11"/>
      <c r="AA426" s="11"/>
      <c r="AB426" s="11"/>
      <c r="AC426" s="11"/>
      <c r="AD426" s="11"/>
      <c r="AE426" s="11"/>
      <c r="AF426" s="11"/>
      <c r="AG426" s="11"/>
      <c r="AH426" s="11"/>
      <c r="AI426" s="11"/>
      <c r="AJ426" s="11"/>
      <c r="AK426" s="11"/>
      <c r="AL426" s="11"/>
      <c r="AM426" s="33"/>
      <c r="AN426" s="11"/>
      <c r="AO426" s="11"/>
      <c r="AP426" s="11"/>
      <c r="AQ426" s="11"/>
      <c r="AR426" s="11"/>
      <c r="AS426" s="11"/>
      <c r="AT426" s="11"/>
      <c r="AU426" s="8">
        <f t="shared" si="12"/>
        <v>10</v>
      </c>
      <c r="AV426" s="11">
        <v>4</v>
      </c>
      <c r="AW426" s="11"/>
      <c r="AX426" s="11">
        <v>1</v>
      </c>
      <c r="AY426" s="11"/>
      <c r="AZ426" s="11">
        <v>1</v>
      </c>
      <c r="BA426" s="11"/>
      <c r="BB426" s="11"/>
      <c r="BC426" s="11"/>
      <c r="BD426" s="11"/>
      <c r="BE426" s="11"/>
      <c r="BF426" s="11"/>
      <c r="BG426" s="11"/>
      <c r="BH426" s="11"/>
      <c r="BI426" s="11"/>
      <c r="BJ426" s="11"/>
      <c r="BK426" s="11"/>
      <c r="BL426" s="11"/>
      <c r="BM426" s="11"/>
      <c r="BN426" s="8">
        <f t="shared" si="11"/>
        <v>6</v>
      </c>
      <c r="BO426" s="24">
        <f t="shared" si="15"/>
        <v>4</v>
      </c>
      <c r="BP426" s="23"/>
      <c r="BQ426" s="23"/>
    </row>
    <row r="427" spans="1:69" ht="15.75" customHeight="1">
      <c r="A427" s="10" t="s">
        <v>1009</v>
      </c>
      <c r="B427" s="10" t="s">
        <v>1010</v>
      </c>
      <c r="C427" s="11"/>
      <c r="D427" s="11"/>
      <c r="E427" s="33"/>
      <c r="F427" s="33"/>
      <c r="G427" s="11"/>
      <c r="H427" s="11"/>
      <c r="I427" s="11"/>
      <c r="J427" s="11"/>
      <c r="K427" s="11"/>
      <c r="L427" s="11">
        <v>10</v>
      </c>
      <c r="M427" s="11"/>
      <c r="N427" s="33"/>
      <c r="O427" s="11"/>
      <c r="P427" s="11"/>
      <c r="Q427" s="11"/>
      <c r="R427" s="11"/>
      <c r="S427" s="11"/>
      <c r="T427" s="33"/>
      <c r="U427" s="11"/>
      <c r="V427" s="11"/>
      <c r="W427" s="11"/>
      <c r="X427" s="11"/>
      <c r="Y427" s="11"/>
      <c r="Z427" s="11"/>
      <c r="AA427" s="11"/>
      <c r="AB427" s="11"/>
      <c r="AC427" s="11"/>
      <c r="AD427" s="11"/>
      <c r="AE427" s="11"/>
      <c r="AF427" s="11"/>
      <c r="AG427" s="11"/>
      <c r="AH427" s="11"/>
      <c r="AI427" s="11"/>
      <c r="AJ427" s="11"/>
      <c r="AK427" s="11"/>
      <c r="AL427" s="11"/>
      <c r="AM427" s="33"/>
      <c r="AN427" s="11"/>
      <c r="AO427" s="11"/>
      <c r="AP427" s="11"/>
      <c r="AQ427" s="11"/>
      <c r="AR427" s="11"/>
      <c r="AS427" s="11"/>
      <c r="AT427" s="11"/>
      <c r="AU427" s="8">
        <f t="shared" si="12"/>
        <v>10</v>
      </c>
      <c r="AV427" s="11">
        <v>2</v>
      </c>
      <c r="AW427" s="11"/>
      <c r="AX427" s="11"/>
      <c r="AY427" s="11"/>
      <c r="AZ427" s="11"/>
      <c r="BA427" s="11"/>
      <c r="BB427" s="11"/>
      <c r="BC427" s="11"/>
      <c r="BD427" s="11"/>
      <c r="BE427" s="11"/>
      <c r="BF427" s="11"/>
      <c r="BG427" s="11"/>
      <c r="BH427" s="11"/>
      <c r="BI427" s="11"/>
      <c r="BJ427" s="11"/>
      <c r="BK427" s="11"/>
      <c r="BL427" s="11"/>
      <c r="BM427" s="11"/>
      <c r="BN427" s="8">
        <f t="shared" si="11"/>
        <v>2</v>
      </c>
      <c r="BO427" s="24">
        <f t="shared" si="15"/>
        <v>8</v>
      </c>
      <c r="BP427" s="23"/>
      <c r="BQ427" s="23"/>
    </row>
    <row r="428" spans="1:69" ht="15.75" customHeight="1">
      <c r="A428" s="10" t="s">
        <v>1011</v>
      </c>
      <c r="B428" s="10" t="s">
        <v>1012</v>
      </c>
      <c r="C428" s="11"/>
      <c r="D428" s="11"/>
      <c r="E428" s="33"/>
      <c r="F428" s="33"/>
      <c r="G428" s="11"/>
      <c r="H428" s="11"/>
      <c r="I428" s="11"/>
      <c r="J428" s="11"/>
      <c r="K428" s="11"/>
      <c r="L428" s="11">
        <v>15</v>
      </c>
      <c r="M428" s="11"/>
      <c r="N428" s="33"/>
      <c r="O428" s="11"/>
      <c r="P428" s="11"/>
      <c r="Q428" s="11"/>
      <c r="R428" s="11"/>
      <c r="S428" s="11"/>
      <c r="T428" s="33"/>
      <c r="U428" s="11"/>
      <c r="V428" s="11"/>
      <c r="W428" s="11"/>
      <c r="X428" s="11"/>
      <c r="Y428" s="11"/>
      <c r="Z428" s="11"/>
      <c r="AA428" s="11"/>
      <c r="AB428" s="11"/>
      <c r="AC428" s="11"/>
      <c r="AD428" s="11"/>
      <c r="AE428" s="11"/>
      <c r="AF428" s="11"/>
      <c r="AG428" s="11"/>
      <c r="AH428" s="11"/>
      <c r="AI428" s="11"/>
      <c r="AJ428" s="11"/>
      <c r="AK428" s="11"/>
      <c r="AL428" s="11"/>
      <c r="AM428" s="33"/>
      <c r="AN428" s="11"/>
      <c r="AO428" s="11"/>
      <c r="AP428" s="11"/>
      <c r="AQ428" s="11"/>
      <c r="AR428" s="11"/>
      <c r="AS428" s="11"/>
      <c r="AT428" s="11"/>
      <c r="AU428" s="8">
        <f t="shared" si="12"/>
        <v>15</v>
      </c>
      <c r="AV428" s="11">
        <v>2</v>
      </c>
      <c r="AW428" s="11"/>
      <c r="AX428" s="11"/>
      <c r="AY428" s="11"/>
      <c r="AZ428" s="11">
        <v>3</v>
      </c>
      <c r="BA428" s="11">
        <v>5</v>
      </c>
      <c r="BB428" s="11"/>
      <c r="BC428" s="11"/>
      <c r="BD428" s="11">
        <v>1</v>
      </c>
      <c r="BE428" s="11"/>
      <c r="BF428" s="11"/>
      <c r="BG428" s="11"/>
      <c r="BH428" s="11"/>
      <c r="BI428" s="11"/>
      <c r="BJ428" s="11"/>
      <c r="BK428" s="11"/>
      <c r="BL428" s="11"/>
      <c r="BM428" s="11"/>
      <c r="BN428" s="8">
        <f t="shared" si="11"/>
        <v>11</v>
      </c>
      <c r="BO428" s="24">
        <f t="shared" si="15"/>
        <v>4</v>
      </c>
      <c r="BP428" s="23"/>
      <c r="BQ428" s="23"/>
    </row>
    <row r="429" spans="1:69" ht="15.75" customHeight="1">
      <c r="A429" s="10" t="s">
        <v>1013</v>
      </c>
      <c r="B429" s="10" t="s">
        <v>1014</v>
      </c>
      <c r="C429" s="11"/>
      <c r="D429" s="11"/>
      <c r="E429" s="33"/>
      <c r="F429" s="33"/>
      <c r="G429" s="11"/>
      <c r="H429" s="11"/>
      <c r="I429" s="11"/>
      <c r="J429" s="11"/>
      <c r="K429" s="11"/>
      <c r="L429" s="11">
        <v>15</v>
      </c>
      <c r="M429" s="11"/>
      <c r="N429" s="33"/>
      <c r="O429" s="11"/>
      <c r="P429" s="11"/>
      <c r="Q429" s="11"/>
      <c r="R429" s="11"/>
      <c r="S429" s="11"/>
      <c r="T429" s="33"/>
      <c r="U429" s="11"/>
      <c r="V429" s="11"/>
      <c r="W429" s="11"/>
      <c r="X429" s="11"/>
      <c r="Y429" s="11"/>
      <c r="Z429" s="11"/>
      <c r="AA429" s="11"/>
      <c r="AB429" s="11"/>
      <c r="AC429" s="11"/>
      <c r="AD429" s="11"/>
      <c r="AE429" s="11"/>
      <c r="AF429" s="11"/>
      <c r="AG429" s="11"/>
      <c r="AH429" s="11"/>
      <c r="AI429" s="11"/>
      <c r="AJ429" s="11"/>
      <c r="AK429" s="11"/>
      <c r="AL429" s="11"/>
      <c r="AM429" s="33"/>
      <c r="AN429" s="11"/>
      <c r="AO429" s="11"/>
      <c r="AP429" s="11"/>
      <c r="AQ429" s="11"/>
      <c r="AR429" s="11"/>
      <c r="AS429" s="11"/>
      <c r="AT429" s="11"/>
      <c r="AU429" s="8">
        <f t="shared" si="12"/>
        <v>15</v>
      </c>
      <c r="AV429" s="11">
        <v>1</v>
      </c>
      <c r="AW429" s="11"/>
      <c r="AX429" s="11"/>
      <c r="AY429" s="11">
        <v>1</v>
      </c>
      <c r="AZ429" s="11"/>
      <c r="BA429" s="11"/>
      <c r="BB429" s="11">
        <v>1</v>
      </c>
      <c r="BC429" s="11"/>
      <c r="BD429" s="11">
        <v>2</v>
      </c>
      <c r="BE429" s="11"/>
      <c r="BF429" s="11"/>
      <c r="BG429" s="11"/>
      <c r="BH429" s="11"/>
      <c r="BI429" s="11"/>
      <c r="BJ429" s="11"/>
      <c r="BK429" s="11"/>
      <c r="BL429" s="11"/>
      <c r="BM429" s="11"/>
      <c r="BN429" s="8">
        <f t="shared" si="11"/>
        <v>5</v>
      </c>
      <c r="BO429" s="24">
        <f t="shared" si="15"/>
        <v>10</v>
      </c>
      <c r="BP429" s="23"/>
      <c r="BQ429" s="23"/>
    </row>
    <row r="430" spans="1:69" ht="15.75" customHeight="1">
      <c r="A430" s="10" t="s">
        <v>1015</v>
      </c>
      <c r="B430" s="10" t="s">
        <v>1016</v>
      </c>
      <c r="C430" s="11"/>
      <c r="D430" s="11"/>
      <c r="E430" s="33"/>
      <c r="F430" s="33"/>
      <c r="G430" s="11"/>
      <c r="H430" s="11"/>
      <c r="I430" s="11"/>
      <c r="J430" s="11"/>
      <c r="K430" s="11"/>
      <c r="L430" s="11">
        <v>15</v>
      </c>
      <c r="M430" s="11"/>
      <c r="N430" s="33"/>
      <c r="O430" s="11"/>
      <c r="P430" s="11"/>
      <c r="Q430" s="11"/>
      <c r="R430" s="11"/>
      <c r="S430" s="11"/>
      <c r="T430" s="33"/>
      <c r="U430" s="11"/>
      <c r="V430" s="11"/>
      <c r="W430" s="11"/>
      <c r="X430" s="11"/>
      <c r="Y430" s="11"/>
      <c r="Z430" s="11"/>
      <c r="AA430" s="11"/>
      <c r="AB430" s="11"/>
      <c r="AC430" s="11"/>
      <c r="AD430" s="11"/>
      <c r="AE430" s="11"/>
      <c r="AF430" s="11"/>
      <c r="AG430" s="11"/>
      <c r="AH430" s="11"/>
      <c r="AI430" s="11"/>
      <c r="AJ430" s="11"/>
      <c r="AK430" s="11"/>
      <c r="AL430" s="11"/>
      <c r="AM430" s="33"/>
      <c r="AN430" s="11"/>
      <c r="AO430" s="11"/>
      <c r="AP430" s="11"/>
      <c r="AQ430" s="11"/>
      <c r="AR430" s="11"/>
      <c r="AS430" s="11"/>
      <c r="AT430" s="11"/>
      <c r="AU430" s="8">
        <f t="shared" si="12"/>
        <v>15</v>
      </c>
      <c r="AV430" s="11"/>
      <c r="AW430" s="11"/>
      <c r="AX430" s="11"/>
      <c r="AY430" s="11"/>
      <c r="AZ430" s="11">
        <v>1</v>
      </c>
      <c r="BA430" s="11"/>
      <c r="BB430" s="11">
        <v>2</v>
      </c>
      <c r="BC430" s="11"/>
      <c r="BD430" s="11"/>
      <c r="BE430" s="11">
        <v>1</v>
      </c>
      <c r="BF430" s="11"/>
      <c r="BG430" s="11"/>
      <c r="BH430" s="11"/>
      <c r="BI430" s="11"/>
      <c r="BJ430" s="11"/>
      <c r="BK430" s="11"/>
      <c r="BL430" s="11"/>
      <c r="BM430" s="11"/>
      <c r="BN430" s="8">
        <f t="shared" si="11"/>
        <v>4</v>
      </c>
      <c r="BO430" s="24">
        <f t="shared" si="15"/>
        <v>11</v>
      </c>
      <c r="BP430" s="23"/>
      <c r="BQ430" s="23"/>
    </row>
    <row r="431" spans="1:69" ht="15.75" customHeight="1">
      <c r="A431" s="10" t="s">
        <v>1017</v>
      </c>
      <c r="B431" s="10" t="s">
        <v>1018</v>
      </c>
      <c r="C431" s="11"/>
      <c r="D431" s="11"/>
      <c r="E431" s="33"/>
      <c r="F431" s="33"/>
      <c r="G431" s="11"/>
      <c r="H431" s="11"/>
      <c r="I431" s="11"/>
      <c r="J431" s="11"/>
      <c r="K431" s="11"/>
      <c r="L431" s="11">
        <v>12</v>
      </c>
      <c r="M431" s="11"/>
      <c r="N431" s="33"/>
      <c r="O431" s="11"/>
      <c r="P431" s="11"/>
      <c r="Q431" s="11"/>
      <c r="R431" s="11"/>
      <c r="S431" s="11"/>
      <c r="T431" s="33"/>
      <c r="U431" s="11"/>
      <c r="V431" s="11"/>
      <c r="W431" s="11"/>
      <c r="X431" s="11"/>
      <c r="Y431" s="11"/>
      <c r="Z431" s="11"/>
      <c r="AA431" s="11"/>
      <c r="AB431" s="11"/>
      <c r="AC431" s="11"/>
      <c r="AD431" s="11"/>
      <c r="AE431" s="11"/>
      <c r="AF431" s="11"/>
      <c r="AG431" s="11"/>
      <c r="AH431" s="11"/>
      <c r="AI431" s="11"/>
      <c r="AJ431" s="11"/>
      <c r="AK431" s="11"/>
      <c r="AL431" s="11"/>
      <c r="AM431" s="33"/>
      <c r="AN431" s="11"/>
      <c r="AO431" s="11"/>
      <c r="AP431" s="11"/>
      <c r="AQ431" s="11"/>
      <c r="AR431" s="11"/>
      <c r="AS431" s="11"/>
      <c r="AT431" s="11"/>
      <c r="AU431" s="8">
        <f t="shared" si="12"/>
        <v>12</v>
      </c>
      <c r="AV431" s="11"/>
      <c r="AW431" s="11"/>
      <c r="AX431" s="11">
        <v>1</v>
      </c>
      <c r="AY431" s="11"/>
      <c r="AZ431" s="11"/>
      <c r="BA431" s="11"/>
      <c r="BB431" s="11"/>
      <c r="BC431" s="11"/>
      <c r="BD431" s="11"/>
      <c r="BE431" s="11"/>
      <c r="BF431" s="11"/>
      <c r="BG431" s="11"/>
      <c r="BH431" s="11"/>
      <c r="BI431" s="11"/>
      <c r="BJ431" s="11"/>
      <c r="BK431" s="11"/>
      <c r="BL431" s="11"/>
      <c r="BM431" s="11"/>
      <c r="BN431" s="8">
        <f t="shared" si="11"/>
        <v>1</v>
      </c>
      <c r="BO431" s="24">
        <f t="shared" si="15"/>
        <v>11</v>
      </c>
      <c r="BP431" s="23"/>
      <c r="BQ431" s="23"/>
    </row>
    <row r="432" spans="1:69" ht="15.75" customHeight="1">
      <c r="A432" s="10" t="s">
        <v>1019</v>
      </c>
      <c r="B432" s="10" t="s">
        <v>1020</v>
      </c>
      <c r="C432" s="11"/>
      <c r="D432" s="11"/>
      <c r="E432" s="33"/>
      <c r="F432" s="33"/>
      <c r="G432" s="11"/>
      <c r="H432" s="11"/>
      <c r="I432" s="11"/>
      <c r="J432" s="11"/>
      <c r="K432" s="11"/>
      <c r="L432" s="11">
        <v>12</v>
      </c>
      <c r="M432" s="11"/>
      <c r="N432" s="33"/>
      <c r="O432" s="11"/>
      <c r="P432" s="11"/>
      <c r="Q432" s="11"/>
      <c r="R432" s="11"/>
      <c r="S432" s="11"/>
      <c r="T432" s="33"/>
      <c r="U432" s="11"/>
      <c r="V432" s="11"/>
      <c r="W432" s="11"/>
      <c r="X432" s="11"/>
      <c r="Y432" s="11"/>
      <c r="Z432" s="11"/>
      <c r="AA432" s="11"/>
      <c r="AB432" s="11"/>
      <c r="AC432" s="11"/>
      <c r="AD432" s="11"/>
      <c r="AE432" s="11"/>
      <c r="AF432" s="11"/>
      <c r="AG432" s="11"/>
      <c r="AH432" s="11"/>
      <c r="AI432" s="11"/>
      <c r="AJ432" s="11"/>
      <c r="AK432" s="11"/>
      <c r="AL432" s="11"/>
      <c r="AM432" s="33"/>
      <c r="AN432" s="11"/>
      <c r="AO432" s="11"/>
      <c r="AP432" s="11"/>
      <c r="AQ432" s="11"/>
      <c r="AR432" s="11"/>
      <c r="AS432" s="11"/>
      <c r="AT432" s="11"/>
      <c r="AU432" s="8">
        <f t="shared" si="12"/>
        <v>12</v>
      </c>
      <c r="AV432" s="11"/>
      <c r="AW432" s="11"/>
      <c r="AX432" s="11"/>
      <c r="AY432" s="11"/>
      <c r="AZ432" s="11"/>
      <c r="BA432" s="11"/>
      <c r="BB432" s="11"/>
      <c r="BC432" s="11"/>
      <c r="BD432" s="11">
        <v>1</v>
      </c>
      <c r="BE432" s="11"/>
      <c r="BF432" s="11"/>
      <c r="BG432" s="11"/>
      <c r="BH432" s="11"/>
      <c r="BI432" s="11"/>
      <c r="BJ432" s="11"/>
      <c r="BK432" s="11"/>
      <c r="BL432" s="11"/>
      <c r="BM432" s="11"/>
      <c r="BN432" s="8">
        <f t="shared" si="11"/>
        <v>1</v>
      </c>
      <c r="BO432" s="24">
        <f t="shared" si="15"/>
        <v>11</v>
      </c>
      <c r="BP432" s="23"/>
      <c r="BQ432" s="23"/>
    </row>
    <row r="433" spans="1:69" ht="15.75" customHeight="1">
      <c r="A433" s="10" t="s">
        <v>1021</v>
      </c>
      <c r="B433" s="10" t="s">
        <v>1022</v>
      </c>
      <c r="C433" s="11"/>
      <c r="D433" s="11"/>
      <c r="E433" s="33"/>
      <c r="F433" s="33"/>
      <c r="G433" s="11"/>
      <c r="H433" s="11"/>
      <c r="I433" s="11"/>
      <c r="J433" s="11"/>
      <c r="K433" s="11"/>
      <c r="L433" s="11">
        <v>12</v>
      </c>
      <c r="M433" s="11"/>
      <c r="N433" s="33"/>
      <c r="O433" s="11"/>
      <c r="P433" s="11"/>
      <c r="Q433" s="11"/>
      <c r="R433" s="11"/>
      <c r="S433" s="11"/>
      <c r="T433" s="33"/>
      <c r="U433" s="11"/>
      <c r="V433" s="11"/>
      <c r="W433" s="11"/>
      <c r="X433" s="11"/>
      <c r="Y433" s="11"/>
      <c r="Z433" s="11"/>
      <c r="AA433" s="11"/>
      <c r="AB433" s="11"/>
      <c r="AC433" s="11"/>
      <c r="AD433" s="11"/>
      <c r="AE433" s="11"/>
      <c r="AF433" s="11"/>
      <c r="AG433" s="11"/>
      <c r="AH433" s="11"/>
      <c r="AI433" s="11"/>
      <c r="AJ433" s="11"/>
      <c r="AK433" s="11"/>
      <c r="AL433" s="11"/>
      <c r="AM433" s="33"/>
      <c r="AN433" s="11"/>
      <c r="AO433" s="11"/>
      <c r="AP433" s="11"/>
      <c r="AQ433" s="11"/>
      <c r="AR433" s="11"/>
      <c r="AS433" s="11"/>
      <c r="AT433" s="11"/>
      <c r="AU433" s="8">
        <f t="shared" si="12"/>
        <v>12</v>
      </c>
      <c r="AV433" s="11"/>
      <c r="AW433" s="11"/>
      <c r="AX433" s="11"/>
      <c r="AY433" s="11"/>
      <c r="AZ433" s="11"/>
      <c r="BA433" s="11"/>
      <c r="BB433" s="11"/>
      <c r="BC433" s="11"/>
      <c r="BD433" s="11"/>
      <c r="BE433" s="11"/>
      <c r="BF433" s="11"/>
      <c r="BG433" s="11"/>
      <c r="BH433" s="11"/>
      <c r="BI433" s="11"/>
      <c r="BJ433" s="11"/>
      <c r="BK433" s="11"/>
      <c r="BL433" s="11"/>
      <c r="BM433" s="11"/>
      <c r="BN433" s="8">
        <f t="shared" si="11"/>
        <v>0</v>
      </c>
      <c r="BO433" s="24">
        <f t="shared" si="15"/>
        <v>12</v>
      </c>
      <c r="BP433" s="23"/>
      <c r="BQ433" s="23"/>
    </row>
    <row r="434" spans="1:69" ht="15.75" customHeight="1">
      <c r="A434" s="10" t="s">
        <v>1023</v>
      </c>
      <c r="B434" s="10" t="s">
        <v>1024</v>
      </c>
      <c r="C434" s="11"/>
      <c r="D434" s="11"/>
      <c r="E434" s="33"/>
      <c r="F434" s="33"/>
      <c r="G434" s="11"/>
      <c r="H434" s="11"/>
      <c r="I434" s="11"/>
      <c r="J434" s="11"/>
      <c r="K434" s="11"/>
      <c r="L434" s="11">
        <v>12</v>
      </c>
      <c r="M434" s="11"/>
      <c r="N434" s="33"/>
      <c r="O434" s="11"/>
      <c r="P434" s="11"/>
      <c r="Q434" s="11"/>
      <c r="R434" s="11"/>
      <c r="S434" s="11"/>
      <c r="T434" s="33"/>
      <c r="U434" s="11"/>
      <c r="V434" s="11"/>
      <c r="W434" s="11"/>
      <c r="X434" s="11"/>
      <c r="Y434" s="11"/>
      <c r="Z434" s="11"/>
      <c r="AA434" s="11"/>
      <c r="AB434" s="11"/>
      <c r="AC434" s="11"/>
      <c r="AD434" s="11"/>
      <c r="AE434" s="11"/>
      <c r="AF434" s="11"/>
      <c r="AG434" s="11"/>
      <c r="AH434" s="11"/>
      <c r="AI434" s="11"/>
      <c r="AJ434" s="11"/>
      <c r="AK434" s="11"/>
      <c r="AL434" s="11"/>
      <c r="AM434" s="33"/>
      <c r="AN434" s="11"/>
      <c r="AO434" s="11"/>
      <c r="AP434" s="11"/>
      <c r="AQ434" s="11"/>
      <c r="AR434" s="11"/>
      <c r="AS434" s="11"/>
      <c r="AT434" s="11"/>
      <c r="AU434" s="8">
        <f t="shared" si="12"/>
        <v>12</v>
      </c>
      <c r="AV434" s="11">
        <v>2</v>
      </c>
      <c r="AW434" s="11"/>
      <c r="AX434" s="11"/>
      <c r="AY434" s="11"/>
      <c r="AZ434" s="11">
        <v>1</v>
      </c>
      <c r="BA434" s="11">
        <v>1</v>
      </c>
      <c r="BB434" s="11"/>
      <c r="BC434" s="11"/>
      <c r="BD434" s="11"/>
      <c r="BE434" s="11"/>
      <c r="BF434" s="11"/>
      <c r="BG434" s="11"/>
      <c r="BH434" s="11"/>
      <c r="BI434" s="11"/>
      <c r="BJ434" s="11"/>
      <c r="BK434" s="11"/>
      <c r="BL434" s="11"/>
      <c r="BM434" s="11"/>
      <c r="BN434" s="8">
        <f t="shared" si="11"/>
        <v>4</v>
      </c>
      <c r="BO434" s="24">
        <f t="shared" si="15"/>
        <v>8</v>
      </c>
      <c r="BP434" s="23"/>
      <c r="BQ434" s="23"/>
    </row>
    <row r="435" spans="1:69" ht="15.75" customHeight="1">
      <c r="A435" s="10" t="s">
        <v>1025</v>
      </c>
      <c r="B435" s="10" t="s">
        <v>1026</v>
      </c>
      <c r="C435" s="11"/>
      <c r="D435" s="11"/>
      <c r="E435" s="33"/>
      <c r="F435" s="33"/>
      <c r="G435" s="11"/>
      <c r="H435" s="11"/>
      <c r="I435" s="11"/>
      <c r="J435" s="11"/>
      <c r="K435" s="11"/>
      <c r="L435" s="11">
        <v>12</v>
      </c>
      <c r="M435" s="11"/>
      <c r="N435" s="33"/>
      <c r="O435" s="11"/>
      <c r="P435" s="11"/>
      <c r="Q435" s="11"/>
      <c r="R435" s="11"/>
      <c r="S435" s="11"/>
      <c r="T435" s="33"/>
      <c r="U435" s="11"/>
      <c r="V435" s="11"/>
      <c r="W435" s="11"/>
      <c r="X435" s="11"/>
      <c r="Y435" s="11"/>
      <c r="Z435" s="11"/>
      <c r="AA435" s="11"/>
      <c r="AB435" s="11"/>
      <c r="AC435" s="11"/>
      <c r="AD435" s="11"/>
      <c r="AE435" s="11"/>
      <c r="AF435" s="11"/>
      <c r="AG435" s="11"/>
      <c r="AH435" s="11"/>
      <c r="AI435" s="11"/>
      <c r="AJ435" s="11"/>
      <c r="AK435" s="11"/>
      <c r="AL435" s="11"/>
      <c r="AM435" s="33"/>
      <c r="AN435" s="11"/>
      <c r="AO435" s="11"/>
      <c r="AP435" s="11"/>
      <c r="AQ435" s="11"/>
      <c r="AR435" s="11"/>
      <c r="AS435" s="11"/>
      <c r="AT435" s="11"/>
      <c r="AU435" s="8">
        <f t="shared" si="12"/>
        <v>12</v>
      </c>
      <c r="AV435" s="11">
        <v>3</v>
      </c>
      <c r="AW435" s="11"/>
      <c r="AX435" s="11"/>
      <c r="AY435" s="11"/>
      <c r="AZ435" s="11"/>
      <c r="BA435" s="11">
        <v>1</v>
      </c>
      <c r="BB435" s="11"/>
      <c r="BC435" s="11"/>
      <c r="BD435" s="11"/>
      <c r="BE435" s="11"/>
      <c r="BF435" s="11"/>
      <c r="BG435" s="11"/>
      <c r="BH435" s="11"/>
      <c r="BI435" s="11"/>
      <c r="BJ435" s="11"/>
      <c r="BK435" s="11"/>
      <c r="BL435" s="11"/>
      <c r="BM435" s="11"/>
      <c r="BN435" s="8">
        <f t="shared" si="11"/>
        <v>4</v>
      </c>
      <c r="BO435" s="24">
        <f t="shared" si="15"/>
        <v>8</v>
      </c>
      <c r="BP435" s="23"/>
      <c r="BQ435" s="23"/>
    </row>
    <row r="436" spans="1:69" ht="15.75" customHeight="1">
      <c r="A436" s="10" t="s">
        <v>1027</v>
      </c>
      <c r="B436" s="10" t="s">
        <v>1028</v>
      </c>
      <c r="C436" s="11"/>
      <c r="D436" s="11"/>
      <c r="E436" s="33"/>
      <c r="F436" s="33"/>
      <c r="G436" s="11"/>
      <c r="H436" s="11"/>
      <c r="I436" s="11"/>
      <c r="J436" s="11"/>
      <c r="K436" s="11"/>
      <c r="L436" s="11">
        <v>12</v>
      </c>
      <c r="M436" s="11"/>
      <c r="N436" s="33"/>
      <c r="O436" s="11"/>
      <c r="P436" s="11"/>
      <c r="Q436" s="11"/>
      <c r="R436" s="11"/>
      <c r="S436" s="11"/>
      <c r="T436" s="33"/>
      <c r="U436" s="11"/>
      <c r="V436" s="11"/>
      <c r="W436" s="11"/>
      <c r="X436" s="11"/>
      <c r="Y436" s="11"/>
      <c r="Z436" s="11"/>
      <c r="AA436" s="11"/>
      <c r="AB436" s="11"/>
      <c r="AC436" s="11"/>
      <c r="AD436" s="11"/>
      <c r="AE436" s="11"/>
      <c r="AF436" s="11"/>
      <c r="AG436" s="11"/>
      <c r="AH436" s="11"/>
      <c r="AI436" s="11"/>
      <c r="AJ436" s="11"/>
      <c r="AK436" s="11"/>
      <c r="AL436" s="11"/>
      <c r="AM436" s="33"/>
      <c r="AN436" s="11"/>
      <c r="AO436" s="11"/>
      <c r="AP436" s="11"/>
      <c r="AQ436" s="11"/>
      <c r="AR436" s="11"/>
      <c r="AS436" s="11"/>
      <c r="AT436" s="11"/>
      <c r="AU436" s="8">
        <f t="shared" si="12"/>
        <v>12</v>
      </c>
      <c r="AV436" s="11">
        <v>2</v>
      </c>
      <c r="AW436" s="11"/>
      <c r="AX436" s="11"/>
      <c r="AY436" s="11"/>
      <c r="AZ436" s="11"/>
      <c r="BA436" s="11"/>
      <c r="BB436" s="11"/>
      <c r="BC436" s="11"/>
      <c r="BD436" s="11">
        <v>1</v>
      </c>
      <c r="BE436" s="11"/>
      <c r="BF436" s="11"/>
      <c r="BG436" s="11"/>
      <c r="BH436" s="11"/>
      <c r="BI436" s="11"/>
      <c r="BJ436" s="11"/>
      <c r="BK436" s="11"/>
      <c r="BL436" s="11"/>
      <c r="BM436" s="11"/>
      <c r="BN436" s="8">
        <f t="shared" si="11"/>
        <v>3</v>
      </c>
      <c r="BO436" s="24">
        <f t="shared" si="15"/>
        <v>9</v>
      </c>
      <c r="BP436" s="23"/>
      <c r="BQ436" s="23"/>
    </row>
    <row r="437" spans="1:69" ht="15.75" customHeight="1">
      <c r="A437" s="10"/>
      <c r="B437" s="10"/>
      <c r="C437" s="11"/>
      <c r="D437" s="11"/>
      <c r="E437" s="33"/>
      <c r="F437" s="33"/>
      <c r="G437" s="11"/>
      <c r="H437" s="11"/>
      <c r="I437" s="11"/>
      <c r="J437" s="11"/>
      <c r="K437" s="11"/>
      <c r="L437" s="11"/>
      <c r="M437" s="11"/>
      <c r="N437" s="33"/>
      <c r="O437" s="11"/>
      <c r="P437" s="11"/>
      <c r="Q437" s="11"/>
      <c r="R437" s="11"/>
      <c r="S437" s="11"/>
      <c r="T437" s="33"/>
      <c r="U437" s="11"/>
      <c r="V437" s="11"/>
      <c r="W437" s="11"/>
      <c r="X437" s="11"/>
      <c r="Y437" s="11"/>
      <c r="Z437" s="11"/>
      <c r="AA437" s="11"/>
      <c r="AB437" s="11"/>
      <c r="AC437" s="11"/>
      <c r="AD437" s="11"/>
      <c r="AE437" s="11"/>
      <c r="AF437" s="11"/>
      <c r="AG437" s="11"/>
      <c r="AH437" s="11"/>
      <c r="AI437" s="11"/>
      <c r="AJ437" s="11"/>
      <c r="AK437" s="11"/>
      <c r="AL437" s="11"/>
      <c r="AM437" s="33"/>
      <c r="AN437" s="11"/>
      <c r="AO437" s="11"/>
      <c r="AP437" s="11"/>
      <c r="AQ437" s="11"/>
      <c r="AR437" s="11"/>
      <c r="AS437" s="11"/>
      <c r="AT437" s="11"/>
      <c r="AU437" s="8">
        <f t="shared" si="12"/>
        <v>0</v>
      </c>
      <c r="AV437" s="11"/>
      <c r="AW437" s="11"/>
      <c r="AX437" s="11"/>
      <c r="AY437" s="11"/>
      <c r="AZ437" s="11"/>
      <c r="BA437" s="11"/>
      <c r="BB437" s="11"/>
      <c r="BC437" s="11"/>
      <c r="BD437" s="11"/>
      <c r="BE437" s="11"/>
      <c r="BF437" s="11"/>
      <c r="BG437" s="11"/>
      <c r="BH437" s="11"/>
      <c r="BI437" s="11"/>
      <c r="BJ437" s="11"/>
      <c r="BK437" s="11"/>
      <c r="BL437" s="11"/>
      <c r="BM437" s="11"/>
      <c r="BN437" s="8">
        <f t="shared" si="11"/>
        <v>0</v>
      </c>
      <c r="BO437" s="24">
        <f t="shared" si="15"/>
        <v>0</v>
      </c>
      <c r="BP437" s="23"/>
      <c r="BQ437" s="23"/>
    </row>
    <row r="438" spans="1:69" ht="15.75" customHeight="1">
      <c r="A438" s="10"/>
      <c r="B438" s="10"/>
      <c r="C438" s="11"/>
      <c r="D438" s="11"/>
      <c r="E438" s="33"/>
      <c r="F438" s="33"/>
      <c r="G438" s="11"/>
      <c r="H438" s="11"/>
      <c r="I438" s="11"/>
      <c r="J438" s="11"/>
      <c r="K438" s="11"/>
      <c r="L438" s="11"/>
      <c r="M438" s="11"/>
      <c r="N438" s="33"/>
      <c r="O438" s="11"/>
      <c r="P438" s="11"/>
      <c r="Q438" s="11"/>
      <c r="R438" s="11"/>
      <c r="S438" s="11"/>
      <c r="T438" s="33"/>
      <c r="U438" s="11"/>
      <c r="V438" s="11"/>
      <c r="W438" s="11"/>
      <c r="X438" s="11"/>
      <c r="Y438" s="11"/>
      <c r="Z438" s="11"/>
      <c r="AA438" s="11"/>
      <c r="AB438" s="11"/>
      <c r="AC438" s="11"/>
      <c r="AD438" s="11"/>
      <c r="AE438" s="11"/>
      <c r="AF438" s="11"/>
      <c r="AG438" s="11"/>
      <c r="AH438" s="11"/>
      <c r="AI438" s="11"/>
      <c r="AJ438" s="11"/>
      <c r="AK438" s="11"/>
      <c r="AL438" s="11"/>
      <c r="AM438" s="33"/>
      <c r="AN438" s="11"/>
      <c r="AO438" s="11"/>
      <c r="AP438" s="11"/>
      <c r="AQ438" s="11"/>
      <c r="AR438" s="11"/>
      <c r="AS438" s="11"/>
      <c r="AT438" s="11"/>
      <c r="AU438" s="8">
        <f t="shared" si="12"/>
        <v>0</v>
      </c>
      <c r="AV438" s="11"/>
      <c r="AW438" s="11"/>
      <c r="AX438" s="11"/>
      <c r="AY438" s="11"/>
      <c r="AZ438" s="11"/>
      <c r="BA438" s="11"/>
      <c r="BB438" s="11"/>
      <c r="BC438" s="11"/>
      <c r="BD438" s="11"/>
      <c r="BE438" s="11"/>
      <c r="BF438" s="11"/>
      <c r="BG438" s="11"/>
      <c r="BH438" s="11"/>
      <c r="BI438" s="11"/>
      <c r="BJ438" s="11"/>
      <c r="BK438" s="11"/>
      <c r="BL438" s="11"/>
      <c r="BM438" s="11"/>
      <c r="BN438" s="8">
        <f t="shared" si="11"/>
        <v>0</v>
      </c>
      <c r="BO438" s="24">
        <f t="shared" si="15"/>
        <v>0</v>
      </c>
      <c r="BP438" s="23"/>
      <c r="BQ438" s="23"/>
    </row>
    <row r="439" spans="1:69" ht="15.75" customHeight="1">
      <c r="A439" s="6"/>
      <c r="B439" s="6"/>
      <c r="C439" s="13"/>
      <c r="D439" s="13"/>
      <c r="E439" s="34"/>
      <c r="F439" s="34"/>
      <c r="G439" s="13"/>
      <c r="H439" s="13"/>
      <c r="I439" s="13"/>
      <c r="J439" s="13"/>
      <c r="K439" s="13"/>
      <c r="L439" s="13"/>
      <c r="M439" s="13"/>
      <c r="N439" s="35"/>
      <c r="O439" s="9"/>
      <c r="P439" s="9"/>
      <c r="Q439" s="9"/>
      <c r="R439" s="9"/>
      <c r="S439" s="9"/>
      <c r="T439" s="35"/>
      <c r="U439" s="9"/>
      <c r="V439" s="9"/>
      <c r="W439" s="9"/>
      <c r="X439" s="9"/>
      <c r="Y439" s="9"/>
      <c r="Z439" s="9"/>
      <c r="AA439" s="9"/>
      <c r="AB439" s="9"/>
      <c r="AC439" s="9"/>
      <c r="AD439" s="9"/>
      <c r="AE439" s="9"/>
      <c r="AF439" s="9"/>
      <c r="AG439" s="9"/>
      <c r="AH439" s="9"/>
      <c r="AI439" s="9"/>
      <c r="AJ439" s="9"/>
      <c r="AK439" s="9"/>
      <c r="AL439" s="9"/>
      <c r="AM439" s="35"/>
      <c r="AN439" s="9"/>
      <c r="AO439" s="9"/>
      <c r="AP439" s="9"/>
      <c r="AQ439" s="9"/>
      <c r="AR439" s="9"/>
      <c r="AS439" s="9"/>
      <c r="AT439" s="9"/>
      <c r="AU439" s="8">
        <f t="shared" si="12"/>
        <v>0</v>
      </c>
      <c r="AV439" s="13"/>
      <c r="AW439" s="13"/>
      <c r="AX439" s="13"/>
      <c r="AY439" s="13"/>
      <c r="AZ439" s="13"/>
      <c r="BA439" s="13"/>
      <c r="BB439" s="13"/>
      <c r="BC439" s="13"/>
      <c r="BD439" s="13"/>
      <c r="BE439" s="13"/>
      <c r="BF439" s="13"/>
      <c r="BG439" s="9"/>
      <c r="BH439" s="9"/>
      <c r="BI439" s="9"/>
      <c r="BJ439" s="9"/>
      <c r="BK439" s="9"/>
      <c r="BL439" s="9"/>
      <c r="BM439" s="9"/>
      <c r="BN439" s="8">
        <f t="shared" si="11"/>
        <v>0</v>
      </c>
      <c r="BO439" s="24">
        <f t="shared" si="15"/>
        <v>0</v>
      </c>
      <c r="BP439" s="23"/>
      <c r="BQ439" s="23"/>
    </row>
    <row r="440" spans="1:69" ht="15.75" customHeight="1">
      <c r="A440" s="12"/>
      <c r="B440" s="6"/>
      <c r="C440" s="14">
        <f t="shared" ref="C440:AH440" si="16">SUM(C4:C439)</f>
        <v>244</v>
      </c>
      <c r="D440" s="14">
        <f t="shared" si="16"/>
        <v>12</v>
      </c>
      <c r="E440" s="36">
        <f t="shared" si="16"/>
        <v>-22</v>
      </c>
      <c r="F440" s="36">
        <f t="shared" si="16"/>
        <v>-1</v>
      </c>
      <c r="G440" s="14">
        <f t="shared" si="16"/>
        <v>21</v>
      </c>
      <c r="H440" s="14">
        <f t="shared" si="16"/>
        <v>7</v>
      </c>
      <c r="I440" s="14">
        <f t="shared" si="16"/>
        <v>24</v>
      </c>
      <c r="J440" s="14">
        <f t="shared" si="16"/>
        <v>14</v>
      </c>
      <c r="K440" s="14">
        <f t="shared" si="16"/>
        <v>26</v>
      </c>
      <c r="L440" s="14">
        <f t="shared" si="16"/>
        <v>177</v>
      </c>
      <c r="M440" s="14">
        <f t="shared" si="16"/>
        <v>1</v>
      </c>
      <c r="N440" s="36">
        <f t="shared" si="16"/>
        <v>-3</v>
      </c>
      <c r="O440" s="14">
        <f t="shared" si="16"/>
        <v>10</v>
      </c>
      <c r="P440" s="14">
        <f t="shared" si="16"/>
        <v>74</v>
      </c>
      <c r="Q440" s="14">
        <f t="shared" si="16"/>
        <v>189</v>
      </c>
      <c r="R440" s="14">
        <f t="shared" si="16"/>
        <v>24</v>
      </c>
      <c r="S440" s="14">
        <f t="shared" si="16"/>
        <v>33</v>
      </c>
      <c r="T440" s="36">
        <f t="shared" si="16"/>
        <v>-2</v>
      </c>
      <c r="U440" s="14">
        <f t="shared" si="16"/>
        <v>132</v>
      </c>
      <c r="V440" s="14">
        <f t="shared" si="16"/>
        <v>12</v>
      </c>
      <c r="W440" s="14">
        <f t="shared" si="16"/>
        <v>27</v>
      </c>
      <c r="X440" s="14">
        <f t="shared" si="16"/>
        <v>14</v>
      </c>
      <c r="Y440" s="14">
        <f t="shared" si="16"/>
        <v>26</v>
      </c>
      <c r="Z440" s="14">
        <f t="shared" si="16"/>
        <v>19</v>
      </c>
      <c r="AA440" s="14">
        <f t="shared" si="16"/>
        <v>36</v>
      </c>
      <c r="AB440" s="14">
        <f t="shared" si="16"/>
        <v>67</v>
      </c>
      <c r="AC440" s="14">
        <f t="shared" si="16"/>
        <v>51</v>
      </c>
      <c r="AD440" s="14">
        <f t="shared" si="16"/>
        <v>11</v>
      </c>
      <c r="AE440" s="14">
        <f t="shared" si="16"/>
        <v>58</v>
      </c>
      <c r="AF440" s="14">
        <f t="shared" si="16"/>
        <v>12</v>
      </c>
      <c r="AG440" s="14">
        <f t="shared" si="16"/>
        <v>13</v>
      </c>
      <c r="AH440" s="14">
        <f t="shared" si="16"/>
        <v>35</v>
      </c>
      <c r="AI440" s="14">
        <f t="shared" ref="AI440:BN440" si="17">SUM(AI4:AI439)</f>
        <v>56</v>
      </c>
      <c r="AJ440" s="14">
        <f t="shared" si="17"/>
        <v>45</v>
      </c>
      <c r="AK440" s="14">
        <f t="shared" si="17"/>
        <v>16</v>
      </c>
      <c r="AL440" s="14">
        <f t="shared" si="17"/>
        <v>18</v>
      </c>
      <c r="AM440" s="36">
        <f t="shared" si="17"/>
        <v>-13</v>
      </c>
      <c r="AN440" s="14">
        <f t="shared" si="17"/>
        <v>19</v>
      </c>
      <c r="AO440" s="14">
        <f t="shared" si="17"/>
        <v>1</v>
      </c>
      <c r="AP440" s="14">
        <f t="shared" si="17"/>
        <v>37</v>
      </c>
      <c r="AQ440" s="14">
        <f t="shared" si="17"/>
        <v>53</v>
      </c>
      <c r="AR440" s="14">
        <f t="shared" si="17"/>
        <v>27</v>
      </c>
      <c r="AS440" s="14">
        <f t="shared" si="17"/>
        <v>-24</v>
      </c>
      <c r="AT440" s="14">
        <f t="shared" si="17"/>
        <v>23</v>
      </c>
      <c r="AU440" s="14">
        <f t="shared" si="17"/>
        <v>1599</v>
      </c>
      <c r="AV440" s="14">
        <f t="shared" si="17"/>
        <v>335</v>
      </c>
      <c r="AW440" s="14">
        <f t="shared" si="17"/>
        <v>79</v>
      </c>
      <c r="AX440" s="14">
        <f t="shared" si="17"/>
        <v>68</v>
      </c>
      <c r="AY440" s="14">
        <f t="shared" si="17"/>
        <v>77</v>
      </c>
      <c r="AZ440" s="14">
        <f t="shared" si="17"/>
        <v>81</v>
      </c>
      <c r="BA440" s="14">
        <f t="shared" si="17"/>
        <v>115</v>
      </c>
      <c r="BB440" s="14">
        <f t="shared" si="17"/>
        <v>98</v>
      </c>
      <c r="BC440" s="14">
        <f t="shared" si="17"/>
        <v>31</v>
      </c>
      <c r="BD440" s="14">
        <f t="shared" si="17"/>
        <v>112</v>
      </c>
      <c r="BE440" s="14">
        <f t="shared" si="17"/>
        <v>53</v>
      </c>
      <c r="BF440" s="14">
        <f t="shared" si="17"/>
        <v>0</v>
      </c>
      <c r="BG440" s="14">
        <f t="shared" si="17"/>
        <v>0</v>
      </c>
      <c r="BH440" s="14">
        <f t="shared" si="17"/>
        <v>0</v>
      </c>
      <c r="BI440" s="14">
        <f t="shared" si="17"/>
        <v>0</v>
      </c>
      <c r="BJ440" s="14">
        <f t="shared" si="17"/>
        <v>0</v>
      </c>
      <c r="BK440" s="14">
        <f t="shared" si="17"/>
        <v>0</v>
      </c>
      <c r="BL440" s="14">
        <f t="shared" si="17"/>
        <v>0</v>
      </c>
      <c r="BM440" s="14">
        <f t="shared" si="17"/>
        <v>0</v>
      </c>
      <c r="BN440" s="14">
        <f t="shared" si="17"/>
        <v>1048</v>
      </c>
      <c r="BO440" s="37">
        <f t="shared" ref="BO440" si="18">SUM(BO4:BO439)</f>
        <v>551</v>
      </c>
      <c r="BP440" s="23"/>
      <c r="BQ440" s="23"/>
    </row>
    <row r="441" spans="1:69" ht="15.75" customHeight="1">
      <c r="C441" s="4"/>
      <c r="D441" s="4"/>
      <c r="E441" s="38"/>
      <c r="F441" s="38"/>
      <c r="G441" s="4"/>
      <c r="H441" s="4"/>
      <c r="I441" s="4"/>
      <c r="J441" s="4"/>
      <c r="K441" s="4"/>
      <c r="L441" s="4"/>
      <c r="M441" s="4"/>
      <c r="N441" s="38"/>
      <c r="O441" s="4"/>
      <c r="P441" s="4"/>
      <c r="Q441" s="4"/>
      <c r="R441" s="4"/>
      <c r="S441" s="4"/>
      <c r="T441" s="38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38"/>
      <c r="AN441" s="4"/>
      <c r="AO441" s="4"/>
      <c r="AP441" s="4"/>
      <c r="AQ441" s="4"/>
      <c r="AR441" s="4"/>
      <c r="AS441" s="4"/>
      <c r="AT441" s="4"/>
      <c r="AU441" s="4"/>
      <c r="AV441" s="4"/>
      <c r="AW441" s="4"/>
      <c r="AX441" s="4"/>
      <c r="AY441" s="4"/>
      <c r="AZ441" s="4"/>
      <c r="BA441" s="4"/>
      <c r="BB441" s="4"/>
      <c r="BC441" s="4"/>
      <c r="BD441" s="4"/>
      <c r="BE441" s="4"/>
      <c r="BF441" s="4"/>
      <c r="BG441" s="4"/>
      <c r="BH441" s="4"/>
      <c r="BI441" s="4"/>
      <c r="BJ441" s="4"/>
      <c r="BK441" s="4"/>
      <c r="BL441" s="4"/>
      <c r="BM441" s="4"/>
      <c r="BN441" s="4"/>
      <c r="BO441" s="4"/>
      <c r="BP441" s="39"/>
      <c r="BQ441" s="39"/>
    </row>
    <row r="442" spans="1:69" ht="15.75" customHeight="1">
      <c r="C442" s="4"/>
      <c r="D442" s="4"/>
      <c r="E442" s="38"/>
      <c r="F442" s="38"/>
      <c r="G442" s="4"/>
      <c r="H442" s="4"/>
      <c r="I442" s="4"/>
      <c r="J442" s="4"/>
      <c r="K442" s="4"/>
      <c r="L442" s="4"/>
      <c r="M442" s="4"/>
      <c r="N442" s="38"/>
      <c r="O442" s="4"/>
      <c r="P442" s="4"/>
      <c r="Q442" s="4"/>
      <c r="R442" s="4"/>
      <c r="S442" s="4"/>
      <c r="T442" s="38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38"/>
      <c r="AN442" s="4"/>
      <c r="AO442" s="4"/>
      <c r="AP442" s="4"/>
      <c r="AQ442" s="4"/>
      <c r="AR442" s="4"/>
      <c r="AS442" s="4"/>
      <c r="AT442" s="4"/>
      <c r="AU442" s="4"/>
      <c r="AV442" s="4"/>
      <c r="AW442" s="4"/>
      <c r="AX442" s="4"/>
      <c r="AY442" s="15"/>
      <c r="AZ442" s="4"/>
      <c r="BA442" s="4"/>
      <c r="BB442" s="4"/>
      <c r="BC442" s="4"/>
      <c r="BD442" s="4"/>
      <c r="BE442" s="4"/>
      <c r="BF442" s="4"/>
      <c r="BG442" s="4"/>
      <c r="BH442" s="4"/>
      <c r="BI442" s="4"/>
      <c r="BJ442" s="4"/>
      <c r="BK442" s="4"/>
      <c r="BL442" s="4"/>
      <c r="BM442" s="4"/>
      <c r="BN442" s="4"/>
      <c r="BO442" s="4"/>
      <c r="BP442" s="39"/>
      <c r="BQ442" s="39"/>
    </row>
    <row r="443" spans="1:69" ht="15.75" customHeight="1">
      <c r="C443" s="4"/>
      <c r="D443" s="4"/>
      <c r="E443" s="38"/>
      <c r="F443" s="38"/>
      <c r="G443" s="4"/>
      <c r="H443" s="4"/>
      <c r="I443" s="4"/>
      <c r="J443" s="4"/>
      <c r="K443" s="4"/>
      <c r="L443" s="4"/>
      <c r="M443" s="4"/>
      <c r="N443" s="38"/>
      <c r="O443" s="4"/>
      <c r="P443" s="4"/>
      <c r="Q443" s="4"/>
      <c r="R443" s="4"/>
      <c r="S443" s="4"/>
      <c r="T443" s="38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38"/>
      <c r="AN443" s="4"/>
      <c r="AO443" s="4"/>
      <c r="AP443" s="4"/>
      <c r="AQ443" s="4"/>
      <c r="AR443" s="4"/>
      <c r="AS443" s="4"/>
      <c r="AT443" s="4"/>
      <c r="AU443" s="4"/>
      <c r="AV443" s="4"/>
      <c r="AW443" s="4"/>
      <c r="AX443" s="4"/>
      <c r="AY443" s="4"/>
      <c r="AZ443" s="4"/>
      <c r="BA443" s="4"/>
      <c r="BB443" s="4"/>
      <c r="BC443" s="4"/>
      <c r="BD443" s="4"/>
      <c r="BE443" s="4"/>
      <c r="BF443" s="4"/>
      <c r="BG443" s="4"/>
      <c r="BH443" s="4"/>
      <c r="BI443" s="4"/>
      <c r="BJ443" s="4"/>
      <c r="BK443" s="4"/>
      <c r="BL443" s="4"/>
      <c r="BM443" s="4"/>
      <c r="BN443" s="4"/>
      <c r="BO443" s="4"/>
      <c r="BP443" s="39"/>
      <c r="BQ443" s="39"/>
    </row>
    <row r="444" spans="1:69" ht="15.75" customHeight="1">
      <c r="C444" s="4"/>
      <c r="D444" s="4"/>
      <c r="E444" s="38"/>
      <c r="F444" s="38"/>
      <c r="G444" s="4"/>
      <c r="H444" s="4"/>
      <c r="I444" s="4"/>
      <c r="J444" s="4"/>
      <c r="K444" s="4"/>
      <c r="L444" s="4"/>
      <c r="M444" s="4"/>
      <c r="N444" s="38"/>
      <c r="O444" s="4"/>
      <c r="P444" s="4"/>
      <c r="Q444" s="4"/>
      <c r="R444" s="4"/>
      <c r="S444" s="4"/>
      <c r="T444" s="38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38"/>
      <c r="AN444" s="4"/>
      <c r="AO444" s="4"/>
      <c r="AP444" s="4"/>
      <c r="AQ444" s="4"/>
      <c r="AR444" s="4"/>
      <c r="AS444" s="4"/>
      <c r="AT444" s="4"/>
      <c r="AU444" s="4"/>
      <c r="AV444" s="4"/>
      <c r="AW444" s="4"/>
      <c r="AX444" s="4"/>
      <c r="AY444" s="4"/>
      <c r="AZ444" s="4"/>
      <c r="BA444" s="4"/>
      <c r="BB444" s="4"/>
      <c r="BC444" s="4"/>
      <c r="BD444" s="4"/>
      <c r="BE444" s="4"/>
      <c r="BF444" s="4"/>
      <c r="BG444" s="4"/>
      <c r="BH444" s="4"/>
      <c r="BI444" s="4"/>
      <c r="BJ444" s="4"/>
      <c r="BK444" s="4"/>
      <c r="BL444" s="4"/>
      <c r="BM444" s="4"/>
      <c r="BN444" s="4"/>
      <c r="BO444" s="4"/>
      <c r="BP444" s="39"/>
      <c r="BQ444" s="39"/>
    </row>
    <row r="445" spans="1:69" ht="15.75" customHeight="1">
      <c r="C445" s="4"/>
      <c r="D445" s="4"/>
      <c r="E445" s="38"/>
      <c r="F445" s="38"/>
      <c r="G445" s="4"/>
      <c r="H445" s="4"/>
      <c r="I445" s="4"/>
      <c r="J445" s="4"/>
      <c r="K445" s="4"/>
      <c r="L445" s="4"/>
      <c r="M445" s="4"/>
      <c r="N445" s="38"/>
      <c r="O445" s="4"/>
      <c r="P445" s="4"/>
      <c r="Q445" s="4"/>
      <c r="R445" s="4"/>
      <c r="S445" s="4"/>
      <c r="T445" s="38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38"/>
      <c r="AN445" s="4"/>
      <c r="AO445" s="4"/>
      <c r="AP445" s="4"/>
      <c r="AQ445" s="4"/>
      <c r="AR445" s="4"/>
      <c r="AS445" s="4"/>
      <c r="AT445" s="4"/>
      <c r="AU445" s="4"/>
      <c r="AV445" s="4"/>
      <c r="AW445" s="4"/>
      <c r="AX445" s="4"/>
      <c r="AY445" s="4"/>
      <c r="AZ445" s="4"/>
      <c r="BA445" s="4"/>
      <c r="BB445" s="4"/>
      <c r="BC445" s="4"/>
      <c r="BD445" s="4"/>
      <c r="BE445" s="4"/>
      <c r="BF445" s="4"/>
      <c r="BG445" s="4"/>
      <c r="BH445" s="4"/>
      <c r="BI445" s="4"/>
      <c r="BJ445" s="4"/>
      <c r="BK445" s="4"/>
      <c r="BL445" s="4"/>
      <c r="BM445" s="4"/>
      <c r="BN445" s="4"/>
      <c r="BO445" s="4"/>
      <c r="BP445" s="39"/>
      <c r="BQ445" s="39"/>
    </row>
    <row r="446" spans="1:69" ht="15.75" customHeight="1">
      <c r="C446" s="4"/>
      <c r="D446" s="4"/>
      <c r="E446" s="38"/>
      <c r="F446" s="38"/>
      <c r="G446" s="4"/>
      <c r="H446" s="4"/>
      <c r="I446" s="4"/>
      <c r="J446" s="4"/>
      <c r="K446" s="4"/>
      <c r="L446" s="4"/>
      <c r="M446" s="4"/>
      <c r="N446" s="38"/>
      <c r="O446" s="4"/>
      <c r="P446" s="4"/>
      <c r="Q446" s="4"/>
      <c r="R446" s="4"/>
      <c r="S446" s="4"/>
      <c r="T446" s="38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38"/>
      <c r="AN446" s="4"/>
      <c r="AO446" s="4"/>
      <c r="AP446" s="4"/>
      <c r="AQ446" s="4"/>
      <c r="AR446" s="4"/>
      <c r="AS446" s="4"/>
      <c r="AT446" s="4"/>
      <c r="AU446" s="4"/>
      <c r="AV446" s="4"/>
      <c r="AW446" s="4"/>
      <c r="AX446" s="4"/>
      <c r="AY446" s="4"/>
      <c r="AZ446" s="4"/>
      <c r="BA446" s="4"/>
      <c r="BB446" s="4"/>
      <c r="BC446" s="4"/>
      <c r="BD446" s="4"/>
      <c r="BE446" s="4"/>
      <c r="BF446" s="4"/>
      <c r="BG446" s="4"/>
      <c r="BH446" s="4"/>
      <c r="BI446" s="4"/>
      <c r="BJ446" s="4"/>
      <c r="BK446" s="4"/>
      <c r="BL446" s="4"/>
      <c r="BM446" s="4"/>
      <c r="BN446" s="4"/>
      <c r="BO446" s="4"/>
      <c r="BP446" s="39"/>
      <c r="BQ446" s="39"/>
    </row>
    <row r="447" spans="1:69" ht="15.75" customHeight="1">
      <c r="C447" s="4"/>
      <c r="D447" s="4"/>
      <c r="E447" s="38"/>
      <c r="F447" s="38"/>
      <c r="G447" s="4"/>
      <c r="H447" s="4"/>
      <c r="I447" s="4"/>
      <c r="J447" s="4"/>
      <c r="K447" s="4"/>
      <c r="L447" s="4"/>
      <c r="M447" s="4"/>
      <c r="N447" s="38"/>
      <c r="O447" s="4"/>
      <c r="P447" s="4"/>
      <c r="Q447" s="4"/>
      <c r="R447" s="4"/>
      <c r="S447" s="4"/>
      <c r="T447" s="38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38"/>
      <c r="AN447" s="4"/>
      <c r="AO447" s="4"/>
      <c r="AP447" s="4"/>
      <c r="AQ447" s="4"/>
      <c r="AR447" s="4"/>
      <c r="AS447" s="4"/>
      <c r="AT447" s="4"/>
      <c r="AU447" s="4"/>
      <c r="AV447" s="4"/>
      <c r="AW447" s="4"/>
      <c r="AX447" s="4"/>
      <c r="AY447" s="4"/>
      <c r="AZ447" s="4"/>
      <c r="BA447" s="4"/>
      <c r="BB447" s="4"/>
      <c r="BC447" s="4"/>
      <c r="BD447" s="4"/>
      <c r="BE447" s="4"/>
      <c r="BF447" s="4"/>
      <c r="BG447" s="4"/>
      <c r="BH447" s="4"/>
      <c r="BI447" s="4"/>
      <c r="BJ447" s="4"/>
      <c r="BK447" s="4"/>
      <c r="BL447" s="4"/>
      <c r="BM447" s="4"/>
      <c r="BN447" s="4"/>
      <c r="BO447" s="4"/>
      <c r="BP447" s="39"/>
      <c r="BQ447" s="39"/>
    </row>
    <row r="448" spans="1:69" ht="15.75" customHeight="1">
      <c r="C448" s="4"/>
      <c r="D448" s="4"/>
      <c r="E448" s="38"/>
      <c r="F448" s="38"/>
      <c r="G448" s="4"/>
      <c r="H448" s="4"/>
      <c r="I448" s="4"/>
      <c r="J448" s="4"/>
      <c r="K448" s="4"/>
      <c r="L448" s="4"/>
      <c r="M448" s="4"/>
      <c r="N448" s="38"/>
      <c r="O448" s="4"/>
      <c r="P448" s="4"/>
      <c r="Q448" s="4"/>
      <c r="R448" s="4"/>
      <c r="S448" s="4"/>
      <c r="T448" s="38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38"/>
      <c r="AN448" s="4"/>
      <c r="AO448" s="4"/>
      <c r="AP448" s="4"/>
      <c r="AQ448" s="4"/>
      <c r="AR448" s="4"/>
      <c r="AS448" s="4"/>
      <c r="AT448" s="4"/>
      <c r="AU448" s="4"/>
      <c r="AV448" s="4"/>
      <c r="AW448" s="4"/>
      <c r="AX448" s="4"/>
      <c r="AY448" s="4"/>
      <c r="AZ448" s="4"/>
      <c r="BA448" s="4"/>
      <c r="BB448" s="4"/>
      <c r="BC448" s="4"/>
      <c r="BD448" s="4"/>
      <c r="BE448" s="4"/>
      <c r="BF448" s="4"/>
      <c r="BG448" s="4"/>
      <c r="BH448" s="4"/>
      <c r="BI448" s="4"/>
      <c r="BJ448" s="4"/>
      <c r="BK448" s="4"/>
      <c r="BL448" s="4"/>
      <c r="BM448" s="4"/>
      <c r="BN448" s="4"/>
      <c r="BO448" s="4"/>
      <c r="BP448" s="39"/>
      <c r="BQ448" s="39"/>
    </row>
    <row r="449" spans="3:69" ht="15.75" customHeight="1">
      <c r="C449" s="4"/>
      <c r="D449" s="4"/>
      <c r="E449" s="38"/>
      <c r="F449" s="38"/>
      <c r="G449" s="4"/>
      <c r="H449" s="4"/>
      <c r="I449" s="4"/>
      <c r="J449" s="4"/>
      <c r="K449" s="4"/>
      <c r="L449" s="4"/>
      <c r="M449" s="4"/>
      <c r="N449" s="38"/>
      <c r="O449" s="4"/>
      <c r="P449" s="4"/>
      <c r="Q449" s="4"/>
      <c r="R449" s="4"/>
      <c r="S449" s="4"/>
      <c r="T449" s="38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38"/>
      <c r="AN449" s="4"/>
      <c r="AO449" s="4"/>
      <c r="AP449" s="4"/>
      <c r="AQ449" s="4"/>
      <c r="AR449" s="4"/>
      <c r="AS449" s="4"/>
      <c r="AT449" s="4"/>
      <c r="AU449" s="4"/>
      <c r="AV449" s="4"/>
      <c r="AW449" s="4"/>
      <c r="AX449" s="4"/>
      <c r="AY449" s="4"/>
      <c r="AZ449" s="4"/>
      <c r="BA449" s="4"/>
      <c r="BB449" s="4"/>
      <c r="BC449" s="4"/>
      <c r="BD449" s="4"/>
      <c r="BE449" s="4"/>
      <c r="BF449" s="4"/>
      <c r="BG449" s="4"/>
      <c r="BH449" s="4"/>
      <c r="BI449" s="4"/>
      <c r="BJ449" s="4"/>
      <c r="BK449" s="4"/>
      <c r="BL449" s="4"/>
      <c r="BM449" s="4"/>
      <c r="BN449" s="4"/>
      <c r="BO449" s="4"/>
      <c r="BP449" s="39"/>
      <c r="BQ449" s="39"/>
    </row>
    <row r="450" spans="3:69" ht="15.75" customHeight="1">
      <c r="C450" s="4"/>
      <c r="D450" s="4"/>
      <c r="E450" s="38"/>
      <c r="F450" s="38"/>
      <c r="G450" s="4"/>
      <c r="H450" s="4"/>
      <c r="I450" s="4"/>
      <c r="J450" s="4"/>
      <c r="K450" s="4"/>
      <c r="L450" s="4"/>
      <c r="M450" s="4"/>
      <c r="N450" s="38"/>
      <c r="O450" s="4"/>
      <c r="P450" s="4"/>
      <c r="Q450" s="4"/>
      <c r="R450" s="4"/>
      <c r="S450" s="4"/>
      <c r="T450" s="38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38"/>
      <c r="AN450" s="4"/>
      <c r="AO450" s="4"/>
      <c r="AP450" s="4"/>
      <c r="AQ450" s="4"/>
      <c r="AR450" s="4"/>
      <c r="AS450" s="4"/>
      <c r="AT450" s="4"/>
      <c r="AU450" s="4"/>
      <c r="AV450" s="4"/>
      <c r="AW450" s="4"/>
      <c r="AX450" s="4"/>
      <c r="AY450" s="4"/>
      <c r="AZ450" s="4"/>
      <c r="BA450" s="4"/>
      <c r="BB450" s="4"/>
      <c r="BC450" s="4"/>
      <c r="BD450" s="4"/>
      <c r="BE450" s="4"/>
      <c r="BF450" s="4"/>
      <c r="BG450" s="4"/>
      <c r="BH450" s="4"/>
      <c r="BI450" s="4"/>
      <c r="BJ450" s="4"/>
      <c r="BK450" s="4"/>
      <c r="BL450" s="4"/>
      <c r="BM450" s="4"/>
      <c r="BN450" s="4"/>
      <c r="BO450" s="4"/>
      <c r="BP450" s="39"/>
      <c r="BQ450" s="39"/>
    </row>
    <row r="451" spans="3:69" ht="15.75" customHeight="1">
      <c r="C451" s="4"/>
      <c r="D451" s="4"/>
      <c r="E451" s="38"/>
      <c r="F451" s="38"/>
      <c r="G451" s="4"/>
      <c r="H451" s="4"/>
      <c r="I451" s="4"/>
      <c r="J451" s="4"/>
      <c r="K451" s="4"/>
      <c r="L451" s="4"/>
      <c r="M451" s="4"/>
      <c r="N451" s="38"/>
      <c r="O451" s="4"/>
      <c r="P451" s="4"/>
      <c r="Q451" s="4"/>
      <c r="R451" s="4"/>
      <c r="S451" s="4"/>
      <c r="T451" s="38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38"/>
      <c r="AN451" s="4"/>
      <c r="AO451" s="4"/>
      <c r="AP451" s="4"/>
      <c r="AQ451" s="4"/>
      <c r="AR451" s="4"/>
      <c r="AS451" s="4"/>
      <c r="AT451" s="4"/>
      <c r="AU451" s="4"/>
      <c r="AV451" s="4"/>
      <c r="AW451" s="4"/>
      <c r="AX451" s="4"/>
      <c r="AY451" s="4"/>
      <c r="AZ451" s="4"/>
      <c r="BA451" s="4"/>
      <c r="BB451" s="4"/>
      <c r="BC451" s="4"/>
      <c r="BD451" s="4"/>
      <c r="BE451" s="4"/>
      <c r="BF451" s="4"/>
      <c r="BG451" s="4"/>
      <c r="BH451" s="4"/>
      <c r="BI451" s="4"/>
      <c r="BJ451" s="4"/>
      <c r="BK451" s="4"/>
      <c r="BL451" s="4"/>
      <c r="BM451" s="4"/>
      <c r="BN451" s="4"/>
      <c r="BO451" s="4"/>
      <c r="BP451" s="39"/>
      <c r="BQ451" s="39"/>
    </row>
    <row r="452" spans="3:69" ht="15.75" customHeight="1">
      <c r="C452" s="4"/>
      <c r="D452" s="4"/>
      <c r="E452" s="38"/>
      <c r="F452" s="38"/>
      <c r="G452" s="4"/>
      <c r="H452" s="4"/>
      <c r="I452" s="4"/>
      <c r="J452" s="4"/>
      <c r="K452" s="4"/>
      <c r="L452" s="4"/>
      <c r="M452" s="4"/>
      <c r="N452" s="38"/>
      <c r="O452" s="4"/>
      <c r="P452" s="4"/>
      <c r="Q452" s="4"/>
      <c r="R452" s="4"/>
      <c r="S452" s="4"/>
      <c r="T452" s="38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38"/>
      <c r="AN452" s="4"/>
      <c r="AO452" s="4"/>
      <c r="AP452" s="4"/>
      <c r="AQ452" s="4"/>
      <c r="AR452" s="4"/>
      <c r="AS452" s="4"/>
      <c r="AT452" s="4"/>
      <c r="AU452" s="4"/>
      <c r="AV452" s="4"/>
      <c r="AW452" s="4"/>
      <c r="AX452" s="4"/>
      <c r="AY452" s="4"/>
      <c r="AZ452" s="4"/>
      <c r="BA452" s="4"/>
      <c r="BB452" s="4"/>
      <c r="BC452" s="4"/>
      <c r="BD452" s="4"/>
      <c r="BE452" s="4"/>
      <c r="BF452" s="4"/>
      <c r="BG452" s="4"/>
      <c r="BH452" s="4"/>
      <c r="BI452" s="4"/>
      <c r="BJ452" s="4"/>
      <c r="BK452" s="4"/>
      <c r="BL452" s="4"/>
      <c r="BM452" s="4"/>
      <c r="BN452" s="4"/>
      <c r="BO452" s="4"/>
      <c r="BP452" s="39"/>
      <c r="BQ452" s="39"/>
    </row>
    <row r="453" spans="3:69" ht="15.75" customHeight="1">
      <c r="C453" s="4"/>
      <c r="D453" s="4"/>
      <c r="E453" s="38"/>
      <c r="F453" s="38"/>
      <c r="G453" s="4"/>
      <c r="H453" s="4"/>
      <c r="I453" s="4"/>
      <c r="J453" s="4"/>
      <c r="K453" s="4"/>
      <c r="L453" s="4"/>
      <c r="M453" s="4"/>
      <c r="N453" s="38"/>
      <c r="O453" s="4"/>
      <c r="P453" s="4"/>
      <c r="Q453" s="4"/>
      <c r="R453" s="4"/>
      <c r="S453" s="4"/>
      <c r="T453" s="38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38"/>
      <c r="AN453" s="4"/>
      <c r="AO453" s="4"/>
      <c r="AP453" s="4"/>
      <c r="AQ453" s="4"/>
      <c r="AR453" s="4"/>
      <c r="AS453" s="4"/>
      <c r="AT453" s="4"/>
      <c r="AU453" s="4"/>
      <c r="AV453" s="4"/>
      <c r="AW453" s="4"/>
      <c r="AX453" s="4"/>
      <c r="AY453" s="4"/>
      <c r="AZ453" s="4"/>
      <c r="BA453" s="4"/>
      <c r="BB453" s="4"/>
      <c r="BC453" s="4"/>
      <c r="BD453" s="4"/>
      <c r="BE453" s="4"/>
      <c r="BF453" s="4"/>
      <c r="BG453" s="4"/>
      <c r="BH453" s="4"/>
      <c r="BI453" s="4"/>
      <c r="BJ453" s="4"/>
      <c r="BK453" s="4"/>
      <c r="BL453" s="4"/>
      <c r="BM453" s="4"/>
      <c r="BN453" s="4"/>
      <c r="BO453" s="4"/>
      <c r="BP453" s="39"/>
      <c r="BQ453" s="39"/>
    </row>
    <row r="454" spans="3:69" ht="15.75" customHeight="1">
      <c r="C454" s="4"/>
      <c r="D454" s="4"/>
      <c r="E454" s="38"/>
      <c r="F454" s="38"/>
      <c r="G454" s="4"/>
      <c r="H454" s="4"/>
      <c r="I454" s="4"/>
      <c r="J454" s="4"/>
      <c r="K454" s="4"/>
      <c r="L454" s="4"/>
      <c r="M454" s="4"/>
      <c r="N454" s="38"/>
      <c r="O454" s="4"/>
      <c r="P454" s="4"/>
      <c r="Q454" s="4"/>
      <c r="R454" s="4"/>
      <c r="S454" s="4"/>
      <c r="T454" s="38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38"/>
      <c r="AN454" s="4"/>
      <c r="AO454" s="4"/>
      <c r="AP454" s="4"/>
      <c r="AQ454" s="4"/>
      <c r="AR454" s="4"/>
      <c r="AS454" s="4"/>
      <c r="AT454" s="4"/>
      <c r="AU454" s="4"/>
      <c r="AV454" s="4"/>
      <c r="AW454" s="4"/>
      <c r="AX454" s="4"/>
      <c r="AY454" s="4"/>
      <c r="AZ454" s="4"/>
      <c r="BA454" s="4"/>
      <c r="BB454" s="4"/>
      <c r="BC454" s="4"/>
      <c r="BD454" s="4"/>
      <c r="BE454" s="4"/>
      <c r="BF454" s="4"/>
      <c r="BG454" s="4"/>
      <c r="BH454" s="4"/>
      <c r="BI454" s="4"/>
      <c r="BJ454" s="4"/>
      <c r="BK454" s="4"/>
      <c r="BL454" s="4"/>
      <c r="BM454" s="4"/>
      <c r="BN454" s="4"/>
      <c r="BO454" s="4"/>
      <c r="BP454" s="39"/>
      <c r="BQ454" s="39"/>
    </row>
    <row r="455" spans="3:69" ht="15.75" customHeight="1">
      <c r="C455" s="4"/>
      <c r="D455" s="4"/>
      <c r="E455" s="38"/>
      <c r="F455" s="38"/>
      <c r="G455" s="4"/>
      <c r="H455" s="4"/>
      <c r="I455" s="4"/>
      <c r="J455" s="4"/>
      <c r="K455" s="4"/>
      <c r="L455" s="4"/>
      <c r="M455" s="4"/>
      <c r="N455" s="38"/>
      <c r="O455" s="4"/>
      <c r="P455" s="4"/>
      <c r="Q455" s="4"/>
      <c r="R455" s="4"/>
      <c r="S455" s="4"/>
      <c r="T455" s="38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38"/>
      <c r="AN455" s="4"/>
      <c r="AO455" s="4"/>
      <c r="AP455" s="4"/>
      <c r="AQ455" s="4"/>
      <c r="AR455" s="4"/>
      <c r="AS455" s="4"/>
      <c r="AT455" s="4"/>
      <c r="AU455" s="4"/>
      <c r="AV455" s="4"/>
      <c r="AW455" s="4"/>
      <c r="AX455" s="4"/>
      <c r="AY455" s="4"/>
      <c r="AZ455" s="4"/>
      <c r="BA455" s="4"/>
      <c r="BB455" s="4"/>
      <c r="BC455" s="4"/>
      <c r="BD455" s="4"/>
      <c r="BE455" s="4"/>
      <c r="BF455" s="4"/>
      <c r="BG455" s="4"/>
      <c r="BH455" s="4"/>
      <c r="BI455" s="4"/>
      <c r="BJ455" s="4"/>
      <c r="BK455" s="4"/>
      <c r="BL455" s="4"/>
      <c r="BM455" s="4"/>
      <c r="BN455" s="4"/>
      <c r="BO455" s="4"/>
      <c r="BP455" s="39"/>
      <c r="BQ455" s="39"/>
    </row>
    <row r="456" spans="3:69" ht="15.75" customHeight="1">
      <c r="C456" s="4"/>
      <c r="D456" s="4"/>
      <c r="E456" s="38"/>
      <c r="F456" s="38"/>
      <c r="G456" s="4"/>
      <c r="H456" s="4"/>
      <c r="I456" s="4"/>
      <c r="J456" s="4"/>
      <c r="K456" s="4"/>
      <c r="L456" s="4"/>
      <c r="M456" s="4"/>
      <c r="N456" s="38"/>
      <c r="O456" s="4"/>
      <c r="P456" s="4"/>
      <c r="Q456" s="4"/>
      <c r="R456" s="4"/>
      <c r="S456" s="4"/>
      <c r="T456" s="38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38"/>
      <c r="AN456" s="4"/>
      <c r="AO456" s="4"/>
      <c r="AP456" s="4"/>
      <c r="AQ456" s="4"/>
      <c r="AR456" s="4"/>
      <c r="AS456" s="4"/>
      <c r="AT456" s="4"/>
      <c r="AU456" s="4"/>
      <c r="AV456" s="4"/>
      <c r="AW456" s="4"/>
      <c r="AX456" s="4"/>
      <c r="AY456" s="4"/>
      <c r="AZ456" s="4"/>
      <c r="BA456" s="4"/>
      <c r="BB456" s="4"/>
      <c r="BC456" s="4"/>
      <c r="BD456" s="4"/>
      <c r="BE456" s="4"/>
      <c r="BF456" s="4"/>
      <c r="BG456" s="4"/>
      <c r="BH456" s="4"/>
      <c r="BI456" s="4"/>
      <c r="BJ456" s="4"/>
      <c r="BK456" s="4"/>
      <c r="BL456" s="4"/>
      <c r="BM456" s="4"/>
      <c r="BN456" s="4"/>
      <c r="BO456" s="4"/>
      <c r="BP456" s="39"/>
      <c r="BQ456" s="39"/>
    </row>
    <row r="457" spans="3:69" ht="15.75" customHeight="1">
      <c r="C457" s="4"/>
      <c r="D457" s="4"/>
      <c r="E457" s="38"/>
      <c r="F457" s="38"/>
      <c r="G457" s="4"/>
      <c r="H457" s="4"/>
      <c r="I457" s="4"/>
      <c r="J457" s="4"/>
      <c r="K457" s="4"/>
      <c r="L457" s="4"/>
      <c r="M457" s="4"/>
      <c r="N457" s="38"/>
      <c r="O457" s="4"/>
      <c r="P457" s="4"/>
      <c r="Q457" s="4"/>
      <c r="R457" s="4"/>
      <c r="S457" s="4"/>
      <c r="T457" s="38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38"/>
      <c r="AN457" s="4"/>
      <c r="AO457" s="4"/>
      <c r="AP457" s="4"/>
      <c r="AQ457" s="4"/>
      <c r="AR457" s="4"/>
      <c r="AS457" s="4"/>
      <c r="AT457" s="4"/>
      <c r="AU457" s="4"/>
      <c r="AV457" s="4"/>
      <c r="AW457" s="4"/>
      <c r="AX457" s="4"/>
      <c r="AY457" s="4"/>
      <c r="AZ457" s="4"/>
      <c r="BA457" s="4"/>
      <c r="BB457" s="4"/>
      <c r="BC457" s="4"/>
      <c r="BD457" s="4"/>
      <c r="BE457" s="4"/>
      <c r="BF457" s="4"/>
      <c r="BG457" s="4"/>
      <c r="BH457" s="4"/>
      <c r="BI457" s="4"/>
      <c r="BJ457" s="4"/>
      <c r="BK457" s="4"/>
      <c r="BL457" s="4"/>
      <c r="BM457" s="4"/>
      <c r="BN457" s="4"/>
      <c r="BO457" s="4"/>
      <c r="BP457" s="39"/>
      <c r="BQ457" s="39"/>
    </row>
    <row r="458" spans="3:69" ht="15.75" customHeight="1">
      <c r="C458" s="4"/>
      <c r="D458" s="4"/>
      <c r="E458" s="38"/>
      <c r="F458" s="38"/>
      <c r="G458" s="4"/>
      <c r="H458" s="4"/>
      <c r="I458" s="4"/>
      <c r="J458" s="4"/>
      <c r="K458" s="4"/>
      <c r="L458" s="4"/>
      <c r="M458" s="4"/>
      <c r="N458" s="38"/>
      <c r="O458" s="4"/>
      <c r="P458" s="4"/>
      <c r="Q458" s="4"/>
      <c r="R458" s="4"/>
      <c r="S458" s="4"/>
      <c r="T458" s="38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38"/>
      <c r="AN458" s="4"/>
      <c r="AO458" s="4"/>
      <c r="AP458" s="4"/>
      <c r="AQ458" s="4"/>
      <c r="AR458" s="4"/>
      <c r="AS458" s="4"/>
      <c r="AT458" s="4"/>
      <c r="AU458" s="4"/>
      <c r="AV458" s="4"/>
      <c r="AW458" s="4"/>
      <c r="AX458" s="4"/>
      <c r="AY458" s="4"/>
      <c r="AZ458" s="4"/>
      <c r="BA458" s="4"/>
      <c r="BB458" s="4"/>
      <c r="BC458" s="4"/>
      <c r="BD458" s="4"/>
      <c r="BE458" s="4"/>
      <c r="BF458" s="4"/>
      <c r="BG458" s="4"/>
      <c r="BH458" s="4"/>
      <c r="BI458" s="4"/>
      <c r="BJ458" s="4"/>
      <c r="BK458" s="4"/>
      <c r="BL458" s="4"/>
      <c r="BM458" s="4"/>
      <c r="BN458" s="4"/>
      <c r="BO458" s="4"/>
      <c r="BP458" s="39"/>
      <c r="BQ458" s="39"/>
    </row>
    <row r="459" spans="3:69" ht="15.75" customHeight="1">
      <c r="C459" s="4"/>
      <c r="D459" s="4"/>
      <c r="E459" s="38"/>
      <c r="F459" s="38"/>
      <c r="G459" s="4"/>
      <c r="H459" s="4"/>
      <c r="I459" s="4"/>
      <c r="J459" s="4"/>
      <c r="K459" s="4"/>
      <c r="L459" s="4"/>
      <c r="M459" s="4"/>
      <c r="N459" s="38"/>
      <c r="O459" s="4"/>
      <c r="P459" s="4"/>
      <c r="Q459" s="4"/>
      <c r="R459" s="4"/>
      <c r="S459" s="4"/>
      <c r="T459" s="38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38"/>
      <c r="AN459" s="4"/>
      <c r="AO459" s="4"/>
      <c r="AP459" s="4"/>
      <c r="AQ459" s="4"/>
      <c r="AR459" s="4"/>
      <c r="AS459" s="4"/>
      <c r="AT459" s="4"/>
      <c r="AU459" s="4"/>
      <c r="AV459" s="4"/>
      <c r="AW459" s="4"/>
      <c r="AX459" s="4"/>
      <c r="AY459" s="4"/>
      <c r="AZ459" s="4"/>
      <c r="BA459" s="4"/>
      <c r="BB459" s="4"/>
      <c r="BC459" s="4"/>
      <c r="BD459" s="4"/>
      <c r="BE459" s="4"/>
      <c r="BF459" s="4"/>
      <c r="BG459" s="4"/>
      <c r="BH459" s="4"/>
      <c r="BI459" s="4"/>
      <c r="BJ459" s="4"/>
      <c r="BK459" s="4"/>
      <c r="BL459" s="4"/>
      <c r="BM459" s="4"/>
      <c r="BN459" s="4"/>
      <c r="BO459" s="4"/>
      <c r="BP459" s="39"/>
      <c r="BQ459" s="39"/>
    </row>
    <row r="460" spans="3:69" ht="15.75" customHeight="1">
      <c r="C460" s="4"/>
      <c r="D460" s="4"/>
      <c r="E460" s="38"/>
      <c r="F460" s="38"/>
      <c r="G460" s="4"/>
      <c r="H460" s="4"/>
      <c r="I460" s="4"/>
      <c r="J460" s="4"/>
      <c r="K460" s="4"/>
      <c r="L460" s="4"/>
      <c r="M460" s="4"/>
      <c r="N460" s="38"/>
      <c r="O460" s="4"/>
      <c r="P460" s="4"/>
      <c r="Q460" s="4"/>
      <c r="R460" s="4"/>
      <c r="S460" s="4"/>
      <c r="T460" s="38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38"/>
      <c r="AN460" s="4"/>
      <c r="AO460" s="4"/>
      <c r="AP460" s="4"/>
      <c r="AQ460" s="4"/>
      <c r="AR460" s="4"/>
      <c r="AS460" s="4"/>
      <c r="AT460" s="4"/>
      <c r="AU460" s="4"/>
      <c r="AV460" s="4"/>
      <c r="AW460" s="4"/>
      <c r="AX460" s="4"/>
      <c r="AY460" s="4"/>
      <c r="AZ460" s="4"/>
      <c r="BA460" s="4"/>
      <c r="BB460" s="4"/>
      <c r="BC460" s="4"/>
      <c r="BD460" s="4"/>
      <c r="BE460" s="4"/>
      <c r="BF460" s="4"/>
      <c r="BG460" s="4"/>
      <c r="BH460" s="4"/>
      <c r="BI460" s="4"/>
      <c r="BJ460" s="4"/>
      <c r="BK460" s="4"/>
      <c r="BL460" s="4"/>
      <c r="BM460" s="4"/>
      <c r="BN460" s="4"/>
      <c r="BO460" s="4"/>
      <c r="BP460" s="39"/>
      <c r="BQ460" s="39"/>
    </row>
    <row r="461" spans="3:69" ht="15.75" customHeight="1">
      <c r="C461" s="4"/>
      <c r="D461" s="4"/>
      <c r="E461" s="38"/>
      <c r="F461" s="38"/>
      <c r="G461" s="4"/>
      <c r="H461" s="4"/>
      <c r="I461" s="4"/>
      <c r="J461" s="4"/>
      <c r="K461" s="4"/>
      <c r="L461" s="4"/>
      <c r="M461" s="4"/>
      <c r="N461" s="38"/>
      <c r="O461" s="4"/>
      <c r="P461" s="4"/>
      <c r="Q461" s="4"/>
      <c r="R461" s="4"/>
      <c r="S461" s="4"/>
      <c r="T461" s="38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38"/>
      <c r="AN461" s="4"/>
      <c r="AO461" s="4"/>
      <c r="AP461" s="4"/>
      <c r="AQ461" s="4"/>
      <c r="AR461" s="4"/>
      <c r="AS461" s="4"/>
      <c r="AT461" s="4"/>
      <c r="AU461" s="4"/>
      <c r="AV461" s="4"/>
      <c r="AW461" s="4"/>
      <c r="AX461" s="4"/>
      <c r="AY461" s="4"/>
      <c r="AZ461" s="4"/>
      <c r="BA461" s="4"/>
      <c r="BB461" s="4"/>
      <c r="BC461" s="4"/>
      <c r="BD461" s="4"/>
      <c r="BE461" s="4"/>
      <c r="BF461" s="4"/>
      <c r="BG461" s="4"/>
      <c r="BH461" s="4"/>
      <c r="BI461" s="4"/>
      <c r="BJ461" s="4"/>
      <c r="BK461" s="4"/>
      <c r="BL461" s="4"/>
      <c r="BM461" s="4"/>
      <c r="BN461" s="4"/>
      <c r="BO461" s="4"/>
      <c r="BP461" s="39"/>
      <c r="BQ461" s="39"/>
    </row>
    <row r="462" spans="3:69" ht="15.75" customHeight="1">
      <c r="C462" s="4"/>
      <c r="D462" s="4"/>
      <c r="E462" s="38"/>
      <c r="F462" s="38"/>
      <c r="G462" s="4"/>
      <c r="H462" s="4"/>
      <c r="I462" s="4"/>
      <c r="J462" s="4"/>
      <c r="K462" s="4"/>
      <c r="L462" s="4"/>
      <c r="M462" s="4"/>
      <c r="N462" s="38"/>
      <c r="O462" s="4"/>
      <c r="P462" s="4"/>
      <c r="Q462" s="4"/>
      <c r="R462" s="4"/>
      <c r="S462" s="4"/>
      <c r="T462" s="38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38"/>
      <c r="AN462" s="4"/>
      <c r="AO462" s="4"/>
      <c r="AP462" s="4"/>
      <c r="AQ462" s="4"/>
      <c r="AR462" s="4"/>
      <c r="AS462" s="4"/>
      <c r="AT462" s="4"/>
      <c r="AU462" s="4"/>
      <c r="AV462" s="4"/>
      <c r="AW462" s="4"/>
      <c r="AX462" s="4"/>
      <c r="AY462" s="4"/>
      <c r="AZ462" s="4"/>
      <c r="BA462" s="4"/>
      <c r="BB462" s="4"/>
      <c r="BC462" s="4"/>
      <c r="BD462" s="4"/>
      <c r="BE462" s="4"/>
      <c r="BF462" s="4"/>
      <c r="BG462" s="4"/>
      <c r="BH462" s="4"/>
      <c r="BI462" s="4"/>
      <c r="BJ462" s="4"/>
      <c r="BK462" s="4"/>
      <c r="BL462" s="4"/>
      <c r="BM462" s="4"/>
      <c r="BN462" s="4"/>
      <c r="BO462" s="4"/>
      <c r="BP462" s="39"/>
      <c r="BQ462" s="39"/>
    </row>
    <row r="463" spans="3:69" ht="15.75" customHeight="1">
      <c r="C463" s="4"/>
      <c r="D463" s="4"/>
      <c r="E463" s="38"/>
      <c r="F463" s="38"/>
      <c r="G463" s="4"/>
      <c r="H463" s="4"/>
      <c r="I463" s="4"/>
      <c r="J463" s="4"/>
      <c r="K463" s="4"/>
      <c r="L463" s="4"/>
      <c r="M463" s="4"/>
      <c r="N463" s="38"/>
      <c r="O463" s="4"/>
      <c r="P463" s="4"/>
      <c r="Q463" s="4"/>
      <c r="R463" s="4"/>
      <c r="S463" s="4"/>
      <c r="T463" s="38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38"/>
      <c r="AN463" s="4"/>
      <c r="AO463" s="4"/>
      <c r="AP463" s="4"/>
      <c r="AQ463" s="4"/>
      <c r="AR463" s="4"/>
      <c r="AS463" s="4"/>
      <c r="AT463" s="4"/>
      <c r="AU463" s="4"/>
      <c r="AV463" s="4"/>
      <c r="AW463" s="4"/>
      <c r="AX463" s="4"/>
      <c r="AY463" s="4"/>
      <c r="AZ463" s="4"/>
      <c r="BA463" s="4"/>
      <c r="BB463" s="4"/>
      <c r="BC463" s="4"/>
      <c r="BD463" s="4"/>
      <c r="BE463" s="4"/>
      <c r="BF463" s="4"/>
      <c r="BG463" s="4"/>
      <c r="BH463" s="4"/>
      <c r="BI463" s="4"/>
      <c r="BJ463" s="4"/>
      <c r="BK463" s="4"/>
      <c r="BL463" s="4"/>
      <c r="BM463" s="4"/>
      <c r="BN463" s="4"/>
      <c r="BO463" s="4"/>
      <c r="BP463" s="39"/>
      <c r="BQ463" s="39"/>
    </row>
    <row r="464" spans="3:69" ht="15.75" customHeight="1">
      <c r="C464" s="4"/>
      <c r="D464" s="4"/>
      <c r="E464" s="38"/>
      <c r="F464" s="38"/>
      <c r="G464" s="4"/>
      <c r="H464" s="4"/>
      <c r="I464" s="4"/>
      <c r="J464" s="4"/>
      <c r="K464" s="4"/>
      <c r="L464" s="4"/>
      <c r="M464" s="4"/>
      <c r="N464" s="38"/>
      <c r="O464" s="4"/>
      <c r="P464" s="4"/>
      <c r="Q464" s="4"/>
      <c r="R464" s="4"/>
      <c r="S464" s="4"/>
      <c r="T464" s="38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38"/>
      <c r="AN464" s="4"/>
      <c r="AO464" s="4"/>
      <c r="AP464" s="4"/>
      <c r="AQ464" s="4"/>
      <c r="AR464" s="4"/>
      <c r="AS464" s="4"/>
      <c r="AT464" s="4"/>
      <c r="AU464" s="4"/>
      <c r="AV464" s="4"/>
      <c r="AW464" s="4"/>
      <c r="AX464" s="4"/>
      <c r="AY464" s="4"/>
      <c r="AZ464" s="4"/>
      <c r="BA464" s="4"/>
      <c r="BB464" s="4"/>
      <c r="BC464" s="4"/>
      <c r="BD464" s="4"/>
      <c r="BE464" s="4"/>
      <c r="BF464" s="4"/>
      <c r="BG464" s="4"/>
      <c r="BH464" s="4"/>
      <c r="BI464" s="4"/>
      <c r="BJ464" s="4"/>
      <c r="BK464" s="4"/>
      <c r="BL464" s="4"/>
      <c r="BM464" s="4"/>
      <c r="BN464" s="4"/>
      <c r="BO464" s="4"/>
      <c r="BP464" s="39"/>
      <c r="BQ464" s="39"/>
    </row>
    <row r="465" spans="3:69" ht="15.75" customHeight="1">
      <c r="C465" s="4"/>
      <c r="D465" s="4"/>
      <c r="E465" s="38"/>
      <c r="F465" s="38"/>
      <c r="G465" s="4"/>
      <c r="H465" s="4"/>
      <c r="I465" s="4"/>
      <c r="J465" s="4"/>
      <c r="K465" s="4"/>
      <c r="L465" s="4"/>
      <c r="M465" s="4"/>
      <c r="N465" s="38"/>
      <c r="O465" s="4"/>
      <c r="P465" s="4"/>
      <c r="Q465" s="4"/>
      <c r="R465" s="4"/>
      <c r="S465" s="4"/>
      <c r="T465" s="38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38"/>
      <c r="AN465" s="4"/>
      <c r="AO465" s="4"/>
      <c r="AP465" s="4"/>
      <c r="AQ465" s="4"/>
      <c r="AR465" s="4"/>
      <c r="AS465" s="4"/>
      <c r="AT465" s="4"/>
      <c r="AU465" s="4"/>
      <c r="AV465" s="4"/>
      <c r="AW465" s="4"/>
      <c r="AX465" s="4"/>
      <c r="AY465" s="4"/>
      <c r="AZ465" s="4"/>
      <c r="BA465" s="4"/>
      <c r="BB465" s="4"/>
      <c r="BC465" s="4"/>
      <c r="BD465" s="4"/>
      <c r="BE465" s="4"/>
      <c r="BF465" s="4"/>
      <c r="BG465" s="4"/>
      <c r="BH465" s="4"/>
      <c r="BI465" s="4"/>
      <c r="BJ465" s="4"/>
      <c r="BK465" s="4"/>
      <c r="BL465" s="4"/>
      <c r="BM465" s="4"/>
      <c r="BN465" s="4"/>
      <c r="BO465" s="4"/>
      <c r="BP465" s="39"/>
      <c r="BQ465" s="39"/>
    </row>
    <row r="466" spans="3:69" ht="15.75" customHeight="1">
      <c r="C466" s="4"/>
      <c r="D466" s="4"/>
      <c r="E466" s="38"/>
      <c r="F466" s="38"/>
      <c r="G466" s="4"/>
      <c r="H466" s="4"/>
      <c r="I466" s="4"/>
      <c r="J466" s="4"/>
      <c r="K466" s="4"/>
      <c r="L466" s="4"/>
      <c r="M466" s="4"/>
      <c r="N466" s="38"/>
      <c r="O466" s="4"/>
      <c r="P466" s="4"/>
      <c r="Q466" s="4"/>
      <c r="R466" s="4"/>
      <c r="S466" s="4"/>
      <c r="T466" s="38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38"/>
      <c r="AN466" s="4"/>
      <c r="AO466" s="4"/>
      <c r="AP466" s="4"/>
      <c r="AQ466" s="4"/>
      <c r="AR466" s="4"/>
      <c r="AS466" s="4"/>
      <c r="AT466" s="4"/>
      <c r="AU466" s="4"/>
      <c r="AV466" s="4"/>
      <c r="AW466" s="4"/>
      <c r="AX466" s="4"/>
      <c r="AY466" s="4"/>
      <c r="AZ466" s="4"/>
      <c r="BA466" s="4"/>
      <c r="BB466" s="4"/>
      <c r="BC466" s="4"/>
      <c r="BD466" s="4"/>
      <c r="BE466" s="4"/>
      <c r="BF466" s="4"/>
      <c r="BG466" s="4"/>
      <c r="BH466" s="4"/>
      <c r="BI466" s="4"/>
      <c r="BJ466" s="4"/>
      <c r="BK466" s="4"/>
      <c r="BL466" s="4"/>
      <c r="BM466" s="4"/>
      <c r="BN466" s="4"/>
      <c r="BO466" s="4"/>
      <c r="BP466" s="39"/>
      <c r="BQ466" s="39"/>
    </row>
    <row r="467" spans="3:69" ht="15.75" customHeight="1">
      <c r="C467" s="4"/>
      <c r="D467" s="4"/>
      <c r="E467" s="38"/>
      <c r="F467" s="38"/>
      <c r="G467" s="4"/>
      <c r="H467" s="4"/>
      <c r="I467" s="4"/>
      <c r="J467" s="4"/>
      <c r="K467" s="4"/>
      <c r="L467" s="4"/>
      <c r="M467" s="4"/>
      <c r="N467" s="38"/>
      <c r="O467" s="4"/>
      <c r="P467" s="4"/>
      <c r="Q467" s="4"/>
      <c r="R467" s="4"/>
      <c r="S467" s="4"/>
      <c r="T467" s="38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38"/>
      <c r="AN467" s="4"/>
      <c r="AO467" s="4"/>
      <c r="AP467" s="4"/>
      <c r="AQ467" s="4"/>
      <c r="AR467" s="4"/>
      <c r="AS467" s="4"/>
      <c r="AT467" s="4"/>
      <c r="AU467" s="4"/>
      <c r="AV467" s="4"/>
      <c r="AW467" s="4"/>
      <c r="AX467" s="4"/>
      <c r="AY467" s="4"/>
      <c r="AZ467" s="4"/>
      <c r="BA467" s="4"/>
      <c r="BB467" s="4"/>
      <c r="BC467" s="4"/>
      <c r="BD467" s="4"/>
      <c r="BE467" s="4"/>
      <c r="BF467" s="4"/>
      <c r="BG467" s="4"/>
      <c r="BH467" s="4"/>
      <c r="BI467" s="4"/>
      <c r="BJ467" s="4"/>
      <c r="BK467" s="4"/>
      <c r="BL467" s="4"/>
      <c r="BM467" s="4"/>
      <c r="BN467" s="4"/>
      <c r="BO467" s="4"/>
      <c r="BP467" s="39"/>
      <c r="BQ467" s="39"/>
    </row>
    <row r="468" spans="3:69" ht="15.75" customHeight="1">
      <c r="C468" s="4"/>
      <c r="D468" s="4"/>
      <c r="E468" s="38"/>
      <c r="F468" s="38"/>
      <c r="G468" s="4"/>
      <c r="H468" s="4"/>
      <c r="I468" s="4"/>
      <c r="J468" s="4"/>
      <c r="K468" s="4"/>
      <c r="L468" s="4"/>
      <c r="M468" s="4"/>
      <c r="N468" s="38"/>
      <c r="O468" s="4"/>
      <c r="P468" s="4"/>
      <c r="Q468" s="4"/>
      <c r="R468" s="4"/>
      <c r="S468" s="4"/>
      <c r="T468" s="38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38"/>
      <c r="AN468" s="4"/>
      <c r="AO468" s="4"/>
      <c r="AP468" s="4"/>
      <c r="AQ468" s="4"/>
      <c r="AR468" s="4"/>
      <c r="AS468" s="4"/>
      <c r="AT468" s="4"/>
      <c r="AU468" s="4"/>
      <c r="AV468" s="4"/>
      <c r="AW468" s="4"/>
      <c r="AX468" s="4"/>
      <c r="AY468" s="4"/>
      <c r="AZ468" s="4"/>
      <c r="BA468" s="4"/>
      <c r="BB468" s="4"/>
      <c r="BC468" s="4"/>
      <c r="BD468" s="4"/>
      <c r="BE468" s="4"/>
      <c r="BF468" s="4"/>
      <c r="BG468" s="4"/>
      <c r="BH468" s="4"/>
      <c r="BI468" s="4"/>
      <c r="BJ468" s="4"/>
      <c r="BK468" s="4"/>
      <c r="BL468" s="4"/>
      <c r="BM468" s="4"/>
      <c r="BN468" s="4"/>
      <c r="BO468" s="4"/>
      <c r="BP468" s="39"/>
      <c r="BQ468" s="39"/>
    </row>
    <row r="469" spans="3:69" ht="15.75" customHeight="1">
      <c r="C469" s="4"/>
      <c r="D469" s="4"/>
      <c r="E469" s="38"/>
      <c r="F469" s="38"/>
      <c r="G469" s="4"/>
      <c r="H469" s="4"/>
      <c r="I469" s="4"/>
      <c r="J469" s="4"/>
      <c r="K469" s="4"/>
      <c r="L469" s="4"/>
      <c r="M469" s="4"/>
      <c r="N469" s="38"/>
      <c r="O469" s="4"/>
      <c r="P469" s="4"/>
      <c r="Q469" s="4"/>
      <c r="R469" s="4"/>
      <c r="S469" s="4"/>
      <c r="T469" s="38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38"/>
      <c r="AN469" s="4"/>
      <c r="AO469" s="4"/>
      <c r="AP469" s="4"/>
      <c r="AQ469" s="4"/>
      <c r="AR469" s="4"/>
      <c r="AS469" s="4"/>
      <c r="AT469" s="4"/>
      <c r="AU469" s="4"/>
      <c r="AV469" s="4"/>
      <c r="AW469" s="4"/>
      <c r="AX469" s="4"/>
      <c r="AY469" s="4"/>
      <c r="AZ469" s="4"/>
      <c r="BA469" s="4"/>
      <c r="BB469" s="4"/>
      <c r="BC469" s="4"/>
      <c r="BD469" s="4"/>
      <c r="BE469" s="4"/>
      <c r="BF469" s="4"/>
      <c r="BG469" s="4"/>
      <c r="BH469" s="4"/>
      <c r="BI469" s="4"/>
      <c r="BJ469" s="4"/>
      <c r="BK469" s="4"/>
      <c r="BL469" s="4"/>
      <c r="BM469" s="4"/>
      <c r="BN469" s="4"/>
      <c r="BO469" s="4"/>
      <c r="BP469" s="39"/>
      <c r="BQ469" s="39"/>
    </row>
    <row r="470" spans="3:69" ht="15.75" customHeight="1">
      <c r="C470" s="4"/>
      <c r="D470" s="4"/>
      <c r="E470" s="38"/>
      <c r="F470" s="38"/>
      <c r="G470" s="4"/>
      <c r="H470" s="4"/>
      <c r="I470" s="4"/>
      <c r="J470" s="4"/>
      <c r="K470" s="4"/>
      <c r="L470" s="4"/>
      <c r="M470" s="4"/>
      <c r="N470" s="38"/>
      <c r="O470" s="4"/>
      <c r="P470" s="4"/>
      <c r="Q470" s="4"/>
      <c r="R470" s="4"/>
      <c r="S470" s="4"/>
      <c r="T470" s="38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38"/>
      <c r="AN470" s="4"/>
      <c r="AO470" s="4"/>
      <c r="AP470" s="4"/>
      <c r="AQ470" s="4"/>
      <c r="AR470" s="4"/>
      <c r="AS470" s="4"/>
      <c r="AT470" s="4"/>
      <c r="AU470" s="4"/>
      <c r="AV470" s="4"/>
      <c r="AW470" s="4"/>
      <c r="AX470" s="4"/>
      <c r="AY470" s="4"/>
      <c r="AZ470" s="4"/>
      <c r="BA470" s="4"/>
      <c r="BB470" s="4"/>
      <c r="BC470" s="4"/>
      <c r="BD470" s="4"/>
      <c r="BE470" s="4"/>
      <c r="BF470" s="4"/>
      <c r="BG470" s="4"/>
      <c r="BH470" s="4"/>
      <c r="BI470" s="4"/>
      <c r="BJ470" s="4"/>
      <c r="BK470" s="4"/>
      <c r="BL470" s="4"/>
      <c r="BM470" s="4"/>
      <c r="BN470" s="4"/>
      <c r="BO470" s="4"/>
      <c r="BP470" s="39"/>
      <c r="BQ470" s="39"/>
    </row>
    <row r="471" spans="3:69" ht="15.75" customHeight="1">
      <c r="C471" s="4"/>
      <c r="D471" s="4"/>
      <c r="E471" s="38"/>
      <c r="F471" s="38"/>
      <c r="G471" s="4"/>
      <c r="H471" s="4"/>
      <c r="I471" s="4"/>
      <c r="J471" s="4"/>
      <c r="K471" s="4"/>
      <c r="L471" s="4"/>
      <c r="M471" s="4"/>
      <c r="N471" s="38"/>
      <c r="O471" s="4"/>
      <c r="P471" s="4"/>
      <c r="Q471" s="4"/>
      <c r="R471" s="4"/>
      <c r="S471" s="4"/>
      <c r="T471" s="38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38"/>
      <c r="AN471" s="4"/>
      <c r="AO471" s="4"/>
      <c r="AP471" s="4"/>
      <c r="AQ471" s="4"/>
      <c r="AR471" s="4"/>
      <c r="AS471" s="4"/>
      <c r="AT471" s="4"/>
      <c r="AU471" s="4"/>
      <c r="AV471" s="4"/>
      <c r="AW471" s="4"/>
      <c r="AX471" s="4"/>
      <c r="AY471" s="4"/>
      <c r="AZ471" s="4"/>
      <c r="BA471" s="4"/>
      <c r="BB471" s="4"/>
      <c r="BC471" s="4"/>
      <c r="BD471" s="4"/>
      <c r="BE471" s="4"/>
      <c r="BF471" s="4"/>
      <c r="BG471" s="4"/>
      <c r="BH471" s="4"/>
      <c r="BI471" s="4"/>
      <c r="BJ471" s="4"/>
      <c r="BK471" s="4"/>
      <c r="BL471" s="4"/>
      <c r="BM471" s="4"/>
      <c r="BN471" s="4"/>
      <c r="BO471" s="4"/>
      <c r="BP471" s="39"/>
      <c r="BQ471" s="39"/>
    </row>
    <row r="472" spans="3:69" ht="15.75" customHeight="1">
      <c r="C472" s="4"/>
      <c r="D472" s="4"/>
      <c r="E472" s="38"/>
      <c r="F472" s="38"/>
      <c r="G472" s="4"/>
      <c r="H472" s="4"/>
      <c r="I472" s="4"/>
      <c r="J472" s="4"/>
      <c r="K472" s="4"/>
      <c r="L472" s="4"/>
      <c r="M472" s="4"/>
      <c r="N472" s="38"/>
      <c r="O472" s="4"/>
      <c r="P472" s="4"/>
      <c r="Q472" s="4"/>
      <c r="R472" s="4"/>
      <c r="S472" s="4"/>
      <c r="T472" s="38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38"/>
      <c r="AN472" s="4"/>
      <c r="AO472" s="4"/>
      <c r="AP472" s="4"/>
      <c r="AQ472" s="4"/>
      <c r="AR472" s="4"/>
      <c r="AS472" s="4"/>
      <c r="AT472" s="4"/>
      <c r="AU472" s="4"/>
      <c r="AV472" s="4"/>
      <c r="AW472" s="4"/>
      <c r="AX472" s="4"/>
      <c r="AY472" s="4"/>
      <c r="AZ472" s="4"/>
      <c r="BA472" s="4"/>
      <c r="BB472" s="4"/>
      <c r="BC472" s="4"/>
      <c r="BD472" s="4"/>
      <c r="BE472" s="4"/>
      <c r="BF472" s="4"/>
      <c r="BG472" s="4"/>
      <c r="BH472" s="4"/>
      <c r="BI472" s="4"/>
      <c r="BJ472" s="4"/>
      <c r="BK472" s="4"/>
      <c r="BL472" s="4"/>
      <c r="BM472" s="4"/>
      <c r="BN472" s="4"/>
      <c r="BO472" s="4"/>
      <c r="BP472" s="39"/>
      <c r="BQ472" s="39"/>
    </row>
    <row r="473" spans="3:69" ht="15.75" customHeight="1">
      <c r="C473" s="4"/>
      <c r="D473" s="4"/>
      <c r="E473" s="38"/>
      <c r="F473" s="38"/>
      <c r="G473" s="4"/>
      <c r="H473" s="4"/>
      <c r="I473" s="4"/>
      <c r="J473" s="4"/>
      <c r="K473" s="4"/>
      <c r="L473" s="4"/>
      <c r="M473" s="4"/>
      <c r="N473" s="38"/>
      <c r="O473" s="4"/>
      <c r="P473" s="4"/>
      <c r="Q473" s="4"/>
      <c r="R473" s="4"/>
      <c r="S473" s="4"/>
      <c r="T473" s="38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38"/>
      <c r="AN473" s="4"/>
      <c r="AO473" s="4"/>
      <c r="AP473" s="4"/>
      <c r="AQ473" s="4"/>
      <c r="AR473" s="4"/>
      <c r="AS473" s="4"/>
      <c r="AT473" s="4"/>
      <c r="AU473" s="4"/>
      <c r="AV473" s="4"/>
      <c r="AW473" s="4"/>
      <c r="AX473" s="4"/>
      <c r="AY473" s="4"/>
      <c r="AZ473" s="4"/>
      <c r="BA473" s="4"/>
      <c r="BB473" s="4"/>
      <c r="BC473" s="4"/>
      <c r="BD473" s="4"/>
      <c r="BE473" s="4"/>
      <c r="BF473" s="4"/>
      <c r="BG473" s="4"/>
      <c r="BH473" s="4"/>
      <c r="BI473" s="4"/>
      <c r="BJ473" s="4"/>
      <c r="BK473" s="4"/>
      <c r="BL473" s="4"/>
      <c r="BM473" s="4"/>
      <c r="BN473" s="4"/>
      <c r="BO473" s="4"/>
      <c r="BP473" s="39"/>
      <c r="BQ473" s="39"/>
    </row>
    <row r="474" spans="3:69" ht="15.75" customHeight="1">
      <c r="C474" s="4"/>
      <c r="D474" s="4"/>
      <c r="E474" s="38"/>
      <c r="F474" s="38"/>
      <c r="G474" s="4"/>
      <c r="H474" s="4"/>
      <c r="I474" s="4"/>
      <c r="J474" s="4"/>
      <c r="K474" s="4"/>
      <c r="L474" s="4"/>
      <c r="M474" s="4"/>
      <c r="N474" s="38"/>
      <c r="O474" s="4"/>
      <c r="P474" s="4"/>
      <c r="Q474" s="4"/>
      <c r="R474" s="4"/>
      <c r="S474" s="4"/>
      <c r="T474" s="38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38"/>
      <c r="AN474" s="4"/>
      <c r="AO474" s="4"/>
      <c r="AP474" s="4"/>
      <c r="AQ474" s="4"/>
      <c r="AR474" s="4"/>
      <c r="AS474" s="4"/>
      <c r="AT474" s="4"/>
      <c r="AU474" s="4"/>
      <c r="AV474" s="4"/>
      <c r="AW474" s="4"/>
      <c r="AX474" s="4"/>
      <c r="AY474" s="4"/>
      <c r="AZ474" s="4"/>
      <c r="BA474" s="4"/>
      <c r="BB474" s="4"/>
      <c r="BC474" s="4"/>
      <c r="BD474" s="4"/>
      <c r="BE474" s="4"/>
      <c r="BF474" s="4"/>
      <c r="BG474" s="4"/>
      <c r="BH474" s="4"/>
      <c r="BI474" s="4"/>
      <c r="BJ474" s="4"/>
      <c r="BK474" s="4"/>
      <c r="BL474" s="4"/>
      <c r="BM474" s="4"/>
      <c r="BN474" s="4"/>
      <c r="BO474" s="4"/>
      <c r="BP474" s="39"/>
      <c r="BQ474" s="39"/>
    </row>
    <row r="475" spans="3:69" ht="15.75" customHeight="1">
      <c r="C475" s="4"/>
      <c r="D475" s="4"/>
      <c r="E475" s="38"/>
      <c r="F475" s="38"/>
      <c r="G475" s="4"/>
      <c r="H475" s="4"/>
      <c r="I475" s="4"/>
      <c r="J475" s="4"/>
      <c r="K475" s="4"/>
      <c r="L475" s="4"/>
      <c r="M475" s="4"/>
      <c r="N475" s="38"/>
      <c r="O475" s="4"/>
      <c r="P475" s="4"/>
      <c r="Q475" s="4"/>
      <c r="R475" s="4"/>
      <c r="S475" s="4"/>
      <c r="T475" s="38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38"/>
      <c r="AN475" s="4"/>
      <c r="AO475" s="4"/>
      <c r="AP475" s="4"/>
      <c r="AQ475" s="4"/>
      <c r="AR475" s="4"/>
      <c r="AS475" s="4"/>
      <c r="AT475" s="4"/>
      <c r="AU475" s="4"/>
      <c r="AV475" s="4"/>
      <c r="AW475" s="4"/>
      <c r="AX475" s="4"/>
      <c r="AY475" s="4"/>
      <c r="AZ475" s="4"/>
      <c r="BA475" s="4"/>
      <c r="BB475" s="4"/>
      <c r="BC475" s="4"/>
      <c r="BD475" s="4"/>
      <c r="BE475" s="4"/>
      <c r="BF475" s="4"/>
      <c r="BG475" s="4"/>
      <c r="BH475" s="4"/>
      <c r="BI475" s="4"/>
      <c r="BJ475" s="4"/>
      <c r="BK475" s="4"/>
      <c r="BL475" s="4"/>
      <c r="BM475" s="4"/>
      <c r="BN475" s="4"/>
      <c r="BO475" s="4"/>
      <c r="BP475" s="39"/>
      <c r="BQ475" s="39"/>
    </row>
    <row r="476" spans="3:69" ht="15.75" customHeight="1">
      <c r="C476" s="4"/>
      <c r="D476" s="4"/>
      <c r="E476" s="38"/>
      <c r="F476" s="38"/>
      <c r="G476" s="4"/>
      <c r="H476" s="4"/>
      <c r="I476" s="4"/>
      <c r="J476" s="4"/>
      <c r="K476" s="4"/>
      <c r="L476" s="4"/>
      <c r="M476" s="4"/>
      <c r="N476" s="38"/>
      <c r="O476" s="4"/>
      <c r="P476" s="4"/>
      <c r="Q476" s="4"/>
      <c r="R476" s="4"/>
      <c r="S476" s="4"/>
      <c r="T476" s="38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38"/>
      <c r="AN476" s="4"/>
      <c r="AO476" s="4"/>
      <c r="AP476" s="4"/>
      <c r="AQ476" s="4"/>
      <c r="AR476" s="4"/>
      <c r="AS476" s="4"/>
      <c r="AT476" s="4"/>
      <c r="AU476" s="4"/>
      <c r="AV476" s="4"/>
      <c r="AW476" s="4"/>
      <c r="AX476" s="4"/>
      <c r="AY476" s="4"/>
      <c r="AZ476" s="4"/>
      <c r="BA476" s="4"/>
      <c r="BB476" s="4"/>
      <c r="BC476" s="4"/>
      <c r="BD476" s="4"/>
      <c r="BE476" s="4"/>
      <c r="BF476" s="4"/>
      <c r="BG476" s="4"/>
      <c r="BH476" s="4"/>
      <c r="BI476" s="4"/>
      <c r="BJ476" s="4"/>
      <c r="BK476" s="4"/>
      <c r="BL476" s="4"/>
      <c r="BM476" s="4"/>
      <c r="BN476" s="4"/>
      <c r="BO476" s="4"/>
      <c r="BP476" s="39"/>
      <c r="BQ476" s="39"/>
    </row>
    <row r="477" spans="3:69" ht="15.75" customHeight="1">
      <c r="C477" s="4"/>
      <c r="D477" s="4"/>
      <c r="E477" s="38"/>
      <c r="F477" s="38"/>
      <c r="G477" s="4"/>
      <c r="H477" s="4"/>
      <c r="I477" s="4"/>
      <c r="J477" s="4"/>
      <c r="K477" s="4"/>
      <c r="L477" s="4"/>
      <c r="M477" s="4"/>
      <c r="N477" s="38"/>
      <c r="O477" s="4"/>
      <c r="P477" s="4"/>
      <c r="Q477" s="4"/>
      <c r="R477" s="4"/>
      <c r="S477" s="4"/>
      <c r="T477" s="38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38"/>
      <c r="AN477" s="4"/>
      <c r="AO477" s="4"/>
      <c r="AP477" s="4"/>
      <c r="AQ477" s="4"/>
      <c r="AR477" s="4"/>
      <c r="AS477" s="4"/>
      <c r="AT477" s="4"/>
      <c r="AU477" s="4"/>
      <c r="AV477" s="4"/>
      <c r="AW477" s="4"/>
      <c r="AX477" s="4"/>
      <c r="AY477" s="4"/>
      <c r="AZ477" s="4"/>
      <c r="BA477" s="4"/>
      <c r="BB477" s="4"/>
      <c r="BC477" s="4"/>
      <c r="BD477" s="4"/>
      <c r="BE477" s="4"/>
      <c r="BF477" s="4"/>
      <c r="BG477" s="4"/>
      <c r="BH477" s="4"/>
      <c r="BI477" s="4"/>
      <c r="BJ477" s="4"/>
      <c r="BK477" s="4"/>
      <c r="BL477" s="4"/>
      <c r="BM477" s="4"/>
      <c r="BN477" s="4"/>
      <c r="BO477" s="4"/>
      <c r="BP477" s="39"/>
      <c r="BQ477" s="39"/>
    </row>
    <row r="478" spans="3:69" ht="15.75" customHeight="1">
      <c r="C478" s="4"/>
      <c r="D478" s="4"/>
      <c r="E478" s="38"/>
      <c r="F478" s="38"/>
      <c r="G478" s="4"/>
      <c r="H478" s="4"/>
      <c r="I478" s="4"/>
      <c r="J478" s="4"/>
      <c r="K478" s="4"/>
      <c r="L478" s="4"/>
      <c r="M478" s="4"/>
      <c r="N478" s="38"/>
      <c r="O478" s="4"/>
      <c r="P478" s="4"/>
      <c r="Q478" s="4"/>
      <c r="R478" s="4"/>
      <c r="S478" s="4"/>
      <c r="T478" s="38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38"/>
      <c r="AN478" s="4"/>
      <c r="AO478" s="4"/>
      <c r="AP478" s="4"/>
      <c r="AQ478" s="4"/>
      <c r="AR478" s="4"/>
      <c r="AS478" s="4"/>
      <c r="AT478" s="4"/>
      <c r="AU478" s="4"/>
      <c r="AV478" s="4"/>
      <c r="AW478" s="4"/>
      <c r="AX478" s="4"/>
      <c r="AY478" s="4"/>
      <c r="AZ478" s="4"/>
      <c r="BA478" s="4"/>
      <c r="BB478" s="4"/>
      <c r="BC478" s="4"/>
      <c r="BD478" s="4"/>
      <c r="BE478" s="4"/>
      <c r="BF478" s="4"/>
      <c r="BG478" s="4"/>
      <c r="BH478" s="4"/>
      <c r="BI478" s="4"/>
      <c r="BJ478" s="4"/>
      <c r="BK478" s="4"/>
      <c r="BL478" s="4"/>
      <c r="BM478" s="4"/>
      <c r="BN478" s="4"/>
      <c r="BO478" s="4"/>
      <c r="BP478" s="39"/>
      <c r="BQ478" s="39"/>
    </row>
    <row r="479" spans="3:69" ht="15.75" customHeight="1">
      <c r="C479" s="4"/>
      <c r="D479" s="4"/>
      <c r="E479" s="38"/>
      <c r="F479" s="38"/>
      <c r="G479" s="4"/>
      <c r="H479" s="4"/>
      <c r="I479" s="4"/>
      <c r="J479" s="4"/>
      <c r="K479" s="4"/>
      <c r="L479" s="4"/>
      <c r="M479" s="4"/>
      <c r="N479" s="38"/>
      <c r="O479" s="4"/>
      <c r="P479" s="4"/>
      <c r="Q479" s="4"/>
      <c r="R479" s="4"/>
      <c r="S479" s="4"/>
      <c r="T479" s="38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38"/>
      <c r="AN479" s="4"/>
      <c r="AO479" s="4"/>
      <c r="AP479" s="4"/>
      <c r="AQ479" s="4"/>
      <c r="AR479" s="4"/>
      <c r="AS479" s="4"/>
      <c r="AT479" s="4"/>
      <c r="AU479" s="4"/>
      <c r="AV479" s="4"/>
      <c r="AW479" s="4"/>
      <c r="AX479" s="4"/>
      <c r="AY479" s="4"/>
      <c r="AZ479" s="4"/>
      <c r="BA479" s="4"/>
      <c r="BB479" s="4"/>
      <c r="BC479" s="4"/>
      <c r="BD479" s="4"/>
      <c r="BE479" s="4"/>
      <c r="BF479" s="4"/>
      <c r="BG479" s="4"/>
      <c r="BH479" s="4"/>
      <c r="BI479" s="4"/>
      <c r="BJ479" s="4"/>
      <c r="BK479" s="4"/>
      <c r="BL479" s="4"/>
      <c r="BM479" s="4"/>
      <c r="BN479" s="4"/>
      <c r="BO479" s="4"/>
      <c r="BP479" s="39"/>
      <c r="BQ479" s="39"/>
    </row>
    <row r="480" spans="3:69" ht="15.75" customHeight="1">
      <c r="C480" s="4"/>
      <c r="D480" s="4"/>
      <c r="E480" s="38"/>
      <c r="F480" s="38"/>
      <c r="G480" s="4"/>
      <c r="H480" s="4"/>
      <c r="I480" s="4"/>
      <c r="J480" s="4"/>
      <c r="K480" s="4"/>
      <c r="L480" s="4"/>
      <c r="M480" s="4"/>
      <c r="N480" s="38"/>
      <c r="O480" s="4"/>
      <c r="P480" s="4"/>
      <c r="Q480" s="4"/>
      <c r="R480" s="4"/>
      <c r="S480" s="4"/>
      <c r="T480" s="38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38"/>
      <c r="AN480" s="4"/>
      <c r="AO480" s="4"/>
      <c r="AP480" s="4"/>
      <c r="AQ480" s="4"/>
      <c r="AR480" s="4"/>
      <c r="AS480" s="4"/>
      <c r="AT480" s="4"/>
      <c r="AU480" s="4"/>
      <c r="AV480" s="4"/>
      <c r="AW480" s="4"/>
      <c r="AX480" s="4"/>
      <c r="AY480" s="4"/>
      <c r="AZ480" s="4"/>
      <c r="BA480" s="4"/>
      <c r="BB480" s="4"/>
      <c r="BC480" s="4"/>
      <c r="BD480" s="4"/>
      <c r="BE480" s="4"/>
      <c r="BF480" s="4"/>
      <c r="BG480" s="4"/>
      <c r="BH480" s="4"/>
      <c r="BI480" s="4"/>
      <c r="BJ480" s="4"/>
      <c r="BK480" s="4"/>
      <c r="BL480" s="4"/>
      <c r="BM480" s="4"/>
      <c r="BN480" s="4"/>
      <c r="BO480" s="4"/>
      <c r="BP480" s="39"/>
      <c r="BQ480" s="39"/>
    </row>
    <row r="481" spans="3:69" ht="15.75" customHeight="1">
      <c r="C481" s="4"/>
      <c r="D481" s="4"/>
      <c r="E481" s="38"/>
      <c r="F481" s="38"/>
      <c r="G481" s="4"/>
      <c r="H481" s="4"/>
      <c r="I481" s="4"/>
      <c r="J481" s="4"/>
      <c r="K481" s="4"/>
      <c r="L481" s="4"/>
      <c r="M481" s="4"/>
      <c r="N481" s="38"/>
      <c r="O481" s="4"/>
      <c r="P481" s="4"/>
      <c r="Q481" s="4"/>
      <c r="R481" s="4"/>
      <c r="S481" s="4"/>
      <c r="T481" s="38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38"/>
      <c r="AN481" s="4"/>
      <c r="AO481" s="4"/>
      <c r="AP481" s="4"/>
      <c r="AQ481" s="4"/>
      <c r="AR481" s="4"/>
      <c r="AS481" s="4"/>
      <c r="AT481" s="4"/>
      <c r="AU481" s="4"/>
      <c r="AV481" s="4"/>
      <c r="AW481" s="4"/>
      <c r="AX481" s="4"/>
      <c r="AY481" s="4"/>
      <c r="AZ481" s="4"/>
      <c r="BA481" s="4"/>
      <c r="BB481" s="4"/>
      <c r="BC481" s="4"/>
      <c r="BD481" s="4"/>
      <c r="BE481" s="4"/>
      <c r="BF481" s="4"/>
      <c r="BG481" s="4"/>
      <c r="BH481" s="4"/>
      <c r="BI481" s="4"/>
      <c r="BJ481" s="4"/>
      <c r="BK481" s="4"/>
      <c r="BL481" s="4"/>
      <c r="BM481" s="4"/>
      <c r="BN481" s="4"/>
      <c r="BO481" s="4"/>
      <c r="BP481" s="39"/>
      <c r="BQ481" s="39"/>
    </row>
    <row r="482" spans="3:69" ht="15.75" customHeight="1">
      <c r="C482" s="4"/>
      <c r="D482" s="4"/>
      <c r="E482" s="38"/>
      <c r="F482" s="38"/>
      <c r="G482" s="4"/>
      <c r="H482" s="4"/>
      <c r="I482" s="4"/>
      <c r="J482" s="4"/>
      <c r="K482" s="4"/>
      <c r="L482" s="4"/>
      <c r="M482" s="4"/>
      <c r="N482" s="38"/>
      <c r="O482" s="4"/>
      <c r="P482" s="4"/>
      <c r="Q482" s="4"/>
      <c r="R482" s="4"/>
      <c r="S482" s="4"/>
      <c r="T482" s="38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38"/>
      <c r="AN482" s="4"/>
      <c r="AO482" s="4"/>
      <c r="AP482" s="4"/>
      <c r="AQ482" s="4"/>
      <c r="AR482" s="4"/>
      <c r="AS482" s="4"/>
      <c r="AT482" s="4"/>
      <c r="AU482" s="4"/>
      <c r="AV482" s="4"/>
      <c r="AW482" s="4"/>
      <c r="AX482" s="4"/>
      <c r="AY482" s="4"/>
      <c r="AZ482" s="4"/>
      <c r="BA482" s="4"/>
      <c r="BB482" s="4"/>
      <c r="BC482" s="4"/>
      <c r="BD482" s="4"/>
      <c r="BE482" s="4"/>
      <c r="BF482" s="4"/>
      <c r="BG482" s="4"/>
      <c r="BH482" s="4"/>
      <c r="BI482" s="4"/>
      <c r="BJ482" s="4"/>
      <c r="BK482" s="4"/>
      <c r="BL482" s="4"/>
      <c r="BM482" s="4"/>
      <c r="BN482" s="4"/>
      <c r="BO482" s="4"/>
      <c r="BP482" s="39"/>
      <c r="BQ482" s="39"/>
    </row>
    <row r="483" spans="3:69" ht="15.75" customHeight="1">
      <c r="C483" s="4"/>
      <c r="D483" s="4"/>
      <c r="E483" s="38"/>
      <c r="F483" s="38"/>
      <c r="G483" s="4"/>
      <c r="H483" s="4"/>
      <c r="I483" s="4"/>
      <c r="J483" s="4"/>
      <c r="K483" s="4"/>
      <c r="L483" s="4"/>
      <c r="M483" s="4"/>
      <c r="N483" s="38"/>
      <c r="O483" s="4"/>
      <c r="P483" s="4"/>
      <c r="Q483" s="4"/>
      <c r="R483" s="4"/>
      <c r="S483" s="4"/>
      <c r="T483" s="38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38"/>
      <c r="AN483" s="4"/>
      <c r="AO483" s="4"/>
      <c r="AP483" s="4"/>
      <c r="AQ483" s="4"/>
      <c r="AR483" s="4"/>
      <c r="AS483" s="4"/>
      <c r="AT483" s="4"/>
      <c r="AU483" s="4"/>
      <c r="AV483" s="4"/>
      <c r="AW483" s="4"/>
      <c r="AX483" s="4"/>
      <c r="AY483" s="4"/>
      <c r="AZ483" s="4"/>
      <c r="BA483" s="4"/>
      <c r="BB483" s="4"/>
      <c r="BC483" s="4"/>
      <c r="BD483" s="4"/>
      <c r="BE483" s="4"/>
      <c r="BF483" s="4"/>
      <c r="BG483" s="4"/>
      <c r="BH483" s="4"/>
      <c r="BI483" s="4"/>
      <c r="BJ483" s="4"/>
      <c r="BK483" s="4"/>
      <c r="BL483" s="4"/>
      <c r="BM483" s="4"/>
      <c r="BN483" s="4"/>
      <c r="BO483" s="4"/>
      <c r="BP483" s="39"/>
      <c r="BQ483" s="39"/>
    </row>
    <row r="484" spans="3:69" ht="15.75" customHeight="1">
      <c r="C484" s="4"/>
      <c r="D484" s="4"/>
      <c r="E484" s="38"/>
      <c r="F484" s="38"/>
      <c r="G484" s="4"/>
      <c r="H484" s="4"/>
      <c r="I484" s="4"/>
      <c r="J484" s="4"/>
      <c r="K484" s="4"/>
      <c r="L484" s="4"/>
      <c r="M484" s="4"/>
      <c r="N484" s="38"/>
      <c r="O484" s="4"/>
      <c r="P484" s="4"/>
      <c r="Q484" s="4"/>
      <c r="R484" s="4"/>
      <c r="S484" s="4"/>
      <c r="T484" s="38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38"/>
      <c r="AN484" s="4"/>
      <c r="AO484" s="4"/>
      <c r="AP484" s="4"/>
      <c r="AQ484" s="4"/>
      <c r="AR484" s="4"/>
      <c r="AS484" s="4"/>
      <c r="AT484" s="4"/>
      <c r="AU484" s="4"/>
      <c r="AV484" s="4"/>
      <c r="AW484" s="4"/>
      <c r="AX484" s="4"/>
      <c r="AY484" s="4"/>
      <c r="AZ484" s="4"/>
      <c r="BA484" s="4"/>
      <c r="BB484" s="4"/>
      <c r="BC484" s="4"/>
      <c r="BD484" s="4"/>
      <c r="BE484" s="4"/>
      <c r="BF484" s="4"/>
      <c r="BG484" s="4"/>
      <c r="BH484" s="4"/>
      <c r="BI484" s="4"/>
      <c r="BJ484" s="4"/>
      <c r="BK484" s="4"/>
      <c r="BL484" s="4"/>
      <c r="BM484" s="4"/>
      <c r="BN484" s="4"/>
      <c r="BO484" s="4"/>
      <c r="BP484" s="39"/>
      <c r="BQ484" s="39"/>
    </row>
    <row r="485" spans="3:69" ht="15.75" customHeight="1">
      <c r="C485" s="4"/>
      <c r="D485" s="4"/>
      <c r="E485" s="38"/>
      <c r="F485" s="38"/>
      <c r="G485" s="4"/>
      <c r="H485" s="4"/>
      <c r="I485" s="4"/>
      <c r="J485" s="4"/>
      <c r="K485" s="4"/>
      <c r="L485" s="4"/>
      <c r="M485" s="4"/>
      <c r="N485" s="38"/>
      <c r="O485" s="4"/>
      <c r="P485" s="4"/>
      <c r="Q485" s="4"/>
      <c r="R485" s="4"/>
      <c r="S485" s="4"/>
      <c r="T485" s="38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38"/>
      <c r="AN485" s="4"/>
      <c r="AO485" s="4"/>
      <c r="AP485" s="4"/>
      <c r="AQ485" s="4"/>
      <c r="AR485" s="4"/>
      <c r="AS485" s="4"/>
      <c r="AT485" s="4"/>
      <c r="AU485" s="4"/>
      <c r="AV485" s="4"/>
      <c r="AW485" s="4"/>
      <c r="AX485" s="4"/>
      <c r="AY485" s="4"/>
      <c r="AZ485" s="4"/>
      <c r="BA485" s="4"/>
      <c r="BB485" s="4"/>
      <c r="BC485" s="4"/>
      <c r="BD485" s="4"/>
      <c r="BE485" s="4"/>
      <c r="BF485" s="4"/>
      <c r="BG485" s="4"/>
      <c r="BH485" s="4"/>
      <c r="BI485" s="4"/>
      <c r="BJ485" s="4"/>
      <c r="BK485" s="4"/>
      <c r="BL485" s="4"/>
      <c r="BM485" s="4"/>
      <c r="BN485" s="4"/>
      <c r="BO485" s="4"/>
      <c r="BP485" s="39"/>
      <c r="BQ485" s="39"/>
    </row>
    <row r="486" spans="3:69" ht="15.75" customHeight="1">
      <c r="C486" s="4"/>
      <c r="D486" s="4"/>
      <c r="E486" s="38"/>
      <c r="F486" s="38"/>
      <c r="G486" s="4"/>
      <c r="H486" s="4"/>
      <c r="I486" s="4"/>
      <c r="J486" s="4"/>
      <c r="K486" s="4"/>
      <c r="L486" s="4"/>
      <c r="M486" s="4"/>
      <c r="N486" s="38"/>
      <c r="O486" s="4"/>
      <c r="P486" s="4"/>
      <c r="Q486" s="4"/>
      <c r="R486" s="4"/>
      <c r="S486" s="4"/>
      <c r="T486" s="38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38"/>
      <c r="AN486" s="4"/>
      <c r="AO486" s="4"/>
      <c r="AP486" s="4"/>
      <c r="AQ486" s="4"/>
      <c r="AR486" s="4"/>
      <c r="AS486" s="4"/>
      <c r="AT486" s="4"/>
      <c r="AU486" s="4"/>
      <c r="AV486" s="4"/>
      <c r="AW486" s="4"/>
      <c r="AX486" s="4"/>
      <c r="AY486" s="4"/>
      <c r="AZ486" s="4"/>
      <c r="BA486" s="4"/>
      <c r="BB486" s="4"/>
      <c r="BC486" s="4"/>
      <c r="BD486" s="4"/>
      <c r="BE486" s="4"/>
      <c r="BF486" s="4"/>
      <c r="BG486" s="4"/>
      <c r="BH486" s="4"/>
      <c r="BI486" s="4"/>
      <c r="BJ486" s="4"/>
      <c r="BK486" s="4"/>
      <c r="BL486" s="4"/>
      <c r="BM486" s="4"/>
      <c r="BN486" s="4"/>
      <c r="BO486" s="4"/>
      <c r="BP486" s="39"/>
      <c r="BQ486" s="39"/>
    </row>
    <row r="487" spans="3:69" ht="15.75" customHeight="1">
      <c r="C487" s="4"/>
      <c r="D487" s="4"/>
      <c r="E487" s="38"/>
      <c r="F487" s="38"/>
      <c r="G487" s="4"/>
      <c r="H487" s="4"/>
      <c r="I487" s="4"/>
      <c r="J487" s="4"/>
      <c r="K487" s="4"/>
      <c r="L487" s="4"/>
      <c r="M487" s="4"/>
      <c r="N487" s="38"/>
      <c r="O487" s="4"/>
      <c r="P487" s="4"/>
      <c r="Q487" s="4"/>
      <c r="R487" s="4"/>
      <c r="S487" s="4"/>
      <c r="T487" s="38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38"/>
      <c r="AN487" s="4"/>
      <c r="AO487" s="4"/>
      <c r="AP487" s="4"/>
      <c r="AQ487" s="4"/>
      <c r="AR487" s="4"/>
      <c r="AS487" s="4"/>
      <c r="AT487" s="4"/>
      <c r="AU487" s="4"/>
      <c r="AV487" s="4"/>
      <c r="AW487" s="4"/>
      <c r="AX487" s="4"/>
      <c r="AY487" s="4"/>
      <c r="AZ487" s="4"/>
      <c r="BA487" s="4"/>
      <c r="BB487" s="4"/>
      <c r="BC487" s="4"/>
      <c r="BD487" s="4"/>
      <c r="BE487" s="4"/>
      <c r="BF487" s="4"/>
      <c r="BG487" s="4"/>
      <c r="BH487" s="4"/>
      <c r="BI487" s="4"/>
      <c r="BJ487" s="4"/>
      <c r="BK487" s="4"/>
      <c r="BL487" s="4"/>
      <c r="BM487" s="4"/>
      <c r="BN487" s="4"/>
      <c r="BO487" s="4"/>
      <c r="BP487" s="39"/>
      <c r="BQ487" s="39"/>
    </row>
    <row r="488" spans="3:69" ht="15.75" customHeight="1">
      <c r="C488" s="4"/>
      <c r="D488" s="4"/>
      <c r="E488" s="38"/>
      <c r="F488" s="38"/>
      <c r="G488" s="4"/>
      <c r="H488" s="4"/>
      <c r="I488" s="4"/>
      <c r="J488" s="4"/>
      <c r="K488" s="4"/>
      <c r="L488" s="4"/>
      <c r="M488" s="4"/>
      <c r="N488" s="38"/>
      <c r="O488" s="4"/>
      <c r="P488" s="4"/>
      <c r="Q488" s="4"/>
      <c r="R488" s="4"/>
      <c r="S488" s="4"/>
      <c r="T488" s="38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38"/>
      <c r="AN488" s="4"/>
      <c r="AO488" s="4"/>
      <c r="AP488" s="4"/>
      <c r="AQ488" s="4"/>
      <c r="AR488" s="4"/>
      <c r="AS488" s="4"/>
      <c r="AT488" s="4"/>
      <c r="AU488" s="4"/>
      <c r="AV488" s="4"/>
      <c r="AW488" s="4"/>
      <c r="AX488" s="4"/>
      <c r="AY488" s="4"/>
      <c r="AZ488" s="4"/>
      <c r="BA488" s="4"/>
      <c r="BB488" s="4"/>
      <c r="BC488" s="4"/>
      <c r="BD488" s="4"/>
      <c r="BE488" s="4"/>
      <c r="BF488" s="4"/>
      <c r="BG488" s="4"/>
      <c r="BH488" s="4"/>
      <c r="BI488" s="4"/>
      <c r="BJ488" s="4"/>
      <c r="BK488" s="4"/>
      <c r="BL488" s="4"/>
      <c r="BM488" s="4"/>
      <c r="BN488" s="4"/>
      <c r="BO488" s="4"/>
      <c r="BP488" s="39"/>
      <c r="BQ488" s="39"/>
    </row>
    <row r="489" spans="3:69" ht="15.75" customHeight="1">
      <c r="C489" s="4"/>
      <c r="D489" s="4"/>
      <c r="E489" s="38"/>
      <c r="F489" s="38"/>
      <c r="G489" s="4"/>
      <c r="H489" s="4"/>
      <c r="I489" s="4"/>
      <c r="J489" s="4"/>
      <c r="K489" s="4"/>
      <c r="L489" s="4"/>
      <c r="M489" s="4"/>
      <c r="N489" s="38"/>
      <c r="O489" s="4"/>
      <c r="P489" s="4"/>
      <c r="Q489" s="4"/>
      <c r="R489" s="4"/>
      <c r="S489" s="4"/>
      <c r="T489" s="38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38"/>
      <c r="AN489" s="4"/>
      <c r="AO489" s="4"/>
      <c r="AP489" s="4"/>
      <c r="AQ489" s="4"/>
      <c r="AR489" s="4"/>
      <c r="AS489" s="4"/>
      <c r="AT489" s="4"/>
      <c r="AU489" s="4"/>
      <c r="AV489" s="4"/>
      <c r="AW489" s="4"/>
      <c r="AX489" s="4"/>
      <c r="AY489" s="4"/>
      <c r="AZ489" s="4"/>
      <c r="BA489" s="4"/>
      <c r="BB489" s="4"/>
      <c r="BC489" s="4"/>
      <c r="BD489" s="4"/>
      <c r="BE489" s="4"/>
      <c r="BF489" s="4"/>
      <c r="BG489" s="4"/>
      <c r="BH489" s="4"/>
      <c r="BI489" s="4"/>
      <c r="BJ489" s="4"/>
      <c r="BK489" s="4"/>
      <c r="BL489" s="4"/>
      <c r="BM489" s="4"/>
      <c r="BN489" s="4"/>
      <c r="BO489" s="4"/>
      <c r="BP489" s="39"/>
      <c r="BQ489" s="39"/>
    </row>
    <row r="490" spans="3:69" ht="15.75" customHeight="1">
      <c r="C490" s="4"/>
      <c r="D490" s="4"/>
      <c r="E490" s="38"/>
      <c r="F490" s="38"/>
      <c r="G490" s="4"/>
      <c r="H490" s="4"/>
      <c r="I490" s="4"/>
      <c r="J490" s="4"/>
      <c r="K490" s="4"/>
      <c r="L490" s="4"/>
      <c r="M490" s="4"/>
      <c r="N490" s="38"/>
      <c r="O490" s="4"/>
      <c r="P490" s="4"/>
      <c r="Q490" s="4"/>
      <c r="R490" s="4"/>
      <c r="S490" s="4"/>
      <c r="T490" s="38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38"/>
      <c r="AN490" s="4"/>
      <c r="AO490" s="4"/>
      <c r="AP490" s="4"/>
      <c r="AQ490" s="4"/>
      <c r="AR490" s="4"/>
      <c r="AS490" s="4"/>
      <c r="AT490" s="4"/>
      <c r="AU490" s="4"/>
      <c r="AV490" s="4"/>
      <c r="AW490" s="4"/>
      <c r="AX490" s="4"/>
      <c r="AY490" s="4"/>
      <c r="AZ490" s="4"/>
      <c r="BA490" s="4"/>
      <c r="BB490" s="4"/>
      <c r="BC490" s="4"/>
      <c r="BD490" s="4"/>
      <c r="BE490" s="4"/>
      <c r="BF490" s="4"/>
      <c r="BG490" s="4"/>
      <c r="BH490" s="4"/>
      <c r="BI490" s="4"/>
      <c r="BJ490" s="4"/>
      <c r="BK490" s="4"/>
      <c r="BL490" s="4"/>
      <c r="BM490" s="4"/>
      <c r="BN490" s="4"/>
      <c r="BO490" s="4"/>
      <c r="BP490" s="39"/>
      <c r="BQ490" s="39"/>
    </row>
    <row r="491" spans="3:69" ht="15.75" customHeight="1">
      <c r="C491" s="4"/>
      <c r="D491" s="4"/>
      <c r="E491" s="38"/>
      <c r="F491" s="38"/>
      <c r="G491" s="4"/>
      <c r="H491" s="4"/>
      <c r="I491" s="4"/>
      <c r="J491" s="4"/>
      <c r="K491" s="4"/>
      <c r="L491" s="4"/>
      <c r="M491" s="4"/>
      <c r="N491" s="38"/>
      <c r="O491" s="4"/>
      <c r="P491" s="4"/>
      <c r="Q491" s="4"/>
      <c r="R491" s="4"/>
      <c r="S491" s="4"/>
      <c r="T491" s="38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38"/>
      <c r="AN491" s="4"/>
      <c r="AO491" s="4"/>
      <c r="AP491" s="4"/>
      <c r="AQ491" s="4"/>
      <c r="AR491" s="4"/>
      <c r="AS491" s="4"/>
      <c r="AT491" s="4"/>
      <c r="AU491" s="4"/>
      <c r="AV491" s="4"/>
      <c r="AW491" s="4"/>
      <c r="AX491" s="4"/>
      <c r="AY491" s="4"/>
      <c r="AZ491" s="4"/>
      <c r="BA491" s="4"/>
      <c r="BB491" s="4"/>
      <c r="BC491" s="4"/>
      <c r="BD491" s="4"/>
      <c r="BE491" s="4"/>
      <c r="BF491" s="4"/>
      <c r="BG491" s="4"/>
      <c r="BH491" s="4"/>
      <c r="BI491" s="4"/>
      <c r="BJ491" s="4"/>
      <c r="BK491" s="4"/>
      <c r="BL491" s="4"/>
      <c r="BM491" s="4"/>
      <c r="BN491" s="4"/>
      <c r="BO491" s="4"/>
      <c r="BP491" s="39"/>
      <c r="BQ491" s="39"/>
    </row>
    <row r="492" spans="3:69" ht="15.75" customHeight="1">
      <c r="C492" s="4"/>
      <c r="D492" s="4"/>
      <c r="E492" s="38"/>
      <c r="F492" s="38"/>
      <c r="G492" s="4"/>
      <c r="H492" s="4"/>
      <c r="I492" s="4"/>
      <c r="J492" s="4"/>
      <c r="K492" s="4"/>
      <c r="L492" s="4"/>
      <c r="M492" s="4"/>
      <c r="N492" s="38"/>
      <c r="O492" s="4"/>
      <c r="P492" s="4"/>
      <c r="Q492" s="4"/>
      <c r="R492" s="4"/>
      <c r="S492" s="4"/>
      <c r="T492" s="38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38"/>
      <c r="AN492" s="4"/>
      <c r="AO492" s="4"/>
      <c r="AP492" s="4"/>
      <c r="AQ492" s="4"/>
      <c r="AR492" s="4"/>
      <c r="AS492" s="4"/>
      <c r="AT492" s="4"/>
      <c r="AU492" s="4"/>
      <c r="AV492" s="4"/>
      <c r="AW492" s="4"/>
      <c r="AX492" s="4"/>
      <c r="AY492" s="4"/>
      <c r="AZ492" s="4"/>
      <c r="BA492" s="4"/>
      <c r="BB492" s="4"/>
      <c r="BC492" s="4"/>
      <c r="BD492" s="4"/>
      <c r="BE492" s="4"/>
      <c r="BF492" s="4"/>
      <c r="BG492" s="4"/>
      <c r="BH492" s="4"/>
      <c r="BI492" s="4"/>
      <c r="BJ492" s="4"/>
      <c r="BK492" s="4"/>
      <c r="BL492" s="4"/>
      <c r="BM492" s="4"/>
      <c r="BN492" s="4"/>
      <c r="BO492" s="4"/>
      <c r="BP492" s="39"/>
      <c r="BQ492" s="39"/>
    </row>
    <row r="493" spans="3:69" ht="15.75" customHeight="1">
      <c r="C493" s="4"/>
      <c r="D493" s="4"/>
      <c r="E493" s="38"/>
      <c r="F493" s="38"/>
      <c r="G493" s="4"/>
      <c r="H493" s="4"/>
      <c r="I493" s="4"/>
      <c r="J493" s="4"/>
      <c r="K493" s="4"/>
      <c r="L493" s="4"/>
      <c r="M493" s="4"/>
      <c r="N493" s="38"/>
      <c r="O493" s="4"/>
      <c r="P493" s="4"/>
      <c r="Q493" s="4"/>
      <c r="R493" s="4"/>
      <c r="S493" s="4"/>
      <c r="T493" s="38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38"/>
      <c r="AN493" s="4"/>
      <c r="AO493" s="4"/>
      <c r="AP493" s="4"/>
      <c r="AQ493" s="4"/>
      <c r="AR493" s="4"/>
      <c r="AS493" s="4"/>
      <c r="AT493" s="4"/>
      <c r="AU493" s="4"/>
      <c r="AV493" s="4"/>
      <c r="AW493" s="4"/>
      <c r="AX493" s="4"/>
      <c r="AY493" s="4"/>
      <c r="AZ493" s="4"/>
      <c r="BA493" s="4"/>
      <c r="BB493" s="4"/>
      <c r="BC493" s="4"/>
      <c r="BD493" s="4"/>
      <c r="BE493" s="4"/>
      <c r="BF493" s="4"/>
      <c r="BG493" s="4"/>
      <c r="BH493" s="4"/>
      <c r="BI493" s="4"/>
      <c r="BJ493" s="4"/>
      <c r="BK493" s="4"/>
      <c r="BL493" s="4"/>
      <c r="BM493" s="4"/>
      <c r="BN493" s="4"/>
      <c r="BO493" s="4"/>
      <c r="BP493" s="39"/>
      <c r="BQ493" s="39"/>
    </row>
    <row r="494" spans="3:69" ht="15.75" customHeight="1">
      <c r="C494" s="4"/>
      <c r="D494" s="4"/>
      <c r="E494" s="38"/>
      <c r="F494" s="38"/>
      <c r="G494" s="4"/>
      <c r="H494" s="4"/>
      <c r="I494" s="4"/>
      <c r="J494" s="4"/>
      <c r="K494" s="4"/>
      <c r="L494" s="4"/>
      <c r="M494" s="4"/>
      <c r="N494" s="38"/>
      <c r="O494" s="4"/>
      <c r="P494" s="4"/>
      <c r="Q494" s="4"/>
      <c r="R494" s="4"/>
      <c r="S494" s="4"/>
      <c r="T494" s="38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38"/>
      <c r="AN494" s="4"/>
      <c r="AO494" s="4"/>
      <c r="AP494" s="4"/>
      <c r="AQ494" s="4"/>
      <c r="AR494" s="4"/>
      <c r="AS494" s="4"/>
      <c r="AT494" s="4"/>
      <c r="AU494" s="4"/>
      <c r="AV494" s="4"/>
      <c r="AW494" s="4"/>
      <c r="AX494" s="4"/>
      <c r="AY494" s="4"/>
      <c r="AZ494" s="4"/>
      <c r="BA494" s="4"/>
      <c r="BB494" s="4"/>
      <c r="BC494" s="4"/>
      <c r="BD494" s="4"/>
      <c r="BE494" s="4"/>
      <c r="BF494" s="4"/>
      <c r="BG494" s="4"/>
      <c r="BH494" s="4"/>
      <c r="BI494" s="4"/>
      <c r="BJ494" s="4"/>
      <c r="BK494" s="4"/>
      <c r="BL494" s="4"/>
      <c r="BM494" s="4"/>
      <c r="BN494" s="4"/>
      <c r="BO494" s="4"/>
      <c r="BP494" s="39"/>
      <c r="BQ494" s="39"/>
    </row>
    <row r="495" spans="3:69" ht="15.75" customHeight="1">
      <c r="C495" s="4"/>
      <c r="D495" s="4"/>
      <c r="E495" s="38"/>
      <c r="F495" s="38"/>
      <c r="G495" s="4"/>
      <c r="H495" s="4"/>
      <c r="I495" s="4"/>
      <c r="J495" s="4"/>
      <c r="K495" s="4"/>
      <c r="L495" s="4"/>
      <c r="M495" s="4"/>
      <c r="N495" s="38"/>
      <c r="O495" s="4"/>
      <c r="P495" s="4"/>
      <c r="Q495" s="4"/>
      <c r="R495" s="4"/>
      <c r="S495" s="4"/>
      <c r="T495" s="38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38"/>
      <c r="AN495" s="4"/>
      <c r="AO495" s="4"/>
      <c r="AP495" s="4"/>
      <c r="AQ495" s="4"/>
      <c r="AR495" s="4"/>
      <c r="AS495" s="4"/>
      <c r="AT495" s="4"/>
      <c r="AU495" s="4"/>
      <c r="AV495" s="4"/>
      <c r="AW495" s="4"/>
      <c r="AX495" s="4"/>
      <c r="AY495" s="4"/>
      <c r="AZ495" s="4"/>
      <c r="BA495" s="4"/>
      <c r="BB495" s="4"/>
      <c r="BC495" s="4"/>
      <c r="BD495" s="4"/>
      <c r="BE495" s="4"/>
      <c r="BF495" s="4"/>
      <c r="BG495" s="4"/>
      <c r="BH495" s="4"/>
      <c r="BI495" s="4"/>
      <c r="BJ495" s="4"/>
      <c r="BK495" s="4"/>
      <c r="BL495" s="4"/>
      <c r="BM495" s="4"/>
      <c r="BN495" s="4"/>
      <c r="BO495" s="4"/>
      <c r="BP495" s="39"/>
      <c r="BQ495" s="39"/>
    </row>
    <row r="496" spans="3:69" ht="15.75" customHeight="1">
      <c r="C496" s="4"/>
      <c r="D496" s="4"/>
      <c r="E496" s="38"/>
      <c r="F496" s="38"/>
      <c r="G496" s="4"/>
      <c r="H496" s="4"/>
      <c r="I496" s="4"/>
      <c r="J496" s="4"/>
      <c r="K496" s="4"/>
      <c r="L496" s="4"/>
      <c r="M496" s="4"/>
      <c r="N496" s="38"/>
      <c r="O496" s="4"/>
      <c r="P496" s="4"/>
      <c r="Q496" s="4"/>
      <c r="R496" s="4"/>
      <c r="S496" s="4"/>
      <c r="T496" s="38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38"/>
      <c r="AN496" s="4"/>
      <c r="AO496" s="4"/>
      <c r="AP496" s="4"/>
      <c r="AQ496" s="4"/>
      <c r="AR496" s="4"/>
      <c r="AS496" s="4"/>
      <c r="AT496" s="4"/>
      <c r="AU496" s="4"/>
      <c r="AV496" s="4"/>
      <c r="AW496" s="4"/>
      <c r="AX496" s="4"/>
      <c r="AY496" s="4"/>
      <c r="AZ496" s="4"/>
      <c r="BA496" s="4"/>
      <c r="BB496" s="4"/>
      <c r="BC496" s="4"/>
      <c r="BD496" s="4"/>
      <c r="BE496" s="4"/>
      <c r="BF496" s="4"/>
      <c r="BG496" s="4"/>
      <c r="BH496" s="4"/>
      <c r="BI496" s="4"/>
      <c r="BJ496" s="4"/>
      <c r="BK496" s="4"/>
      <c r="BL496" s="4"/>
      <c r="BM496" s="4"/>
      <c r="BN496" s="4"/>
      <c r="BO496" s="4"/>
      <c r="BP496" s="39"/>
      <c r="BQ496" s="39"/>
    </row>
    <row r="497" spans="3:69" ht="15.75" customHeight="1">
      <c r="C497" s="4"/>
      <c r="D497" s="4"/>
      <c r="E497" s="38"/>
      <c r="F497" s="38"/>
      <c r="G497" s="4"/>
      <c r="H497" s="4"/>
      <c r="I497" s="4"/>
      <c r="J497" s="4"/>
      <c r="K497" s="4"/>
      <c r="L497" s="4"/>
      <c r="M497" s="4"/>
      <c r="N497" s="38"/>
      <c r="O497" s="4"/>
      <c r="P497" s="4"/>
      <c r="Q497" s="4"/>
      <c r="R497" s="4"/>
      <c r="S497" s="4"/>
      <c r="T497" s="38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38"/>
      <c r="AN497" s="4"/>
      <c r="AO497" s="4"/>
      <c r="AP497" s="4"/>
      <c r="AQ497" s="4"/>
      <c r="AR497" s="4"/>
      <c r="AS497" s="4"/>
      <c r="AT497" s="4"/>
      <c r="AU497" s="4"/>
      <c r="AV497" s="4"/>
      <c r="AW497" s="4"/>
      <c r="AX497" s="4"/>
      <c r="AY497" s="4"/>
      <c r="AZ497" s="4"/>
      <c r="BA497" s="4"/>
      <c r="BB497" s="4"/>
      <c r="BC497" s="4"/>
      <c r="BD497" s="4"/>
      <c r="BE497" s="4"/>
      <c r="BF497" s="4"/>
      <c r="BG497" s="4"/>
      <c r="BH497" s="4"/>
      <c r="BI497" s="4"/>
      <c r="BJ497" s="4"/>
      <c r="BK497" s="4"/>
      <c r="BL497" s="4"/>
      <c r="BM497" s="4"/>
      <c r="BN497" s="4"/>
      <c r="BO497" s="4"/>
      <c r="BP497" s="39"/>
      <c r="BQ497" s="39"/>
    </row>
    <row r="498" spans="3:69" ht="15.75" customHeight="1">
      <c r="C498" s="4"/>
      <c r="D498" s="4"/>
      <c r="E498" s="38"/>
      <c r="F498" s="38"/>
      <c r="G498" s="4"/>
      <c r="H498" s="4"/>
      <c r="I498" s="4"/>
      <c r="J498" s="4"/>
      <c r="K498" s="4"/>
      <c r="L498" s="4"/>
      <c r="M498" s="4"/>
      <c r="N498" s="38"/>
      <c r="O498" s="4"/>
      <c r="P498" s="4"/>
      <c r="Q498" s="4"/>
      <c r="R498" s="4"/>
      <c r="S498" s="4"/>
      <c r="T498" s="38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38"/>
      <c r="AN498" s="4"/>
      <c r="AO498" s="4"/>
      <c r="AP498" s="4"/>
      <c r="AQ498" s="4"/>
      <c r="AR498" s="4"/>
      <c r="AS498" s="4"/>
      <c r="AT498" s="4"/>
      <c r="AU498" s="4"/>
      <c r="AV498" s="4"/>
      <c r="AW498" s="4"/>
      <c r="AX498" s="4"/>
      <c r="AY498" s="4"/>
      <c r="AZ498" s="4"/>
      <c r="BA498" s="4"/>
      <c r="BB498" s="4"/>
      <c r="BC498" s="4"/>
      <c r="BD498" s="4"/>
      <c r="BE498" s="4"/>
      <c r="BF498" s="4"/>
      <c r="BG498" s="4"/>
      <c r="BH498" s="4"/>
      <c r="BI498" s="4"/>
      <c r="BJ498" s="4"/>
      <c r="BK498" s="4"/>
      <c r="BL498" s="4"/>
      <c r="BM498" s="4"/>
      <c r="BN498" s="4"/>
      <c r="BO498" s="4"/>
      <c r="BP498" s="39"/>
      <c r="BQ498" s="39"/>
    </row>
    <row r="499" spans="3:69" ht="15.75" customHeight="1">
      <c r="C499" s="4"/>
      <c r="D499" s="4"/>
      <c r="E499" s="38"/>
      <c r="F499" s="38"/>
      <c r="G499" s="4"/>
      <c r="H499" s="4"/>
      <c r="I499" s="4"/>
      <c r="J499" s="4"/>
      <c r="K499" s="4"/>
      <c r="L499" s="4"/>
      <c r="M499" s="4"/>
      <c r="N499" s="38"/>
      <c r="O499" s="4"/>
      <c r="P499" s="4"/>
      <c r="Q499" s="4"/>
      <c r="R499" s="4"/>
      <c r="S499" s="4"/>
      <c r="T499" s="38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38"/>
      <c r="AN499" s="4"/>
      <c r="AO499" s="4"/>
      <c r="AP499" s="4"/>
      <c r="AQ499" s="4"/>
      <c r="AR499" s="4"/>
      <c r="AS499" s="4"/>
      <c r="AT499" s="4"/>
      <c r="AU499" s="4"/>
      <c r="AV499" s="4"/>
      <c r="AW499" s="4"/>
      <c r="AX499" s="4"/>
      <c r="AY499" s="4"/>
      <c r="AZ499" s="4"/>
      <c r="BA499" s="4"/>
      <c r="BB499" s="4"/>
      <c r="BC499" s="4"/>
      <c r="BD499" s="4"/>
      <c r="BE499" s="4"/>
      <c r="BF499" s="4"/>
      <c r="BG499" s="4"/>
      <c r="BH499" s="4"/>
      <c r="BI499" s="4"/>
      <c r="BJ499" s="4"/>
      <c r="BK499" s="4"/>
      <c r="BL499" s="4"/>
      <c r="BM499" s="4"/>
      <c r="BN499" s="4"/>
      <c r="BO499" s="4"/>
      <c r="BP499" s="39"/>
      <c r="BQ499" s="39"/>
    </row>
    <row r="500" spans="3:69" ht="15.75" customHeight="1">
      <c r="C500" s="4"/>
      <c r="D500" s="4"/>
      <c r="E500" s="38"/>
      <c r="F500" s="38"/>
      <c r="G500" s="4"/>
      <c r="H500" s="4"/>
      <c r="I500" s="4"/>
      <c r="J500" s="4"/>
      <c r="K500" s="4"/>
      <c r="L500" s="4"/>
      <c r="M500" s="4"/>
      <c r="N500" s="38"/>
      <c r="O500" s="4"/>
      <c r="P500" s="4"/>
      <c r="Q500" s="4"/>
      <c r="R500" s="4"/>
      <c r="S500" s="4"/>
      <c r="T500" s="38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38"/>
      <c r="AN500" s="4"/>
      <c r="AO500" s="4"/>
      <c r="AP500" s="4"/>
      <c r="AQ500" s="4"/>
      <c r="AR500" s="4"/>
      <c r="AS500" s="4"/>
      <c r="AT500" s="4"/>
      <c r="AU500" s="4"/>
      <c r="AV500" s="4"/>
      <c r="AW500" s="4"/>
      <c r="AX500" s="4"/>
      <c r="AY500" s="4"/>
      <c r="AZ500" s="4"/>
      <c r="BA500" s="4"/>
      <c r="BB500" s="4"/>
      <c r="BC500" s="4"/>
      <c r="BD500" s="4"/>
      <c r="BE500" s="4"/>
      <c r="BF500" s="4"/>
      <c r="BG500" s="4"/>
      <c r="BH500" s="4"/>
      <c r="BI500" s="4"/>
      <c r="BJ500" s="4"/>
      <c r="BK500" s="4"/>
      <c r="BL500" s="4"/>
      <c r="BM500" s="4"/>
      <c r="BN500" s="4"/>
      <c r="BO500" s="4"/>
      <c r="BP500" s="39"/>
      <c r="BQ500" s="39"/>
    </row>
    <row r="501" spans="3:69" ht="15.75" customHeight="1">
      <c r="C501" s="4"/>
      <c r="D501" s="4"/>
      <c r="E501" s="38"/>
      <c r="F501" s="38"/>
      <c r="G501" s="4"/>
      <c r="H501" s="4"/>
      <c r="I501" s="4"/>
      <c r="J501" s="4"/>
      <c r="K501" s="4"/>
      <c r="L501" s="4"/>
      <c r="M501" s="4"/>
      <c r="N501" s="38"/>
      <c r="O501" s="4"/>
      <c r="P501" s="4"/>
      <c r="Q501" s="4"/>
      <c r="R501" s="4"/>
      <c r="S501" s="4"/>
      <c r="T501" s="38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38"/>
      <c r="AN501" s="4"/>
      <c r="AO501" s="4"/>
      <c r="AP501" s="4"/>
      <c r="AQ501" s="4"/>
      <c r="AR501" s="4"/>
      <c r="AS501" s="4"/>
      <c r="AT501" s="4"/>
      <c r="AU501" s="4"/>
      <c r="AV501" s="4"/>
      <c r="AW501" s="4"/>
      <c r="AX501" s="4"/>
      <c r="AY501" s="4"/>
      <c r="AZ501" s="4"/>
      <c r="BA501" s="4"/>
      <c r="BB501" s="4"/>
      <c r="BC501" s="4"/>
      <c r="BD501" s="4"/>
      <c r="BE501" s="4"/>
      <c r="BF501" s="4"/>
      <c r="BG501" s="4"/>
      <c r="BH501" s="4"/>
      <c r="BI501" s="4"/>
      <c r="BJ501" s="4"/>
      <c r="BK501" s="4"/>
      <c r="BL501" s="4"/>
      <c r="BM501" s="4"/>
      <c r="BN501" s="4"/>
      <c r="BO501" s="4"/>
      <c r="BP501" s="39"/>
      <c r="BQ501" s="39"/>
    </row>
    <row r="502" spans="3:69" ht="15.75" customHeight="1">
      <c r="C502" s="4"/>
      <c r="D502" s="4"/>
      <c r="E502" s="38"/>
      <c r="F502" s="38"/>
      <c r="G502" s="4"/>
      <c r="H502" s="4"/>
      <c r="I502" s="4"/>
      <c r="J502" s="4"/>
      <c r="K502" s="4"/>
      <c r="L502" s="4"/>
      <c r="M502" s="4"/>
      <c r="N502" s="38"/>
      <c r="O502" s="4"/>
      <c r="P502" s="4"/>
      <c r="Q502" s="4"/>
      <c r="R502" s="4"/>
      <c r="S502" s="4"/>
      <c r="T502" s="38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38"/>
      <c r="AN502" s="4"/>
      <c r="AO502" s="4"/>
      <c r="AP502" s="4"/>
      <c r="AQ502" s="4"/>
      <c r="AR502" s="4"/>
      <c r="AS502" s="4"/>
      <c r="AT502" s="4"/>
      <c r="AU502" s="4"/>
      <c r="AV502" s="4"/>
      <c r="AW502" s="4"/>
      <c r="AX502" s="4"/>
      <c r="AY502" s="4"/>
      <c r="AZ502" s="4"/>
      <c r="BA502" s="4"/>
      <c r="BB502" s="4"/>
      <c r="BC502" s="4"/>
      <c r="BD502" s="4"/>
      <c r="BE502" s="4"/>
      <c r="BF502" s="4"/>
      <c r="BG502" s="4"/>
      <c r="BH502" s="4"/>
      <c r="BI502" s="4"/>
      <c r="BJ502" s="4"/>
      <c r="BK502" s="4"/>
      <c r="BL502" s="4"/>
      <c r="BM502" s="4"/>
      <c r="BN502" s="4"/>
      <c r="BO502" s="4"/>
      <c r="BP502" s="39"/>
      <c r="BQ502" s="39"/>
    </row>
    <row r="503" spans="3:69" ht="15.75" customHeight="1">
      <c r="C503" s="4"/>
      <c r="D503" s="4"/>
      <c r="E503" s="38"/>
      <c r="F503" s="38"/>
      <c r="G503" s="4"/>
      <c r="H503" s="4"/>
      <c r="I503" s="4"/>
      <c r="J503" s="4"/>
      <c r="K503" s="4"/>
      <c r="L503" s="4"/>
      <c r="M503" s="4"/>
      <c r="N503" s="38"/>
      <c r="O503" s="4"/>
      <c r="P503" s="4"/>
      <c r="Q503" s="4"/>
      <c r="R503" s="4"/>
      <c r="S503" s="4"/>
      <c r="T503" s="38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38"/>
      <c r="AN503" s="4"/>
      <c r="AO503" s="4"/>
      <c r="AP503" s="4"/>
      <c r="AQ503" s="4"/>
      <c r="AR503" s="4"/>
      <c r="AS503" s="4"/>
      <c r="AT503" s="4"/>
      <c r="AU503" s="4"/>
      <c r="AV503" s="4"/>
      <c r="AW503" s="4"/>
      <c r="AX503" s="4"/>
      <c r="AY503" s="4"/>
      <c r="AZ503" s="4"/>
      <c r="BA503" s="4"/>
      <c r="BB503" s="4"/>
      <c r="BC503" s="4"/>
      <c r="BD503" s="4"/>
      <c r="BE503" s="4"/>
      <c r="BF503" s="4"/>
      <c r="BG503" s="4"/>
      <c r="BH503" s="4"/>
      <c r="BI503" s="4"/>
      <c r="BJ503" s="4"/>
      <c r="BK503" s="4"/>
      <c r="BL503" s="4"/>
      <c r="BM503" s="4"/>
      <c r="BN503" s="4"/>
      <c r="BO503" s="4"/>
      <c r="BP503" s="39"/>
      <c r="BQ503" s="39"/>
    </row>
    <row r="504" spans="3:69" ht="15.75" customHeight="1">
      <c r="C504" s="4"/>
      <c r="D504" s="4"/>
      <c r="E504" s="38"/>
      <c r="F504" s="38"/>
      <c r="G504" s="4"/>
      <c r="H504" s="4"/>
      <c r="I504" s="4"/>
      <c r="J504" s="4"/>
      <c r="K504" s="4"/>
      <c r="L504" s="4"/>
      <c r="M504" s="4"/>
      <c r="N504" s="38"/>
      <c r="O504" s="4"/>
      <c r="P504" s="4"/>
      <c r="Q504" s="4"/>
      <c r="R504" s="4"/>
      <c r="S504" s="4"/>
      <c r="T504" s="38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38"/>
      <c r="AN504" s="4"/>
      <c r="AO504" s="4"/>
      <c r="AP504" s="4"/>
      <c r="AQ504" s="4"/>
      <c r="AR504" s="4"/>
      <c r="AS504" s="4"/>
      <c r="AT504" s="4"/>
      <c r="AU504" s="4"/>
      <c r="AV504" s="4"/>
      <c r="AW504" s="4"/>
      <c r="AX504" s="4"/>
      <c r="AY504" s="4"/>
      <c r="AZ504" s="4"/>
      <c r="BA504" s="4"/>
      <c r="BB504" s="4"/>
      <c r="BC504" s="4"/>
      <c r="BD504" s="4"/>
      <c r="BE504" s="4"/>
      <c r="BF504" s="4"/>
      <c r="BG504" s="4"/>
      <c r="BH504" s="4"/>
      <c r="BI504" s="4"/>
      <c r="BJ504" s="4"/>
      <c r="BK504" s="4"/>
      <c r="BL504" s="4"/>
      <c r="BM504" s="4"/>
      <c r="BN504" s="4"/>
      <c r="BO504" s="4"/>
      <c r="BP504" s="39"/>
      <c r="BQ504" s="39"/>
    </row>
    <row r="505" spans="3:69" ht="15.75" customHeight="1">
      <c r="C505" s="4"/>
      <c r="D505" s="4"/>
      <c r="E505" s="38"/>
      <c r="F505" s="38"/>
      <c r="G505" s="4"/>
      <c r="H505" s="4"/>
      <c r="I505" s="4"/>
      <c r="J505" s="4"/>
      <c r="K505" s="4"/>
      <c r="L505" s="4"/>
      <c r="M505" s="4"/>
      <c r="N505" s="38"/>
      <c r="O505" s="4"/>
      <c r="P505" s="4"/>
      <c r="Q505" s="4"/>
      <c r="R505" s="4"/>
      <c r="S505" s="4"/>
      <c r="T505" s="38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38"/>
      <c r="AN505" s="4"/>
      <c r="AO505" s="4"/>
      <c r="AP505" s="4"/>
      <c r="AQ505" s="4"/>
      <c r="AR505" s="4"/>
      <c r="AS505" s="4"/>
      <c r="AT505" s="4"/>
      <c r="AU505" s="4"/>
      <c r="AV505" s="4"/>
      <c r="AW505" s="4"/>
      <c r="AX505" s="4"/>
      <c r="AY505" s="4"/>
      <c r="AZ505" s="4"/>
      <c r="BA505" s="4"/>
      <c r="BB505" s="4"/>
      <c r="BC505" s="4"/>
      <c r="BD505" s="4"/>
      <c r="BE505" s="4"/>
      <c r="BF505" s="4"/>
      <c r="BG505" s="4"/>
      <c r="BH505" s="4"/>
      <c r="BI505" s="4"/>
      <c r="BJ505" s="4"/>
      <c r="BK505" s="4"/>
      <c r="BL505" s="4"/>
      <c r="BM505" s="4"/>
      <c r="BN505" s="4"/>
      <c r="BO505" s="4"/>
      <c r="BP505" s="39"/>
      <c r="BQ505" s="39"/>
    </row>
    <row r="506" spans="3:69" ht="15.75" customHeight="1">
      <c r="C506" s="4"/>
      <c r="D506" s="4"/>
      <c r="E506" s="38"/>
      <c r="F506" s="38"/>
      <c r="G506" s="4"/>
      <c r="H506" s="4"/>
      <c r="I506" s="4"/>
      <c r="J506" s="4"/>
      <c r="K506" s="4"/>
      <c r="L506" s="4"/>
      <c r="M506" s="4"/>
      <c r="N506" s="38"/>
      <c r="O506" s="4"/>
      <c r="P506" s="4"/>
      <c r="Q506" s="4"/>
      <c r="R506" s="4"/>
      <c r="S506" s="4"/>
      <c r="T506" s="38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38"/>
      <c r="AN506" s="4"/>
      <c r="AO506" s="4"/>
      <c r="AP506" s="4"/>
      <c r="AQ506" s="4"/>
      <c r="AR506" s="4"/>
      <c r="AS506" s="4"/>
      <c r="AT506" s="4"/>
      <c r="AU506" s="4"/>
      <c r="AV506" s="4"/>
      <c r="AW506" s="4"/>
      <c r="AX506" s="4"/>
      <c r="AY506" s="4"/>
      <c r="AZ506" s="4"/>
      <c r="BA506" s="4"/>
      <c r="BB506" s="4"/>
      <c r="BC506" s="4"/>
      <c r="BD506" s="4"/>
      <c r="BE506" s="4"/>
      <c r="BF506" s="4"/>
      <c r="BG506" s="4"/>
      <c r="BH506" s="4"/>
      <c r="BI506" s="4"/>
      <c r="BJ506" s="4"/>
      <c r="BK506" s="4"/>
      <c r="BL506" s="4"/>
      <c r="BM506" s="4"/>
      <c r="BN506" s="4"/>
      <c r="BO506" s="4"/>
      <c r="BP506" s="39"/>
      <c r="BQ506" s="39"/>
    </row>
    <row r="507" spans="3:69" ht="15.75" customHeight="1">
      <c r="C507" s="4"/>
      <c r="D507" s="4"/>
      <c r="E507" s="38"/>
      <c r="F507" s="38"/>
      <c r="G507" s="4"/>
      <c r="H507" s="4"/>
      <c r="I507" s="4"/>
      <c r="J507" s="4"/>
      <c r="K507" s="4"/>
      <c r="L507" s="4"/>
      <c r="M507" s="4"/>
      <c r="N507" s="38"/>
      <c r="O507" s="4"/>
      <c r="P507" s="4"/>
      <c r="Q507" s="4"/>
      <c r="R507" s="4"/>
      <c r="S507" s="4"/>
      <c r="T507" s="38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38"/>
      <c r="AN507" s="4"/>
      <c r="AO507" s="4"/>
      <c r="AP507" s="4"/>
      <c r="AQ507" s="4"/>
      <c r="AR507" s="4"/>
      <c r="AS507" s="4"/>
      <c r="AT507" s="4"/>
      <c r="AU507" s="4"/>
      <c r="AV507" s="4"/>
      <c r="AW507" s="4"/>
      <c r="AX507" s="4"/>
      <c r="AY507" s="4"/>
      <c r="AZ507" s="4"/>
      <c r="BA507" s="4"/>
      <c r="BB507" s="4"/>
      <c r="BC507" s="4"/>
      <c r="BD507" s="4"/>
      <c r="BE507" s="4"/>
      <c r="BF507" s="4"/>
      <c r="BG507" s="4"/>
      <c r="BH507" s="4"/>
      <c r="BI507" s="4"/>
      <c r="BJ507" s="4"/>
      <c r="BK507" s="4"/>
      <c r="BL507" s="4"/>
      <c r="BM507" s="4"/>
      <c r="BN507" s="4"/>
      <c r="BO507" s="4"/>
      <c r="BP507" s="39"/>
      <c r="BQ507" s="39"/>
    </row>
    <row r="508" spans="3:69" ht="15.75" customHeight="1">
      <c r="C508" s="4"/>
      <c r="D508" s="4"/>
      <c r="E508" s="38"/>
      <c r="F508" s="38"/>
      <c r="G508" s="4"/>
      <c r="H508" s="4"/>
      <c r="I508" s="4"/>
      <c r="J508" s="4"/>
      <c r="K508" s="4"/>
      <c r="L508" s="4"/>
      <c r="M508" s="4"/>
      <c r="N508" s="38"/>
      <c r="O508" s="4"/>
      <c r="P508" s="4"/>
      <c r="Q508" s="4"/>
      <c r="R508" s="4"/>
      <c r="S508" s="4"/>
      <c r="T508" s="38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38"/>
      <c r="AN508" s="4"/>
      <c r="AO508" s="4"/>
      <c r="AP508" s="4"/>
      <c r="AQ508" s="4"/>
      <c r="AR508" s="4"/>
      <c r="AS508" s="4"/>
      <c r="AT508" s="4"/>
      <c r="AU508" s="4"/>
      <c r="AV508" s="4"/>
      <c r="AW508" s="4"/>
      <c r="AX508" s="4"/>
      <c r="AY508" s="4"/>
      <c r="AZ508" s="4"/>
      <c r="BA508" s="4"/>
      <c r="BB508" s="4"/>
      <c r="BC508" s="4"/>
      <c r="BD508" s="4"/>
      <c r="BE508" s="4"/>
      <c r="BF508" s="4"/>
      <c r="BG508" s="4"/>
      <c r="BH508" s="4"/>
      <c r="BI508" s="4"/>
      <c r="BJ508" s="4"/>
      <c r="BK508" s="4"/>
      <c r="BL508" s="4"/>
      <c r="BM508" s="4"/>
      <c r="BN508" s="4"/>
      <c r="BO508" s="4"/>
      <c r="BP508" s="39"/>
      <c r="BQ508" s="39"/>
    </row>
    <row r="509" spans="3:69" ht="15.75" customHeight="1">
      <c r="C509" s="4"/>
      <c r="D509" s="4"/>
      <c r="E509" s="38"/>
      <c r="F509" s="38"/>
      <c r="G509" s="4"/>
      <c r="H509" s="4"/>
      <c r="I509" s="4"/>
      <c r="J509" s="4"/>
      <c r="K509" s="4"/>
      <c r="L509" s="4"/>
      <c r="M509" s="4"/>
      <c r="N509" s="38"/>
      <c r="O509" s="4"/>
      <c r="P509" s="4"/>
      <c r="Q509" s="4"/>
      <c r="R509" s="4"/>
      <c r="S509" s="4"/>
      <c r="T509" s="38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38"/>
      <c r="AN509" s="4"/>
      <c r="AO509" s="4"/>
      <c r="AP509" s="4"/>
      <c r="AQ509" s="4"/>
      <c r="AR509" s="4"/>
      <c r="AS509" s="4"/>
      <c r="AT509" s="4"/>
      <c r="AU509" s="4"/>
      <c r="AV509" s="4"/>
      <c r="AW509" s="4"/>
      <c r="AX509" s="4"/>
      <c r="AY509" s="4"/>
      <c r="AZ509" s="4"/>
      <c r="BA509" s="4"/>
      <c r="BB509" s="4"/>
      <c r="BC509" s="4"/>
      <c r="BD509" s="4"/>
      <c r="BE509" s="4"/>
      <c r="BF509" s="4"/>
      <c r="BG509" s="4"/>
      <c r="BH509" s="4"/>
      <c r="BI509" s="4"/>
      <c r="BJ509" s="4"/>
      <c r="BK509" s="4"/>
      <c r="BL509" s="4"/>
      <c r="BM509" s="4"/>
      <c r="BN509" s="4"/>
      <c r="BO509" s="4"/>
      <c r="BP509" s="39"/>
      <c r="BQ509" s="39"/>
    </row>
    <row r="510" spans="3:69" ht="15.75" customHeight="1">
      <c r="C510" s="4"/>
      <c r="D510" s="4"/>
      <c r="E510" s="38"/>
      <c r="F510" s="38"/>
      <c r="G510" s="4"/>
      <c r="H510" s="4"/>
      <c r="I510" s="4"/>
      <c r="J510" s="4"/>
      <c r="K510" s="4"/>
      <c r="L510" s="4"/>
      <c r="M510" s="4"/>
      <c r="N510" s="38"/>
      <c r="O510" s="4"/>
      <c r="P510" s="4"/>
      <c r="Q510" s="4"/>
      <c r="R510" s="4"/>
      <c r="S510" s="4"/>
      <c r="T510" s="38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38"/>
      <c r="AN510" s="4"/>
      <c r="AO510" s="4"/>
      <c r="AP510" s="4"/>
      <c r="AQ510" s="4"/>
      <c r="AR510" s="4"/>
      <c r="AS510" s="4"/>
      <c r="AT510" s="4"/>
      <c r="AU510" s="4"/>
      <c r="AV510" s="4"/>
      <c r="AW510" s="4"/>
      <c r="AX510" s="4"/>
      <c r="AY510" s="4"/>
      <c r="AZ510" s="4"/>
      <c r="BA510" s="4"/>
      <c r="BB510" s="4"/>
      <c r="BC510" s="4"/>
      <c r="BD510" s="4"/>
      <c r="BE510" s="4"/>
      <c r="BF510" s="4"/>
      <c r="BG510" s="4"/>
      <c r="BH510" s="4"/>
      <c r="BI510" s="4"/>
      <c r="BJ510" s="4"/>
      <c r="BK510" s="4"/>
      <c r="BL510" s="4"/>
      <c r="BM510" s="4"/>
      <c r="BN510" s="4"/>
      <c r="BO510" s="4"/>
      <c r="BP510" s="39"/>
      <c r="BQ510" s="39"/>
    </row>
    <row r="511" spans="3:69" ht="15.75" customHeight="1">
      <c r="C511" s="4"/>
      <c r="D511" s="4"/>
      <c r="E511" s="38"/>
      <c r="F511" s="38"/>
      <c r="G511" s="4"/>
      <c r="H511" s="4"/>
      <c r="I511" s="4"/>
      <c r="J511" s="4"/>
      <c r="K511" s="4"/>
      <c r="L511" s="4"/>
      <c r="M511" s="4"/>
      <c r="N511" s="38"/>
      <c r="O511" s="4"/>
      <c r="P511" s="4"/>
      <c r="Q511" s="4"/>
      <c r="R511" s="4"/>
      <c r="S511" s="4"/>
      <c r="T511" s="38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38"/>
      <c r="AN511" s="4"/>
      <c r="AO511" s="4"/>
      <c r="AP511" s="4"/>
      <c r="AQ511" s="4"/>
      <c r="AR511" s="4"/>
      <c r="AS511" s="4"/>
      <c r="AT511" s="4"/>
      <c r="AU511" s="4"/>
      <c r="AV511" s="4"/>
      <c r="AW511" s="4"/>
      <c r="AX511" s="4"/>
      <c r="AY511" s="4"/>
      <c r="AZ511" s="4"/>
      <c r="BA511" s="4"/>
      <c r="BB511" s="4"/>
      <c r="BC511" s="4"/>
      <c r="BD511" s="4"/>
      <c r="BE511" s="4"/>
      <c r="BF511" s="4"/>
      <c r="BG511" s="4"/>
      <c r="BH511" s="4"/>
      <c r="BI511" s="4"/>
      <c r="BJ511" s="4"/>
      <c r="BK511" s="4"/>
      <c r="BL511" s="4"/>
      <c r="BM511" s="4"/>
      <c r="BN511" s="4"/>
      <c r="BO511" s="4"/>
      <c r="BP511" s="39"/>
      <c r="BQ511" s="39"/>
    </row>
    <row r="512" spans="3:69" ht="15.75" customHeight="1">
      <c r="C512" s="4"/>
      <c r="D512" s="4"/>
      <c r="E512" s="38"/>
      <c r="F512" s="38"/>
      <c r="G512" s="4"/>
      <c r="H512" s="4"/>
      <c r="I512" s="4"/>
      <c r="J512" s="4"/>
      <c r="K512" s="4"/>
      <c r="L512" s="4"/>
      <c r="M512" s="4"/>
      <c r="N512" s="38"/>
      <c r="O512" s="4"/>
      <c r="P512" s="4"/>
      <c r="Q512" s="4"/>
      <c r="R512" s="4"/>
      <c r="S512" s="4"/>
      <c r="T512" s="38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38"/>
      <c r="AN512" s="4"/>
      <c r="AO512" s="4"/>
      <c r="AP512" s="4"/>
      <c r="AQ512" s="4"/>
      <c r="AR512" s="4"/>
      <c r="AS512" s="4"/>
      <c r="AT512" s="4"/>
      <c r="AU512" s="4"/>
      <c r="AV512" s="4"/>
      <c r="AW512" s="4"/>
      <c r="AX512" s="4"/>
      <c r="AY512" s="4"/>
      <c r="AZ512" s="4"/>
      <c r="BA512" s="4"/>
      <c r="BB512" s="4"/>
      <c r="BC512" s="4"/>
      <c r="BD512" s="4"/>
      <c r="BE512" s="4"/>
      <c r="BF512" s="4"/>
      <c r="BG512" s="4"/>
      <c r="BH512" s="4"/>
      <c r="BI512" s="4"/>
      <c r="BJ512" s="4"/>
      <c r="BK512" s="4"/>
      <c r="BL512" s="4"/>
      <c r="BM512" s="4"/>
      <c r="BN512" s="4"/>
      <c r="BO512" s="4"/>
      <c r="BP512" s="39"/>
      <c r="BQ512" s="39"/>
    </row>
    <row r="513" spans="3:69" ht="15.75" customHeight="1">
      <c r="C513" s="4"/>
      <c r="D513" s="4"/>
      <c r="E513" s="38"/>
      <c r="F513" s="38"/>
      <c r="G513" s="4"/>
      <c r="H513" s="4"/>
      <c r="I513" s="4"/>
      <c r="J513" s="4"/>
      <c r="K513" s="4"/>
      <c r="L513" s="4"/>
      <c r="M513" s="4"/>
      <c r="N513" s="38"/>
      <c r="O513" s="4"/>
      <c r="P513" s="4"/>
      <c r="Q513" s="4"/>
      <c r="R513" s="4"/>
      <c r="S513" s="4"/>
      <c r="T513" s="38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38"/>
      <c r="AN513" s="4"/>
      <c r="AO513" s="4"/>
      <c r="AP513" s="4"/>
      <c r="AQ513" s="4"/>
      <c r="AR513" s="4"/>
      <c r="AS513" s="4"/>
      <c r="AT513" s="4"/>
      <c r="AU513" s="4"/>
      <c r="AV513" s="4"/>
      <c r="AW513" s="4"/>
      <c r="AX513" s="4"/>
      <c r="AY513" s="4"/>
      <c r="AZ513" s="4"/>
      <c r="BA513" s="4"/>
      <c r="BB513" s="4"/>
      <c r="BC513" s="4"/>
      <c r="BD513" s="4"/>
      <c r="BE513" s="4"/>
      <c r="BF513" s="4"/>
      <c r="BG513" s="4"/>
      <c r="BH513" s="4"/>
      <c r="BI513" s="4"/>
      <c r="BJ513" s="4"/>
      <c r="BK513" s="4"/>
      <c r="BL513" s="4"/>
      <c r="BM513" s="4"/>
      <c r="BN513" s="4"/>
      <c r="BO513" s="4"/>
      <c r="BP513" s="39"/>
      <c r="BQ513" s="39"/>
    </row>
    <row r="514" spans="3:69" ht="15.75" customHeight="1">
      <c r="C514" s="4"/>
      <c r="D514" s="4"/>
      <c r="E514" s="38"/>
      <c r="F514" s="38"/>
      <c r="G514" s="4"/>
      <c r="H514" s="4"/>
      <c r="I514" s="4"/>
      <c r="J514" s="4"/>
      <c r="K514" s="4"/>
      <c r="L514" s="4"/>
      <c r="M514" s="4"/>
      <c r="N514" s="38"/>
      <c r="O514" s="4"/>
      <c r="P514" s="4"/>
      <c r="Q514" s="4"/>
      <c r="R514" s="4"/>
      <c r="S514" s="4"/>
      <c r="T514" s="38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38"/>
      <c r="AN514" s="4"/>
      <c r="AO514" s="4"/>
      <c r="AP514" s="4"/>
      <c r="AQ514" s="4"/>
      <c r="AR514" s="4"/>
      <c r="AS514" s="4"/>
      <c r="AT514" s="4"/>
      <c r="AU514" s="4"/>
      <c r="AV514" s="4"/>
      <c r="AW514" s="4"/>
      <c r="AX514" s="4"/>
      <c r="AY514" s="4"/>
      <c r="AZ514" s="4"/>
      <c r="BA514" s="4"/>
      <c r="BB514" s="4"/>
      <c r="BC514" s="4"/>
      <c r="BD514" s="4"/>
      <c r="BE514" s="4"/>
      <c r="BF514" s="4"/>
      <c r="BG514" s="4"/>
      <c r="BH514" s="4"/>
      <c r="BI514" s="4"/>
      <c r="BJ514" s="4"/>
      <c r="BK514" s="4"/>
      <c r="BL514" s="4"/>
      <c r="BM514" s="4"/>
      <c r="BN514" s="4"/>
      <c r="BO514" s="4"/>
      <c r="BP514" s="39"/>
      <c r="BQ514" s="39"/>
    </row>
    <row r="515" spans="3:69" ht="15.75" customHeight="1">
      <c r="C515" s="4"/>
      <c r="D515" s="4"/>
      <c r="E515" s="38"/>
      <c r="F515" s="38"/>
      <c r="G515" s="4"/>
      <c r="H515" s="4"/>
      <c r="I515" s="4"/>
      <c r="J515" s="4"/>
      <c r="K515" s="4"/>
      <c r="L515" s="4"/>
      <c r="M515" s="4"/>
      <c r="N515" s="38"/>
      <c r="O515" s="4"/>
      <c r="P515" s="4"/>
      <c r="Q515" s="4"/>
      <c r="R515" s="4"/>
      <c r="S515" s="4"/>
      <c r="T515" s="38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38"/>
      <c r="AN515" s="4"/>
      <c r="AO515" s="4"/>
      <c r="AP515" s="4"/>
      <c r="AQ515" s="4"/>
      <c r="AR515" s="4"/>
      <c r="AS515" s="4"/>
      <c r="AT515" s="4"/>
      <c r="AU515" s="4"/>
      <c r="AV515" s="4"/>
      <c r="AW515" s="4"/>
      <c r="AX515" s="4"/>
      <c r="AY515" s="4"/>
      <c r="AZ515" s="4"/>
      <c r="BA515" s="4"/>
      <c r="BB515" s="4"/>
      <c r="BC515" s="4"/>
      <c r="BD515" s="4"/>
      <c r="BE515" s="4"/>
      <c r="BF515" s="4"/>
      <c r="BG515" s="4"/>
      <c r="BH515" s="4"/>
      <c r="BI515" s="4"/>
      <c r="BJ515" s="4"/>
      <c r="BK515" s="4"/>
      <c r="BL515" s="4"/>
      <c r="BM515" s="4"/>
      <c r="BN515" s="4"/>
      <c r="BO515" s="4"/>
      <c r="BP515" s="39"/>
      <c r="BQ515" s="39"/>
    </row>
    <row r="516" spans="3:69" ht="15.75" customHeight="1">
      <c r="C516" s="4"/>
      <c r="D516" s="4"/>
      <c r="E516" s="38"/>
      <c r="F516" s="38"/>
      <c r="G516" s="4"/>
      <c r="H516" s="4"/>
      <c r="I516" s="4"/>
      <c r="J516" s="4"/>
      <c r="K516" s="4"/>
      <c r="L516" s="4"/>
      <c r="M516" s="4"/>
      <c r="N516" s="38"/>
      <c r="O516" s="4"/>
      <c r="P516" s="4"/>
      <c r="Q516" s="4"/>
      <c r="R516" s="4"/>
      <c r="S516" s="4"/>
      <c r="T516" s="38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38"/>
      <c r="AN516" s="4"/>
      <c r="AO516" s="4"/>
      <c r="AP516" s="4"/>
      <c r="AQ516" s="4"/>
      <c r="AR516" s="4"/>
      <c r="AS516" s="4"/>
      <c r="AT516" s="4"/>
      <c r="AU516" s="4"/>
      <c r="AV516" s="4"/>
      <c r="AW516" s="4"/>
      <c r="AX516" s="4"/>
      <c r="AY516" s="4"/>
      <c r="AZ516" s="4"/>
      <c r="BA516" s="4"/>
      <c r="BB516" s="4"/>
      <c r="BC516" s="4"/>
      <c r="BD516" s="4"/>
      <c r="BE516" s="4"/>
      <c r="BF516" s="4"/>
      <c r="BG516" s="4"/>
      <c r="BH516" s="4"/>
      <c r="BI516" s="4"/>
      <c r="BJ516" s="4"/>
      <c r="BK516" s="4"/>
      <c r="BL516" s="4"/>
      <c r="BM516" s="4"/>
      <c r="BN516" s="4"/>
      <c r="BO516" s="4"/>
      <c r="BP516" s="39"/>
      <c r="BQ516" s="39"/>
    </row>
    <row r="517" spans="3:69" ht="15.75" customHeight="1">
      <c r="C517" s="4"/>
      <c r="D517" s="4"/>
      <c r="E517" s="38"/>
      <c r="F517" s="38"/>
      <c r="G517" s="4"/>
      <c r="H517" s="4"/>
      <c r="I517" s="4"/>
      <c r="J517" s="4"/>
      <c r="K517" s="4"/>
      <c r="L517" s="4"/>
      <c r="M517" s="4"/>
      <c r="N517" s="38"/>
      <c r="O517" s="4"/>
      <c r="P517" s="4"/>
      <c r="Q517" s="4"/>
      <c r="R517" s="4"/>
      <c r="S517" s="4"/>
      <c r="T517" s="38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38"/>
      <c r="AN517" s="4"/>
      <c r="AO517" s="4"/>
      <c r="AP517" s="4"/>
      <c r="AQ517" s="4"/>
      <c r="AR517" s="4"/>
      <c r="AS517" s="4"/>
      <c r="AT517" s="4"/>
      <c r="AU517" s="4"/>
      <c r="AV517" s="4"/>
      <c r="AW517" s="4"/>
      <c r="AX517" s="4"/>
      <c r="AY517" s="4"/>
      <c r="AZ517" s="4"/>
      <c r="BA517" s="4"/>
      <c r="BB517" s="4"/>
      <c r="BC517" s="4"/>
      <c r="BD517" s="4"/>
      <c r="BE517" s="4"/>
      <c r="BF517" s="4"/>
      <c r="BG517" s="4"/>
      <c r="BH517" s="4"/>
      <c r="BI517" s="4"/>
      <c r="BJ517" s="4"/>
      <c r="BK517" s="4"/>
      <c r="BL517" s="4"/>
      <c r="BM517" s="4"/>
      <c r="BN517" s="4"/>
      <c r="BO517" s="4"/>
      <c r="BP517" s="39"/>
      <c r="BQ517" s="39"/>
    </row>
    <row r="518" spans="3:69" ht="15.75" customHeight="1">
      <c r="C518" s="4"/>
      <c r="D518" s="4"/>
      <c r="E518" s="38"/>
      <c r="F518" s="38"/>
      <c r="G518" s="4"/>
      <c r="H518" s="4"/>
      <c r="I518" s="4"/>
      <c r="J518" s="4"/>
      <c r="K518" s="4"/>
      <c r="L518" s="4"/>
      <c r="M518" s="4"/>
      <c r="N518" s="38"/>
      <c r="O518" s="4"/>
      <c r="P518" s="4"/>
      <c r="Q518" s="4"/>
      <c r="R518" s="4"/>
      <c r="S518" s="4"/>
      <c r="T518" s="38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38"/>
      <c r="AN518" s="4"/>
      <c r="AO518" s="4"/>
      <c r="AP518" s="4"/>
      <c r="AQ518" s="4"/>
      <c r="AR518" s="4"/>
      <c r="AS518" s="4"/>
      <c r="AT518" s="4"/>
      <c r="AU518" s="4"/>
      <c r="AV518" s="4"/>
      <c r="AW518" s="4"/>
      <c r="AX518" s="4"/>
      <c r="AY518" s="4"/>
      <c r="AZ518" s="4"/>
      <c r="BA518" s="4"/>
      <c r="BB518" s="4"/>
      <c r="BC518" s="4"/>
      <c r="BD518" s="4"/>
      <c r="BE518" s="4"/>
      <c r="BF518" s="4"/>
      <c r="BG518" s="4"/>
      <c r="BH518" s="4"/>
      <c r="BI518" s="4"/>
      <c r="BJ518" s="4"/>
      <c r="BK518" s="4"/>
      <c r="BL518" s="4"/>
      <c r="BM518" s="4"/>
      <c r="BN518" s="4"/>
      <c r="BO518" s="4"/>
      <c r="BP518" s="39"/>
      <c r="BQ518" s="39"/>
    </row>
    <row r="519" spans="3:69" ht="15.75" customHeight="1">
      <c r="C519" s="4"/>
      <c r="D519" s="4"/>
      <c r="E519" s="38"/>
      <c r="F519" s="38"/>
      <c r="G519" s="4"/>
      <c r="H519" s="4"/>
      <c r="I519" s="4"/>
      <c r="J519" s="4"/>
      <c r="K519" s="4"/>
      <c r="L519" s="4"/>
      <c r="M519" s="4"/>
      <c r="N519" s="38"/>
      <c r="O519" s="4"/>
      <c r="P519" s="4"/>
      <c r="Q519" s="4"/>
      <c r="R519" s="4"/>
      <c r="S519" s="4"/>
      <c r="T519" s="38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38"/>
      <c r="AN519" s="4"/>
      <c r="AO519" s="4"/>
      <c r="AP519" s="4"/>
      <c r="AQ519" s="4"/>
      <c r="AR519" s="4"/>
      <c r="AS519" s="4"/>
      <c r="AT519" s="4"/>
      <c r="AU519" s="4"/>
      <c r="AV519" s="4"/>
      <c r="AW519" s="4"/>
      <c r="AX519" s="4"/>
      <c r="AY519" s="4"/>
      <c r="AZ519" s="4"/>
      <c r="BA519" s="4"/>
      <c r="BB519" s="4"/>
      <c r="BC519" s="4"/>
      <c r="BD519" s="4"/>
      <c r="BE519" s="4"/>
      <c r="BF519" s="4"/>
      <c r="BG519" s="4"/>
      <c r="BH519" s="4"/>
      <c r="BI519" s="4"/>
      <c r="BJ519" s="4"/>
      <c r="BK519" s="4"/>
      <c r="BL519" s="4"/>
      <c r="BM519" s="4"/>
      <c r="BN519" s="4"/>
      <c r="BO519" s="4"/>
      <c r="BP519" s="39"/>
      <c r="BQ519" s="39"/>
    </row>
    <row r="520" spans="3:69" ht="15.75" customHeight="1">
      <c r="C520" s="4"/>
      <c r="D520" s="4"/>
      <c r="E520" s="38"/>
      <c r="F520" s="38"/>
      <c r="G520" s="4"/>
      <c r="H520" s="4"/>
      <c r="I520" s="4"/>
      <c r="J520" s="4"/>
      <c r="K520" s="4"/>
      <c r="L520" s="4"/>
      <c r="M520" s="4"/>
      <c r="N520" s="38"/>
      <c r="O520" s="4"/>
      <c r="P520" s="4"/>
      <c r="Q520" s="4"/>
      <c r="R520" s="4"/>
      <c r="S520" s="4"/>
      <c r="T520" s="38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38"/>
      <c r="AN520" s="4"/>
      <c r="AO520" s="4"/>
      <c r="AP520" s="4"/>
      <c r="AQ520" s="4"/>
      <c r="AR520" s="4"/>
      <c r="AS520" s="4"/>
      <c r="AT520" s="4"/>
      <c r="AU520" s="4"/>
      <c r="AV520" s="4"/>
      <c r="AW520" s="4"/>
      <c r="AX520" s="4"/>
      <c r="AY520" s="4"/>
      <c r="AZ520" s="4"/>
      <c r="BA520" s="4"/>
      <c r="BB520" s="4"/>
      <c r="BC520" s="4"/>
      <c r="BD520" s="4"/>
      <c r="BE520" s="4"/>
      <c r="BF520" s="4"/>
      <c r="BG520" s="4"/>
      <c r="BH520" s="4"/>
      <c r="BI520" s="4"/>
      <c r="BJ520" s="4"/>
      <c r="BK520" s="4"/>
      <c r="BL520" s="4"/>
      <c r="BM520" s="4"/>
      <c r="BN520" s="4"/>
      <c r="BO520" s="4"/>
      <c r="BP520" s="39"/>
      <c r="BQ520" s="39"/>
    </row>
    <row r="521" spans="3:69" ht="15.75" customHeight="1">
      <c r="C521" s="4"/>
      <c r="D521" s="4"/>
      <c r="E521" s="38"/>
      <c r="F521" s="38"/>
      <c r="G521" s="4"/>
      <c r="H521" s="4"/>
      <c r="I521" s="4"/>
      <c r="J521" s="4"/>
      <c r="K521" s="4"/>
      <c r="L521" s="4"/>
      <c r="M521" s="4"/>
      <c r="N521" s="38"/>
      <c r="O521" s="4"/>
      <c r="P521" s="4"/>
      <c r="Q521" s="4"/>
      <c r="R521" s="4"/>
      <c r="S521" s="4"/>
      <c r="T521" s="38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38"/>
      <c r="AN521" s="4"/>
      <c r="AO521" s="4"/>
      <c r="AP521" s="4"/>
      <c r="AQ521" s="4"/>
      <c r="AR521" s="4"/>
      <c r="AS521" s="4"/>
      <c r="AT521" s="4"/>
      <c r="AU521" s="4"/>
      <c r="AV521" s="4"/>
      <c r="AW521" s="4"/>
      <c r="AX521" s="4"/>
      <c r="AY521" s="4"/>
      <c r="AZ521" s="4"/>
      <c r="BA521" s="4"/>
      <c r="BB521" s="4"/>
      <c r="BC521" s="4"/>
      <c r="BD521" s="4"/>
      <c r="BE521" s="4"/>
      <c r="BF521" s="4"/>
      <c r="BG521" s="4"/>
      <c r="BH521" s="4"/>
      <c r="BI521" s="4"/>
      <c r="BJ521" s="4"/>
      <c r="BK521" s="4"/>
      <c r="BL521" s="4"/>
      <c r="BM521" s="4"/>
      <c r="BN521" s="4"/>
      <c r="BO521" s="4"/>
      <c r="BP521" s="39"/>
      <c r="BQ521" s="39"/>
    </row>
    <row r="522" spans="3:69" ht="15.75" customHeight="1">
      <c r="C522" s="4"/>
      <c r="D522" s="4"/>
      <c r="E522" s="38"/>
      <c r="F522" s="38"/>
      <c r="G522" s="4"/>
      <c r="H522" s="4"/>
      <c r="I522" s="4"/>
      <c r="J522" s="4"/>
      <c r="K522" s="4"/>
      <c r="L522" s="4"/>
      <c r="M522" s="4"/>
      <c r="N522" s="38"/>
      <c r="O522" s="4"/>
      <c r="P522" s="4"/>
      <c r="Q522" s="4"/>
      <c r="R522" s="4"/>
      <c r="S522" s="4"/>
      <c r="T522" s="38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38"/>
      <c r="AN522" s="4"/>
      <c r="AO522" s="4"/>
      <c r="AP522" s="4"/>
      <c r="AQ522" s="4"/>
      <c r="AR522" s="4"/>
      <c r="AS522" s="4"/>
      <c r="AT522" s="4"/>
      <c r="AU522" s="4"/>
      <c r="AV522" s="4"/>
      <c r="AW522" s="4"/>
      <c r="AX522" s="4"/>
      <c r="AY522" s="4"/>
      <c r="AZ522" s="4"/>
      <c r="BA522" s="4"/>
      <c r="BB522" s="4"/>
      <c r="BC522" s="4"/>
      <c r="BD522" s="4"/>
      <c r="BE522" s="4"/>
      <c r="BF522" s="4"/>
      <c r="BG522" s="4"/>
      <c r="BH522" s="4"/>
      <c r="BI522" s="4"/>
      <c r="BJ522" s="4"/>
      <c r="BK522" s="4"/>
      <c r="BL522" s="4"/>
      <c r="BM522" s="4"/>
      <c r="BN522" s="4"/>
      <c r="BO522" s="4"/>
      <c r="BP522" s="39"/>
      <c r="BQ522" s="39"/>
    </row>
    <row r="523" spans="3:69" ht="15.75" customHeight="1">
      <c r="C523" s="4"/>
      <c r="D523" s="4"/>
      <c r="E523" s="38"/>
      <c r="F523" s="38"/>
      <c r="G523" s="4"/>
      <c r="H523" s="4"/>
      <c r="I523" s="4"/>
      <c r="J523" s="4"/>
      <c r="K523" s="4"/>
      <c r="L523" s="4"/>
      <c r="M523" s="4"/>
      <c r="N523" s="38"/>
      <c r="O523" s="4"/>
      <c r="P523" s="4"/>
      <c r="Q523" s="4"/>
      <c r="R523" s="4"/>
      <c r="S523" s="4"/>
      <c r="T523" s="38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38"/>
      <c r="AN523" s="4"/>
      <c r="AO523" s="4"/>
      <c r="AP523" s="4"/>
      <c r="AQ523" s="4"/>
      <c r="AR523" s="4"/>
      <c r="AS523" s="4"/>
      <c r="AT523" s="4"/>
      <c r="AU523" s="4"/>
      <c r="AV523" s="4"/>
      <c r="AW523" s="4"/>
      <c r="AX523" s="4"/>
      <c r="AY523" s="4"/>
      <c r="AZ523" s="4"/>
      <c r="BA523" s="4"/>
      <c r="BB523" s="4"/>
      <c r="BC523" s="4"/>
      <c r="BD523" s="4"/>
      <c r="BE523" s="4"/>
      <c r="BF523" s="4"/>
      <c r="BG523" s="4"/>
      <c r="BH523" s="4"/>
      <c r="BI523" s="4"/>
      <c r="BJ523" s="4"/>
      <c r="BK523" s="4"/>
      <c r="BL523" s="4"/>
      <c r="BM523" s="4"/>
      <c r="BN523" s="4"/>
      <c r="BO523" s="4"/>
      <c r="BP523" s="39"/>
      <c r="BQ523" s="39"/>
    </row>
    <row r="524" spans="3:69" ht="15.75" customHeight="1">
      <c r="C524" s="4"/>
      <c r="D524" s="4"/>
      <c r="E524" s="38"/>
      <c r="F524" s="38"/>
      <c r="G524" s="4"/>
      <c r="H524" s="4"/>
      <c r="I524" s="4"/>
      <c r="J524" s="4"/>
      <c r="K524" s="4"/>
      <c r="L524" s="4"/>
      <c r="M524" s="4"/>
      <c r="N524" s="38"/>
      <c r="O524" s="4"/>
      <c r="P524" s="4"/>
      <c r="Q524" s="4"/>
      <c r="R524" s="4"/>
      <c r="S524" s="4"/>
      <c r="T524" s="38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38"/>
      <c r="AN524" s="4"/>
      <c r="AO524" s="4"/>
      <c r="AP524" s="4"/>
      <c r="AQ524" s="4"/>
      <c r="AR524" s="4"/>
      <c r="AS524" s="4"/>
      <c r="AT524" s="4"/>
      <c r="AU524" s="4"/>
      <c r="AV524" s="4"/>
      <c r="AW524" s="4"/>
      <c r="AX524" s="4"/>
      <c r="AY524" s="4"/>
      <c r="AZ524" s="4"/>
      <c r="BA524" s="4"/>
      <c r="BB524" s="4"/>
      <c r="BC524" s="4"/>
      <c r="BD524" s="4"/>
      <c r="BE524" s="4"/>
      <c r="BF524" s="4"/>
      <c r="BG524" s="4"/>
      <c r="BH524" s="4"/>
      <c r="BI524" s="4"/>
      <c r="BJ524" s="4"/>
      <c r="BK524" s="4"/>
      <c r="BL524" s="4"/>
      <c r="BM524" s="4"/>
      <c r="BN524" s="4"/>
      <c r="BO524" s="4"/>
      <c r="BP524" s="39"/>
      <c r="BQ524" s="39"/>
    </row>
    <row r="525" spans="3:69" ht="15.75" customHeight="1">
      <c r="C525" s="4"/>
      <c r="D525" s="4"/>
      <c r="E525" s="38"/>
      <c r="F525" s="38"/>
      <c r="G525" s="4"/>
      <c r="H525" s="4"/>
      <c r="I525" s="4"/>
      <c r="J525" s="4"/>
      <c r="K525" s="4"/>
      <c r="L525" s="4"/>
      <c r="M525" s="4"/>
      <c r="N525" s="38"/>
      <c r="O525" s="4"/>
      <c r="P525" s="4"/>
      <c r="Q525" s="4"/>
      <c r="R525" s="4"/>
      <c r="S525" s="4"/>
      <c r="T525" s="38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38"/>
      <c r="AN525" s="4"/>
      <c r="AO525" s="4"/>
      <c r="AP525" s="4"/>
      <c r="AQ525" s="4"/>
      <c r="AR525" s="4"/>
      <c r="AS525" s="4"/>
      <c r="AT525" s="4"/>
      <c r="AU525" s="4"/>
      <c r="AV525" s="4"/>
      <c r="AW525" s="4"/>
      <c r="AX525" s="4"/>
      <c r="AY525" s="4"/>
      <c r="AZ525" s="4"/>
      <c r="BA525" s="4"/>
      <c r="BB525" s="4"/>
      <c r="BC525" s="4"/>
      <c r="BD525" s="4"/>
      <c r="BE525" s="4"/>
      <c r="BF525" s="4"/>
      <c r="BG525" s="4"/>
      <c r="BH525" s="4"/>
      <c r="BI525" s="4"/>
      <c r="BJ525" s="4"/>
      <c r="BK525" s="4"/>
      <c r="BL525" s="4"/>
      <c r="BM525" s="4"/>
      <c r="BN525" s="4"/>
      <c r="BO525" s="4"/>
      <c r="BP525" s="39"/>
      <c r="BQ525" s="39"/>
    </row>
    <row r="526" spans="3:69" ht="15.75" customHeight="1">
      <c r="C526" s="4"/>
      <c r="D526" s="4"/>
      <c r="E526" s="38"/>
      <c r="F526" s="38"/>
      <c r="G526" s="4"/>
      <c r="H526" s="4"/>
      <c r="I526" s="4"/>
      <c r="J526" s="4"/>
      <c r="K526" s="4"/>
      <c r="L526" s="4"/>
      <c r="M526" s="4"/>
      <c r="N526" s="38"/>
      <c r="O526" s="4"/>
      <c r="P526" s="4"/>
      <c r="Q526" s="4"/>
      <c r="R526" s="4"/>
      <c r="S526" s="4"/>
      <c r="T526" s="38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38"/>
      <c r="AN526" s="4"/>
      <c r="AO526" s="4"/>
      <c r="AP526" s="4"/>
      <c r="AQ526" s="4"/>
      <c r="AR526" s="4"/>
      <c r="AS526" s="4"/>
      <c r="AT526" s="4"/>
      <c r="AU526" s="4"/>
      <c r="AV526" s="4"/>
      <c r="AW526" s="4"/>
      <c r="AX526" s="4"/>
      <c r="AY526" s="4"/>
      <c r="AZ526" s="4"/>
      <c r="BA526" s="4"/>
      <c r="BB526" s="4"/>
      <c r="BC526" s="4"/>
      <c r="BD526" s="4"/>
      <c r="BE526" s="4"/>
      <c r="BF526" s="4"/>
      <c r="BG526" s="4"/>
      <c r="BH526" s="4"/>
      <c r="BI526" s="4"/>
      <c r="BJ526" s="4"/>
      <c r="BK526" s="4"/>
      <c r="BL526" s="4"/>
      <c r="BM526" s="4"/>
      <c r="BN526" s="4"/>
      <c r="BO526" s="4"/>
      <c r="BP526" s="39"/>
      <c r="BQ526" s="39"/>
    </row>
    <row r="527" spans="3:69" ht="15.75" customHeight="1">
      <c r="C527" s="4"/>
      <c r="D527" s="4"/>
      <c r="E527" s="38"/>
      <c r="F527" s="38"/>
      <c r="G527" s="4"/>
      <c r="H527" s="4"/>
      <c r="I527" s="4"/>
      <c r="J527" s="4"/>
      <c r="K527" s="4"/>
      <c r="L527" s="4"/>
      <c r="M527" s="4"/>
      <c r="N527" s="38"/>
      <c r="O527" s="4"/>
      <c r="P527" s="4"/>
      <c r="Q527" s="4"/>
      <c r="R527" s="4"/>
      <c r="S527" s="4"/>
      <c r="T527" s="38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38"/>
      <c r="AN527" s="4"/>
      <c r="AO527" s="4"/>
      <c r="AP527" s="4"/>
      <c r="AQ527" s="4"/>
      <c r="AR527" s="4"/>
      <c r="AS527" s="4"/>
      <c r="AT527" s="4"/>
      <c r="AU527" s="4"/>
      <c r="AV527" s="4"/>
      <c r="AW527" s="4"/>
      <c r="AX527" s="4"/>
      <c r="AY527" s="4"/>
      <c r="AZ527" s="4"/>
      <c r="BA527" s="4"/>
      <c r="BB527" s="4"/>
      <c r="BC527" s="4"/>
      <c r="BD527" s="4"/>
      <c r="BE527" s="4"/>
      <c r="BF527" s="4"/>
      <c r="BG527" s="4"/>
      <c r="BH527" s="4"/>
      <c r="BI527" s="4"/>
      <c r="BJ527" s="4"/>
      <c r="BK527" s="4"/>
      <c r="BL527" s="4"/>
      <c r="BM527" s="4"/>
      <c r="BN527" s="4"/>
      <c r="BO527" s="4"/>
      <c r="BP527" s="39"/>
      <c r="BQ527" s="39"/>
    </row>
    <row r="528" spans="3:69" ht="15.75" customHeight="1">
      <c r="C528" s="4"/>
      <c r="D528" s="4"/>
      <c r="E528" s="38"/>
      <c r="F528" s="38"/>
      <c r="G528" s="4"/>
      <c r="H528" s="4"/>
      <c r="I528" s="4"/>
      <c r="J528" s="4"/>
      <c r="K528" s="4"/>
      <c r="L528" s="4"/>
      <c r="M528" s="4"/>
      <c r="N528" s="38"/>
      <c r="O528" s="4"/>
      <c r="P528" s="4"/>
      <c r="Q528" s="4"/>
      <c r="R528" s="4"/>
      <c r="S528" s="4"/>
      <c r="T528" s="38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38"/>
      <c r="AN528" s="4"/>
      <c r="AO528" s="4"/>
      <c r="AP528" s="4"/>
      <c r="AQ528" s="4"/>
      <c r="AR528" s="4"/>
      <c r="AS528" s="4"/>
      <c r="AT528" s="4"/>
      <c r="AU528" s="4"/>
      <c r="AV528" s="4"/>
      <c r="AW528" s="4"/>
      <c r="AX528" s="4"/>
      <c r="AY528" s="4"/>
      <c r="AZ528" s="4"/>
      <c r="BA528" s="4"/>
      <c r="BB528" s="4"/>
      <c r="BC528" s="4"/>
      <c r="BD528" s="4"/>
      <c r="BE528" s="4"/>
      <c r="BF528" s="4"/>
      <c r="BG528" s="4"/>
      <c r="BH528" s="4"/>
      <c r="BI528" s="4"/>
      <c r="BJ528" s="4"/>
      <c r="BK528" s="4"/>
      <c r="BL528" s="4"/>
      <c r="BM528" s="4"/>
      <c r="BN528" s="4"/>
      <c r="BO528" s="4"/>
      <c r="BP528" s="39"/>
      <c r="BQ528" s="39"/>
    </row>
    <row r="529" spans="3:69" ht="15.75" customHeight="1">
      <c r="C529" s="4"/>
      <c r="D529" s="4"/>
      <c r="E529" s="38"/>
      <c r="F529" s="38"/>
      <c r="G529" s="4"/>
      <c r="H529" s="4"/>
      <c r="I529" s="4"/>
      <c r="J529" s="4"/>
      <c r="K529" s="4"/>
      <c r="L529" s="4"/>
      <c r="M529" s="4"/>
      <c r="N529" s="38"/>
      <c r="O529" s="4"/>
      <c r="P529" s="4"/>
      <c r="Q529" s="4"/>
      <c r="R529" s="4"/>
      <c r="S529" s="4"/>
      <c r="T529" s="38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38"/>
      <c r="AN529" s="4"/>
      <c r="AO529" s="4"/>
      <c r="AP529" s="4"/>
      <c r="AQ529" s="4"/>
      <c r="AR529" s="4"/>
      <c r="AS529" s="4"/>
      <c r="AT529" s="4"/>
      <c r="AU529" s="4"/>
      <c r="AV529" s="4"/>
      <c r="AW529" s="4"/>
      <c r="AX529" s="4"/>
      <c r="AY529" s="4"/>
      <c r="AZ529" s="4"/>
      <c r="BA529" s="4"/>
      <c r="BB529" s="4"/>
      <c r="BC529" s="4"/>
      <c r="BD529" s="4"/>
      <c r="BE529" s="4"/>
      <c r="BF529" s="4"/>
      <c r="BG529" s="4"/>
      <c r="BH529" s="4"/>
      <c r="BI529" s="4"/>
      <c r="BJ529" s="4"/>
      <c r="BK529" s="4"/>
      <c r="BL529" s="4"/>
      <c r="BM529" s="4"/>
      <c r="BN529" s="4"/>
      <c r="BO529" s="4"/>
      <c r="BP529" s="39"/>
      <c r="BQ529" s="39"/>
    </row>
    <row r="530" spans="3:69" ht="15.75" customHeight="1">
      <c r="C530" s="4"/>
      <c r="D530" s="4"/>
      <c r="E530" s="38"/>
      <c r="F530" s="38"/>
      <c r="G530" s="4"/>
      <c r="H530" s="4"/>
      <c r="I530" s="4"/>
      <c r="J530" s="4"/>
      <c r="K530" s="4"/>
      <c r="L530" s="4"/>
      <c r="M530" s="4"/>
      <c r="N530" s="38"/>
      <c r="O530" s="4"/>
      <c r="P530" s="4"/>
      <c r="Q530" s="4"/>
      <c r="R530" s="4"/>
      <c r="S530" s="4"/>
      <c r="T530" s="38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38"/>
      <c r="AN530" s="4"/>
      <c r="AO530" s="4"/>
      <c r="AP530" s="4"/>
      <c r="AQ530" s="4"/>
      <c r="AR530" s="4"/>
      <c r="AS530" s="4"/>
      <c r="AT530" s="4"/>
      <c r="AU530" s="4"/>
      <c r="AV530" s="4"/>
      <c r="AW530" s="4"/>
      <c r="AX530" s="4"/>
      <c r="AY530" s="4"/>
      <c r="AZ530" s="4"/>
      <c r="BA530" s="4"/>
      <c r="BB530" s="4"/>
      <c r="BC530" s="4"/>
      <c r="BD530" s="4"/>
      <c r="BE530" s="4"/>
      <c r="BF530" s="4"/>
      <c r="BG530" s="4"/>
      <c r="BH530" s="4"/>
      <c r="BI530" s="4"/>
      <c r="BJ530" s="4"/>
      <c r="BK530" s="4"/>
      <c r="BL530" s="4"/>
      <c r="BM530" s="4"/>
      <c r="BN530" s="4"/>
      <c r="BO530" s="4"/>
      <c r="BP530" s="39"/>
      <c r="BQ530" s="39"/>
    </row>
    <row r="531" spans="3:69" ht="15.75" customHeight="1">
      <c r="C531" s="4"/>
      <c r="D531" s="4"/>
      <c r="E531" s="38"/>
      <c r="F531" s="38"/>
      <c r="G531" s="4"/>
      <c r="H531" s="4"/>
      <c r="I531" s="4"/>
      <c r="J531" s="4"/>
      <c r="K531" s="4"/>
      <c r="L531" s="4"/>
      <c r="M531" s="4"/>
      <c r="N531" s="38"/>
      <c r="O531" s="4"/>
      <c r="P531" s="4"/>
      <c r="Q531" s="4"/>
      <c r="R531" s="4"/>
      <c r="S531" s="4"/>
      <c r="T531" s="38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38"/>
      <c r="AN531" s="4"/>
      <c r="AO531" s="4"/>
      <c r="AP531" s="4"/>
      <c r="AQ531" s="4"/>
      <c r="AR531" s="4"/>
      <c r="AS531" s="4"/>
      <c r="AT531" s="4"/>
      <c r="AU531" s="4"/>
      <c r="AV531" s="4"/>
      <c r="AW531" s="4"/>
      <c r="AX531" s="4"/>
      <c r="AY531" s="4"/>
      <c r="AZ531" s="4"/>
      <c r="BA531" s="4"/>
      <c r="BB531" s="4"/>
      <c r="BC531" s="4"/>
      <c r="BD531" s="4"/>
      <c r="BE531" s="4"/>
      <c r="BF531" s="4"/>
      <c r="BG531" s="4"/>
      <c r="BH531" s="4"/>
      <c r="BI531" s="4"/>
      <c r="BJ531" s="4"/>
      <c r="BK531" s="4"/>
      <c r="BL531" s="4"/>
      <c r="BM531" s="4"/>
      <c r="BN531" s="4"/>
      <c r="BO531" s="4"/>
      <c r="BP531" s="39"/>
      <c r="BQ531" s="39"/>
    </row>
    <row r="532" spans="3:69" ht="15.75" customHeight="1">
      <c r="C532" s="4"/>
      <c r="D532" s="4"/>
      <c r="E532" s="38"/>
      <c r="F532" s="38"/>
      <c r="G532" s="4"/>
      <c r="H532" s="4"/>
      <c r="I532" s="4"/>
      <c r="J532" s="4"/>
      <c r="K532" s="4"/>
      <c r="L532" s="4"/>
      <c r="M532" s="4"/>
      <c r="N532" s="38"/>
      <c r="O532" s="4"/>
      <c r="P532" s="4"/>
      <c r="Q532" s="4"/>
      <c r="R532" s="4"/>
      <c r="S532" s="4"/>
      <c r="T532" s="38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38"/>
      <c r="AN532" s="4"/>
      <c r="AO532" s="4"/>
      <c r="AP532" s="4"/>
      <c r="AQ532" s="4"/>
      <c r="AR532" s="4"/>
      <c r="AS532" s="4"/>
      <c r="AT532" s="4"/>
      <c r="AU532" s="4"/>
      <c r="AV532" s="4"/>
      <c r="AW532" s="4"/>
      <c r="AX532" s="4"/>
      <c r="AY532" s="4"/>
      <c r="AZ532" s="4"/>
      <c r="BA532" s="4"/>
      <c r="BB532" s="4"/>
      <c r="BC532" s="4"/>
      <c r="BD532" s="4"/>
      <c r="BE532" s="4"/>
      <c r="BF532" s="4"/>
      <c r="BG532" s="4"/>
      <c r="BH532" s="4"/>
      <c r="BI532" s="4"/>
      <c r="BJ532" s="4"/>
      <c r="BK532" s="4"/>
      <c r="BL532" s="4"/>
      <c r="BM532" s="4"/>
      <c r="BN532" s="4"/>
      <c r="BO532" s="4"/>
      <c r="BP532" s="39"/>
      <c r="BQ532" s="39"/>
    </row>
    <row r="533" spans="3:69" ht="15.75" customHeight="1">
      <c r="C533" s="4"/>
      <c r="D533" s="4"/>
      <c r="E533" s="38"/>
      <c r="F533" s="38"/>
      <c r="G533" s="4"/>
      <c r="H533" s="4"/>
      <c r="I533" s="4"/>
      <c r="J533" s="4"/>
      <c r="K533" s="4"/>
      <c r="L533" s="4"/>
      <c r="M533" s="4"/>
      <c r="N533" s="38"/>
      <c r="O533" s="4"/>
      <c r="P533" s="4"/>
      <c r="Q533" s="4"/>
      <c r="R533" s="4"/>
      <c r="S533" s="4"/>
      <c r="T533" s="38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38"/>
      <c r="AN533" s="4"/>
      <c r="AO533" s="4"/>
      <c r="AP533" s="4"/>
      <c r="AQ533" s="4"/>
      <c r="AR533" s="4"/>
      <c r="AS533" s="4"/>
      <c r="AT533" s="4"/>
      <c r="AU533" s="4"/>
      <c r="AV533" s="4"/>
      <c r="AW533" s="4"/>
      <c r="AX533" s="4"/>
      <c r="AY533" s="4"/>
      <c r="AZ533" s="4"/>
      <c r="BA533" s="4"/>
      <c r="BB533" s="4"/>
      <c r="BC533" s="4"/>
      <c r="BD533" s="4"/>
      <c r="BE533" s="4"/>
      <c r="BF533" s="4"/>
      <c r="BG533" s="4"/>
      <c r="BH533" s="4"/>
      <c r="BI533" s="4"/>
      <c r="BJ533" s="4"/>
      <c r="BK533" s="4"/>
      <c r="BL533" s="4"/>
      <c r="BM533" s="4"/>
      <c r="BN533" s="4"/>
      <c r="BO533" s="4"/>
      <c r="BP533" s="39"/>
      <c r="BQ533" s="39"/>
    </row>
    <row r="534" spans="3:69" ht="15.75" customHeight="1">
      <c r="C534" s="4"/>
      <c r="D534" s="4"/>
      <c r="E534" s="38"/>
      <c r="F534" s="38"/>
      <c r="G534" s="4"/>
      <c r="H534" s="4"/>
      <c r="I534" s="4"/>
      <c r="J534" s="4"/>
      <c r="K534" s="4"/>
      <c r="L534" s="4"/>
      <c r="M534" s="4"/>
      <c r="N534" s="38"/>
      <c r="O534" s="4"/>
      <c r="P534" s="4"/>
      <c r="Q534" s="4"/>
      <c r="R534" s="4"/>
      <c r="S534" s="4"/>
      <c r="T534" s="38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38"/>
      <c r="AN534" s="4"/>
      <c r="AO534" s="4"/>
      <c r="AP534" s="4"/>
      <c r="AQ534" s="4"/>
      <c r="AR534" s="4"/>
      <c r="AS534" s="4"/>
      <c r="AT534" s="4"/>
      <c r="AU534" s="4"/>
      <c r="AV534" s="4"/>
      <c r="AW534" s="4"/>
      <c r="AX534" s="4"/>
      <c r="AY534" s="4"/>
      <c r="AZ534" s="4"/>
      <c r="BA534" s="4"/>
      <c r="BB534" s="4"/>
      <c r="BC534" s="4"/>
      <c r="BD534" s="4"/>
      <c r="BE534" s="4"/>
      <c r="BF534" s="4"/>
      <c r="BG534" s="4"/>
      <c r="BH534" s="4"/>
      <c r="BI534" s="4"/>
      <c r="BJ534" s="4"/>
      <c r="BK534" s="4"/>
      <c r="BL534" s="4"/>
      <c r="BM534" s="4"/>
      <c r="BN534" s="4"/>
      <c r="BO534" s="4"/>
      <c r="BP534" s="39"/>
      <c r="BQ534" s="39"/>
    </row>
    <row r="535" spans="3:69" ht="15.75" customHeight="1">
      <c r="C535" s="4"/>
      <c r="D535" s="4"/>
      <c r="E535" s="38"/>
      <c r="F535" s="38"/>
      <c r="G535" s="4"/>
      <c r="H535" s="4"/>
      <c r="I535" s="4"/>
      <c r="J535" s="4"/>
      <c r="K535" s="4"/>
      <c r="L535" s="4"/>
      <c r="M535" s="4"/>
      <c r="N535" s="38"/>
      <c r="O535" s="4"/>
      <c r="P535" s="4"/>
      <c r="Q535" s="4"/>
      <c r="R535" s="4"/>
      <c r="S535" s="4"/>
      <c r="T535" s="38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38"/>
      <c r="AN535" s="4"/>
      <c r="AO535" s="4"/>
      <c r="AP535" s="4"/>
      <c r="AQ535" s="4"/>
      <c r="AR535" s="4"/>
      <c r="AS535" s="4"/>
      <c r="AT535" s="4"/>
      <c r="AU535" s="4"/>
      <c r="AV535" s="4"/>
      <c r="AW535" s="4"/>
      <c r="AX535" s="4"/>
      <c r="AY535" s="4"/>
      <c r="AZ535" s="4"/>
      <c r="BA535" s="4"/>
      <c r="BB535" s="4"/>
      <c r="BC535" s="4"/>
      <c r="BD535" s="4"/>
      <c r="BE535" s="4"/>
      <c r="BF535" s="4"/>
      <c r="BG535" s="4"/>
      <c r="BH535" s="4"/>
      <c r="BI535" s="4"/>
      <c r="BJ535" s="4"/>
      <c r="BK535" s="4"/>
      <c r="BL535" s="4"/>
      <c r="BM535" s="4"/>
      <c r="BN535" s="4"/>
      <c r="BO535" s="4"/>
      <c r="BP535" s="39"/>
      <c r="BQ535" s="39"/>
    </row>
    <row r="536" spans="3:69" ht="15.75" customHeight="1">
      <c r="C536" s="4"/>
      <c r="D536" s="4"/>
      <c r="E536" s="38"/>
      <c r="F536" s="38"/>
      <c r="G536" s="4"/>
      <c r="H536" s="4"/>
      <c r="I536" s="4"/>
      <c r="J536" s="4"/>
      <c r="K536" s="4"/>
      <c r="L536" s="4"/>
      <c r="M536" s="4"/>
      <c r="N536" s="38"/>
      <c r="O536" s="4"/>
      <c r="P536" s="4"/>
      <c r="Q536" s="4"/>
      <c r="R536" s="4"/>
      <c r="S536" s="4"/>
      <c r="T536" s="38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38"/>
      <c r="AN536" s="4"/>
      <c r="AO536" s="4"/>
      <c r="AP536" s="4"/>
      <c r="AQ536" s="4"/>
      <c r="AR536" s="4"/>
      <c r="AS536" s="4"/>
      <c r="AT536" s="4"/>
      <c r="AU536" s="4"/>
      <c r="AV536" s="4"/>
      <c r="AW536" s="4"/>
      <c r="AX536" s="4"/>
      <c r="AY536" s="4"/>
      <c r="AZ536" s="4"/>
      <c r="BA536" s="4"/>
      <c r="BB536" s="4"/>
      <c r="BC536" s="4"/>
      <c r="BD536" s="4"/>
      <c r="BE536" s="4"/>
      <c r="BF536" s="4"/>
      <c r="BG536" s="4"/>
      <c r="BH536" s="4"/>
      <c r="BI536" s="4"/>
      <c r="BJ536" s="4"/>
      <c r="BK536" s="4"/>
      <c r="BL536" s="4"/>
      <c r="BM536" s="4"/>
      <c r="BN536" s="4"/>
      <c r="BO536" s="4"/>
      <c r="BP536" s="39"/>
      <c r="BQ536" s="39"/>
    </row>
    <row r="537" spans="3:69" ht="15.75" customHeight="1">
      <c r="C537" s="4"/>
      <c r="D537" s="4"/>
      <c r="E537" s="38"/>
      <c r="F537" s="38"/>
      <c r="G537" s="4"/>
      <c r="H537" s="4"/>
      <c r="I537" s="4"/>
      <c r="J537" s="4"/>
      <c r="K537" s="4"/>
      <c r="L537" s="4"/>
      <c r="M537" s="4"/>
      <c r="N537" s="38"/>
      <c r="O537" s="4"/>
      <c r="P537" s="4"/>
      <c r="Q537" s="4"/>
      <c r="R537" s="4"/>
      <c r="S537" s="4"/>
      <c r="T537" s="38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38"/>
      <c r="AN537" s="4"/>
      <c r="AO537" s="4"/>
      <c r="AP537" s="4"/>
      <c r="AQ537" s="4"/>
      <c r="AR537" s="4"/>
      <c r="AS537" s="4"/>
      <c r="AT537" s="4"/>
      <c r="AU537" s="4"/>
      <c r="AV537" s="4"/>
      <c r="AW537" s="4"/>
      <c r="AX537" s="4"/>
      <c r="AY537" s="4"/>
      <c r="AZ537" s="4"/>
      <c r="BA537" s="4"/>
      <c r="BB537" s="4"/>
      <c r="BC537" s="4"/>
      <c r="BD537" s="4"/>
      <c r="BE537" s="4"/>
      <c r="BF537" s="4"/>
      <c r="BG537" s="4"/>
      <c r="BH537" s="4"/>
      <c r="BI537" s="4"/>
      <c r="BJ537" s="4"/>
      <c r="BK537" s="4"/>
      <c r="BL537" s="4"/>
      <c r="BM537" s="4"/>
      <c r="BN537" s="4"/>
      <c r="BO537" s="4"/>
      <c r="BP537" s="39"/>
      <c r="BQ537" s="39"/>
    </row>
    <row r="538" spans="3:69" ht="15.75" customHeight="1">
      <c r="C538" s="4"/>
      <c r="D538" s="4"/>
      <c r="E538" s="38"/>
      <c r="F538" s="38"/>
      <c r="G538" s="4"/>
      <c r="H538" s="4"/>
      <c r="I538" s="4"/>
      <c r="J538" s="4"/>
      <c r="K538" s="4"/>
      <c r="L538" s="4"/>
      <c r="M538" s="4"/>
      <c r="N538" s="38"/>
      <c r="O538" s="4"/>
      <c r="P538" s="4"/>
      <c r="Q538" s="4"/>
      <c r="R538" s="4"/>
      <c r="S538" s="4"/>
      <c r="T538" s="38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38"/>
      <c r="AN538" s="4"/>
      <c r="AO538" s="4"/>
      <c r="AP538" s="4"/>
      <c r="AQ538" s="4"/>
      <c r="AR538" s="4"/>
      <c r="AS538" s="4"/>
      <c r="AT538" s="4"/>
      <c r="AU538" s="4"/>
      <c r="AV538" s="4"/>
      <c r="AW538" s="4"/>
      <c r="AX538" s="4"/>
      <c r="AY538" s="4"/>
      <c r="AZ538" s="4"/>
      <c r="BA538" s="4"/>
      <c r="BB538" s="4"/>
      <c r="BC538" s="4"/>
      <c r="BD538" s="4"/>
      <c r="BE538" s="4"/>
      <c r="BF538" s="4"/>
      <c r="BG538" s="4"/>
      <c r="BH538" s="4"/>
      <c r="BI538" s="4"/>
      <c r="BJ538" s="4"/>
      <c r="BK538" s="4"/>
      <c r="BL538" s="4"/>
      <c r="BM538" s="4"/>
      <c r="BN538" s="4"/>
      <c r="BO538" s="4"/>
      <c r="BP538" s="39"/>
      <c r="BQ538" s="39"/>
    </row>
    <row r="539" spans="3:69" ht="15.75" customHeight="1">
      <c r="C539" s="4"/>
      <c r="D539" s="4"/>
      <c r="E539" s="38"/>
      <c r="F539" s="38"/>
      <c r="G539" s="4"/>
      <c r="H539" s="4"/>
      <c r="I539" s="4"/>
      <c r="J539" s="4"/>
      <c r="K539" s="4"/>
      <c r="L539" s="4"/>
      <c r="M539" s="4"/>
      <c r="N539" s="38"/>
      <c r="O539" s="4"/>
      <c r="P539" s="4"/>
      <c r="Q539" s="4"/>
      <c r="R539" s="4"/>
      <c r="S539" s="4"/>
      <c r="T539" s="38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38"/>
      <c r="AN539" s="4"/>
      <c r="AO539" s="4"/>
      <c r="AP539" s="4"/>
      <c r="AQ539" s="4"/>
      <c r="AR539" s="4"/>
      <c r="AS539" s="4"/>
      <c r="AT539" s="4"/>
      <c r="AU539" s="4"/>
      <c r="AV539" s="4"/>
      <c r="AW539" s="4"/>
      <c r="AX539" s="4"/>
      <c r="AY539" s="4"/>
      <c r="AZ539" s="4"/>
      <c r="BA539" s="4"/>
      <c r="BB539" s="4"/>
      <c r="BC539" s="4"/>
      <c r="BD539" s="4"/>
      <c r="BE539" s="4"/>
      <c r="BF539" s="4"/>
      <c r="BG539" s="4"/>
      <c r="BH539" s="4"/>
      <c r="BI539" s="4"/>
      <c r="BJ539" s="4"/>
      <c r="BK539" s="4"/>
      <c r="BL539" s="4"/>
      <c r="BM539" s="4"/>
      <c r="BN539" s="4"/>
      <c r="BO539" s="4"/>
      <c r="BP539" s="39"/>
      <c r="BQ539" s="39"/>
    </row>
    <row r="540" spans="3:69" ht="15.75" customHeight="1">
      <c r="C540" s="4"/>
      <c r="D540" s="4"/>
      <c r="E540" s="38"/>
      <c r="F540" s="38"/>
      <c r="G540" s="4"/>
      <c r="H540" s="4"/>
      <c r="I540" s="4"/>
      <c r="J540" s="4"/>
      <c r="K540" s="4"/>
      <c r="L540" s="4"/>
      <c r="M540" s="4"/>
      <c r="N540" s="38"/>
      <c r="O540" s="4"/>
      <c r="P540" s="4"/>
      <c r="Q540" s="4"/>
      <c r="R540" s="4"/>
      <c r="S540" s="4"/>
      <c r="T540" s="38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38"/>
      <c r="AN540" s="4"/>
      <c r="AO540" s="4"/>
      <c r="AP540" s="4"/>
      <c r="AQ540" s="4"/>
      <c r="AR540" s="4"/>
      <c r="AS540" s="4"/>
      <c r="AT540" s="4"/>
      <c r="AU540" s="4"/>
      <c r="AV540" s="4"/>
      <c r="AW540" s="4"/>
      <c r="AX540" s="4"/>
      <c r="AY540" s="4"/>
      <c r="AZ540" s="4"/>
      <c r="BA540" s="4"/>
      <c r="BB540" s="4"/>
      <c r="BC540" s="4"/>
      <c r="BD540" s="4"/>
      <c r="BE540" s="4"/>
      <c r="BF540" s="4"/>
      <c r="BG540" s="4"/>
      <c r="BH540" s="4"/>
      <c r="BI540" s="4"/>
      <c r="BJ540" s="4"/>
      <c r="BK540" s="4"/>
      <c r="BL540" s="4"/>
      <c r="BM540" s="4"/>
      <c r="BN540" s="4"/>
      <c r="BO540" s="4"/>
      <c r="BP540" s="39"/>
      <c r="BQ540" s="39"/>
    </row>
    <row r="541" spans="3:69" ht="15.75" customHeight="1">
      <c r="C541" s="4"/>
      <c r="D541" s="4"/>
      <c r="E541" s="38"/>
      <c r="F541" s="38"/>
      <c r="G541" s="4"/>
      <c r="H541" s="4"/>
      <c r="I541" s="4"/>
      <c r="J541" s="4"/>
      <c r="K541" s="4"/>
      <c r="L541" s="4"/>
      <c r="M541" s="4"/>
      <c r="N541" s="38"/>
      <c r="O541" s="4"/>
      <c r="P541" s="4"/>
      <c r="Q541" s="4"/>
      <c r="R541" s="4"/>
      <c r="S541" s="4"/>
      <c r="T541" s="38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38"/>
      <c r="AN541" s="4"/>
      <c r="AO541" s="4"/>
      <c r="AP541" s="4"/>
      <c r="AQ541" s="4"/>
      <c r="AR541" s="4"/>
      <c r="AS541" s="4"/>
      <c r="AT541" s="4"/>
      <c r="AU541" s="4"/>
      <c r="AV541" s="4"/>
      <c r="AW541" s="4"/>
      <c r="AX541" s="4"/>
      <c r="AY541" s="4"/>
      <c r="AZ541" s="4"/>
      <c r="BA541" s="4"/>
      <c r="BB541" s="4"/>
      <c r="BC541" s="4"/>
      <c r="BD541" s="4"/>
      <c r="BE541" s="4"/>
      <c r="BF541" s="4"/>
      <c r="BG541" s="4"/>
      <c r="BH541" s="4"/>
      <c r="BI541" s="4"/>
      <c r="BJ541" s="4"/>
      <c r="BK541" s="4"/>
      <c r="BL541" s="4"/>
      <c r="BM541" s="4"/>
      <c r="BN541" s="4"/>
      <c r="BO541" s="4"/>
      <c r="BP541" s="39"/>
      <c r="BQ541" s="39"/>
    </row>
    <row r="542" spans="3:69" ht="15.75" customHeight="1">
      <c r="C542" s="4"/>
      <c r="D542" s="4"/>
      <c r="E542" s="38"/>
      <c r="F542" s="38"/>
      <c r="G542" s="4"/>
      <c r="H542" s="4"/>
      <c r="I542" s="4"/>
      <c r="J542" s="4"/>
      <c r="K542" s="4"/>
      <c r="L542" s="4"/>
      <c r="M542" s="4"/>
      <c r="N542" s="38"/>
      <c r="O542" s="4"/>
      <c r="P542" s="4"/>
      <c r="Q542" s="4"/>
      <c r="R542" s="4"/>
      <c r="S542" s="4"/>
      <c r="T542" s="38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38"/>
      <c r="AN542" s="4"/>
      <c r="AO542" s="4"/>
      <c r="AP542" s="4"/>
      <c r="AQ542" s="4"/>
      <c r="AR542" s="4"/>
      <c r="AS542" s="4"/>
      <c r="AT542" s="4"/>
      <c r="AU542" s="4"/>
      <c r="AV542" s="4"/>
      <c r="AW542" s="4"/>
      <c r="AX542" s="4"/>
      <c r="AY542" s="4"/>
      <c r="AZ542" s="4"/>
      <c r="BA542" s="4"/>
      <c r="BB542" s="4"/>
      <c r="BC542" s="4"/>
      <c r="BD542" s="4"/>
      <c r="BE542" s="4"/>
      <c r="BF542" s="4"/>
      <c r="BG542" s="4"/>
      <c r="BH542" s="4"/>
      <c r="BI542" s="4"/>
      <c r="BJ542" s="4"/>
      <c r="BK542" s="4"/>
      <c r="BL542" s="4"/>
      <c r="BM542" s="4"/>
      <c r="BN542" s="4"/>
      <c r="BO542" s="4"/>
      <c r="BP542" s="39"/>
      <c r="BQ542" s="39"/>
    </row>
    <row r="543" spans="3:69" ht="15.75" customHeight="1">
      <c r="C543" s="4"/>
      <c r="D543" s="4"/>
      <c r="E543" s="38"/>
      <c r="F543" s="38"/>
      <c r="G543" s="4"/>
      <c r="H543" s="4"/>
      <c r="I543" s="4"/>
      <c r="J543" s="4"/>
      <c r="K543" s="4"/>
      <c r="L543" s="4"/>
      <c r="M543" s="4"/>
      <c r="N543" s="38"/>
      <c r="O543" s="4"/>
      <c r="P543" s="4"/>
      <c r="Q543" s="4"/>
      <c r="R543" s="4"/>
      <c r="S543" s="4"/>
      <c r="T543" s="38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38"/>
      <c r="AN543" s="4"/>
      <c r="AO543" s="4"/>
      <c r="AP543" s="4"/>
      <c r="AQ543" s="4"/>
      <c r="AR543" s="4"/>
      <c r="AS543" s="4"/>
      <c r="AT543" s="4"/>
      <c r="AU543" s="4"/>
      <c r="AV543" s="4"/>
      <c r="AW543" s="4"/>
      <c r="AX543" s="4"/>
      <c r="AY543" s="4"/>
      <c r="AZ543" s="4"/>
      <c r="BA543" s="4"/>
      <c r="BB543" s="4"/>
      <c r="BC543" s="4"/>
      <c r="BD543" s="4"/>
      <c r="BE543" s="4"/>
      <c r="BF543" s="4"/>
      <c r="BG543" s="4"/>
      <c r="BH543" s="4"/>
      <c r="BI543" s="4"/>
      <c r="BJ543" s="4"/>
      <c r="BK543" s="4"/>
      <c r="BL543" s="4"/>
      <c r="BM543" s="4"/>
      <c r="BN543" s="4"/>
      <c r="BO543" s="4"/>
      <c r="BP543" s="39"/>
      <c r="BQ543" s="39"/>
    </row>
    <row r="544" spans="3:69" ht="15.75" customHeight="1">
      <c r="C544" s="4"/>
      <c r="D544" s="4"/>
      <c r="E544" s="38"/>
      <c r="F544" s="38"/>
      <c r="G544" s="4"/>
      <c r="H544" s="4"/>
      <c r="I544" s="4"/>
      <c r="J544" s="4"/>
      <c r="K544" s="4"/>
      <c r="L544" s="4"/>
      <c r="M544" s="4"/>
      <c r="N544" s="38"/>
      <c r="O544" s="4"/>
      <c r="P544" s="4"/>
      <c r="Q544" s="4"/>
      <c r="R544" s="4"/>
      <c r="S544" s="4"/>
      <c r="T544" s="38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38"/>
      <c r="AN544" s="4"/>
      <c r="AO544" s="4"/>
      <c r="AP544" s="4"/>
      <c r="AQ544" s="4"/>
      <c r="AR544" s="4"/>
      <c r="AS544" s="4"/>
      <c r="AT544" s="4"/>
      <c r="AU544" s="4"/>
      <c r="AV544" s="4"/>
      <c r="AW544" s="4"/>
      <c r="AX544" s="4"/>
      <c r="AY544" s="4"/>
      <c r="AZ544" s="4"/>
      <c r="BA544" s="4"/>
      <c r="BB544" s="4"/>
      <c r="BC544" s="4"/>
      <c r="BD544" s="4"/>
      <c r="BE544" s="4"/>
      <c r="BF544" s="4"/>
      <c r="BG544" s="4"/>
      <c r="BH544" s="4"/>
      <c r="BI544" s="4"/>
      <c r="BJ544" s="4"/>
      <c r="BK544" s="4"/>
      <c r="BL544" s="4"/>
      <c r="BM544" s="4"/>
      <c r="BN544" s="4"/>
      <c r="BO544" s="4"/>
      <c r="BP544" s="39"/>
      <c r="BQ544" s="39"/>
    </row>
    <row r="545" spans="3:69" ht="15.75" customHeight="1">
      <c r="C545" s="4"/>
      <c r="D545" s="4"/>
      <c r="E545" s="38"/>
      <c r="F545" s="38"/>
      <c r="G545" s="4"/>
      <c r="H545" s="4"/>
      <c r="I545" s="4"/>
      <c r="J545" s="4"/>
      <c r="K545" s="4"/>
      <c r="L545" s="4"/>
      <c r="M545" s="4"/>
      <c r="N545" s="38"/>
      <c r="O545" s="4"/>
      <c r="P545" s="4"/>
      <c r="Q545" s="4"/>
      <c r="R545" s="4"/>
      <c r="S545" s="4"/>
      <c r="T545" s="38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38"/>
      <c r="AN545" s="4"/>
      <c r="AO545" s="4"/>
      <c r="AP545" s="4"/>
      <c r="AQ545" s="4"/>
      <c r="AR545" s="4"/>
      <c r="AS545" s="4"/>
      <c r="AT545" s="4"/>
      <c r="AU545" s="4"/>
      <c r="AV545" s="4"/>
      <c r="AW545" s="4"/>
      <c r="AX545" s="4"/>
      <c r="AY545" s="4"/>
      <c r="AZ545" s="4"/>
      <c r="BA545" s="4"/>
      <c r="BB545" s="4"/>
      <c r="BC545" s="4"/>
      <c r="BD545" s="4"/>
      <c r="BE545" s="4"/>
      <c r="BF545" s="4"/>
      <c r="BG545" s="4"/>
      <c r="BH545" s="4"/>
      <c r="BI545" s="4"/>
      <c r="BJ545" s="4"/>
      <c r="BK545" s="4"/>
      <c r="BL545" s="4"/>
      <c r="BM545" s="4"/>
      <c r="BN545" s="4"/>
      <c r="BO545" s="4"/>
      <c r="BP545" s="39"/>
      <c r="BQ545" s="39"/>
    </row>
    <row r="546" spans="3:69" ht="15.75" customHeight="1">
      <c r="C546" s="4"/>
      <c r="D546" s="4"/>
      <c r="E546" s="38"/>
      <c r="F546" s="38"/>
      <c r="G546" s="4"/>
      <c r="H546" s="4"/>
      <c r="I546" s="4"/>
      <c r="J546" s="4"/>
      <c r="K546" s="4"/>
      <c r="L546" s="4"/>
      <c r="M546" s="4"/>
      <c r="N546" s="38"/>
      <c r="O546" s="4"/>
      <c r="P546" s="4"/>
      <c r="Q546" s="4"/>
      <c r="R546" s="4"/>
      <c r="S546" s="4"/>
      <c r="T546" s="38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38"/>
      <c r="AN546" s="4"/>
      <c r="AO546" s="4"/>
      <c r="AP546" s="4"/>
      <c r="AQ546" s="4"/>
      <c r="AR546" s="4"/>
      <c r="AS546" s="4"/>
      <c r="AT546" s="4"/>
      <c r="AU546" s="4"/>
      <c r="AV546" s="4"/>
      <c r="AW546" s="4"/>
      <c r="AX546" s="4"/>
      <c r="AY546" s="4"/>
      <c r="AZ546" s="4"/>
      <c r="BA546" s="4"/>
      <c r="BB546" s="4"/>
      <c r="BC546" s="4"/>
      <c r="BD546" s="4"/>
      <c r="BE546" s="4"/>
      <c r="BF546" s="4"/>
      <c r="BG546" s="4"/>
      <c r="BH546" s="4"/>
      <c r="BI546" s="4"/>
      <c r="BJ546" s="4"/>
      <c r="BK546" s="4"/>
      <c r="BL546" s="4"/>
      <c r="BM546" s="4"/>
      <c r="BN546" s="4"/>
      <c r="BO546" s="4"/>
      <c r="BP546" s="39"/>
      <c r="BQ546" s="39"/>
    </row>
    <row r="547" spans="3:69" ht="15.75" customHeight="1">
      <c r="C547" s="4"/>
      <c r="D547" s="4"/>
      <c r="E547" s="38"/>
      <c r="F547" s="38"/>
      <c r="G547" s="4"/>
      <c r="H547" s="4"/>
      <c r="I547" s="4"/>
      <c r="J547" s="4"/>
      <c r="K547" s="4"/>
      <c r="L547" s="4"/>
      <c r="M547" s="4"/>
      <c r="N547" s="38"/>
      <c r="O547" s="4"/>
      <c r="P547" s="4"/>
      <c r="Q547" s="4"/>
      <c r="R547" s="4"/>
      <c r="S547" s="4"/>
      <c r="T547" s="38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38"/>
      <c r="AN547" s="4"/>
      <c r="AO547" s="4"/>
      <c r="AP547" s="4"/>
      <c r="AQ547" s="4"/>
      <c r="AR547" s="4"/>
      <c r="AS547" s="4"/>
      <c r="AT547" s="4"/>
      <c r="AU547" s="4"/>
      <c r="AV547" s="4"/>
      <c r="AW547" s="4"/>
      <c r="AX547" s="4"/>
      <c r="AY547" s="4"/>
      <c r="AZ547" s="4"/>
      <c r="BA547" s="4"/>
      <c r="BB547" s="4"/>
      <c r="BC547" s="4"/>
      <c r="BD547" s="4"/>
      <c r="BE547" s="4"/>
      <c r="BF547" s="4"/>
      <c r="BG547" s="4"/>
      <c r="BH547" s="4"/>
      <c r="BI547" s="4"/>
      <c r="BJ547" s="4"/>
      <c r="BK547" s="4"/>
      <c r="BL547" s="4"/>
      <c r="BM547" s="4"/>
      <c r="BN547" s="4"/>
      <c r="BO547" s="4"/>
      <c r="BP547" s="39"/>
      <c r="BQ547" s="39"/>
    </row>
    <row r="548" spans="3:69" ht="15.75" customHeight="1">
      <c r="C548" s="4"/>
      <c r="D548" s="4"/>
      <c r="E548" s="38"/>
      <c r="F548" s="38"/>
      <c r="G548" s="4"/>
      <c r="H548" s="4"/>
      <c r="I548" s="4"/>
      <c r="J548" s="4"/>
      <c r="K548" s="4"/>
      <c r="L548" s="4"/>
      <c r="M548" s="4"/>
      <c r="N548" s="38"/>
      <c r="O548" s="4"/>
      <c r="P548" s="4"/>
      <c r="Q548" s="4"/>
      <c r="R548" s="4"/>
      <c r="S548" s="4"/>
      <c r="T548" s="38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38"/>
      <c r="AN548" s="4"/>
      <c r="AO548" s="4"/>
      <c r="AP548" s="4"/>
      <c r="AQ548" s="4"/>
      <c r="AR548" s="4"/>
      <c r="AS548" s="4"/>
      <c r="AT548" s="4"/>
      <c r="AU548" s="4"/>
      <c r="AV548" s="4"/>
      <c r="AW548" s="4"/>
      <c r="AX548" s="4"/>
      <c r="AY548" s="4"/>
      <c r="AZ548" s="4"/>
      <c r="BA548" s="4"/>
      <c r="BB548" s="4"/>
      <c r="BC548" s="4"/>
      <c r="BD548" s="4"/>
      <c r="BE548" s="4"/>
      <c r="BF548" s="4"/>
      <c r="BG548" s="4"/>
      <c r="BH548" s="4"/>
      <c r="BI548" s="4"/>
      <c r="BJ548" s="4"/>
      <c r="BK548" s="4"/>
      <c r="BL548" s="4"/>
      <c r="BM548" s="4"/>
      <c r="BN548" s="4"/>
      <c r="BO548" s="4"/>
      <c r="BP548" s="39"/>
      <c r="BQ548" s="39"/>
    </row>
    <row r="549" spans="3:69" ht="15.75" customHeight="1">
      <c r="C549" s="4"/>
      <c r="D549" s="4"/>
      <c r="E549" s="38"/>
      <c r="F549" s="38"/>
      <c r="G549" s="4"/>
      <c r="H549" s="4"/>
      <c r="I549" s="4"/>
      <c r="J549" s="4"/>
      <c r="K549" s="4"/>
      <c r="L549" s="4"/>
      <c r="M549" s="4"/>
      <c r="N549" s="38"/>
      <c r="O549" s="4"/>
      <c r="P549" s="4"/>
      <c r="Q549" s="4"/>
      <c r="R549" s="4"/>
      <c r="S549" s="4"/>
      <c r="T549" s="38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38"/>
      <c r="AN549" s="4"/>
      <c r="AO549" s="4"/>
      <c r="AP549" s="4"/>
      <c r="AQ549" s="4"/>
      <c r="AR549" s="4"/>
      <c r="AS549" s="4"/>
      <c r="AT549" s="4"/>
      <c r="AU549" s="4"/>
      <c r="AV549" s="4"/>
      <c r="AW549" s="4"/>
      <c r="AX549" s="4"/>
      <c r="AY549" s="4"/>
      <c r="AZ549" s="4"/>
      <c r="BA549" s="4"/>
      <c r="BB549" s="4"/>
      <c r="BC549" s="4"/>
      <c r="BD549" s="4"/>
      <c r="BE549" s="4"/>
      <c r="BF549" s="4"/>
      <c r="BG549" s="4"/>
      <c r="BH549" s="4"/>
      <c r="BI549" s="4"/>
      <c r="BJ549" s="4"/>
      <c r="BK549" s="4"/>
      <c r="BL549" s="4"/>
      <c r="BM549" s="4"/>
      <c r="BN549" s="4"/>
      <c r="BO549" s="4"/>
      <c r="BP549" s="39"/>
      <c r="BQ549" s="39"/>
    </row>
    <row r="550" spans="3:69" ht="15.75" customHeight="1">
      <c r="C550" s="4"/>
      <c r="D550" s="4"/>
      <c r="E550" s="38"/>
      <c r="F550" s="38"/>
      <c r="G550" s="4"/>
      <c r="H550" s="4"/>
      <c r="I550" s="4"/>
      <c r="J550" s="4"/>
      <c r="K550" s="4"/>
      <c r="L550" s="4"/>
      <c r="M550" s="4"/>
      <c r="N550" s="38"/>
      <c r="O550" s="4"/>
      <c r="P550" s="4"/>
      <c r="Q550" s="4"/>
      <c r="R550" s="4"/>
      <c r="S550" s="4"/>
      <c r="T550" s="38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38"/>
      <c r="AN550" s="4"/>
      <c r="AO550" s="4"/>
      <c r="AP550" s="4"/>
      <c r="AQ550" s="4"/>
      <c r="AR550" s="4"/>
      <c r="AS550" s="4"/>
      <c r="AT550" s="4"/>
      <c r="AU550" s="4"/>
      <c r="AV550" s="4"/>
      <c r="AW550" s="4"/>
      <c r="AX550" s="4"/>
      <c r="AY550" s="4"/>
      <c r="AZ550" s="4"/>
      <c r="BA550" s="4"/>
      <c r="BB550" s="4"/>
      <c r="BC550" s="4"/>
      <c r="BD550" s="4"/>
      <c r="BE550" s="4"/>
      <c r="BF550" s="4"/>
      <c r="BG550" s="4"/>
      <c r="BH550" s="4"/>
      <c r="BI550" s="4"/>
      <c r="BJ550" s="4"/>
      <c r="BK550" s="4"/>
      <c r="BL550" s="4"/>
      <c r="BM550" s="4"/>
      <c r="BN550" s="4"/>
      <c r="BO550" s="4"/>
      <c r="BP550" s="39"/>
      <c r="BQ550" s="39"/>
    </row>
    <row r="551" spans="3:69" ht="15.75" customHeight="1">
      <c r="C551" s="4"/>
      <c r="D551" s="4"/>
      <c r="E551" s="38"/>
      <c r="F551" s="38"/>
      <c r="G551" s="4"/>
      <c r="H551" s="4"/>
      <c r="I551" s="4"/>
      <c r="J551" s="4"/>
      <c r="K551" s="4"/>
      <c r="L551" s="4"/>
      <c r="M551" s="4"/>
      <c r="N551" s="38"/>
      <c r="O551" s="4"/>
      <c r="P551" s="4"/>
      <c r="Q551" s="4"/>
      <c r="R551" s="4"/>
      <c r="S551" s="4"/>
      <c r="T551" s="38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38"/>
      <c r="AN551" s="4"/>
      <c r="AO551" s="4"/>
      <c r="AP551" s="4"/>
      <c r="AQ551" s="4"/>
      <c r="AR551" s="4"/>
      <c r="AS551" s="4"/>
      <c r="AT551" s="4"/>
      <c r="AU551" s="4"/>
      <c r="AV551" s="4"/>
      <c r="AW551" s="4"/>
      <c r="AX551" s="4"/>
      <c r="AY551" s="4"/>
      <c r="AZ551" s="4"/>
      <c r="BA551" s="4"/>
      <c r="BB551" s="4"/>
      <c r="BC551" s="4"/>
      <c r="BD551" s="4"/>
      <c r="BE551" s="4"/>
      <c r="BF551" s="4"/>
      <c r="BG551" s="4"/>
      <c r="BH551" s="4"/>
      <c r="BI551" s="4"/>
      <c r="BJ551" s="4"/>
      <c r="BK551" s="4"/>
      <c r="BL551" s="4"/>
      <c r="BM551" s="4"/>
      <c r="BN551" s="4"/>
      <c r="BO551" s="4"/>
      <c r="BP551" s="39"/>
      <c r="BQ551" s="39"/>
    </row>
    <row r="552" spans="3:69" ht="15.75" customHeight="1">
      <c r="C552" s="4"/>
      <c r="D552" s="4"/>
      <c r="E552" s="38"/>
      <c r="F552" s="38"/>
      <c r="G552" s="4"/>
      <c r="H552" s="4"/>
      <c r="I552" s="4"/>
      <c r="J552" s="4"/>
      <c r="K552" s="4"/>
      <c r="L552" s="4"/>
      <c r="M552" s="4"/>
      <c r="N552" s="38"/>
      <c r="O552" s="4"/>
      <c r="P552" s="4"/>
      <c r="Q552" s="4"/>
      <c r="R552" s="4"/>
      <c r="S552" s="4"/>
      <c r="T552" s="38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38"/>
      <c r="AN552" s="4"/>
      <c r="AO552" s="4"/>
      <c r="AP552" s="4"/>
      <c r="AQ552" s="4"/>
      <c r="AR552" s="4"/>
      <c r="AS552" s="4"/>
      <c r="AT552" s="4"/>
      <c r="AU552" s="4"/>
      <c r="AV552" s="4"/>
      <c r="AW552" s="4"/>
      <c r="AX552" s="4"/>
      <c r="AY552" s="4"/>
      <c r="AZ552" s="4"/>
      <c r="BA552" s="4"/>
      <c r="BB552" s="4"/>
      <c r="BC552" s="4"/>
      <c r="BD552" s="4"/>
      <c r="BE552" s="4"/>
      <c r="BF552" s="4"/>
      <c r="BG552" s="4"/>
      <c r="BH552" s="4"/>
      <c r="BI552" s="4"/>
      <c r="BJ552" s="4"/>
      <c r="BK552" s="4"/>
      <c r="BL552" s="4"/>
      <c r="BM552" s="4"/>
      <c r="BN552" s="4"/>
      <c r="BO552" s="4"/>
      <c r="BP552" s="39"/>
      <c r="BQ552" s="39"/>
    </row>
    <row r="553" spans="3:69" ht="15.75" customHeight="1">
      <c r="C553" s="4"/>
      <c r="D553" s="4"/>
      <c r="E553" s="38"/>
      <c r="F553" s="38"/>
      <c r="G553" s="4"/>
      <c r="H553" s="4"/>
      <c r="I553" s="4"/>
      <c r="J553" s="4"/>
      <c r="K553" s="4"/>
      <c r="L553" s="4"/>
      <c r="M553" s="4"/>
      <c r="N553" s="38"/>
      <c r="O553" s="4"/>
      <c r="P553" s="4"/>
      <c r="Q553" s="4"/>
      <c r="R553" s="4"/>
      <c r="S553" s="4"/>
      <c r="T553" s="38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38"/>
      <c r="AN553" s="4"/>
      <c r="AO553" s="4"/>
      <c r="AP553" s="4"/>
      <c r="AQ553" s="4"/>
      <c r="AR553" s="4"/>
      <c r="AS553" s="4"/>
      <c r="AT553" s="4"/>
      <c r="AU553" s="4"/>
      <c r="AV553" s="4"/>
      <c r="AW553" s="4"/>
      <c r="AX553" s="4"/>
      <c r="AY553" s="4"/>
      <c r="AZ553" s="4"/>
      <c r="BA553" s="4"/>
      <c r="BB553" s="4"/>
      <c r="BC553" s="4"/>
      <c r="BD553" s="4"/>
      <c r="BE553" s="4"/>
      <c r="BF553" s="4"/>
      <c r="BG553" s="4"/>
      <c r="BH553" s="4"/>
      <c r="BI553" s="4"/>
      <c r="BJ553" s="4"/>
      <c r="BK553" s="4"/>
      <c r="BL553" s="4"/>
      <c r="BM553" s="4"/>
      <c r="BN553" s="4"/>
      <c r="BO553" s="4"/>
      <c r="BP553" s="39"/>
      <c r="BQ553" s="39"/>
    </row>
    <row r="554" spans="3:69" ht="15.75" customHeight="1">
      <c r="C554" s="4"/>
      <c r="D554" s="4"/>
      <c r="E554" s="38"/>
      <c r="F554" s="38"/>
      <c r="G554" s="4"/>
      <c r="H554" s="4"/>
      <c r="I554" s="4"/>
      <c r="J554" s="4"/>
      <c r="K554" s="4"/>
      <c r="L554" s="4"/>
      <c r="M554" s="4"/>
      <c r="N554" s="38"/>
      <c r="O554" s="4"/>
      <c r="P554" s="4"/>
      <c r="Q554" s="4"/>
      <c r="R554" s="4"/>
      <c r="S554" s="4"/>
      <c r="T554" s="38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38"/>
      <c r="AN554" s="4"/>
      <c r="AO554" s="4"/>
      <c r="AP554" s="4"/>
      <c r="AQ554" s="4"/>
      <c r="AR554" s="4"/>
      <c r="AS554" s="4"/>
      <c r="AT554" s="4"/>
      <c r="AU554" s="4"/>
      <c r="AV554" s="4"/>
      <c r="AW554" s="4"/>
      <c r="AX554" s="4"/>
      <c r="AY554" s="4"/>
      <c r="AZ554" s="4"/>
      <c r="BA554" s="4"/>
      <c r="BB554" s="4"/>
      <c r="BC554" s="4"/>
      <c r="BD554" s="4"/>
      <c r="BE554" s="4"/>
      <c r="BF554" s="4"/>
      <c r="BG554" s="4"/>
      <c r="BH554" s="4"/>
      <c r="BI554" s="4"/>
      <c r="BJ554" s="4"/>
      <c r="BK554" s="4"/>
      <c r="BL554" s="4"/>
      <c r="BM554" s="4"/>
      <c r="BN554" s="4"/>
      <c r="BO554" s="4"/>
      <c r="BP554" s="39"/>
      <c r="BQ554" s="39"/>
    </row>
    <row r="555" spans="3:69" ht="15.75" customHeight="1">
      <c r="C555" s="4"/>
      <c r="D555" s="4"/>
      <c r="E555" s="38"/>
      <c r="F555" s="38"/>
      <c r="G555" s="4"/>
      <c r="H555" s="4"/>
      <c r="I555" s="4"/>
      <c r="J555" s="4"/>
      <c r="K555" s="4"/>
      <c r="L555" s="4"/>
      <c r="M555" s="4"/>
      <c r="N555" s="38"/>
      <c r="O555" s="4"/>
      <c r="P555" s="4"/>
      <c r="Q555" s="4"/>
      <c r="R555" s="4"/>
      <c r="S555" s="4"/>
      <c r="T555" s="38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38"/>
      <c r="AN555" s="4"/>
      <c r="AO555" s="4"/>
      <c r="AP555" s="4"/>
      <c r="AQ555" s="4"/>
      <c r="AR555" s="4"/>
      <c r="AS555" s="4"/>
      <c r="AT555" s="4"/>
      <c r="AU555" s="4"/>
      <c r="AV555" s="4"/>
      <c r="AW555" s="4"/>
      <c r="AX555" s="4"/>
      <c r="AY555" s="4"/>
      <c r="AZ555" s="4"/>
      <c r="BA555" s="4"/>
      <c r="BB555" s="4"/>
      <c r="BC555" s="4"/>
      <c r="BD555" s="4"/>
      <c r="BE555" s="4"/>
      <c r="BF555" s="4"/>
      <c r="BG555" s="4"/>
      <c r="BH555" s="4"/>
      <c r="BI555" s="4"/>
      <c r="BJ555" s="4"/>
      <c r="BK555" s="4"/>
      <c r="BL555" s="4"/>
      <c r="BM555" s="4"/>
      <c r="BN555" s="4"/>
      <c r="BO555" s="4"/>
      <c r="BP555" s="39"/>
      <c r="BQ555" s="39"/>
    </row>
    <row r="556" spans="3:69" ht="15.75" customHeight="1">
      <c r="C556" s="4"/>
      <c r="D556" s="4"/>
      <c r="E556" s="38"/>
      <c r="F556" s="38"/>
      <c r="G556" s="4"/>
      <c r="H556" s="4"/>
      <c r="I556" s="4"/>
      <c r="J556" s="4"/>
      <c r="K556" s="4"/>
      <c r="L556" s="4"/>
      <c r="M556" s="4"/>
      <c r="N556" s="38"/>
      <c r="O556" s="4"/>
      <c r="P556" s="4"/>
      <c r="Q556" s="4"/>
      <c r="R556" s="4"/>
      <c r="S556" s="4"/>
      <c r="T556" s="38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38"/>
      <c r="AN556" s="4"/>
      <c r="AO556" s="4"/>
      <c r="AP556" s="4"/>
      <c r="AQ556" s="4"/>
      <c r="AR556" s="4"/>
      <c r="AS556" s="4"/>
      <c r="AT556" s="4"/>
      <c r="AU556" s="4"/>
      <c r="AV556" s="4"/>
      <c r="AW556" s="4"/>
      <c r="AX556" s="4"/>
      <c r="AY556" s="4"/>
      <c r="AZ556" s="4"/>
      <c r="BA556" s="4"/>
      <c r="BB556" s="4"/>
      <c r="BC556" s="4"/>
      <c r="BD556" s="4"/>
      <c r="BE556" s="4"/>
      <c r="BF556" s="4"/>
      <c r="BG556" s="4"/>
      <c r="BH556" s="4"/>
      <c r="BI556" s="4"/>
      <c r="BJ556" s="4"/>
      <c r="BK556" s="4"/>
      <c r="BL556" s="4"/>
      <c r="BM556" s="4"/>
      <c r="BN556" s="4"/>
      <c r="BO556" s="4"/>
      <c r="BP556" s="39"/>
      <c r="BQ556" s="39"/>
    </row>
    <row r="557" spans="3:69" ht="15.75" customHeight="1">
      <c r="C557" s="4"/>
      <c r="D557" s="4"/>
      <c r="E557" s="38"/>
      <c r="F557" s="38"/>
      <c r="G557" s="4"/>
      <c r="H557" s="4"/>
      <c r="I557" s="4"/>
      <c r="J557" s="4"/>
      <c r="K557" s="4"/>
      <c r="L557" s="4"/>
      <c r="M557" s="4"/>
      <c r="N557" s="38"/>
      <c r="O557" s="4"/>
      <c r="P557" s="4"/>
      <c r="Q557" s="4"/>
      <c r="R557" s="4"/>
      <c r="S557" s="4"/>
      <c r="T557" s="38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38"/>
      <c r="AN557" s="4"/>
      <c r="AO557" s="4"/>
      <c r="AP557" s="4"/>
      <c r="AQ557" s="4"/>
      <c r="AR557" s="4"/>
      <c r="AS557" s="4"/>
      <c r="AT557" s="4"/>
      <c r="AU557" s="4"/>
      <c r="AV557" s="4"/>
      <c r="AW557" s="4"/>
      <c r="AX557" s="4"/>
      <c r="AY557" s="4"/>
      <c r="AZ557" s="4"/>
      <c r="BA557" s="4"/>
      <c r="BB557" s="4"/>
      <c r="BC557" s="4"/>
      <c r="BD557" s="4"/>
      <c r="BE557" s="4"/>
      <c r="BF557" s="4"/>
      <c r="BG557" s="4"/>
      <c r="BH557" s="4"/>
      <c r="BI557" s="4"/>
      <c r="BJ557" s="4"/>
      <c r="BK557" s="4"/>
      <c r="BL557" s="4"/>
      <c r="BM557" s="4"/>
      <c r="BN557" s="4"/>
      <c r="BO557" s="4"/>
      <c r="BP557" s="39"/>
      <c r="BQ557" s="39"/>
    </row>
    <row r="558" spans="3:69" ht="15.75" customHeight="1">
      <c r="C558" s="4"/>
      <c r="D558" s="4"/>
      <c r="E558" s="38"/>
      <c r="F558" s="38"/>
      <c r="G558" s="4"/>
      <c r="H558" s="4"/>
      <c r="I558" s="4"/>
      <c r="J558" s="4"/>
      <c r="K558" s="4"/>
      <c r="L558" s="4"/>
      <c r="M558" s="4"/>
      <c r="N558" s="38"/>
      <c r="O558" s="4"/>
      <c r="P558" s="4"/>
      <c r="Q558" s="4"/>
      <c r="R558" s="4"/>
      <c r="S558" s="4"/>
      <c r="T558" s="38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38"/>
      <c r="AN558" s="4"/>
      <c r="AO558" s="4"/>
      <c r="AP558" s="4"/>
      <c r="AQ558" s="4"/>
      <c r="AR558" s="4"/>
      <c r="AS558" s="4"/>
      <c r="AT558" s="4"/>
      <c r="AU558" s="4"/>
      <c r="AV558" s="4"/>
      <c r="AW558" s="4"/>
      <c r="AX558" s="4"/>
      <c r="AY558" s="4"/>
      <c r="AZ558" s="4"/>
      <c r="BA558" s="4"/>
      <c r="BB558" s="4"/>
      <c r="BC558" s="4"/>
      <c r="BD558" s="4"/>
      <c r="BE558" s="4"/>
      <c r="BF558" s="4"/>
      <c r="BG558" s="4"/>
      <c r="BH558" s="4"/>
      <c r="BI558" s="4"/>
      <c r="BJ558" s="4"/>
      <c r="BK558" s="4"/>
      <c r="BL558" s="4"/>
      <c r="BM558" s="4"/>
      <c r="BN558" s="4"/>
      <c r="BO558" s="4"/>
      <c r="BP558" s="39"/>
      <c r="BQ558" s="39"/>
    </row>
    <row r="559" spans="3:69" ht="15.75" customHeight="1">
      <c r="C559" s="4"/>
      <c r="D559" s="4"/>
      <c r="E559" s="38"/>
      <c r="F559" s="38"/>
      <c r="G559" s="4"/>
      <c r="H559" s="4"/>
      <c r="I559" s="4"/>
      <c r="J559" s="4"/>
      <c r="K559" s="4"/>
      <c r="L559" s="4"/>
      <c r="M559" s="4"/>
      <c r="N559" s="38"/>
      <c r="O559" s="4"/>
      <c r="P559" s="4"/>
      <c r="Q559" s="4"/>
      <c r="R559" s="4"/>
      <c r="S559" s="4"/>
      <c r="T559" s="38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38"/>
      <c r="AN559" s="4"/>
      <c r="AO559" s="4"/>
      <c r="AP559" s="4"/>
      <c r="AQ559" s="4"/>
      <c r="AR559" s="4"/>
      <c r="AS559" s="4"/>
      <c r="AT559" s="4"/>
      <c r="AU559" s="4"/>
      <c r="AV559" s="4"/>
      <c r="AW559" s="4"/>
      <c r="AX559" s="4"/>
      <c r="AY559" s="4"/>
      <c r="AZ559" s="4"/>
      <c r="BA559" s="4"/>
      <c r="BB559" s="4"/>
      <c r="BC559" s="4"/>
      <c r="BD559" s="4"/>
      <c r="BE559" s="4"/>
      <c r="BF559" s="4"/>
      <c r="BG559" s="4"/>
      <c r="BH559" s="4"/>
      <c r="BI559" s="4"/>
      <c r="BJ559" s="4"/>
      <c r="BK559" s="4"/>
      <c r="BL559" s="4"/>
      <c r="BM559" s="4"/>
      <c r="BN559" s="4"/>
      <c r="BO559" s="4"/>
      <c r="BP559" s="39"/>
      <c r="BQ559" s="39"/>
    </row>
    <row r="560" spans="3:69" ht="15.75" customHeight="1">
      <c r="C560" s="4"/>
      <c r="D560" s="4"/>
      <c r="E560" s="38"/>
      <c r="F560" s="38"/>
      <c r="G560" s="4"/>
      <c r="H560" s="4"/>
      <c r="I560" s="4"/>
      <c r="J560" s="4"/>
      <c r="K560" s="4"/>
      <c r="L560" s="4"/>
      <c r="M560" s="4"/>
      <c r="N560" s="38"/>
      <c r="O560" s="4"/>
      <c r="P560" s="4"/>
      <c r="Q560" s="4"/>
      <c r="R560" s="4"/>
      <c r="S560" s="4"/>
      <c r="T560" s="38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38"/>
      <c r="AN560" s="4"/>
      <c r="AO560" s="4"/>
      <c r="AP560" s="4"/>
      <c r="AQ560" s="4"/>
      <c r="AR560" s="4"/>
      <c r="AS560" s="4"/>
      <c r="AT560" s="4"/>
      <c r="AU560" s="4"/>
      <c r="AV560" s="4"/>
      <c r="AW560" s="4"/>
      <c r="AX560" s="4"/>
      <c r="AY560" s="4"/>
      <c r="AZ560" s="4"/>
      <c r="BA560" s="4"/>
      <c r="BB560" s="4"/>
      <c r="BC560" s="4"/>
      <c r="BD560" s="4"/>
      <c r="BE560" s="4"/>
      <c r="BF560" s="4"/>
      <c r="BG560" s="4"/>
      <c r="BH560" s="4"/>
      <c r="BI560" s="4"/>
      <c r="BJ560" s="4"/>
      <c r="BK560" s="4"/>
      <c r="BL560" s="4"/>
      <c r="BM560" s="4"/>
      <c r="BN560" s="4"/>
      <c r="BO560" s="4"/>
      <c r="BP560" s="39"/>
      <c r="BQ560" s="39"/>
    </row>
    <row r="561" spans="3:69" ht="15.75" customHeight="1">
      <c r="C561" s="4"/>
      <c r="D561" s="4"/>
      <c r="E561" s="38"/>
      <c r="F561" s="38"/>
      <c r="G561" s="4"/>
      <c r="H561" s="4"/>
      <c r="I561" s="4"/>
      <c r="J561" s="4"/>
      <c r="K561" s="4"/>
      <c r="L561" s="4"/>
      <c r="M561" s="4"/>
      <c r="N561" s="38"/>
      <c r="O561" s="4"/>
      <c r="P561" s="4"/>
      <c r="Q561" s="4"/>
      <c r="R561" s="4"/>
      <c r="S561" s="4"/>
      <c r="T561" s="38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38"/>
      <c r="AN561" s="4"/>
      <c r="AO561" s="4"/>
      <c r="AP561" s="4"/>
      <c r="AQ561" s="4"/>
      <c r="AR561" s="4"/>
      <c r="AS561" s="4"/>
      <c r="AT561" s="4"/>
      <c r="AU561" s="4"/>
      <c r="AV561" s="4"/>
      <c r="AW561" s="4"/>
      <c r="AX561" s="4"/>
      <c r="AY561" s="4"/>
      <c r="AZ561" s="4"/>
      <c r="BA561" s="4"/>
      <c r="BB561" s="4"/>
      <c r="BC561" s="4"/>
      <c r="BD561" s="4"/>
      <c r="BE561" s="4"/>
      <c r="BF561" s="4"/>
      <c r="BG561" s="4"/>
      <c r="BH561" s="4"/>
      <c r="BI561" s="4"/>
      <c r="BJ561" s="4"/>
      <c r="BK561" s="4"/>
      <c r="BL561" s="4"/>
      <c r="BM561" s="4"/>
      <c r="BN561" s="4"/>
      <c r="BO561" s="4"/>
      <c r="BP561" s="39"/>
      <c r="BQ561" s="39"/>
    </row>
    <row r="562" spans="3:69" ht="15.75" customHeight="1">
      <c r="C562" s="4"/>
      <c r="D562" s="4"/>
      <c r="E562" s="38"/>
      <c r="F562" s="38"/>
      <c r="G562" s="4"/>
      <c r="H562" s="4"/>
      <c r="I562" s="4"/>
      <c r="J562" s="4"/>
      <c r="K562" s="4"/>
      <c r="L562" s="4"/>
      <c r="M562" s="4"/>
      <c r="N562" s="38"/>
      <c r="O562" s="4"/>
      <c r="P562" s="4"/>
      <c r="Q562" s="4"/>
      <c r="R562" s="4"/>
      <c r="S562" s="4"/>
      <c r="T562" s="38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38"/>
      <c r="AN562" s="4"/>
      <c r="AO562" s="4"/>
      <c r="AP562" s="4"/>
      <c r="AQ562" s="4"/>
      <c r="AR562" s="4"/>
      <c r="AS562" s="4"/>
      <c r="AT562" s="4"/>
      <c r="AU562" s="4"/>
      <c r="AV562" s="4"/>
      <c r="AW562" s="4"/>
      <c r="AX562" s="4"/>
      <c r="AY562" s="4"/>
      <c r="AZ562" s="4"/>
      <c r="BA562" s="4"/>
      <c r="BB562" s="4"/>
      <c r="BC562" s="4"/>
      <c r="BD562" s="4"/>
      <c r="BE562" s="4"/>
      <c r="BF562" s="4"/>
      <c r="BG562" s="4"/>
      <c r="BH562" s="4"/>
      <c r="BI562" s="4"/>
      <c r="BJ562" s="4"/>
      <c r="BK562" s="4"/>
      <c r="BL562" s="4"/>
      <c r="BM562" s="4"/>
      <c r="BN562" s="4"/>
      <c r="BO562" s="4"/>
      <c r="BP562" s="39"/>
      <c r="BQ562" s="39"/>
    </row>
    <row r="563" spans="3:69" ht="15.75" customHeight="1">
      <c r="C563" s="4"/>
      <c r="D563" s="4"/>
      <c r="E563" s="38"/>
      <c r="F563" s="38"/>
      <c r="G563" s="4"/>
      <c r="H563" s="4"/>
      <c r="I563" s="4"/>
      <c r="J563" s="4"/>
      <c r="K563" s="4"/>
      <c r="L563" s="4"/>
      <c r="M563" s="4"/>
      <c r="N563" s="38"/>
      <c r="O563" s="4"/>
      <c r="P563" s="4"/>
      <c r="Q563" s="4"/>
      <c r="R563" s="4"/>
      <c r="S563" s="4"/>
      <c r="T563" s="38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38"/>
      <c r="AN563" s="4"/>
      <c r="AO563" s="4"/>
      <c r="AP563" s="4"/>
      <c r="AQ563" s="4"/>
      <c r="AR563" s="4"/>
      <c r="AS563" s="4"/>
      <c r="AT563" s="4"/>
      <c r="AU563" s="4"/>
      <c r="AV563" s="4"/>
      <c r="AW563" s="4"/>
      <c r="AX563" s="4"/>
      <c r="AY563" s="4"/>
      <c r="AZ563" s="4"/>
      <c r="BA563" s="4"/>
      <c r="BB563" s="4"/>
      <c r="BC563" s="4"/>
      <c r="BD563" s="4"/>
      <c r="BE563" s="4"/>
      <c r="BF563" s="4"/>
      <c r="BG563" s="4"/>
      <c r="BH563" s="4"/>
      <c r="BI563" s="4"/>
      <c r="BJ563" s="4"/>
      <c r="BK563" s="4"/>
      <c r="BL563" s="4"/>
      <c r="BM563" s="4"/>
      <c r="BN563" s="4"/>
      <c r="BO563" s="4"/>
      <c r="BP563" s="39"/>
      <c r="BQ563" s="39"/>
    </row>
    <row r="564" spans="3:69" ht="15.75" customHeight="1">
      <c r="C564" s="4"/>
      <c r="D564" s="4"/>
      <c r="E564" s="38"/>
      <c r="F564" s="38"/>
      <c r="G564" s="4"/>
      <c r="H564" s="4"/>
      <c r="I564" s="4"/>
      <c r="J564" s="4"/>
      <c r="K564" s="4"/>
      <c r="L564" s="4"/>
      <c r="M564" s="4"/>
      <c r="N564" s="38"/>
      <c r="O564" s="4"/>
      <c r="P564" s="4"/>
      <c r="Q564" s="4"/>
      <c r="R564" s="4"/>
      <c r="S564" s="4"/>
      <c r="T564" s="38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38"/>
      <c r="AN564" s="4"/>
      <c r="AO564" s="4"/>
      <c r="AP564" s="4"/>
      <c r="AQ564" s="4"/>
      <c r="AR564" s="4"/>
      <c r="AS564" s="4"/>
      <c r="AT564" s="4"/>
      <c r="AU564" s="4"/>
      <c r="AV564" s="4"/>
      <c r="AW564" s="4"/>
      <c r="AX564" s="4"/>
      <c r="AY564" s="4"/>
      <c r="AZ564" s="4"/>
      <c r="BA564" s="4"/>
      <c r="BB564" s="4"/>
      <c r="BC564" s="4"/>
      <c r="BD564" s="4"/>
      <c r="BE564" s="4"/>
      <c r="BF564" s="4"/>
      <c r="BG564" s="4"/>
      <c r="BH564" s="4"/>
      <c r="BI564" s="4"/>
      <c r="BJ564" s="4"/>
      <c r="BK564" s="4"/>
      <c r="BL564" s="4"/>
      <c r="BM564" s="4"/>
      <c r="BN564" s="4"/>
      <c r="BO564" s="4"/>
      <c r="BP564" s="39"/>
      <c r="BQ564" s="39"/>
    </row>
    <row r="565" spans="3:69" ht="15.75" customHeight="1">
      <c r="C565" s="4"/>
      <c r="D565" s="4"/>
      <c r="E565" s="38"/>
      <c r="F565" s="38"/>
      <c r="G565" s="4"/>
      <c r="H565" s="4"/>
      <c r="I565" s="4"/>
      <c r="J565" s="4"/>
      <c r="K565" s="4"/>
      <c r="L565" s="4"/>
      <c r="M565" s="4"/>
      <c r="N565" s="38"/>
      <c r="O565" s="4"/>
      <c r="P565" s="4"/>
      <c r="Q565" s="4"/>
      <c r="R565" s="4"/>
      <c r="S565" s="4"/>
      <c r="T565" s="38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38"/>
      <c r="AN565" s="4"/>
      <c r="AO565" s="4"/>
      <c r="AP565" s="4"/>
      <c r="AQ565" s="4"/>
      <c r="AR565" s="4"/>
      <c r="AS565" s="4"/>
      <c r="AT565" s="4"/>
      <c r="AU565" s="4"/>
      <c r="AV565" s="4"/>
      <c r="AW565" s="4"/>
      <c r="AX565" s="4"/>
      <c r="AY565" s="4"/>
      <c r="AZ565" s="4"/>
      <c r="BA565" s="4"/>
      <c r="BB565" s="4"/>
      <c r="BC565" s="4"/>
      <c r="BD565" s="4"/>
      <c r="BE565" s="4"/>
      <c r="BF565" s="4"/>
      <c r="BG565" s="4"/>
      <c r="BH565" s="4"/>
      <c r="BI565" s="4"/>
      <c r="BJ565" s="4"/>
      <c r="BK565" s="4"/>
      <c r="BL565" s="4"/>
      <c r="BM565" s="4"/>
      <c r="BN565" s="4"/>
      <c r="BO565" s="4"/>
      <c r="BP565" s="39"/>
      <c r="BQ565" s="39"/>
    </row>
    <row r="566" spans="3:69" ht="15.75" customHeight="1">
      <c r="C566" s="4"/>
      <c r="D566" s="4"/>
      <c r="E566" s="38"/>
      <c r="F566" s="38"/>
      <c r="G566" s="4"/>
      <c r="H566" s="4"/>
      <c r="I566" s="4"/>
      <c r="J566" s="4"/>
      <c r="K566" s="4"/>
      <c r="L566" s="4"/>
      <c r="M566" s="4"/>
      <c r="N566" s="38"/>
      <c r="O566" s="4"/>
      <c r="P566" s="4"/>
      <c r="Q566" s="4"/>
      <c r="R566" s="4"/>
      <c r="S566" s="4"/>
      <c r="T566" s="38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38"/>
      <c r="AN566" s="4"/>
      <c r="AO566" s="4"/>
      <c r="AP566" s="4"/>
      <c r="AQ566" s="4"/>
      <c r="AR566" s="4"/>
      <c r="AS566" s="4"/>
      <c r="AT566" s="4"/>
      <c r="AU566" s="4"/>
      <c r="AV566" s="4"/>
      <c r="AW566" s="4"/>
      <c r="AX566" s="4"/>
      <c r="AY566" s="4"/>
      <c r="AZ566" s="4"/>
      <c r="BA566" s="4"/>
      <c r="BB566" s="4"/>
      <c r="BC566" s="4"/>
      <c r="BD566" s="4"/>
      <c r="BE566" s="4"/>
      <c r="BF566" s="4"/>
      <c r="BG566" s="4"/>
      <c r="BH566" s="4"/>
      <c r="BI566" s="4"/>
      <c r="BJ566" s="4"/>
      <c r="BK566" s="4"/>
      <c r="BL566" s="4"/>
      <c r="BM566" s="4"/>
      <c r="BN566" s="4"/>
      <c r="BO566" s="4"/>
      <c r="BP566" s="39"/>
      <c r="BQ566" s="39"/>
    </row>
    <row r="567" spans="3:69" ht="15.75" customHeight="1">
      <c r="C567" s="4"/>
      <c r="D567" s="4"/>
      <c r="E567" s="38"/>
      <c r="F567" s="38"/>
      <c r="G567" s="4"/>
      <c r="H567" s="4"/>
      <c r="I567" s="4"/>
      <c r="J567" s="4"/>
      <c r="K567" s="4"/>
      <c r="L567" s="4"/>
      <c r="M567" s="4"/>
      <c r="N567" s="38"/>
      <c r="O567" s="4"/>
      <c r="P567" s="4"/>
      <c r="Q567" s="4"/>
      <c r="R567" s="4"/>
      <c r="S567" s="4"/>
      <c r="T567" s="38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38"/>
      <c r="AN567" s="4"/>
      <c r="AO567" s="4"/>
      <c r="AP567" s="4"/>
      <c r="AQ567" s="4"/>
      <c r="AR567" s="4"/>
      <c r="AS567" s="4"/>
      <c r="AT567" s="4"/>
      <c r="AU567" s="4"/>
      <c r="AV567" s="4"/>
      <c r="AW567" s="4"/>
      <c r="AX567" s="4"/>
      <c r="AY567" s="4"/>
      <c r="AZ567" s="4"/>
      <c r="BA567" s="4"/>
      <c r="BB567" s="4"/>
      <c r="BC567" s="4"/>
      <c r="BD567" s="4"/>
      <c r="BE567" s="4"/>
      <c r="BF567" s="4"/>
      <c r="BG567" s="4"/>
      <c r="BH567" s="4"/>
      <c r="BI567" s="4"/>
      <c r="BJ567" s="4"/>
      <c r="BK567" s="4"/>
      <c r="BL567" s="4"/>
      <c r="BM567" s="4"/>
      <c r="BN567" s="4"/>
      <c r="BO567" s="4"/>
      <c r="BP567" s="39"/>
      <c r="BQ567" s="39"/>
    </row>
    <row r="568" spans="3:69" ht="15.75" customHeight="1">
      <c r="C568" s="4"/>
      <c r="D568" s="4"/>
      <c r="E568" s="38"/>
      <c r="F568" s="38"/>
      <c r="G568" s="4"/>
      <c r="H568" s="4"/>
      <c r="I568" s="4"/>
      <c r="J568" s="4"/>
      <c r="K568" s="4"/>
      <c r="L568" s="4"/>
      <c r="M568" s="4"/>
      <c r="N568" s="38"/>
      <c r="O568" s="4"/>
      <c r="P568" s="4"/>
      <c r="Q568" s="4"/>
      <c r="R568" s="4"/>
      <c r="S568" s="4"/>
      <c r="T568" s="38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38"/>
      <c r="AN568" s="4"/>
      <c r="AO568" s="4"/>
      <c r="AP568" s="4"/>
      <c r="AQ568" s="4"/>
      <c r="AR568" s="4"/>
      <c r="AS568" s="4"/>
      <c r="AT568" s="4"/>
      <c r="AU568" s="4"/>
      <c r="AV568" s="4"/>
      <c r="AW568" s="4"/>
      <c r="AX568" s="4"/>
      <c r="AY568" s="4"/>
      <c r="AZ568" s="4"/>
      <c r="BA568" s="4"/>
      <c r="BB568" s="4"/>
      <c r="BC568" s="4"/>
      <c r="BD568" s="4"/>
      <c r="BE568" s="4"/>
      <c r="BF568" s="4"/>
      <c r="BG568" s="4"/>
      <c r="BH568" s="4"/>
      <c r="BI568" s="4"/>
      <c r="BJ568" s="4"/>
      <c r="BK568" s="4"/>
      <c r="BL568" s="4"/>
      <c r="BM568" s="4"/>
      <c r="BN568" s="4"/>
      <c r="BO568" s="4"/>
      <c r="BP568" s="39"/>
      <c r="BQ568" s="39"/>
    </row>
    <row r="569" spans="3:69" ht="15.75" customHeight="1">
      <c r="C569" s="4"/>
      <c r="D569" s="4"/>
      <c r="E569" s="38"/>
      <c r="F569" s="38"/>
      <c r="G569" s="4"/>
      <c r="H569" s="4"/>
      <c r="I569" s="4"/>
      <c r="J569" s="4"/>
      <c r="K569" s="4"/>
      <c r="L569" s="4"/>
      <c r="M569" s="4"/>
      <c r="N569" s="38"/>
      <c r="O569" s="4"/>
      <c r="P569" s="4"/>
      <c r="Q569" s="4"/>
      <c r="R569" s="4"/>
      <c r="S569" s="4"/>
      <c r="T569" s="38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38"/>
      <c r="AN569" s="4"/>
      <c r="AO569" s="4"/>
      <c r="AP569" s="4"/>
      <c r="AQ569" s="4"/>
      <c r="AR569" s="4"/>
      <c r="AS569" s="4"/>
      <c r="AT569" s="4"/>
      <c r="AU569" s="4"/>
      <c r="AV569" s="4"/>
      <c r="AW569" s="4"/>
      <c r="AX569" s="4"/>
      <c r="AY569" s="4"/>
      <c r="AZ569" s="4"/>
      <c r="BA569" s="4"/>
      <c r="BB569" s="4"/>
      <c r="BC569" s="4"/>
      <c r="BD569" s="4"/>
      <c r="BE569" s="4"/>
      <c r="BF569" s="4"/>
      <c r="BG569" s="4"/>
      <c r="BH569" s="4"/>
      <c r="BI569" s="4"/>
      <c r="BJ569" s="4"/>
      <c r="BK569" s="4"/>
      <c r="BL569" s="4"/>
      <c r="BM569" s="4"/>
      <c r="BN569" s="4"/>
      <c r="BO569" s="4"/>
      <c r="BP569" s="39"/>
      <c r="BQ569" s="39"/>
    </row>
    <row r="570" spans="3:69" ht="15.75" customHeight="1">
      <c r="C570" s="4"/>
      <c r="D570" s="4"/>
      <c r="E570" s="38"/>
      <c r="F570" s="38"/>
      <c r="G570" s="4"/>
      <c r="H570" s="4"/>
      <c r="I570" s="4"/>
      <c r="J570" s="4"/>
      <c r="K570" s="4"/>
      <c r="L570" s="4"/>
      <c r="M570" s="4"/>
      <c r="N570" s="38"/>
      <c r="O570" s="4"/>
      <c r="P570" s="4"/>
      <c r="Q570" s="4"/>
      <c r="R570" s="4"/>
      <c r="S570" s="4"/>
      <c r="T570" s="38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38"/>
      <c r="AN570" s="4"/>
      <c r="AO570" s="4"/>
      <c r="AP570" s="4"/>
      <c r="AQ570" s="4"/>
      <c r="AR570" s="4"/>
      <c r="AS570" s="4"/>
      <c r="AT570" s="4"/>
      <c r="AU570" s="4"/>
      <c r="AV570" s="4"/>
      <c r="AW570" s="4"/>
      <c r="AX570" s="4"/>
      <c r="AY570" s="4"/>
      <c r="AZ570" s="4"/>
      <c r="BA570" s="4"/>
      <c r="BB570" s="4"/>
      <c r="BC570" s="4"/>
      <c r="BD570" s="4"/>
      <c r="BE570" s="4"/>
      <c r="BF570" s="4"/>
      <c r="BG570" s="4"/>
      <c r="BH570" s="4"/>
      <c r="BI570" s="4"/>
      <c r="BJ570" s="4"/>
      <c r="BK570" s="4"/>
      <c r="BL570" s="4"/>
      <c r="BM570" s="4"/>
      <c r="BN570" s="4"/>
      <c r="BO570" s="4"/>
      <c r="BP570" s="39"/>
      <c r="BQ570" s="39"/>
    </row>
    <row r="571" spans="3:69" ht="15.75" customHeight="1">
      <c r="C571" s="4"/>
      <c r="D571" s="4"/>
      <c r="E571" s="38"/>
      <c r="F571" s="38"/>
      <c r="G571" s="4"/>
      <c r="H571" s="4"/>
      <c r="I571" s="4"/>
      <c r="J571" s="4"/>
      <c r="K571" s="4"/>
      <c r="L571" s="4"/>
      <c r="M571" s="4"/>
      <c r="N571" s="38"/>
      <c r="O571" s="4"/>
      <c r="P571" s="4"/>
      <c r="Q571" s="4"/>
      <c r="R571" s="4"/>
      <c r="S571" s="4"/>
      <c r="T571" s="38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38"/>
      <c r="AN571" s="4"/>
      <c r="AO571" s="4"/>
      <c r="AP571" s="4"/>
      <c r="AQ571" s="4"/>
      <c r="AR571" s="4"/>
      <c r="AS571" s="4"/>
      <c r="AT571" s="4"/>
      <c r="AU571" s="4"/>
      <c r="AV571" s="4"/>
      <c r="AW571" s="4"/>
      <c r="AX571" s="4"/>
      <c r="AY571" s="4"/>
      <c r="AZ571" s="4"/>
      <c r="BA571" s="4"/>
      <c r="BB571" s="4"/>
      <c r="BC571" s="4"/>
      <c r="BD571" s="4"/>
      <c r="BE571" s="4"/>
      <c r="BF571" s="4"/>
      <c r="BG571" s="4"/>
      <c r="BH571" s="4"/>
      <c r="BI571" s="4"/>
      <c r="BJ571" s="4"/>
      <c r="BK571" s="4"/>
      <c r="BL571" s="4"/>
      <c r="BM571" s="4"/>
      <c r="BN571" s="4"/>
      <c r="BO571" s="4"/>
      <c r="BP571" s="39"/>
      <c r="BQ571" s="39"/>
    </row>
    <row r="572" spans="3:69" ht="15.75" customHeight="1">
      <c r="C572" s="4"/>
      <c r="D572" s="4"/>
      <c r="E572" s="38"/>
      <c r="F572" s="38"/>
      <c r="G572" s="4"/>
      <c r="H572" s="4"/>
      <c r="I572" s="4"/>
      <c r="J572" s="4"/>
      <c r="K572" s="4"/>
      <c r="L572" s="4"/>
      <c r="M572" s="4"/>
      <c r="N572" s="38"/>
      <c r="O572" s="4"/>
      <c r="P572" s="4"/>
      <c r="Q572" s="4"/>
      <c r="R572" s="4"/>
      <c r="S572" s="4"/>
      <c r="T572" s="38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38"/>
      <c r="AN572" s="4"/>
      <c r="AO572" s="4"/>
      <c r="AP572" s="4"/>
      <c r="AQ572" s="4"/>
      <c r="AR572" s="4"/>
      <c r="AS572" s="4"/>
      <c r="AT572" s="4"/>
      <c r="AU572" s="4"/>
      <c r="AV572" s="4"/>
      <c r="AW572" s="4"/>
      <c r="AX572" s="4"/>
      <c r="AY572" s="4"/>
      <c r="AZ572" s="4"/>
      <c r="BA572" s="4"/>
      <c r="BB572" s="4"/>
      <c r="BC572" s="4"/>
      <c r="BD572" s="4"/>
      <c r="BE572" s="4"/>
      <c r="BF572" s="4"/>
      <c r="BG572" s="4"/>
      <c r="BH572" s="4"/>
      <c r="BI572" s="4"/>
      <c r="BJ572" s="4"/>
      <c r="BK572" s="4"/>
      <c r="BL572" s="4"/>
      <c r="BM572" s="4"/>
      <c r="BN572" s="4"/>
      <c r="BO572" s="4"/>
      <c r="BP572" s="39"/>
      <c r="BQ572" s="39"/>
    </row>
    <row r="573" spans="3:69" ht="15.75" customHeight="1">
      <c r="C573" s="4"/>
      <c r="D573" s="4"/>
      <c r="E573" s="38"/>
      <c r="F573" s="38"/>
      <c r="G573" s="4"/>
      <c r="H573" s="4"/>
      <c r="I573" s="4"/>
      <c r="J573" s="4"/>
      <c r="K573" s="4"/>
      <c r="L573" s="4"/>
      <c r="M573" s="4"/>
      <c r="N573" s="38"/>
      <c r="O573" s="4"/>
      <c r="P573" s="4"/>
      <c r="Q573" s="4"/>
      <c r="R573" s="4"/>
      <c r="S573" s="4"/>
      <c r="T573" s="38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38"/>
      <c r="AN573" s="4"/>
      <c r="AO573" s="4"/>
      <c r="AP573" s="4"/>
      <c r="AQ573" s="4"/>
      <c r="AR573" s="4"/>
      <c r="AS573" s="4"/>
      <c r="AT573" s="4"/>
      <c r="AU573" s="4"/>
      <c r="AV573" s="4"/>
      <c r="AW573" s="4"/>
      <c r="AX573" s="4"/>
      <c r="AY573" s="4"/>
      <c r="AZ573" s="4"/>
      <c r="BA573" s="4"/>
      <c r="BB573" s="4"/>
      <c r="BC573" s="4"/>
      <c r="BD573" s="4"/>
      <c r="BE573" s="4"/>
      <c r="BF573" s="4"/>
      <c r="BG573" s="4"/>
      <c r="BH573" s="4"/>
      <c r="BI573" s="4"/>
      <c r="BJ573" s="4"/>
      <c r="BK573" s="4"/>
      <c r="BL573" s="4"/>
      <c r="BM573" s="4"/>
      <c r="BN573" s="4"/>
      <c r="BO573" s="4"/>
      <c r="BP573" s="39"/>
      <c r="BQ573" s="39"/>
    </row>
    <row r="574" spans="3:69" ht="15.75" customHeight="1">
      <c r="C574" s="4"/>
      <c r="D574" s="4"/>
      <c r="E574" s="38"/>
      <c r="F574" s="38"/>
      <c r="G574" s="4"/>
      <c r="H574" s="4"/>
      <c r="I574" s="4"/>
      <c r="J574" s="4"/>
      <c r="K574" s="4"/>
      <c r="L574" s="4"/>
      <c r="M574" s="4"/>
      <c r="N574" s="38"/>
      <c r="O574" s="4"/>
      <c r="P574" s="4"/>
      <c r="Q574" s="4"/>
      <c r="R574" s="4"/>
      <c r="S574" s="4"/>
      <c r="T574" s="38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38"/>
      <c r="AN574" s="4"/>
      <c r="AO574" s="4"/>
      <c r="AP574" s="4"/>
      <c r="AQ574" s="4"/>
      <c r="AR574" s="4"/>
      <c r="AS574" s="4"/>
      <c r="AT574" s="4"/>
      <c r="AU574" s="4"/>
      <c r="AV574" s="4"/>
      <c r="AW574" s="4"/>
      <c r="AX574" s="4"/>
      <c r="AY574" s="4"/>
      <c r="AZ574" s="4"/>
      <c r="BA574" s="4"/>
      <c r="BB574" s="4"/>
      <c r="BC574" s="4"/>
      <c r="BD574" s="4"/>
      <c r="BE574" s="4"/>
      <c r="BF574" s="4"/>
      <c r="BG574" s="4"/>
      <c r="BH574" s="4"/>
      <c r="BI574" s="4"/>
      <c r="BJ574" s="4"/>
      <c r="BK574" s="4"/>
      <c r="BL574" s="4"/>
      <c r="BM574" s="4"/>
      <c r="BN574" s="4"/>
      <c r="BO574" s="4"/>
      <c r="BP574" s="39"/>
      <c r="BQ574" s="39"/>
    </row>
    <row r="575" spans="3:69" ht="15.75" customHeight="1">
      <c r="C575" s="4"/>
      <c r="D575" s="4"/>
      <c r="E575" s="38"/>
      <c r="F575" s="38"/>
      <c r="G575" s="4"/>
      <c r="H575" s="4"/>
      <c r="I575" s="4"/>
      <c r="J575" s="4"/>
      <c r="K575" s="4"/>
      <c r="L575" s="4"/>
      <c r="M575" s="4"/>
      <c r="N575" s="38"/>
      <c r="O575" s="4"/>
      <c r="P575" s="4"/>
      <c r="Q575" s="4"/>
      <c r="R575" s="4"/>
      <c r="S575" s="4"/>
      <c r="T575" s="38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38"/>
      <c r="AN575" s="4"/>
      <c r="AO575" s="4"/>
      <c r="AP575" s="4"/>
      <c r="AQ575" s="4"/>
      <c r="AR575" s="4"/>
      <c r="AS575" s="4"/>
      <c r="AT575" s="4"/>
      <c r="AU575" s="4"/>
      <c r="AV575" s="4"/>
      <c r="AW575" s="4"/>
      <c r="AX575" s="4"/>
      <c r="AY575" s="4"/>
      <c r="AZ575" s="4"/>
      <c r="BA575" s="4"/>
      <c r="BB575" s="4"/>
      <c r="BC575" s="4"/>
      <c r="BD575" s="4"/>
      <c r="BE575" s="4"/>
      <c r="BF575" s="4"/>
      <c r="BG575" s="4"/>
      <c r="BH575" s="4"/>
      <c r="BI575" s="4"/>
      <c r="BJ575" s="4"/>
      <c r="BK575" s="4"/>
      <c r="BL575" s="4"/>
      <c r="BM575" s="4"/>
      <c r="BN575" s="4"/>
      <c r="BO575" s="4"/>
      <c r="BP575" s="39"/>
      <c r="BQ575" s="39"/>
    </row>
    <row r="576" spans="3:69" ht="15.75" customHeight="1">
      <c r="C576" s="4"/>
      <c r="D576" s="4"/>
      <c r="E576" s="38"/>
      <c r="F576" s="38"/>
      <c r="G576" s="4"/>
      <c r="H576" s="4"/>
      <c r="I576" s="4"/>
      <c r="J576" s="4"/>
      <c r="K576" s="4"/>
      <c r="L576" s="4"/>
      <c r="M576" s="4"/>
      <c r="N576" s="38"/>
      <c r="O576" s="4"/>
      <c r="P576" s="4"/>
      <c r="Q576" s="4"/>
      <c r="R576" s="4"/>
      <c r="S576" s="4"/>
      <c r="T576" s="38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38"/>
      <c r="AN576" s="4"/>
      <c r="AO576" s="4"/>
      <c r="AP576" s="4"/>
      <c r="AQ576" s="4"/>
      <c r="AR576" s="4"/>
      <c r="AS576" s="4"/>
      <c r="AT576" s="4"/>
      <c r="AU576" s="4"/>
      <c r="AV576" s="4"/>
      <c r="AW576" s="4"/>
      <c r="AX576" s="4"/>
      <c r="AY576" s="4"/>
      <c r="AZ576" s="4"/>
      <c r="BA576" s="4"/>
      <c r="BB576" s="4"/>
      <c r="BC576" s="4"/>
      <c r="BD576" s="4"/>
      <c r="BE576" s="4"/>
      <c r="BF576" s="4"/>
      <c r="BG576" s="4"/>
      <c r="BH576" s="4"/>
      <c r="BI576" s="4"/>
      <c r="BJ576" s="4"/>
      <c r="BK576" s="4"/>
      <c r="BL576" s="4"/>
      <c r="BM576" s="4"/>
      <c r="BN576" s="4"/>
      <c r="BO576" s="4"/>
      <c r="BP576" s="39"/>
      <c r="BQ576" s="39"/>
    </row>
    <row r="577" spans="3:69" ht="15.75" customHeight="1">
      <c r="C577" s="4"/>
      <c r="D577" s="4"/>
      <c r="E577" s="38"/>
      <c r="F577" s="38"/>
      <c r="G577" s="4"/>
      <c r="H577" s="4"/>
      <c r="I577" s="4"/>
      <c r="J577" s="4"/>
      <c r="K577" s="4"/>
      <c r="L577" s="4"/>
      <c r="M577" s="4"/>
      <c r="N577" s="38"/>
      <c r="O577" s="4"/>
      <c r="P577" s="4"/>
      <c r="Q577" s="4"/>
      <c r="R577" s="4"/>
      <c r="S577" s="4"/>
      <c r="T577" s="38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38"/>
      <c r="AN577" s="4"/>
      <c r="AO577" s="4"/>
      <c r="AP577" s="4"/>
      <c r="AQ577" s="4"/>
      <c r="AR577" s="4"/>
      <c r="AS577" s="4"/>
      <c r="AT577" s="4"/>
      <c r="AU577" s="4"/>
      <c r="AV577" s="4"/>
      <c r="AW577" s="4"/>
      <c r="AX577" s="4"/>
      <c r="AY577" s="4"/>
      <c r="AZ577" s="4"/>
      <c r="BA577" s="4"/>
      <c r="BB577" s="4"/>
      <c r="BC577" s="4"/>
      <c r="BD577" s="4"/>
      <c r="BE577" s="4"/>
      <c r="BF577" s="4"/>
      <c r="BG577" s="4"/>
      <c r="BH577" s="4"/>
      <c r="BI577" s="4"/>
      <c r="BJ577" s="4"/>
      <c r="BK577" s="4"/>
      <c r="BL577" s="4"/>
      <c r="BM577" s="4"/>
      <c r="BN577" s="4"/>
      <c r="BO577" s="4"/>
      <c r="BP577" s="39"/>
      <c r="BQ577" s="39"/>
    </row>
    <row r="578" spans="3:69" ht="15.75" customHeight="1">
      <c r="C578" s="4"/>
      <c r="D578" s="4"/>
      <c r="E578" s="38"/>
      <c r="F578" s="38"/>
      <c r="G578" s="4"/>
      <c r="H578" s="4"/>
      <c r="I578" s="4"/>
      <c r="J578" s="4"/>
      <c r="K578" s="4"/>
      <c r="L578" s="4"/>
      <c r="M578" s="4"/>
      <c r="N578" s="38"/>
      <c r="O578" s="4"/>
      <c r="P578" s="4"/>
      <c r="Q578" s="4"/>
      <c r="R578" s="4"/>
      <c r="S578" s="4"/>
      <c r="T578" s="38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38"/>
      <c r="AN578" s="4"/>
      <c r="AO578" s="4"/>
      <c r="AP578" s="4"/>
      <c r="AQ578" s="4"/>
      <c r="AR578" s="4"/>
      <c r="AS578" s="4"/>
      <c r="AT578" s="4"/>
      <c r="AU578" s="4"/>
      <c r="AV578" s="4"/>
      <c r="AW578" s="4"/>
      <c r="AX578" s="4"/>
      <c r="AY578" s="4"/>
      <c r="AZ578" s="4"/>
      <c r="BA578" s="4"/>
      <c r="BB578" s="4"/>
      <c r="BC578" s="4"/>
      <c r="BD578" s="4"/>
      <c r="BE578" s="4"/>
      <c r="BF578" s="4"/>
      <c r="BG578" s="4"/>
      <c r="BH578" s="4"/>
      <c r="BI578" s="4"/>
      <c r="BJ578" s="4"/>
      <c r="BK578" s="4"/>
      <c r="BL578" s="4"/>
      <c r="BM578" s="4"/>
      <c r="BN578" s="4"/>
      <c r="BO578" s="4"/>
      <c r="BP578" s="39"/>
      <c r="BQ578" s="39"/>
    </row>
    <row r="579" spans="3:69" ht="15.75" customHeight="1">
      <c r="C579" s="4"/>
      <c r="D579" s="4"/>
      <c r="E579" s="38"/>
      <c r="F579" s="38"/>
      <c r="G579" s="4"/>
      <c r="H579" s="4"/>
      <c r="I579" s="4"/>
      <c r="J579" s="4"/>
      <c r="K579" s="4"/>
      <c r="L579" s="4"/>
      <c r="M579" s="4"/>
      <c r="N579" s="38"/>
      <c r="O579" s="4"/>
      <c r="P579" s="4"/>
      <c r="Q579" s="4"/>
      <c r="R579" s="4"/>
      <c r="S579" s="4"/>
      <c r="T579" s="38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38"/>
      <c r="AN579" s="4"/>
      <c r="AO579" s="4"/>
      <c r="AP579" s="4"/>
      <c r="AQ579" s="4"/>
      <c r="AR579" s="4"/>
      <c r="AS579" s="4"/>
      <c r="AT579" s="4"/>
      <c r="AU579" s="4"/>
      <c r="AV579" s="4"/>
      <c r="AW579" s="4"/>
      <c r="AX579" s="4"/>
      <c r="AY579" s="4"/>
      <c r="AZ579" s="4"/>
      <c r="BA579" s="4"/>
      <c r="BB579" s="4"/>
      <c r="BC579" s="4"/>
      <c r="BD579" s="4"/>
      <c r="BE579" s="4"/>
      <c r="BF579" s="4"/>
      <c r="BG579" s="4"/>
      <c r="BH579" s="4"/>
      <c r="BI579" s="4"/>
      <c r="BJ579" s="4"/>
      <c r="BK579" s="4"/>
      <c r="BL579" s="4"/>
      <c r="BM579" s="4"/>
      <c r="BN579" s="4"/>
      <c r="BO579" s="4"/>
      <c r="BP579" s="39"/>
      <c r="BQ579" s="39"/>
    </row>
    <row r="580" spans="3:69" ht="15.75" customHeight="1">
      <c r="C580" s="4"/>
      <c r="D580" s="4"/>
      <c r="E580" s="38"/>
      <c r="F580" s="38"/>
      <c r="G580" s="4"/>
      <c r="H580" s="4"/>
      <c r="I580" s="4"/>
      <c r="J580" s="4"/>
      <c r="K580" s="4"/>
      <c r="L580" s="4"/>
      <c r="M580" s="4"/>
      <c r="N580" s="38"/>
      <c r="O580" s="4"/>
      <c r="P580" s="4"/>
      <c r="Q580" s="4"/>
      <c r="R580" s="4"/>
      <c r="S580" s="4"/>
      <c r="T580" s="38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38"/>
      <c r="AN580" s="4"/>
      <c r="AO580" s="4"/>
      <c r="AP580" s="4"/>
      <c r="AQ580" s="4"/>
      <c r="AR580" s="4"/>
      <c r="AS580" s="4"/>
      <c r="AT580" s="4"/>
      <c r="AU580" s="4"/>
      <c r="AV580" s="4"/>
      <c r="AW580" s="4"/>
      <c r="AX580" s="4"/>
      <c r="AY580" s="4"/>
      <c r="AZ580" s="4"/>
      <c r="BA580" s="4"/>
      <c r="BB580" s="4"/>
      <c r="BC580" s="4"/>
      <c r="BD580" s="4"/>
      <c r="BE580" s="4"/>
      <c r="BF580" s="4"/>
      <c r="BG580" s="4"/>
      <c r="BH580" s="4"/>
      <c r="BI580" s="4"/>
      <c r="BJ580" s="4"/>
      <c r="BK580" s="4"/>
      <c r="BL580" s="4"/>
      <c r="BM580" s="4"/>
      <c r="BN580" s="4"/>
      <c r="BO580" s="4"/>
      <c r="BP580" s="39"/>
      <c r="BQ580" s="39"/>
    </row>
    <row r="581" spans="3:69" ht="15.75" customHeight="1">
      <c r="C581" s="4"/>
      <c r="D581" s="4"/>
      <c r="E581" s="38"/>
      <c r="F581" s="38"/>
      <c r="G581" s="4"/>
      <c r="H581" s="4"/>
      <c r="I581" s="4"/>
      <c r="J581" s="4"/>
      <c r="K581" s="4"/>
      <c r="L581" s="4"/>
      <c r="M581" s="4"/>
      <c r="N581" s="38"/>
      <c r="O581" s="4"/>
      <c r="P581" s="4"/>
      <c r="Q581" s="4"/>
      <c r="R581" s="4"/>
      <c r="S581" s="4"/>
      <c r="T581" s="38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38"/>
      <c r="AN581" s="4"/>
      <c r="AO581" s="4"/>
      <c r="AP581" s="4"/>
      <c r="AQ581" s="4"/>
      <c r="AR581" s="4"/>
      <c r="AS581" s="4"/>
      <c r="AT581" s="4"/>
      <c r="AU581" s="4"/>
      <c r="AV581" s="4"/>
      <c r="AW581" s="4"/>
      <c r="AX581" s="4"/>
      <c r="AY581" s="4"/>
      <c r="AZ581" s="4"/>
      <c r="BA581" s="4"/>
      <c r="BB581" s="4"/>
      <c r="BC581" s="4"/>
      <c r="BD581" s="4"/>
      <c r="BE581" s="4"/>
      <c r="BF581" s="4"/>
      <c r="BG581" s="4"/>
      <c r="BH581" s="4"/>
      <c r="BI581" s="4"/>
      <c r="BJ581" s="4"/>
      <c r="BK581" s="4"/>
      <c r="BL581" s="4"/>
      <c r="BM581" s="4"/>
      <c r="BN581" s="4"/>
      <c r="BO581" s="4"/>
      <c r="BP581" s="39"/>
      <c r="BQ581" s="39"/>
    </row>
    <row r="582" spans="3:69" ht="15.75" customHeight="1">
      <c r="C582" s="4"/>
      <c r="D582" s="4"/>
      <c r="E582" s="38"/>
      <c r="F582" s="38"/>
      <c r="G582" s="4"/>
      <c r="H582" s="4"/>
      <c r="I582" s="4"/>
      <c r="J582" s="4"/>
      <c r="K582" s="4"/>
      <c r="L582" s="4"/>
      <c r="M582" s="4"/>
      <c r="N582" s="38"/>
      <c r="O582" s="4"/>
      <c r="P582" s="4"/>
      <c r="Q582" s="4"/>
      <c r="R582" s="4"/>
      <c r="S582" s="4"/>
      <c r="T582" s="38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38"/>
      <c r="AN582" s="4"/>
      <c r="AO582" s="4"/>
      <c r="AP582" s="4"/>
      <c r="AQ582" s="4"/>
      <c r="AR582" s="4"/>
      <c r="AS582" s="4"/>
      <c r="AT582" s="4"/>
      <c r="AU582" s="4"/>
      <c r="AV582" s="4"/>
      <c r="AW582" s="4"/>
      <c r="AX582" s="4"/>
      <c r="AY582" s="4"/>
      <c r="AZ582" s="4"/>
      <c r="BA582" s="4"/>
      <c r="BB582" s="4"/>
      <c r="BC582" s="4"/>
      <c r="BD582" s="4"/>
      <c r="BE582" s="4"/>
      <c r="BF582" s="4"/>
      <c r="BG582" s="4"/>
      <c r="BH582" s="4"/>
      <c r="BI582" s="4"/>
      <c r="BJ582" s="4"/>
      <c r="BK582" s="4"/>
      <c r="BL582" s="4"/>
      <c r="BM582" s="4"/>
      <c r="BN582" s="4"/>
      <c r="BO582" s="4"/>
      <c r="BP582" s="39"/>
      <c r="BQ582" s="39"/>
    </row>
    <row r="583" spans="3:69" ht="15.75" customHeight="1">
      <c r="C583" s="4"/>
      <c r="D583" s="4"/>
      <c r="E583" s="38"/>
      <c r="F583" s="38"/>
      <c r="G583" s="4"/>
      <c r="H583" s="4"/>
      <c r="I583" s="4"/>
      <c r="J583" s="4"/>
      <c r="K583" s="4"/>
      <c r="L583" s="4"/>
      <c r="M583" s="4"/>
      <c r="N583" s="38"/>
      <c r="O583" s="4"/>
      <c r="P583" s="4"/>
      <c r="Q583" s="4"/>
      <c r="R583" s="4"/>
      <c r="S583" s="4"/>
      <c r="T583" s="38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38"/>
      <c r="AN583" s="4"/>
      <c r="AO583" s="4"/>
      <c r="AP583" s="4"/>
      <c r="AQ583" s="4"/>
      <c r="AR583" s="4"/>
      <c r="AS583" s="4"/>
      <c r="AT583" s="4"/>
      <c r="AU583" s="4"/>
      <c r="AV583" s="4"/>
      <c r="AW583" s="4"/>
      <c r="AX583" s="4"/>
      <c r="AY583" s="4"/>
      <c r="AZ583" s="4"/>
      <c r="BA583" s="4"/>
      <c r="BB583" s="4"/>
      <c r="BC583" s="4"/>
      <c r="BD583" s="4"/>
      <c r="BE583" s="4"/>
      <c r="BF583" s="4"/>
      <c r="BG583" s="4"/>
      <c r="BH583" s="4"/>
      <c r="BI583" s="4"/>
      <c r="BJ583" s="4"/>
      <c r="BK583" s="4"/>
      <c r="BL583" s="4"/>
      <c r="BM583" s="4"/>
      <c r="BN583" s="4"/>
      <c r="BO583" s="4"/>
      <c r="BP583" s="39"/>
      <c r="BQ583" s="39"/>
    </row>
    <row r="584" spans="3:69" ht="15.75" customHeight="1">
      <c r="C584" s="4"/>
      <c r="D584" s="4"/>
      <c r="E584" s="38"/>
      <c r="F584" s="38"/>
      <c r="G584" s="4"/>
      <c r="H584" s="4"/>
      <c r="I584" s="4"/>
      <c r="J584" s="4"/>
      <c r="K584" s="4"/>
      <c r="L584" s="4"/>
      <c r="M584" s="4"/>
      <c r="N584" s="38"/>
      <c r="O584" s="4"/>
      <c r="P584" s="4"/>
      <c r="Q584" s="4"/>
      <c r="R584" s="4"/>
      <c r="S584" s="4"/>
      <c r="T584" s="38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38"/>
      <c r="AN584" s="4"/>
      <c r="AO584" s="4"/>
      <c r="AP584" s="4"/>
      <c r="AQ584" s="4"/>
      <c r="AR584" s="4"/>
      <c r="AS584" s="4"/>
      <c r="AT584" s="4"/>
      <c r="AU584" s="4"/>
      <c r="AV584" s="4"/>
      <c r="AW584" s="4"/>
      <c r="AX584" s="4"/>
      <c r="AY584" s="4"/>
      <c r="AZ584" s="4"/>
      <c r="BA584" s="4"/>
      <c r="BB584" s="4"/>
      <c r="BC584" s="4"/>
      <c r="BD584" s="4"/>
      <c r="BE584" s="4"/>
      <c r="BF584" s="4"/>
      <c r="BG584" s="4"/>
      <c r="BH584" s="4"/>
      <c r="BI584" s="4"/>
      <c r="BJ584" s="4"/>
      <c r="BK584" s="4"/>
      <c r="BL584" s="4"/>
      <c r="BM584" s="4"/>
      <c r="BN584" s="4"/>
      <c r="BO584" s="4"/>
      <c r="BP584" s="39"/>
      <c r="BQ584" s="39"/>
    </row>
    <row r="585" spans="3:69" ht="15.75" customHeight="1">
      <c r="C585" s="4"/>
      <c r="D585" s="4"/>
      <c r="E585" s="38"/>
      <c r="F585" s="38"/>
      <c r="G585" s="4"/>
      <c r="H585" s="4"/>
      <c r="I585" s="4"/>
      <c r="J585" s="4"/>
      <c r="K585" s="4"/>
      <c r="L585" s="4"/>
      <c r="M585" s="4"/>
      <c r="N585" s="38"/>
      <c r="O585" s="4"/>
      <c r="P585" s="4"/>
      <c r="Q585" s="4"/>
      <c r="R585" s="4"/>
      <c r="S585" s="4"/>
      <c r="T585" s="38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38"/>
      <c r="AN585" s="4"/>
      <c r="AO585" s="4"/>
      <c r="AP585" s="4"/>
      <c r="AQ585" s="4"/>
      <c r="AR585" s="4"/>
      <c r="AS585" s="4"/>
      <c r="AT585" s="4"/>
      <c r="AU585" s="4"/>
      <c r="AV585" s="4"/>
      <c r="AW585" s="4"/>
      <c r="AX585" s="4"/>
      <c r="AY585" s="4"/>
      <c r="AZ585" s="4"/>
      <c r="BA585" s="4"/>
      <c r="BB585" s="4"/>
      <c r="BC585" s="4"/>
      <c r="BD585" s="4"/>
      <c r="BE585" s="4"/>
      <c r="BF585" s="4"/>
      <c r="BG585" s="4"/>
      <c r="BH585" s="4"/>
      <c r="BI585" s="4"/>
      <c r="BJ585" s="4"/>
      <c r="BK585" s="4"/>
      <c r="BL585" s="4"/>
      <c r="BM585" s="4"/>
      <c r="BN585" s="4"/>
      <c r="BO585" s="4"/>
      <c r="BP585" s="39"/>
      <c r="BQ585" s="39"/>
    </row>
    <row r="586" spans="3:69" ht="15.75" customHeight="1">
      <c r="C586" s="4"/>
      <c r="D586" s="4"/>
      <c r="E586" s="38"/>
      <c r="F586" s="38"/>
      <c r="G586" s="4"/>
      <c r="H586" s="4"/>
      <c r="I586" s="4"/>
      <c r="J586" s="4"/>
      <c r="K586" s="4"/>
      <c r="L586" s="4"/>
      <c r="M586" s="4"/>
      <c r="N586" s="38"/>
      <c r="O586" s="4"/>
      <c r="P586" s="4"/>
      <c r="Q586" s="4"/>
      <c r="R586" s="4"/>
      <c r="S586" s="4"/>
      <c r="T586" s="38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38"/>
      <c r="AN586" s="4"/>
      <c r="AO586" s="4"/>
      <c r="AP586" s="4"/>
      <c r="AQ586" s="4"/>
      <c r="AR586" s="4"/>
      <c r="AS586" s="4"/>
      <c r="AT586" s="4"/>
      <c r="AU586" s="4"/>
      <c r="AV586" s="4"/>
      <c r="AW586" s="4"/>
      <c r="AX586" s="4"/>
      <c r="AY586" s="4"/>
      <c r="AZ586" s="4"/>
      <c r="BA586" s="4"/>
      <c r="BB586" s="4"/>
      <c r="BC586" s="4"/>
      <c r="BD586" s="4"/>
      <c r="BE586" s="4"/>
      <c r="BF586" s="4"/>
      <c r="BG586" s="4"/>
      <c r="BH586" s="4"/>
      <c r="BI586" s="4"/>
      <c r="BJ586" s="4"/>
      <c r="BK586" s="4"/>
      <c r="BL586" s="4"/>
      <c r="BM586" s="4"/>
      <c r="BN586" s="4"/>
      <c r="BO586" s="4"/>
      <c r="BP586" s="39"/>
      <c r="BQ586" s="39"/>
    </row>
    <row r="587" spans="3:69" ht="15.75" customHeight="1">
      <c r="C587" s="4"/>
      <c r="D587" s="4"/>
      <c r="E587" s="38"/>
      <c r="F587" s="38"/>
      <c r="G587" s="4"/>
      <c r="H587" s="4"/>
      <c r="I587" s="4"/>
      <c r="J587" s="4"/>
      <c r="K587" s="4"/>
      <c r="L587" s="4"/>
      <c r="M587" s="4"/>
      <c r="N587" s="38"/>
      <c r="O587" s="4"/>
      <c r="P587" s="4"/>
      <c r="Q587" s="4"/>
      <c r="R587" s="4"/>
      <c r="S587" s="4"/>
      <c r="T587" s="38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38"/>
      <c r="AN587" s="4"/>
      <c r="AO587" s="4"/>
      <c r="AP587" s="4"/>
      <c r="AQ587" s="4"/>
      <c r="AR587" s="4"/>
      <c r="AS587" s="4"/>
      <c r="AT587" s="4"/>
      <c r="AU587" s="4"/>
      <c r="AV587" s="4"/>
      <c r="AW587" s="4"/>
      <c r="AX587" s="4"/>
      <c r="AY587" s="4"/>
      <c r="AZ587" s="4"/>
      <c r="BA587" s="4"/>
      <c r="BB587" s="4"/>
      <c r="BC587" s="4"/>
      <c r="BD587" s="4"/>
      <c r="BE587" s="4"/>
      <c r="BF587" s="4"/>
      <c r="BG587" s="4"/>
      <c r="BH587" s="4"/>
      <c r="BI587" s="4"/>
      <c r="BJ587" s="4"/>
      <c r="BK587" s="4"/>
      <c r="BL587" s="4"/>
      <c r="BM587" s="4"/>
      <c r="BN587" s="4"/>
      <c r="BO587" s="4"/>
      <c r="BP587" s="39"/>
      <c r="BQ587" s="39"/>
    </row>
    <row r="588" spans="3:69" ht="15.75" customHeight="1">
      <c r="C588" s="4"/>
      <c r="D588" s="4"/>
      <c r="E588" s="38"/>
      <c r="F588" s="38"/>
      <c r="G588" s="4"/>
      <c r="H588" s="4"/>
      <c r="I588" s="4"/>
      <c r="J588" s="4"/>
      <c r="K588" s="4"/>
      <c r="L588" s="4"/>
      <c r="M588" s="4"/>
      <c r="N588" s="38"/>
      <c r="O588" s="4"/>
      <c r="P588" s="4"/>
      <c r="Q588" s="4"/>
      <c r="R588" s="4"/>
      <c r="S588" s="4"/>
      <c r="T588" s="38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38"/>
      <c r="AN588" s="4"/>
      <c r="AO588" s="4"/>
      <c r="AP588" s="4"/>
      <c r="AQ588" s="4"/>
      <c r="AR588" s="4"/>
      <c r="AS588" s="4"/>
      <c r="AT588" s="4"/>
      <c r="AU588" s="4"/>
      <c r="AV588" s="4"/>
      <c r="AW588" s="4"/>
      <c r="AX588" s="4"/>
      <c r="AY588" s="4"/>
      <c r="AZ588" s="4"/>
      <c r="BA588" s="4"/>
      <c r="BB588" s="4"/>
      <c r="BC588" s="4"/>
      <c r="BD588" s="4"/>
      <c r="BE588" s="4"/>
      <c r="BF588" s="4"/>
      <c r="BG588" s="4"/>
      <c r="BH588" s="4"/>
      <c r="BI588" s="4"/>
      <c r="BJ588" s="4"/>
      <c r="BK588" s="4"/>
      <c r="BL588" s="4"/>
      <c r="BM588" s="4"/>
      <c r="BN588" s="4"/>
      <c r="BO588" s="4"/>
      <c r="BP588" s="39"/>
      <c r="BQ588" s="39"/>
    </row>
    <row r="589" spans="3:69" ht="15.75" customHeight="1">
      <c r="C589" s="4"/>
      <c r="D589" s="4"/>
      <c r="E589" s="38"/>
      <c r="F589" s="38"/>
      <c r="G589" s="4"/>
      <c r="H589" s="4"/>
      <c r="I589" s="4"/>
      <c r="J589" s="4"/>
      <c r="K589" s="4"/>
      <c r="L589" s="4"/>
      <c r="M589" s="4"/>
      <c r="N589" s="38"/>
      <c r="O589" s="4"/>
      <c r="P589" s="4"/>
      <c r="Q589" s="4"/>
      <c r="R589" s="4"/>
      <c r="S589" s="4"/>
      <c r="T589" s="38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38"/>
      <c r="AN589" s="4"/>
      <c r="AO589" s="4"/>
      <c r="AP589" s="4"/>
      <c r="AQ589" s="4"/>
      <c r="AR589" s="4"/>
      <c r="AS589" s="4"/>
      <c r="AT589" s="4"/>
      <c r="AU589" s="4"/>
      <c r="AV589" s="4"/>
      <c r="AW589" s="4"/>
      <c r="AX589" s="4"/>
      <c r="AY589" s="4"/>
      <c r="AZ589" s="4"/>
      <c r="BA589" s="4"/>
      <c r="BB589" s="4"/>
      <c r="BC589" s="4"/>
      <c r="BD589" s="4"/>
      <c r="BE589" s="4"/>
      <c r="BF589" s="4"/>
      <c r="BG589" s="4"/>
      <c r="BH589" s="4"/>
      <c r="BI589" s="4"/>
      <c r="BJ589" s="4"/>
      <c r="BK589" s="4"/>
      <c r="BL589" s="4"/>
      <c r="BM589" s="4"/>
      <c r="BN589" s="4"/>
      <c r="BO589" s="4"/>
      <c r="BP589" s="39"/>
      <c r="BQ589" s="39"/>
    </row>
    <row r="590" spans="3:69" ht="15.75" customHeight="1">
      <c r="C590" s="4"/>
      <c r="D590" s="4"/>
      <c r="E590" s="38"/>
      <c r="F590" s="38"/>
      <c r="G590" s="4"/>
      <c r="H590" s="4"/>
      <c r="I590" s="4"/>
      <c r="J590" s="4"/>
      <c r="K590" s="4"/>
      <c r="L590" s="4"/>
      <c r="M590" s="4"/>
      <c r="N590" s="38"/>
      <c r="O590" s="4"/>
      <c r="P590" s="4"/>
      <c r="Q590" s="4"/>
      <c r="R590" s="4"/>
      <c r="S590" s="4"/>
      <c r="T590" s="38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38"/>
      <c r="AN590" s="4"/>
      <c r="AO590" s="4"/>
      <c r="AP590" s="4"/>
      <c r="AQ590" s="4"/>
      <c r="AR590" s="4"/>
      <c r="AS590" s="4"/>
      <c r="AT590" s="4"/>
      <c r="AU590" s="4"/>
      <c r="AV590" s="4"/>
      <c r="AW590" s="4"/>
      <c r="AX590" s="4"/>
      <c r="AY590" s="4"/>
      <c r="AZ590" s="4"/>
      <c r="BA590" s="4"/>
      <c r="BB590" s="4"/>
      <c r="BC590" s="4"/>
      <c r="BD590" s="4"/>
      <c r="BE590" s="4"/>
      <c r="BF590" s="4"/>
      <c r="BG590" s="4"/>
      <c r="BH590" s="4"/>
      <c r="BI590" s="4"/>
      <c r="BJ590" s="4"/>
      <c r="BK590" s="4"/>
      <c r="BL590" s="4"/>
      <c r="BM590" s="4"/>
      <c r="BN590" s="4"/>
      <c r="BO590" s="4"/>
      <c r="BP590" s="39"/>
      <c r="BQ590" s="39"/>
    </row>
    <row r="591" spans="3:69" ht="15.75" customHeight="1">
      <c r="C591" s="4"/>
      <c r="D591" s="4"/>
      <c r="E591" s="38"/>
      <c r="F591" s="38"/>
      <c r="G591" s="4"/>
      <c r="H591" s="4"/>
      <c r="I591" s="4"/>
      <c r="J591" s="4"/>
      <c r="K591" s="4"/>
      <c r="L591" s="4"/>
      <c r="M591" s="4"/>
      <c r="N591" s="38"/>
      <c r="O591" s="4"/>
      <c r="P591" s="4"/>
      <c r="Q591" s="4"/>
      <c r="R591" s="4"/>
      <c r="S591" s="4"/>
      <c r="T591" s="38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38"/>
      <c r="AN591" s="4"/>
      <c r="AO591" s="4"/>
      <c r="AP591" s="4"/>
      <c r="AQ591" s="4"/>
      <c r="AR591" s="4"/>
      <c r="AS591" s="4"/>
      <c r="AT591" s="4"/>
      <c r="AU591" s="4"/>
      <c r="AV591" s="4"/>
      <c r="AW591" s="4"/>
      <c r="AX591" s="4"/>
      <c r="AY591" s="4"/>
      <c r="AZ591" s="4"/>
      <c r="BA591" s="4"/>
      <c r="BB591" s="4"/>
      <c r="BC591" s="4"/>
      <c r="BD591" s="4"/>
      <c r="BE591" s="4"/>
      <c r="BF591" s="4"/>
      <c r="BG591" s="4"/>
      <c r="BH591" s="4"/>
      <c r="BI591" s="4"/>
      <c r="BJ591" s="4"/>
      <c r="BK591" s="4"/>
      <c r="BL591" s="4"/>
      <c r="BM591" s="4"/>
      <c r="BN591" s="4"/>
      <c r="BO591" s="4"/>
      <c r="BP591" s="39"/>
      <c r="BQ591" s="39"/>
    </row>
    <row r="592" spans="3:69" ht="15.75" customHeight="1">
      <c r="C592" s="4"/>
      <c r="D592" s="4"/>
      <c r="E592" s="38"/>
      <c r="F592" s="38"/>
      <c r="G592" s="4"/>
      <c r="H592" s="4"/>
      <c r="I592" s="4"/>
      <c r="J592" s="4"/>
      <c r="K592" s="4"/>
      <c r="L592" s="4"/>
      <c r="M592" s="4"/>
      <c r="N592" s="38"/>
      <c r="O592" s="4"/>
      <c r="P592" s="4"/>
      <c r="Q592" s="4"/>
      <c r="R592" s="4"/>
      <c r="S592" s="4"/>
      <c r="T592" s="38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38"/>
      <c r="AN592" s="4"/>
      <c r="AO592" s="4"/>
      <c r="AP592" s="4"/>
      <c r="AQ592" s="4"/>
      <c r="AR592" s="4"/>
      <c r="AS592" s="4"/>
      <c r="AT592" s="4"/>
      <c r="AU592" s="4"/>
      <c r="AV592" s="4"/>
      <c r="AW592" s="4"/>
      <c r="AX592" s="4"/>
      <c r="AY592" s="4"/>
      <c r="AZ592" s="4"/>
      <c r="BA592" s="4"/>
      <c r="BB592" s="4"/>
      <c r="BC592" s="4"/>
      <c r="BD592" s="4"/>
      <c r="BE592" s="4"/>
      <c r="BF592" s="4"/>
      <c r="BG592" s="4"/>
      <c r="BH592" s="4"/>
      <c r="BI592" s="4"/>
      <c r="BJ592" s="4"/>
      <c r="BK592" s="4"/>
      <c r="BL592" s="4"/>
      <c r="BM592" s="4"/>
      <c r="BN592" s="4"/>
      <c r="BO592" s="4"/>
      <c r="BP592" s="39"/>
      <c r="BQ592" s="39"/>
    </row>
    <row r="593" spans="3:69" ht="15.75" customHeight="1">
      <c r="C593" s="4"/>
      <c r="D593" s="4"/>
      <c r="E593" s="38"/>
      <c r="F593" s="38"/>
      <c r="G593" s="4"/>
      <c r="H593" s="4"/>
      <c r="I593" s="4"/>
      <c r="J593" s="4"/>
      <c r="K593" s="4"/>
      <c r="L593" s="4"/>
      <c r="M593" s="4"/>
      <c r="N593" s="38"/>
      <c r="O593" s="4"/>
      <c r="P593" s="4"/>
      <c r="Q593" s="4"/>
      <c r="R593" s="4"/>
      <c r="S593" s="4"/>
      <c r="T593" s="38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38"/>
      <c r="AN593" s="4"/>
      <c r="AO593" s="4"/>
      <c r="AP593" s="4"/>
      <c r="AQ593" s="4"/>
      <c r="AR593" s="4"/>
      <c r="AS593" s="4"/>
      <c r="AT593" s="4"/>
      <c r="AU593" s="4"/>
      <c r="AV593" s="4"/>
      <c r="AW593" s="4"/>
      <c r="AX593" s="4"/>
      <c r="AY593" s="4"/>
      <c r="AZ593" s="4"/>
      <c r="BA593" s="4"/>
      <c r="BB593" s="4"/>
      <c r="BC593" s="4"/>
      <c r="BD593" s="4"/>
      <c r="BE593" s="4"/>
      <c r="BF593" s="4"/>
      <c r="BG593" s="4"/>
      <c r="BH593" s="4"/>
      <c r="BI593" s="4"/>
      <c r="BJ593" s="4"/>
      <c r="BK593" s="4"/>
      <c r="BL593" s="4"/>
      <c r="BM593" s="4"/>
      <c r="BN593" s="4"/>
      <c r="BO593" s="4"/>
      <c r="BP593" s="39"/>
      <c r="BQ593" s="39"/>
    </row>
    <row r="594" spans="3:69" ht="15.75" customHeight="1">
      <c r="C594" s="4"/>
      <c r="D594" s="4"/>
      <c r="E594" s="38"/>
      <c r="F594" s="38"/>
      <c r="G594" s="4"/>
      <c r="H594" s="4"/>
      <c r="I594" s="4"/>
      <c r="J594" s="4"/>
      <c r="K594" s="4"/>
      <c r="L594" s="4"/>
      <c r="M594" s="4"/>
      <c r="N594" s="38"/>
      <c r="O594" s="4"/>
      <c r="P594" s="4"/>
      <c r="Q594" s="4"/>
      <c r="R594" s="4"/>
      <c r="S594" s="4"/>
      <c r="T594" s="38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38"/>
      <c r="AN594" s="4"/>
      <c r="AO594" s="4"/>
      <c r="AP594" s="4"/>
      <c r="AQ594" s="4"/>
      <c r="AR594" s="4"/>
      <c r="AS594" s="4"/>
      <c r="AT594" s="4"/>
      <c r="AU594" s="4"/>
      <c r="AV594" s="4"/>
      <c r="AW594" s="4"/>
      <c r="AX594" s="4"/>
      <c r="AY594" s="4"/>
      <c r="AZ594" s="4"/>
      <c r="BA594" s="4"/>
      <c r="BB594" s="4"/>
      <c r="BC594" s="4"/>
      <c r="BD594" s="4"/>
      <c r="BE594" s="4"/>
      <c r="BF594" s="4"/>
      <c r="BG594" s="4"/>
      <c r="BH594" s="4"/>
      <c r="BI594" s="4"/>
      <c r="BJ594" s="4"/>
      <c r="BK594" s="4"/>
      <c r="BL594" s="4"/>
      <c r="BM594" s="4"/>
      <c r="BN594" s="4"/>
      <c r="BO594" s="4"/>
      <c r="BP594" s="39"/>
      <c r="BQ594" s="39"/>
    </row>
    <row r="595" spans="3:69" ht="15.75" customHeight="1">
      <c r="C595" s="4"/>
      <c r="D595" s="4"/>
      <c r="E595" s="38"/>
      <c r="F595" s="38"/>
      <c r="G595" s="4"/>
      <c r="H595" s="4"/>
      <c r="I595" s="4"/>
      <c r="J595" s="4"/>
      <c r="K595" s="4"/>
      <c r="L595" s="4"/>
      <c r="M595" s="4"/>
      <c r="N595" s="38"/>
      <c r="O595" s="4"/>
      <c r="P595" s="4"/>
      <c r="Q595" s="4"/>
      <c r="R595" s="4"/>
      <c r="S595" s="4"/>
      <c r="T595" s="38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38"/>
      <c r="AN595" s="4"/>
      <c r="AO595" s="4"/>
      <c r="AP595" s="4"/>
      <c r="AQ595" s="4"/>
      <c r="AR595" s="4"/>
      <c r="AS595" s="4"/>
      <c r="AT595" s="4"/>
      <c r="AU595" s="4"/>
      <c r="AV595" s="4"/>
      <c r="AW595" s="4"/>
      <c r="AX595" s="4"/>
      <c r="AY595" s="4"/>
      <c r="AZ595" s="4"/>
      <c r="BA595" s="4"/>
      <c r="BB595" s="4"/>
      <c r="BC595" s="4"/>
      <c r="BD595" s="4"/>
      <c r="BE595" s="4"/>
      <c r="BF595" s="4"/>
      <c r="BG595" s="4"/>
      <c r="BH595" s="4"/>
      <c r="BI595" s="4"/>
      <c r="BJ595" s="4"/>
      <c r="BK595" s="4"/>
      <c r="BL595" s="4"/>
      <c r="BM595" s="4"/>
      <c r="BN595" s="4"/>
      <c r="BO595" s="4"/>
      <c r="BP595" s="39"/>
      <c r="BQ595" s="39"/>
    </row>
    <row r="596" spans="3:69" ht="15.75" customHeight="1">
      <c r="C596" s="4"/>
      <c r="D596" s="4"/>
      <c r="E596" s="38"/>
      <c r="F596" s="38"/>
      <c r="G596" s="4"/>
      <c r="H596" s="4"/>
      <c r="I596" s="4"/>
      <c r="J596" s="4"/>
      <c r="K596" s="4"/>
      <c r="L596" s="4"/>
      <c r="M596" s="4"/>
      <c r="N596" s="38"/>
      <c r="O596" s="4"/>
      <c r="P596" s="4"/>
      <c r="Q596" s="4"/>
      <c r="R596" s="4"/>
      <c r="S596" s="4"/>
      <c r="T596" s="38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38"/>
      <c r="AN596" s="4"/>
      <c r="AO596" s="4"/>
      <c r="AP596" s="4"/>
      <c r="AQ596" s="4"/>
      <c r="AR596" s="4"/>
      <c r="AS596" s="4"/>
      <c r="AT596" s="4"/>
      <c r="AU596" s="4"/>
      <c r="AV596" s="4"/>
      <c r="AW596" s="4"/>
      <c r="AX596" s="4"/>
      <c r="AY596" s="4"/>
      <c r="AZ596" s="4"/>
      <c r="BA596" s="4"/>
      <c r="BB596" s="4"/>
      <c r="BC596" s="4"/>
      <c r="BD596" s="4"/>
      <c r="BE596" s="4"/>
      <c r="BF596" s="4"/>
      <c r="BG596" s="4"/>
      <c r="BH596" s="4"/>
      <c r="BI596" s="4"/>
      <c r="BJ596" s="4"/>
      <c r="BK596" s="4"/>
      <c r="BL596" s="4"/>
      <c r="BM596" s="4"/>
      <c r="BN596" s="4"/>
      <c r="BO596" s="4"/>
      <c r="BP596" s="39"/>
      <c r="BQ596" s="39"/>
    </row>
    <row r="597" spans="3:69" ht="15.75" customHeight="1">
      <c r="C597" s="4"/>
      <c r="D597" s="4"/>
      <c r="E597" s="38"/>
      <c r="F597" s="38"/>
      <c r="G597" s="4"/>
      <c r="H597" s="4"/>
      <c r="I597" s="4"/>
      <c r="J597" s="4"/>
      <c r="K597" s="4"/>
      <c r="L597" s="4"/>
      <c r="M597" s="4"/>
      <c r="N597" s="38"/>
      <c r="O597" s="4"/>
      <c r="P597" s="4"/>
      <c r="Q597" s="4"/>
      <c r="R597" s="4"/>
      <c r="S597" s="4"/>
      <c r="T597" s="38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38"/>
      <c r="AN597" s="4"/>
      <c r="AO597" s="4"/>
      <c r="AP597" s="4"/>
      <c r="AQ597" s="4"/>
      <c r="AR597" s="4"/>
      <c r="AS597" s="4"/>
      <c r="AT597" s="4"/>
      <c r="AU597" s="4"/>
      <c r="AV597" s="4"/>
      <c r="AW597" s="4"/>
      <c r="AX597" s="4"/>
      <c r="AY597" s="4"/>
      <c r="AZ597" s="4"/>
      <c r="BA597" s="4"/>
      <c r="BB597" s="4"/>
      <c r="BC597" s="4"/>
      <c r="BD597" s="4"/>
      <c r="BE597" s="4"/>
      <c r="BF597" s="4"/>
      <c r="BG597" s="4"/>
      <c r="BH597" s="4"/>
      <c r="BI597" s="4"/>
      <c r="BJ597" s="4"/>
      <c r="BK597" s="4"/>
      <c r="BL597" s="4"/>
      <c r="BM597" s="4"/>
      <c r="BN597" s="4"/>
      <c r="BO597" s="4"/>
      <c r="BP597" s="39"/>
      <c r="BQ597" s="39"/>
    </row>
    <row r="598" spans="3:69" ht="15.75" customHeight="1">
      <c r="C598" s="4"/>
      <c r="D598" s="4"/>
      <c r="E598" s="38"/>
      <c r="F598" s="38"/>
      <c r="G598" s="4"/>
      <c r="H598" s="4"/>
      <c r="I598" s="4"/>
      <c r="J598" s="4"/>
      <c r="K598" s="4"/>
      <c r="L598" s="4"/>
      <c r="M598" s="4"/>
      <c r="N598" s="38"/>
      <c r="O598" s="4"/>
      <c r="P598" s="4"/>
      <c r="Q598" s="4"/>
      <c r="R598" s="4"/>
      <c r="S598" s="4"/>
      <c r="T598" s="38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38"/>
      <c r="AN598" s="4"/>
      <c r="AO598" s="4"/>
      <c r="AP598" s="4"/>
      <c r="AQ598" s="4"/>
      <c r="AR598" s="4"/>
      <c r="AS598" s="4"/>
      <c r="AT598" s="4"/>
      <c r="AU598" s="4"/>
      <c r="AV598" s="4"/>
      <c r="AW598" s="4"/>
      <c r="AX598" s="4"/>
      <c r="AY598" s="4"/>
      <c r="AZ598" s="4"/>
      <c r="BA598" s="4"/>
      <c r="BB598" s="4"/>
      <c r="BC598" s="4"/>
      <c r="BD598" s="4"/>
      <c r="BE598" s="4"/>
      <c r="BF598" s="4"/>
      <c r="BG598" s="4"/>
      <c r="BH598" s="4"/>
      <c r="BI598" s="4"/>
      <c r="BJ598" s="4"/>
      <c r="BK598" s="4"/>
      <c r="BL598" s="4"/>
      <c r="BM598" s="4"/>
      <c r="BN598" s="4"/>
      <c r="BO598" s="4"/>
      <c r="BP598" s="39"/>
      <c r="BQ598" s="39"/>
    </row>
    <row r="599" spans="3:69" ht="15.75" customHeight="1">
      <c r="C599" s="4"/>
      <c r="D599" s="4"/>
      <c r="E599" s="38"/>
      <c r="F599" s="38"/>
      <c r="G599" s="4"/>
      <c r="H599" s="4"/>
      <c r="I599" s="4"/>
      <c r="J599" s="4"/>
      <c r="K599" s="4"/>
      <c r="L599" s="4"/>
      <c r="M599" s="4"/>
      <c r="N599" s="38"/>
      <c r="O599" s="4"/>
      <c r="P599" s="4"/>
      <c r="Q599" s="4"/>
      <c r="R599" s="4"/>
      <c r="S599" s="4"/>
      <c r="T599" s="38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38"/>
      <c r="AN599" s="4"/>
      <c r="AO599" s="4"/>
      <c r="AP599" s="4"/>
      <c r="AQ599" s="4"/>
      <c r="AR599" s="4"/>
      <c r="AS599" s="4"/>
      <c r="AT599" s="4"/>
      <c r="AU599" s="4"/>
      <c r="AV599" s="4"/>
      <c r="AW599" s="4"/>
      <c r="AX599" s="4"/>
      <c r="AY599" s="4"/>
      <c r="AZ599" s="4"/>
      <c r="BA599" s="4"/>
      <c r="BB599" s="4"/>
      <c r="BC599" s="4"/>
      <c r="BD599" s="4"/>
      <c r="BE599" s="4"/>
      <c r="BF599" s="4"/>
      <c r="BG599" s="4"/>
      <c r="BH599" s="4"/>
      <c r="BI599" s="4"/>
      <c r="BJ599" s="4"/>
      <c r="BK599" s="4"/>
      <c r="BL599" s="4"/>
      <c r="BM599" s="4"/>
      <c r="BN599" s="4"/>
      <c r="BO599" s="4"/>
      <c r="BP599" s="39"/>
      <c r="BQ599" s="39"/>
    </row>
    <row r="600" spans="3:69" ht="15.75" customHeight="1">
      <c r="C600" s="4"/>
      <c r="D600" s="4"/>
      <c r="E600" s="38"/>
      <c r="F600" s="38"/>
      <c r="G600" s="4"/>
      <c r="H600" s="4"/>
      <c r="I600" s="4"/>
      <c r="J600" s="4"/>
      <c r="K600" s="4"/>
      <c r="L600" s="4"/>
      <c r="M600" s="4"/>
      <c r="N600" s="38"/>
      <c r="O600" s="4"/>
      <c r="P600" s="4"/>
      <c r="Q600" s="4"/>
      <c r="R600" s="4"/>
      <c r="S600" s="4"/>
      <c r="T600" s="38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38"/>
      <c r="AN600" s="4"/>
      <c r="AO600" s="4"/>
      <c r="AP600" s="4"/>
      <c r="AQ600" s="4"/>
      <c r="AR600" s="4"/>
      <c r="AS600" s="4"/>
      <c r="AT600" s="4"/>
      <c r="AU600" s="4"/>
      <c r="AV600" s="4"/>
      <c r="AW600" s="4"/>
      <c r="AX600" s="4"/>
      <c r="AY600" s="4"/>
      <c r="AZ600" s="4"/>
      <c r="BA600" s="4"/>
      <c r="BB600" s="4"/>
      <c r="BC600" s="4"/>
      <c r="BD600" s="4"/>
      <c r="BE600" s="4"/>
      <c r="BF600" s="4"/>
      <c r="BG600" s="4"/>
      <c r="BH600" s="4"/>
      <c r="BI600" s="4"/>
      <c r="BJ600" s="4"/>
      <c r="BK600" s="4"/>
      <c r="BL600" s="4"/>
      <c r="BM600" s="4"/>
      <c r="BN600" s="4"/>
      <c r="BO600" s="4"/>
      <c r="BP600" s="39"/>
      <c r="BQ600" s="39"/>
    </row>
    <row r="601" spans="3:69" ht="15.75" customHeight="1">
      <c r="C601" s="4"/>
      <c r="D601" s="4"/>
      <c r="E601" s="38"/>
      <c r="F601" s="38"/>
      <c r="G601" s="4"/>
      <c r="H601" s="4"/>
      <c r="I601" s="4"/>
      <c r="J601" s="4"/>
      <c r="K601" s="4"/>
      <c r="L601" s="4"/>
      <c r="M601" s="4"/>
      <c r="N601" s="38"/>
      <c r="O601" s="4"/>
      <c r="P601" s="4"/>
      <c r="Q601" s="4"/>
      <c r="R601" s="4"/>
      <c r="S601" s="4"/>
      <c r="T601" s="38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38"/>
      <c r="AN601" s="4"/>
      <c r="AO601" s="4"/>
      <c r="AP601" s="4"/>
      <c r="AQ601" s="4"/>
      <c r="AR601" s="4"/>
      <c r="AS601" s="4"/>
      <c r="AT601" s="4"/>
      <c r="AU601" s="4"/>
      <c r="AV601" s="4"/>
      <c r="AW601" s="4"/>
      <c r="AX601" s="4"/>
      <c r="AY601" s="4"/>
      <c r="AZ601" s="4"/>
      <c r="BA601" s="4"/>
      <c r="BB601" s="4"/>
      <c r="BC601" s="4"/>
      <c r="BD601" s="4"/>
      <c r="BE601" s="4"/>
      <c r="BF601" s="4"/>
      <c r="BG601" s="4"/>
      <c r="BH601" s="4"/>
      <c r="BI601" s="4"/>
      <c r="BJ601" s="4"/>
      <c r="BK601" s="4"/>
      <c r="BL601" s="4"/>
      <c r="BM601" s="4"/>
      <c r="BN601" s="4"/>
      <c r="BO601" s="4"/>
      <c r="BP601" s="39"/>
      <c r="BQ601" s="39"/>
    </row>
    <row r="602" spans="3:69" ht="15.75" customHeight="1">
      <c r="C602" s="4"/>
      <c r="D602" s="4"/>
      <c r="E602" s="38"/>
      <c r="F602" s="38"/>
      <c r="G602" s="4"/>
      <c r="H602" s="4"/>
      <c r="I602" s="4"/>
      <c r="J602" s="4"/>
      <c r="K602" s="4"/>
      <c r="L602" s="4"/>
      <c r="M602" s="4"/>
      <c r="N602" s="38"/>
      <c r="O602" s="4"/>
      <c r="P602" s="4"/>
      <c r="Q602" s="4"/>
      <c r="R602" s="4"/>
      <c r="S602" s="4"/>
      <c r="T602" s="38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38"/>
      <c r="AN602" s="4"/>
      <c r="AO602" s="4"/>
      <c r="AP602" s="4"/>
      <c r="AQ602" s="4"/>
      <c r="AR602" s="4"/>
      <c r="AS602" s="4"/>
      <c r="AT602" s="4"/>
      <c r="AU602" s="4"/>
      <c r="AV602" s="4"/>
      <c r="AW602" s="4"/>
      <c r="AX602" s="4"/>
      <c r="AY602" s="4"/>
      <c r="AZ602" s="4"/>
      <c r="BA602" s="4"/>
      <c r="BB602" s="4"/>
      <c r="BC602" s="4"/>
      <c r="BD602" s="4"/>
      <c r="BE602" s="4"/>
      <c r="BF602" s="4"/>
      <c r="BG602" s="4"/>
      <c r="BH602" s="4"/>
      <c r="BI602" s="4"/>
      <c r="BJ602" s="4"/>
      <c r="BK602" s="4"/>
      <c r="BL602" s="4"/>
      <c r="BM602" s="4"/>
      <c r="BN602" s="4"/>
      <c r="BO602" s="4"/>
      <c r="BP602" s="39"/>
      <c r="BQ602" s="39"/>
    </row>
    <row r="603" spans="3:69" ht="15.75" customHeight="1">
      <c r="C603" s="4"/>
      <c r="D603" s="4"/>
      <c r="E603" s="38"/>
      <c r="F603" s="38"/>
      <c r="G603" s="4"/>
      <c r="H603" s="4"/>
      <c r="I603" s="4"/>
      <c r="J603" s="4"/>
      <c r="K603" s="4"/>
      <c r="L603" s="4"/>
      <c r="M603" s="4"/>
      <c r="N603" s="38"/>
      <c r="O603" s="4"/>
      <c r="P603" s="4"/>
      <c r="Q603" s="4"/>
      <c r="R603" s="4"/>
      <c r="S603" s="4"/>
      <c r="T603" s="38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38"/>
      <c r="AN603" s="4"/>
      <c r="AO603" s="4"/>
      <c r="AP603" s="4"/>
      <c r="AQ603" s="4"/>
      <c r="AR603" s="4"/>
      <c r="AS603" s="4"/>
      <c r="AT603" s="4"/>
      <c r="AU603" s="4"/>
      <c r="AV603" s="4"/>
      <c r="AW603" s="4"/>
      <c r="AX603" s="4"/>
      <c r="AY603" s="4"/>
      <c r="AZ603" s="4"/>
      <c r="BA603" s="4"/>
      <c r="BB603" s="4"/>
      <c r="BC603" s="4"/>
      <c r="BD603" s="4"/>
      <c r="BE603" s="4"/>
      <c r="BF603" s="4"/>
      <c r="BG603" s="4"/>
      <c r="BH603" s="4"/>
      <c r="BI603" s="4"/>
      <c r="BJ603" s="4"/>
      <c r="BK603" s="4"/>
      <c r="BL603" s="4"/>
      <c r="BM603" s="4"/>
      <c r="BN603" s="4"/>
      <c r="BO603" s="4"/>
      <c r="BP603" s="39"/>
      <c r="BQ603" s="39"/>
    </row>
    <row r="604" spans="3:69" ht="15.75" customHeight="1">
      <c r="C604" s="4"/>
      <c r="D604" s="4"/>
      <c r="E604" s="38"/>
      <c r="F604" s="38"/>
      <c r="G604" s="4"/>
      <c r="H604" s="4"/>
      <c r="I604" s="4"/>
      <c r="J604" s="4"/>
      <c r="K604" s="4"/>
      <c r="L604" s="4"/>
      <c r="M604" s="4"/>
      <c r="N604" s="38"/>
      <c r="O604" s="4"/>
      <c r="P604" s="4"/>
      <c r="Q604" s="4"/>
      <c r="R604" s="4"/>
      <c r="S604" s="4"/>
      <c r="T604" s="38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38"/>
      <c r="AN604" s="4"/>
      <c r="AO604" s="4"/>
      <c r="AP604" s="4"/>
      <c r="AQ604" s="4"/>
      <c r="AR604" s="4"/>
      <c r="AS604" s="4"/>
      <c r="AT604" s="4"/>
      <c r="AU604" s="4"/>
      <c r="AV604" s="4"/>
      <c r="AW604" s="4"/>
      <c r="AX604" s="4"/>
      <c r="AY604" s="4"/>
      <c r="AZ604" s="4"/>
      <c r="BA604" s="4"/>
      <c r="BB604" s="4"/>
      <c r="BC604" s="4"/>
      <c r="BD604" s="4"/>
      <c r="BE604" s="4"/>
      <c r="BF604" s="4"/>
      <c r="BG604" s="4"/>
      <c r="BH604" s="4"/>
      <c r="BI604" s="4"/>
      <c r="BJ604" s="4"/>
      <c r="BK604" s="4"/>
      <c r="BL604" s="4"/>
      <c r="BM604" s="4"/>
      <c r="BN604" s="4"/>
      <c r="BO604" s="4"/>
      <c r="BP604" s="39"/>
      <c r="BQ604" s="39"/>
    </row>
    <row r="605" spans="3:69" ht="15.75" customHeight="1">
      <c r="C605" s="4"/>
      <c r="D605" s="4"/>
      <c r="E605" s="38"/>
      <c r="F605" s="38"/>
      <c r="G605" s="4"/>
      <c r="H605" s="4"/>
      <c r="I605" s="4"/>
      <c r="J605" s="4"/>
      <c r="K605" s="4"/>
      <c r="L605" s="4"/>
      <c r="M605" s="4"/>
      <c r="N605" s="38"/>
      <c r="O605" s="4"/>
      <c r="P605" s="4"/>
      <c r="Q605" s="4"/>
      <c r="R605" s="4"/>
      <c r="S605" s="4"/>
      <c r="T605" s="38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38"/>
      <c r="AN605" s="4"/>
      <c r="AO605" s="4"/>
      <c r="AP605" s="4"/>
      <c r="AQ605" s="4"/>
      <c r="AR605" s="4"/>
      <c r="AS605" s="4"/>
      <c r="AT605" s="4"/>
      <c r="AU605" s="4"/>
      <c r="AV605" s="4"/>
      <c r="AW605" s="4"/>
      <c r="AX605" s="4"/>
      <c r="AY605" s="4"/>
      <c r="AZ605" s="4"/>
      <c r="BA605" s="4"/>
      <c r="BB605" s="4"/>
      <c r="BC605" s="4"/>
      <c r="BD605" s="4"/>
      <c r="BE605" s="4"/>
      <c r="BF605" s="4"/>
      <c r="BG605" s="4"/>
      <c r="BH605" s="4"/>
      <c r="BI605" s="4"/>
      <c r="BJ605" s="4"/>
      <c r="BK605" s="4"/>
      <c r="BL605" s="4"/>
      <c r="BM605" s="4"/>
      <c r="BN605" s="4"/>
      <c r="BO605" s="4"/>
      <c r="BP605" s="39"/>
      <c r="BQ605" s="39"/>
    </row>
    <row r="606" spans="3:69" ht="15.75" customHeight="1">
      <c r="C606" s="4"/>
      <c r="D606" s="4"/>
      <c r="E606" s="38"/>
      <c r="F606" s="38"/>
      <c r="G606" s="4"/>
      <c r="H606" s="4"/>
      <c r="I606" s="4"/>
      <c r="J606" s="4"/>
      <c r="K606" s="4"/>
      <c r="L606" s="4"/>
      <c r="M606" s="4"/>
      <c r="N606" s="38"/>
      <c r="O606" s="4"/>
      <c r="P606" s="4"/>
      <c r="Q606" s="4"/>
      <c r="R606" s="4"/>
      <c r="S606" s="4"/>
      <c r="T606" s="38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38"/>
      <c r="AN606" s="4"/>
      <c r="AO606" s="4"/>
      <c r="AP606" s="4"/>
      <c r="AQ606" s="4"/>
      <c r="AR606" s="4"/>
      <c r="AS606" s="4"/>
      <c r="AT606" s="4"/>
      <c r="AU606" s="4"/>
      <c r="AV606" s="4"/>
      <c r="AW606" s="4"/>
      <c r="AX606" s="4"/>
      <c r="AY606" s="4"/>
      <c r="AZ606" s="4"/>
      <c r="BA606" s="4"/>
      <c r="BB606" s="4"/>
      <c r="BC606" s="4"/>
      <c r="BD606" s="4"/>
      <c r="BE606" s="4"/>
      <c r="BF606" s="4"/>
      <c r="BG606" s="4"/>
      <c r="BH606" s="4"/>
      <c r="BI606" s="4"/>
      <c r="BJ606" s="4"/>
      <c r="BK606" s="4"/>
      <c r="BL606" s="4"/>
      <c r="BM606" s="4"/>
      <c r="BN606" s="4"/>
      <c r="BO606" s="4"/>
      <c r="BP606" s="39"/>
      <c r="BQ606" s="39"/>
    </row>
    <row r="607" spans="3:69" ht="15.75" customHeight="1">
      <c r="C607" s="4"/>
      <c r="D607" s="4"/>
      <c r="E607" s="38"/>
      <c r="F607" s="38"/>
      <c r="G607" s="4"/>
      <c r="H607" s="4"/>
      <c r="I607" s="4"/>
      <c r="J607" s="4"/>
      <c r="K607" s="4"/>
      <c r="L607" s="4"/>
      <c r="M607" s="4"/>
      <c r="N607" s="38"/>
      <c r="O607" s="4"/>
      <c r="P607" s="4"/>
      <c r="Q607" s="4"/>
      <c r="R607" s="4"/>
      <c r="S607" s="4"/>
      <c r="T607" s="38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38"/>
      <c r="AN607" s="4"/>
      <c r="AO607" s="4"/>
      <c r="AP607" s="4"/>
      <c r="AQ607" s="4"/>
      <c r="AR607" s="4"/>
      <c r="AS607" s="4"/>
      <c r="AT607" s="4"/>
      <c r="AU607" s="4"/>
      <c r="AV607" s="4"/>
      <c r="AW607" s="4"/>
      <c r="AX607" s="4"/>
      <c r="AY607" s="4"/>
      <c r="AZ607" s="4"/>
      <c r="BA607" s="4"/>
      <c r="BB607" s="4"/>
      <c r="BC607" s="4"/>
      <c r="BD607" s="4"/>
      <c r="BE607" s="4"/>
      <c r="BF607" s="4"/>
      <c r="BG607" s="4"/>
      <c r="BH607" s="4"/>
      <c r="BI607" s="4"/>
      <c r="BJ607" s="4"/>
      <c r="BK607" s="4"/>
      <c r="BL607" s="4"/>
      <c r="BM607" s="4"/>
      <c r="BN607" s="4"/>
      <c r="BO607" s="4"/>
      <c r="BP607" s="39"/>
      <c r="BQ607" s="39"/>
    </row>
    <row r="608" spans="3:69" ht="15.75" customHeight="1">
      <c r="C608" s="4"/>
      <c r="D608" s="4"/>
      <c r="E608" s="38"/>
      <c r="F608" s="38"/>
      <c r="G608" s="4"/>
      <c r="H608" s="4"/>
      <c r="I608" s="4"/>
      <c r="J608" s="4"/>
      <c r="K608" s="4"/>
      <c r="L608" s="4"/>
      <c r="M608" s="4"/>
      <c r="N608" s="38"/>
      <c r="O608" s="4"/>
      <c r="P608" s="4"/>
      <c r="Q608" s="4"/>
      <c r="R608" s="4"/>
      <c r="S608" s="4"/>
      <c r="T608" s="38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38"/>
      <c r="AN608" s="4"/>
      <c r="AO608" s="4"/>
      <c r="AP608" s="4"/>
      <c r="AQ608" s="4"/>
      <c r="AR608" s="4"/>
      <c r="AS608" s="4"/>
      <c r="AT608" s="4"/>
      <c r="AU608" s="4"/>
      <c r="AV608" s="4"/>
      <c r="AW608" s="4"/>
      <c r="AX608" s="4"/>
      <c r="AY608" s="4"/>
      <c r="AZ608" s="4"/>
      <c r="BA608" s="4"/>
      <c r="BB608" s="4"/>
      <c r="BC608" s="4"/>
      <c r="BD608" s="4"/>
      <c r="BE608" s="4"/>
      <c r="BF608" s="4"/>
      <c r="BG608" s="4"/>
      <c r="BH608" s="4"/>
      <c r="BI608" s="4"/>
      <c r="BJ608" s="4"/>
      <c r="BK608" s="4"/>
      <c r="BL608" s="4"/>
      <c r="BM608" s="4"/>
      <c r="BN608" s="4"/>
      <c r="BO608" s="4"/>
      <c r="BP608" s="39"/>
      <c r="BQ608" s="39"/>
    </row>
    <row r="609" spans="3:69" ht="15.75" customHeight="1">
      <c r="C609" s="4"/>
      <c r="D609" s="4"/>
      <c r="E609" s="38"/>
      <c r="F609" s="38"/>
      <c r="G609" s="4"/>
      <c r="H609" s="4"/>
      <c r="I609" s="4"/>
      <c r="J609" s="4"/>
      <c r="K609" s="4"/>
      <c r="L609" s="4"/>
      <c r="M609" s="4"/>
      <c r="N609" s="38"/>
      <c r="O609" s="4"/>
      <c r="P609" s="4"/>
      <c r="Q609" s="4"/>
      <c r="R609" s="4"/>
      <c r="S609" s="4"/>
      <c r="T609" s="38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38"/>
      <c r="AN609" s="4"/>
      <c r="AO609" s="4"/>
      <c r="AP609" s="4"/>
      <c r="AQ609" s="4"/>
      <c r="AR609" s="4"/>
      <c r="AS609" s="4"/>
      <c r="AT609" s="4"/>
      <c r="AU609" s="4"/>
      <c r="AV609" s="4"/>
      <c r="AW609" s="4"/>
      <c r="AX609" s="4"/>
      <c r="AY609" s="4"/>
      <c r="AZ609" s="4"/>
      <c r="BA609" s="4"/>
      <c r="BB609" s="4"/>
      <c r="BC609" s="4"/>
      <c r="BD609" s="4"/>
      <c r="BE609" s="4"/>
      <c r="BF609" s="4"/>
      <c r="BG609" s="4"/>
      <c r="BH609" s="4"/>
      <c r="BI609" s="4"/>
      <c r="BJ609" s="4"/>
      <c r="BK609" s="4"/>
      <c r="BL609" s="4"/>
      <c r="BM609" s="4"/>
      <c r="BN609" s="4"/>
      <c r="BO609" s="4"/>
      <c r="BP609" s="39"/>
      <c r="BQ609" s="39"/>
    </row>
    <row r="610" spans="3:69" ht="15.75" customHeight="1">
      <c r="C610" s="4"/>
      <c r="D610" s="4"/>
      <c r="E610" s="38"/>
      <c r="F610" s="38"/>
      <c r="G610" s="4"/>
      <c r="H610" s="4"/>
      <c r="I610" s="4"/>
      <c r="J610" s="4"/>
      <c r="K610" s="4"/>
      <c r="L610" s="4"/>
      <c r="M610" s="4"/>
      <c r="N610" s="38"/>
      <c r="O610" s="4"/>
      <c r="P610" s="4"/>
      <c r="Q610" s="4"/>
      <c r="R610" s="4"/>
      <c r="S610" s="4"/>
      <c r="T610" s="38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38"/>
      <c r="AN610" s="4"/>
      <c r="AO610" s="4"/>
      <c r="AP610" s="4"/>
      <c r="AQ610" s="4"/>
      <c r="AR610" s="4"/>
      <c r="AS610" s="4"/>
      <c r="AT610" s="4"/>
      <c r="AU610" s="4"/>
      <c r="AV610" s="4"/>
      <c r="AW610" s="4"/>
      <c r="AX610" s="4"/>
      <c r="AY610" s="4"/>
      <c r="AZ610" s="4"/>
      <c r="BA610" s="4"/>
      <c r="BB610" s="4"/>
      <c r="BC610" s="4"/>
      <c r="BD610" s="4"/>
      <c r="BE610" s="4"/>
      <c r="BF610" s="4"/>
      <c r="BG610" s="4"/>
      <c r="BH610" s="4"/>
      <c r="BI610" s="4"/>
      <c r="BJ610" s="4"/>
      <c r="BK610" s="4"/>
      <c r="BL610" s="4"/>
      <c r="BM610" s="4"/>
      <c r="BN610" s="4"/>
      <c r="BO610" s="4"/>
      <c r="BP610" s="39"/>
      <c r="BQ610" s="39"/>
    </row>
    <row r="611" spans="3:69" ht="15.75" customHeight="1">
      <c r="C611" s="4"/>
      <c r="D611" s="4"/>
      <c r="E611" s="38"/>
      <c r="F611" s="38"/>
      <c r="G611" s="4"/>
      <c r="H611" s="4"/>
      <c r="I611" s="4"/>
      <c r="J611" s="4"/>
      <c r="K611" s="4"/>
      <c r="L611" s="4"/>
      <c r="M611" s="4"/>
      <c r="N611" s="38"/>
      <c r="O611" s="4"/>
      <c r="P611" s="4"/>
      <c r="Q611" s="4"/>
      <c r="R611" s="4"/>
      <c r="S611" s="4"/>
      <c r="T611" s="38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38"/>
      <c r="AN611" s="4"/>
      <c r="AO611" s="4"/>
      <c r="AP611" s="4"/>
      <c r="AQ611" s="4"/>
      <c r="AR611" s="4"/>
      <c r="AS611" s="4"/>
      <c r="AT611" s="4"/>
      <c r="AU611" s="4"/>
      <c r="AV611" s="4"/>
      <c r="AW611" s="4"/>
      <c r="AX611" s="4"/>
      <c r="AY611" s="4"/>
      <c r="AZ611" s="4"/>
      <c r="BA611" s="4"/>
      <c r="BB611" s="4"/>
      <c r="BC611" s="4"/>
      <c r="BD611" s="4"/>
      <c r="BE611" s="4"/>
      <c r="BF611" s="4"/>
      <c r="BG611" s="4"/>
      <c r="BH611" s="4"/>
      <c r="BI611" s="4"/>
      <c r="BJ611" s="4"/>
      <c r="BK611" s="4"/>
      <c r="BL611" s="4"/>
      <c r="BM611" s="4"/>
      <c r="BN611" s="4"/>
      <c r="BO611" s="4"/>
      <c r="BP611" s="39"/>
      <c r="BQ611" s="39"/>
    </row>
    <row r="612" spans="3:69" ht="15.75" customHeight="1">
      <c r="C612" s="4"/>
      <c r="D612" s="4"/>
      <c r="E612" s="38"/>
      <c r="F612" s="38"/>
      <c r="G612" s="4"/>
      <c r="H612" s="4"/>
      <c r="I612" s="4"/>
      <c r="J612" s="4"/>
      <c r="K612" s="4"/>
      <c r="L612" s="4"/>
      <c r="M612" s="4"/>
      <c r="N612" s="38"/>
      <c r="O612" s="4"/>
      <c r="P612" s="4"/>
      <c r="Q612" s="4"/>
      <c r="R612" s="4"/>
      <c r="S612" s="4"/>
      <c r="T612" s="38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38"/>
      <c r="AN612" s="4"/>
      <c r="AO612" s="4"/>
      <c r="AP612" s="4"/>
      <c r="AQ612" s="4"/>
      <c r="AR612" s="4"/>
      <c r="AS612" s="4"/>
      <c r="AT612" s="4"/>
      <c r="AU612" s="4"/>
      <c r="AV612" s="4"/>
      <c r="AW612" s="4"/>
      <c r="AX612" s="4"/>
      <c r="AY612" s="4"/>
      <c r="AZ612" s="4"/>
      <c r="BA612" s="4"/>
      <c r="BB612" s="4"/>
      <c r="BC612" s="4"/>
      <c r="BD612" s="4"/>
      <c r="BE612" s="4"/>
      <c r="BF612" s="4"/>
      <c r="BG612" s="4"/>
      <c r="BH612" s="4"/>
      <c r="BI612" s="4"/>
      <c r="BJ612" s="4"/>
      <c r="BK612" s="4"/>
      <c r="BL612" s="4"/>
      <c r="BM612" s="4"/>
      <c r="BN612" s="4"/>
      <c r="BO612" s="4"/>
      <c r="BP612" s="39"/>
      <c r="BQ612" s="39"/>
    </row>
    <row r="613" spans="3:69" ht="15.75" customHeight="1">
      <c r="C613" s="4"/>
      <c r="D613" s="4"/>
      <c r="E613" s="38"/>
      <c r="F613" s="38"/>
      <c r="G613" s="4"/>
      <c r="H613" s="4"/>
      <c r="I613" s="4"/>
      <c r="J613" s="4"/>
      <c r="K613" s="4"/>
      <c r="L613" s="4"/>
      <c r="M613" s="4"/>
      <c r="N613" s="38"/>
      <c r="O613" s="4"/>
      <c r="P613" s="4"/>
      <c r="Q613" s="4"/>
      <c r="R613" s="4"/>
      <c r="S613" s="4"/>
      <c r="T613" s="38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38"/>
      <c r="AN613" s="4"/>
      <c r="AO613" s="4"/>
      <c r="AP613" s="4"/>
      <c r="AQ613" s="4"/>
      <c r="AR613" s="4"/>
      <c r="AS613" s="4"/>
      <c r="AT613" s="4"/>
      <c r="AU613" s="4"/>
      <c r="AV613" s="4"/>
      <c r="AW613" s="4"/>
      <c r="AX613" s="4"/>
      <c r="AY613" s="4"/>
      <c r="AZ613" s="4"/>
      <c r="BA613" s="4"/>
      <c r="BB613" s="4"/>
      <c r="BC613" s="4"/>
      <c r="BD613" s="4"/>
      <c r="BE613" s="4"/>
      <c r="BF613" s="4"/>
      <c r="BG613" s="4"/>
      <c r="BH613" s="4"/>
      <c r="BI613" s="4"/>
      <c r="BJ613" s="4"/>
      <c r="BK613" s="4"/>
      <c r="BL613" s="4"/>
      <c r="BM613" s="4"/>
      <c r="BN613" s="4"/>
      <c r="BO613" s="4"/>
      <c r="BP613" s="39"/>
      <c r="BQ613" s="39"/>
    </row>
    <row r="614" spans="3:69" ht="15.75" customHeight="1">
      <c r="C614" s="4"/>
      <c r="D614" s="4"/>
      <c r="E614" s="38"/>
      <c r="F614" s="38"/>
      <c r="G614" s="4"/>
      <c r="H614" s="4"/>
      <c r="I614" s="4"/>
      <c r="J614" s="4"/>
      <c r="K614" s="4"/>
      <c r="L614" s="4"/>
      <c r="M614" s="4"/>
      <c r="N614" s="38"/>
      <c r="O614" s="4"/>
      <c r="P614" s="4"/>
      <c r="Q614" s="4"/>
      <c r="R614" s="4"/>
      <c r="S614" s="4"/>
      <c r="T614" s="38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38"/>
      <c r="AN614" s="4"/>
      <c r="AO614" s="4"/>
      <c r="AP614" s="4"/>
      <c r="AQ614" s="4"/>
      <c r="AR614" s="4"/>
      <c r="AS614" s="4"/>
      <c r="AT614" s="4"/>
      <c r="AU614" s="4"/>
      <c r="AV614" s="4"/>
      <c r="AW614" s="4"/>
      <c r="AX614" s="4"/>
      <c r="AY614" s="4"/>
      <c r="AZ614" s="4"/>
      <c r="BA614" s="4"/>
      <c r="BB614" s="4"/>
      <c r="BC614" s="4"/>
      <c r="BD614" s="4"/>
      <c r="BE614" s="4"/>
      <c r="BF614" s="4"/>
      <c r="BG614" s="4"/>
      <c r="BH614" s="4"/>
      <c r="BI614" s="4"/>
      <c r="BJ614" s="4"/>
      <c r="BK614" s="4"/>
      <c r="BL614" s="4"/>
      <c r="BM614" s="4"/>
      <c r="BN614" s="4"/>
      <c r="BO614" s="4"/>
      <c r="BP614" s="39"/>
      <c r="BQ614" s="39"/>
    </row>
    <row r="615" spans="3:69" ht="15.75" customHeight="1">
      <c r="C615" s="4"/>
      <c r="D615" s="4"/>
      <c r="E615" s="38"/>
      <c r="F615" s="38"/>
      <c r="G615" s="4"/>
      <c r="H615" s="4"/>
      <c r="I615" s="4"/>
      <c r="J615" s="4"/>
      <c r="K615" s="4"/>
      <c r="L615" s="4"/>
      <c r="M615" s="4"/>
      <c r="N615" s="38"/>
      <c r="O615" s="4"/>
      <c r="P615" s="4"/>
      <c r="Q615" s="4"/>
      <c r="R615" s="4"/>
      <c r="S615" s="4"/>
      <c r="T615" s="38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38"/>
      <c r="AN615" s="4"/>
      <c r="AO615" s="4"/>
      <c r="AP615" s="4"/>
      <c r="AQ615" s="4"/>
      <c r="AR615" s="4"/>
      <c r="AS615" s="4"/>
      <c r="AT615" s="4"/>
      <c r="AU615" s="4"/>
      <c r="AV615" s="4"/>
      <c r="AW615" s="4"/>
      <c r="AX615" s="4"/>
      <c r="AY615" s="4"/>
      <c r="AZ615" s="4"/>
      <c r="BA615" s="4"/>
      <c r="BB615" s="4"/>
      <c r="BC615" s="4"/>
      <c r="BD615" s="4"/>
      <c r="BE615" s="4"/>
      <c r="BF615" s="4"/>
      <c r="BG615" s="4"/>
      <c r="BH615" s="4"/>
      <c r="BI615" s="4"/>
      <c r="BJ615" s="4"/>
      <c r="BK615" s="4"/>
      <c r="BL615" s="4"/>
      <c r="BM615" s="4"/>
      <c r="BN615" s="4"/>
      <c r="BO615" s="4"/>
      <c r="BP615" s="39"/>
      <c r="BQ615" s="39"/>
    </row>
    <row r="616" spans="3:69" ht="15.75" customHeight="1">
      <c r="C616" s="4"/>
      <c r="D616" s="4"/>
      <c r="E616" s="38"/>
      <c r="F616" s="38"/>
      <c r="G616" s="4"/>
      <c r="H616" s="4"/>
      <c r="I616" s="4"/>
      <c r="J616" s="4"/>
      <c r="K616" s="4"/>
      <c r="L616" s="4"/>
      <c r="M616" s="4"/>
      <c r="N616" s="38"/>
      <c r="O616" s="4"/>
      <c r="P616" s="4"/>
      <c r="Q616" s="4"/>
      <c r="R616" s="4"/>
      <c r="S616" s="4"/>
      <c r="T616" s="38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38"/>
      <c r="AN616" s="4"/>
      <c r="AO616" s="4"/>
      <c r="AP616" s="4"/>
      <c r="AQ616" s="4"/>
      <c r="AR616" s="4"/>
      <c r="AS616" s="4"/>
      <c r="AT616" s="4"/>
      <c r="AU616" s="4"/>
      <c r="AV616" s="4"/>
      <c r="AW616" s="4"/>
      <c r="AX616" s="4"/>
      <c r="AY616" s="4"/>
      <c r="AZ616" s="4"/>
      <c r="BA616" s="4"/>
      <c r="BB616" s="4"/>
      <c r="BC616" s="4"/>
      <c r="BD616" s="4"/>
      <c r="BE616" s="4"/>
      <c r="BF616" s="4"/>
      <c r="BG616" s="4"/>
      <c r="BH616" s="4"/>
      <c r="BI616" s="4"/>
      <c r="BJ616" s="4"/>
      <c r="BK616" s="4"/>
      <c r="BL616" s="4"/>
      <c r="BM616" s="4"/>
      <c r="BN616" s="4"/>
      <c r="BO616" s="4"/>
      <c r="BP616" s="39"/>
      <c r="BQ616" s="39"/>
    </row>
    <row r="617" spans="3:69" ht="15.75" customHeight="1">
      <c r="C617" s="4"/>
      <c r="D617" s="4"/>
      <c r="E617" s="38"/>
      <c r="F617" s="38"/>
      <c r="G617" s="4"/>
      <c r="H617" s="4"/>
      <c r="I617" s="4"/>
      <c r="J617" s="4"/>
      <c r="K617" s="4"/>
      <c r="L617" s="4"/>
      <c r="M617" s="4"/>
      <c r="N617" s="38"/>
      <c r="O617" s="4"/>
      <c r="P617" s="4"/>
      <c r="Q617" s="4"/>
      <c r="R617" s="4"/>
      <c r="S617" s="4"/>
      <c r="T617" s="38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38"/>
      <c r="AN617" s="4"/>
      <c r="AO617" s="4"/>
      <c r="AP617" s="4"/>
      <c r="AQ617" s="4"/>
      <c r="AR617" s="4"/>
      <c r="AS617" s="4"/>
      <c r="AT617" s="4"/>
      <c r="AU617" s="4"/>
      <c r="AV617" s="4"/>
      <c r="AW617" s="4"/>
      <c r="AX617" s="4"/>
      <c r="AY617" s="4"/>
      <c r="AZ617" s="4"/>
      <c r="BA617" s="4"/>
      <c r="BB617" s="4"/>
      <c r="BC617" s="4"/>
      <c r="BD617" s="4"/>
      <c r="BE617" s="4"/>
      <c r="BF617" s="4"/>
      <c r="BG617" s="4"/>
      <c r="BH617" s="4"/>
      <c r="BI617" s="4"/>
      <c r="BJ617" s="4"/>
      <c r="BK617" s="4"/>
      <c r="BL617" s="4"/>
      <c r="BM617" s="4"/>
      <c r="BN617" s="4"/>
      <c r="BO617" s="4"/>
      <c r="BP617" s="39"/>
      <c r="BQ617" s="39"/>
    </row>
    <row r="618" spans="3:69" ht="15.75" customHeight="1">
      <c r="C618" s="4"/>
      <c r="D618" s="4"/>
      <c r="E618" s="38"/>
      <c r="F618" s="38"/>
      <c r="G618" s="4"/>
      <c r="H618" s="4"/>
      <c r="I618" s="4"/>
      <c r="J618" s="4"/>
      <c r="K618" s="4"/>
      <c r="L618" s="4"/>
      <c r="M618" s="4"/>
      <c r="N618" s="38"/>
      <c r="O618" s="4"/>
      <c r="P618" s="4"/>
      <c r="Q618" s="4"/>
      <c r="R618" s="4"/>
      <c r="S618" s="4"/>
      <c r="T618" s="38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38"/>
      <c r="AN618" s="4"/>
      <c r="AO618" s="4"/>
      <c r="AP618" s="4"/>
      <c r="AQ618" s="4"/>
      <c r="AR618" s="4"/>
      <c r="AS618" s="4"/>
      <c r="AT618" s="4"/>
      <c r="AU618" s="4"/>
      <c r="AV618" s="4"/>
      <c r="AW618" s="4"/>
      <c r="AX618" s="4"/>
      <c r="AY618" s="4"/>
      <c r="AZ618" s="4"/>
      <c r="BA618" s="4"/>
      <c r="BB618" s="4"/>
      <c r="BC618" s="4"/>
      <c r="BD618" s="4"/>
      <c r="BE618" s="4"/>
      <c r="BF618" s="4"/>
      <c r="BG618" s="4"/>
      <c r="BH618" s="4"/>
      <c r="BI618" s="4"/>
      <c r="BJ618" s="4"/>
      <c r="BK618" s="4"/>
      <c r="BL618" s="4"/>
      <c r="BM618" s="4"/>
      <c r="BN618" s="4"/>
      <c r="BO618" s="4"/>
      <c r="BP618" s="39"/>
      <c r="BQ618" s="39"/>
    </row>
    <row r="619" spans="3:69" ht="15.75" customHeight="1">
      <c r="C619" s="4"/>
      <c r="D619" s="4"/>
      <c r="E619" s="38"/>
      <c r="F619" s="38"/>
      <c r="G619" s="4"/>
      <c r="H619" s="4"/>
      <c r="I619" s="4"/>
      <c r="J619" s="4"/>
      <c r="K619" s="4"/>
      <c r="L619" s="4"/>
      <c r="M619" s="4"/>
      <c r="N619" s="38"/>
      <c r="O619" s="4"/>
      <c r="P619" s="4"/>
      <c r="Q619" s="4"/>
      <c r="R619" s="4"/>
      <c r="S619" s="4"/>
      <c r="T619" s="38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38"/>
      <c r="AN619" s="4"/>
      <c r="AO619" s="4"/>
      <c r="AP619" s="4"/>
      <c r="AQ619" s="4"/>
      <c r="AR619" s="4"/>
      <c r="AS619" s="4"/>
      <c r="AT619" s="4"/>
      <c r="AU619" s="4"/>
      <c r="AV619" s="4"/>
      <c r="AW619" s="4"/>
      <c r="AX619" s="4"/>
      <c r="AY619" s="4"/>
      <c r="AZ619" s="4"/>
      <c r="BA619" s="4"/>
      <c r="BB619" s="4"/>
      <c r="BC619" s="4"/>
      <c r="BD619" s="4"/>
      <c r="BE619" s="4"/>
      <c r="BF619" s="4"/>
      <c r="BG619" s="4"/>
      <c r="BH619" s="4"/>
      <c r="BI619" s="4"/>
      <c r="BJ619" s="4"/>
      <c r="BK619" s="4"/>
      <c r="BL619" s="4"/>
      <c r="BM619" s="4"/>
      <c r="BN619" s="4"/>
      <c r="BO619" s="4"/>
      <c r="BP619" s="39"/>
      <c r="BQ619" s="39"/>
    </row>
    <row r="620" spans="3:69" ht="15.75" customHeight="1">
      <c r="C620" s="4"/>
      <c r="D620" s="4"/>
      <c r="E620" s="38"/>
      <c r="F620" s="38"/>
      <c r="G620" s="4"/>
      <c r="H620" s="4"/>
      <c r="I620" s="4"/>
      <c r="J620" s="4"/>
      <c r="K620" s="4"/>
      <c r="L620" s="4"/>
      <c r="M620" s="4"/>
      <c r="N620" s="38"/>
      <c r="O620" s="4"/>
      <c r="P620" s="4"/>
      <c r="Q620" s="4"/>
      <c r="R620" s="4"/>
      <c r="S620" s="4"/>
      <c r="T620" s="38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38"/>
      <c r="AN620" s="4"/>
      <c r="AO620" s="4"/>
      <c r="AP620" s="4"/>
      <c r="AQ620" s="4"/>
      <c r="AR620" s="4"/>
      <c r="AS620" s="4"/>
      <c r="AT620" s="4"/>
      <c r="AU620" s="4"/>
      <c r="AV620" s="4"/>
      <c r="AW620" s="4"/>
      <c r="AX620" s="4"/>
      <c r="AY620" s="4"/>
      <c r="AZ620" s="4"/>
      <c r="BA620" s="4"/>
      <c r="BB620" s="4"/>
      <c r="BC620" s="4"/>
      <c r="BD620" s="4"/>
      <c r="BE620" s="4"/>
      <c r="BF620" s="4"/>
      <c r="BG620" s="4"/>
      <c r="BH620" s="4"/>
      <c r="BI620" s="4"/>
      <c r="BJ620" s="4"/>
      <c r="BK620" s="4"/>
      <c r="BL620" s="4"/>
      <c r="BM620" s="4"/>
      <c r="BN620" s="4"/>
      <c r="BO620" s="4"/>
      <c r="BP620" s="39"/>
      <c r="BQ620" s="39"/>
    </row>
    <row r="621" spans="3:69" ht="15.75" customHeight="1">
      <c r="C621" s="4"/>
      <c r="D621" s="4"/>
      <c r="E621" s="38"/>
      <c r="F621" s="38"/>
      <c r="G621" s="4"/>
      <c r="H621" s="4"/>
      <c r="I621" s="4"/>
      <c r="J621" s="4"/>
      <c r="K621" s="4"/>
      <c r="L621" s="4"/>
      <c r="M621" s="4"/>
      <c r="N621" s="38"/>
      <c r="O621" s="4"/>
      <c r="P621" s="4"/>
      <c r="Q621" s="4"/>
      <c r="R621" s="4"/>
      <c r="S621" s="4"/>
      <c r="T621" s="38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38"/>
      <c r="AN621" s="4"/>
      <c r="AO621" s="4"/>
      <c r="AP621" s="4"/>
      <c r="AQ621" s="4"/>
      <c r="AR621" s="4"/>
      <c r="AS621" s="4"/>
      <c r="AT621" s="4"/>
      <c r="AU621" s="4"/>
      <c r="AV621" s="4"/>
      <c r="AW621" s="4"/>
      <c r="AX621" s="4"/>
      <c r="AY621" s="4"/>
      <c r="AZ621" s="4"/>
      <c r="BA621" s="4"/>
      <c r="BB621" s="4"/>
      <c r="BC621" s="4"/>
      <c r="BD621" s="4"/>
      <c r="BE621" s="4"/>
      <c r="BF621" s="4"/>
      <c r="BG621" s="4"/>
      <c r="BH621" s="4"/>
      <c r="BI621" s="4"/>
      <c r="BJ621" s="4"/>
      <c r="BK621" s="4"/>
      <c r="BL621" s="4"/>
      <c r="BM621" s="4"/>
      <c r="BN621" s="4"/>
      <c r="BO621" s="4"/>
      <c r="BP621" s="39"/>
      <c r="BQ621" s="39"/>
    </row>
    <row r="622" spans="3:69" ht="15.75" customHeight="1">
      <c r="C622" s="4"/>
      <c r="D622" s="4"/>
      <c r="E622" s="38"/>
      <c r="F622" s="38"/>
      <c r="G622" s="4"/>
      <c r="H622" s="4"/>
      <c r="I622" s="4"/>
      <c r="J622" s="4"/>
      <c r="K622" s="4"/>
      <c r="L622" s="4"/>
      <c r="M622" s="4"/>
      <c r="N622" s="38"/>
      <c r="O622" s="4"/>
      <c r="P622" s="4"/>
      <c r="Q622" s="4"/>
      <c r="R622" s="4"/>
      <c r="S622" s="4"/>
      <c r="T622" s="38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38"/>
      <c r="AN622" s="4"/>
      <c r="AO622" s="4"/>
      <c r="AP622" s="4"/>
      <c r="AQ622" s="4"/>
      <c r="AR622" s="4"/>
      <c r="AS622" s="4"/>
      <c r="AT622" s="4"/>
      <c r="AU622" s="4"/>
      <c r="AV622" s="4"/>
      <c r="AW622" s="4"/>
      <c r="AX622" s="4"/>
      <c r="AY622" s="4"/>
      <c r="AZ622" s="4"/>
      <c r="BA622" s="4"/>
      <c r="BB622" s="4"/>
      <c r="BC622" s="4"/>
      <c r="BD622" s="4"/>
      <c r="BE622" s="4"/>
      <c r="BF622" s="4"/>
      <c r="BG622" s="4"/>
      <c r="BH622" s="4"/>
      <c r="BI622" s="4"/>
      <c r="BJ622" s="4"/>
      <c r="BK622" s="4"/>
      <c r="BL622" s="4"/>
      <c r="BM622" s="4"/>
      <c r="BN622" s="4"/>
      <c r="BO622" s="4"/>
      <c r="BP622" s="39"/>
      <c r="BQ622" s="39"/>
    </row>
    <row r="623" spans="3:69" ht="15.75" customHeight="1">
      <c r="C623" s="4"/>
      <c r="D623" s="4"/>
      <c r="E623" s="38"/>
      <c r="F623" s="38"/>
      <c r="G623" s="4"/>
      <c r="H623" s="4"/>
      <c r="I623" s="4"/>
      <c r="J623" s="4"/>
      <c r="K623" s="4"/>
      <c r="L623" s="4"/>
      <c r="M623" s="4"/>
      <c r="N623" s="38"/>
      <c r="O623" s="4"/>
      <c r="P623" s="4"/>
      <c r="Q623" s="4"/>
      <c r="R623" s="4"/>
      <c r="S623" s="4"/>
      <c r="T623" s="38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38"/>
      <c r="AN623" s="4"/>
      <c r="AO623" s="4"/>
      <c r="AP623" s="4"/>
      <c r="AQ623" s="4"/>
      <c r="AR623" s="4"/>
      <c r="AS623" s="4"/>
      <c r="AT623" s="4"/>
      <c r="AU623" s="4"/>
      <c r="AV623" s="4"/>
      <c r="AW623" s="4"/>
      <c r="AX623" s="4"/>
      <c r="AY623" s="4"/>
      <c r="AZ623" s="4"/>
      <c r="BA623" s="4"/>
      <c r="BB623" s="4"/>
      <c r="BC623" s="4"/>
      <c r="BD623" s="4"/>
      <c r="BE623" s="4"/>
      <c r="BF623" s="4"/>
      <c r="BG623" s="4"/>
      <c r="BH623" s="4"/>
      <c r="BI623" s="4"/>
      <c r="BJ623" s="4"/>
      <c r="BK623" s="4"/>
      <c r="BL623" s="4"/>
      <c r="BM623" s="4"/>
      <c r="BN623" s="4"/>
      <c r="BO623" s="4"/>
      <c r="BP623" s="39"/>
      <c r="BQ623" s="39"/>
    </row>
    <row r="624" spans="3:69" ht="15.75" customHeight="1">
      <c r="C624" s="4"/>
      <c r="D624" s="4"/>
      <c r="E624" s="38"/>
      <c r="F624" s="38"/>
      <c r="G624" s="4"/>
      <c r="H624" s="4"/>
      <c r="I624" s="4"/>
      <c r="J624" s="4"/>
      <c r="K624" s="4"/>
      <c r="L624" s="4"/>
      <c r="M624" s="4"/>
      <c r="N624" s="38"/>
      <c r="O624" s="4"/>
      <c r="P624" s="4"/>
      <c r="Q624" s="4"/>
      <c r="R624" s="4"/>
      <c r="S624" s="4"/>
      <c r="T624" s="38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38"/>
      <c r="AN624" s="4"/>
      <c r="AO624" s="4"/>
      <c r="AP624" s="4"/>
      <c r="AQ624" s="4"/>
      <c r="AR624" s="4"/>
      <c r="AS624" s="4"/>
      <c r="AT624" s="4"/>
      <c r="AU624" s="4"/>
      <c r="AV624" s="4"/>
      <c r="AW624" s="4"/>
      <c r="AX624" s="4"/>
      <c r="AY624" s="4"/>
      <c r="AZ624" s="4"/>
      <c r="BA624" s="4"/>
      <c r="BB624" s="4"/>
      <c r="BC624" s="4"/>
      <c r="BD624" s="4"/>
      <c r="BE624" s="4"/>
      <c r="BF624" s="4"/>
      <c r="BG624" s="4"/>
      <c r="BH624" s="4"/>
      <c r="BI624" s="4"/>
      <c r="BJ624" s="4"/>
      <c r="BK624" s="4"/>
      <c r="BL624" s="4"/>
      <c r="BM624" s="4"/>
      <c r="BN624" s="4"/>
      <c r="BO624" s="4"/>
      <c r="BP624" s="39"/>
      <c r="BQ624" s="39"/>
    </row>
    <row r="625" spans="3:69" ht="15.75" customHeight="1">
      <c r="C625" s="4"/>
      <c r="D625" s="4"/>
      <c r="E625" s="38"/>
      <c r="F625" s="38"/>
      <c r="G625" s="4"/>
      <c r="H625" s="4"/>
      <c r="I625" s="4"/>
      <c r="J625" s="4"/>
      <c r="K625" s="4"/>
      <c r="L625" s="4"/>
      <c r="M625" s="4"/>
      <c r="N625" s="38"/>
      <c r="O625" s="4"/>
      <c r="P625" s="4"/>
      <c r="Q625" s="4"/>
      <c r="R625" s="4"/>
      <c r="S625" s="4"/>
      <c r="T625" s="38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38"/>
      <c r="AN625" s="4"/>
      <c r="AO625" s="4"/>
      <c r="AP625" s="4"/>
      <c r="AQ625" s="4"/>
      <c r="AR625" s="4"/>
      <c r="AS625" s="4"/>
      <c r="AT625" s="4"/>
      <c r="AU625" s="4"/>
      <c r="AV625" s="4"/>
      <c r="AW625" s="4"/>
      <c r="AX625" s="4"/>
      <c r="AY625" s="4"/>
      <c r="AZ625" s="4"/>
      <c r="BA625" s="4"/>
      <c r="BB625" s="4"/>
      <c r="BC625" s="4"/>
      <c r="BD625" s="4"/>
      <c r="BE625" s="4"/>
      <c r="BF625" s="4"/>
      <c r="BG625" s="4"/>
      <c r="BH625" s="4"/>
      <c r="BI625" s="4"/>
      <c r="BJ625" s="4"/>
      <c r="BK625" s="4"/>
      <c r="BL625" s="4"/>
      <c r="BM625" s="4"/>
      <c r="BN625" s="4"/>
      <c r="BO625" s="4"/>
      <c r="BP625" s="39"/>
      <c r="BQ625" s="39"/>
    </row>
    <row r="626" spans="3:69" ht="15.75" customHeight="1">
      <c r="C626" s="4"/>
      <c r="D626" s="4"/>
      <c r="E626" s="38"/>
      <c r="F626" s="38"/>
      <c r="G626" s="4"/>
      <c r="H626" s="4"/>
      <c r="I626" s="4"/>
      <c r="J626" s="4"/>
      <c r="K626" s="4"/>
      <c r="L626" s="4"/>
      <c r="M626" s="4"/>
      <c r="N626" s="38"/>
      <c r="O626" s="4"/>
      <c r="P626" s="4"/>
      <c r="Q626" s="4"/>
      <c r="R626" s="4"/>
      <c r="S626" s="4"/>
      <c r="T626" s="38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38"/>
      <c r="AN626" s="4"/>
      <c r="AO626" s="4"/>
      <c r="AP626" s="4"/>
      <c r="AQ626" s="4"/>
      <c r="AR626" s="4"/>
      <c r="AS626" s="4"/>
      <c r="AT626" s="4"/>
      <c r="AU626" s="4"/>
      <c r="AV626" s="4"/>
      <c r="AW626" s="4"/>
      <c r="AX626" s="4"/>
      <c r="AY626" s="4"/>
      <c r="AZ626" s="4"/>
      <c r="BA626" s="4"/>
      <c r="BB626" s="4"/>
      <c r="BC626" s="4"/>
      <c r="BD626" s="4"/>
      <c r="BE626" s="4"/>
      <c r="BF626" s="4"/>
      <c r="BG626" s="4"/>
      <c r="BH626" s="4"/>
      <c r="BI626" s="4"/>
      <c r="BJ626" s="4"/>
      <c r="BK626" s="4"/>
      <c r="BL626" s="4"/>
      <c r="BM626" s="4"/>
      <c r="BN626" s="4"/>
      <c r="BO626" s="4"/>
      <c r="BP626" s="39"/>
      <c r="BQ626" s="39"/>
    </row>
    <row r="627" spans="3:69" ht="15.75" customHeight="1">
      <c r="C627" s="4"/>
      <c r="D627" s="4"/>
      <c r="E627" s="38"/>
      <c r="F627" s="38"/>
      <c r="G627" s="4"/>
      <c r="H627" s="4"/>
      <c r="I627" s="4"/>
      <c r="J627" s="4"/>
      <c r="K627" s="4"/>
      <c r="L627" s="4"/>
      <c r="M627" s="4"/>
      <c r="N627" s="38"/>
      <c r="O627" s="4"/>
      <c r="P627" s="4"/>
      <c r="Q627" s="4"/>
      <c r="R627" s="4"/>
      <c r="S627" s="4"/>
      <c r="T627" s="38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38"/>
      <c r="AN627" s="4"/>
      <c r="AO627" s="4"/>
      <c r="AP627" s="4"/>
      <c r="AQ627" s="4"/>
      <c r="AR627" s="4"/>
      <c r="AS627" s="4"/>
      <c r="AT627" s="4"/>
      <c r="AU627" s="4"/>
      <c r="AV627" s="4"/>
      <c r="AW627" s="4"/>
      <c r="AX627" s="4"/>
      <c r="AY627" s="4"/>
      <c r="AZ627" s="4"/>
      <c r="BA627" s="4"/>
      <c r="BB627" s="4"/>
      <c r="BC627" s="4"/>
      <c r="BD627" s="4"/>
      <c r="BE627" s="4"/>
      <c r="BF627" s="4"/>
      <c r="BG627" s="4"/>
      <c r="BH627" s="4"/>
      <c r="BI627" s="4"/>
      <c r="BJ627" s="4"/>
      <c r="BK627" s="4"/>
      <c r="BL627" s="4"/>
      <c r="BM627" s="4"/>
      <c r="BN627" s="4"/>
      <c r="BO627" s="4"/>
      <c r="BP627" s="39"/>
      <c r="BQ627" s="39"/>
    </row>
    <row r="628" spans="3:69" ht="15.75" customHeight="1">
      <c r="C628" s="4"/>
      <c r="D628" s="4"/>
      <c r="E628" s="38"/>
      <c r="F628" s="38"/>
      <c r="G628" s="4"/>
      <c r="H628" s="4"/>
      <c r="I628" s="4"/>
      <c r="J628" s="4"/>
      <c r="K628" s="4"/>
      <c r="L628" s="4"/>
      <c r="M628" s="4"/>
      <c r="N628" s="38"/>
      <c r="O628" s="4"/>
      <c r="P628" s="4"/>
      <c r="Q628" s="4"/>
      <c r="R628" s="4"/>
      <c r="S628" s="4"/>
      <c r="T628" s="38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38"/>
      <c r="AN628" s="4"/>
      <c r="AO628" s="4"/>
      <c r="AP628" s="4"/>
      <c r="AQ628" s="4"/>
      <c r="AR628" s="4"/>
      <c r="AS628" s="4"/>
      <c r="AT628" s="4"/>
      <c r="AU628" s="4"/>
      <c r="AV628" s="4"/>
      <c r="AW628" s="4"/>
      <c r="AX628" s="4"/>
      <c r="AY628" s="4"/>
      <c r="AZ628" s="4"/>
      <c r="BA628" s="4"/>
      <c r="BB628" s="4"/>
      <c r="BC628" s="4"/>
      <c r="BD628" s="4"/>
      <c r="BE628" s="4"/>
      <c r="BF628" s="4"/>
      <c r="BG628" s="4"/>
      <c r="BH628" s="4"/>
      <c r="BI628" s="4"/>
      <c r="BJ628" s="4"/>
      <c r="BK628" s="4"/>
      <c r="BL628" s="4"/>
      <c r="BM628" s="4"/>
      <c r="BN628" s="4"/>
      <c r="BO628" s="4"/>
      <c r="BP628" s="39"/>
      <c r="BQ628" s="39"/>
    </row>
    <row r="629" spans="3:69" ht="15.75" customHeight="1">
      <c r="C629" s="4"/>
      <c r="D629" s="4"/>
      <c r="E629" s="38"/>
      <c r="F629" s="38"/>
      <c r="G629" s="4"/>
      <c r="H629" s="4"/>
      <c r="I629" s="4"/>
      <c r="J629" s="4"/>
      <c r="K629" s="4"/>
      <c r="L629" s="4"/>
      <c r="M629" s="4"/>
      <c r="N629" s="38"/>
      <c r="O629" s="4"/>
      <c r="P629" s="4"/>
      <c r="Q629" s="4"/>
      <c r="R629" s="4"/>
      <c r="S629" s="4"/>
      <c r="T629" s="38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38"/>
      <c r="AN629" s="4"/>
      <c r="AO629" s="4"/>
      <c r="AP629" s="4"/>
      <c r="AQ629" s="4"/>
      <c r="AR629" s="4"/>
      <c r="AS629" s="4"/>
      <c r="AT629" s="4"/>
      <c r="AU629" s="4"/>
      <c r="AV629" s="4"/>
      <c r="AW629" s="4"/>
      <c r="AX629" s="4"/>
      <c r="AY629" s="4"/>
      <c r="AZ629" s="4"/>
      <c r="BA629" s="4"/>
      <c r="BB629" s="4"/>
      <c r="BC629" s="4"/>
      <c r="BD629" s="4"/>
      <c r="BE629" s="4"/>
      <c r="BF629" s="4"/>
      <c r="BG629" s="4"/>
      <c r="BH629" s="4"/>
      <c r="BI629" s="4"/>
      <c r="BJ629" s="4"/>
      <c r="BK629" s="4"/>
      <c r="BL629" s="4"/>
      <c r="BM629" s="4"/>
      <c r="BN629" s="4"/>
      <c r="BO629" s="4"/>
      <c r="BP629" s="39"/>
      <c r="BQ629" s="39"/>
    </row>
    <row r="630" spans="3:69" ht="15.75" customHeight="1">
      <c r="C630" s="4"/>
      <c r="D630" s="4"/>
      <c r="E630" s="38"/>
      <c r="F630" s="38"/>
      <c r="G630" s="4"/>
      <c r="H630" s="4"/>
      <c r="I630" s="4"/>
      <c r="J630" s="4"/>
      <c r="K630" s="4"/>
      <c r="L630" s="4"/>
      <c r="M630" s="4"/>
      <c r="N630" s="38"/>
      <c r="O630" s="4"/>
      <c r="P630" s="4"/>
      <c r="Q630" s="4"/>
      <c r="R630" s="4"/>
      <c r="S630" s="4"/>
      <c r="T630" s="38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38"/>
      <c r="AN630" s="4"/>
      <c r="AO630" s="4"/>
      <c r="AP630" s="4"/>
      <c r="AQ630" s="4"/>
      <c r="AR630" s="4"/>
      <c r="AS630" s="4"/>
      <c r="AT630" s="4"/>
      <c r="AU630" s="4"/>
      <c r="AV630" s="4"/>
      <c r="AW630" s="4"/>
      <c r="AX630" s="4"/>
      <c r="AY630" s="4"/>
      <c r="AZ630" s="4"/>
      <c r="BA630" s="4"/>
      <c r="BB630" s="4"/>
      <c r="BC630" s="4"/>
      <c r="BD630" s="4"/>
      <c r="BE630" s="4"/>
      <c r="BF630" s="4"/>
      <c r="BG630" s="4"/>
      <c r="BH630" s="4"/>
      <c r="BI630" s="4"/>
      <c r="BJ630" s="4"/>
      <c r="BK630" s="4"/>
      <c r="BL630" s="4"/>
      <c r="BM630" s="4"/>
      <c r="BN630" s="4"/>
      <c r="BO630" s="4"/>
      <c r="BP630" s="39"/>
      <c r="BQ630" s="39"/>
    </row>
    <row r="631" spans="3:69" ht="15.75" customHeight="1">
      <c r="C631" s="4"/>
      <c r="D631" s="4"/>
      <c r="E631" s="38"/>
      <c r="F631" s="38"/>
      <c r="G631" s="4"/>
      <c r="H631" s="4"/>
      <c r="I631" s="4"/>
      <c r="J631" s="4"/>
      <c r="K631" s="4"/>
      <c r="L631" s="4"/>
      <c r="M631" s="4"/>
      <c r="N631" s="38"/>
      <c r="O631" s="4"/>
      <c r="P631" s="4"/>
      <c r="Q631" s="4"/>
      <c r="R631" s="4"/>
      <c r="S631" s="4"/>
      <c r="T631" s="38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38"/>
      <c r="AN631" s="4"/>
      <c r="AO631" s="4"/>
      <c r="AP631" s="4"/>
      <c r="AQ631" s="4"/>
      <c r="AR631" s="4"/>
      <c r="AS631" s="4"/>
      <c r="AT631" s="4"/>
      <c r="AU631" s="4"/>
      <c r="AV631" s="4"/>
      <c r="AW631" s="4"/>
      <c r="AX631" s="4"/>
      <c r="AY631" s="4"/>
      <c r="AZ631" s="4"/>
      <c r="BA631" s="4"/>
      <c r="BB631" s="4"/>
      <c r="BC631" s="4"/>
      <c r="BD631" s="4"/>
      <c r="BE631" s="4"/>
      <c r="BF631" s="4"/>
      <c r="BG631" s="4"/>
      <c r="BH631" s="4"/>
      <c r="BI631" s="4"/>
      <c r="BJ631" s="4"/>
      <c r="BK631" s="4"/>
      <c r="BL631" s="4"/>
      <c r="BM631" s="4"/>
      <c r="BN631" s="4"/>
      <c r="BO631" s="4"/>
      <c r="BP631" s="39"/>
      <c r="BQ631" s="39"/>
    </row>
    <row r="632" spans="3:69" ht="15.75" customHeight="1">
      <c r="C632" s="4"/>
      <c r="D632" s="4"/>
      <c r="E632" s="38"/>
      <c r="F632" s="38"/>
      <c r="G632" s="4"/>
      <c r="H632" s="4"/>
      <c r="I632" s="4"/>
      <c r="J632" s="4"/>
      <c r="K632" s="4"/>
      <c r="L632" s="4"/>
      <c r="M632" s="4"/>
      <c r="N632" s="38"/>
      <c r="O632" s="4"/>
      <c r="P632" s="4"/>
      <c r="Q632" s="4"/>
      <c r="R632" s="4"/>
      <c r="S632" s="4"/>
      <c r="T632" s="38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38"/>
      <c r="AN632" s="4"/>
      <c r="AO632" s="4"/>
      <c r="AP632" s="4"/>
      <c r="AQ632" s="4"/>
      <c r="AR632" s="4"/>
      <c r="AS632" s="4"/>
      <c r="AT632" s="4"/>
      <c r="AU632" s="4"/>
      <c r="AV632" s="4"/>
      <c r="AW632" s="4"/>
      <c r="AX632" s="4"/>
      <c r="AY632" s="4"/>
      <c r="AZ632" s="4"/>
      <c r="BA632" s="4"/>
      <c r="BB632" s="4"/>
      <c r="BC632" s="4"/>
      <c r="BD632" s="4"/>
      <c r="BE632" s="4"/>
      <c r="BF632" s="4"/>
      <c r="BG632" s="4"/>
      <c r="BH632" s="4"/>
      <c r="BI632" s="4"/>
      <c r="BJ632" s="4"/>
      <c r="BK632" s="4"/>
      <c r="BL632" s="4"/>
      <c r="BM632" s="4"/>
      <c r="BN632" s="4"/>
      <c r="BO632" s="4"/>
      <c r="BP632" s="39"/>
      <c r="BQ632" s="39"/>
    </row>
    <row r="633" spans="3:69" ht="15.75" customHeight="1">
      <c r="C633" s="4"/>
      <c r="D633" s="4"/>
      <c r="E633" s="38"/>
      <c r="F633" s="38"/>
      <c r="G633" s="4"/>
      <c r="H633" s="4"/>
      <c r="I633" s="4"/>
      <c r="J633" s="4"/>
      <c r="K633" s="4"/>
      <c r="L633" s="4"/>
      <c r="M633" s="4"/>
      <c r="N633" s="38"/>
      <c r="O633" s="4"/>
      <c r="P633" s="4"/>
      <c r="Q633" s="4"/>
      <c r="R633" s="4"/>
      <c r="S633" s="4"/>
      <c r="T633" s="38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38"/>
      <c r="AN633" s="4"/>
      <c r="AO633" s="4"/>
      <c r="AP633" s="4"/>
      <c r="AQ633" s="4"/>
      <c r="AR633" s="4"/>
      <c r="AS633" s="4"/>
      <c r="AT633" s="4"/>
      <c r="AU633" s="4"/>
      <c r="AV633" s="4"/>
      <c r="AW633" s="4"/>
      <c r="AX633" s="4"/>
      <c r="AY633" s="4"/>
      <c r="AZ633" s="4"/>
      <c r="BA633" s="4"/>
      <c r="BB633" s="4"/>
      <c r="BC633" s="4"/>
      <c r="BD633" s="4"/>
      <c r="BE633" s="4"/>
      <c r="BF633" s="4"/>
      <c r="BG633" s="4"/>
      <c r="BH633" s="4"/>
      <c r="BI633" s="4"/>
      <c r="BJ633" s="4"/>
      <c r="BK633" s="4"/>
      <c r="BL633" s="4"/>
      <c r="BM633" s="4"/>
      <c r="BN633" s="4"/>
      <c r="BO633" s="4"/>
      <c r="BP633" s="39"/>
      <c r="BQ633" s="39"/>
    </row>
    <row r="634" spans="3:69" ht="15.75" customHeight="1">
      <c r="C634" s="4"/>
      <c r="D634" s="4"/>
      <c r="E634" s="38"/>
      <c r="F634" s="38"/>
      <c r="G634" s="4"/>
      <c r="H634" s="4"/>
      <c r="I634" s="4"/>
      <c r="J634" s="4"/>
      <c r="K634" s="4"/>
      <c r="L634" s="4"/>
      <c r="M634" s="4"/>
      <c r="N634" s="38"/>
      <c r="O634" s="4"/>
      <c r="P634" s="4"/>
      <c r="Q634" s="4"/>
      <c r="R634" s="4"/>
      <c r="S634" s="4"/>
      <c r="T634" s="38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38"/>
      <c r="AN634" s="4"/>
      <c r="AO634" s="4"/>
      <c r="AP634" s="4"/>
      <c r="AQ634" s="4"/>
      <c r="AR634" s="4"/>
      <c r="AS634" s="4"/>
      <c r="AT634" s="4"/>
      <c r="AU634" s="4"/>
      <c r="AV634" s="4"/>
      <c r="AW634" s="4"/>
      <c r="AX634" s="4"/>
      <c r="AY634" s="4"/>
      <c r="AZ634" s="4"/>
      <c r="BA634" s="4"/>
      <c r="BB634" s="4"/>
      <c r="BC634" s="4"/>
      <c r="BD634" s="4"/>
      <c r="BE634" s="4"/>
      <c r="BF634" s="4"/>
      <c r="BG634" s="4"/>
      <c r="BH634" s="4"/>
      <c r="BI634" s="4"/>
      <c r="BJ634" s="4"/>
      <c r="BK634" s="4"/>
      <c r="BL634" s="4"/>
      <c r="BM634" s="4"/>
      <c r="BN634" s="4"/>
      <c r="BO634" s="4"/>
      <c r="BP634" s="39"/>
      <c r="BQ634" s="39"/>
    </row>
    <row r="635" spans="3:69" ht="15.75" customHeight="1">
      <c r="C635" s="4"/>
      <c r="D635" s="4"/>
      <c r="E635" s="38"/>
      <c r="F635" s="38"/>
      <c r="G635" s="4"/>
      <c r="H635" s="4"/>
      <c r="I635" s="4"/>
      <c r="J635" s="4"/>
      <c r="K635" s="4"/>
      <c r="L635" s="4"/>
      <c r="M635" s="4"/>
      <c r="N635" s="38"/>
      <c r="O635" s="4"/>
      <c r="P635" s="4"/>
      <c r="Q635" s="4"/>
      <c r="R635" s="4"/>
      <c r="S635" s="4"/>
      <c r="T635" s="38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38"/>
      <c r="AN635" s="4"/>
      <c r="AO635" s="4"/>
      <c r="AP635" s="4"/>
      <c r="AQ635" s="4"/>
      <c r="AR635" s="4"/>
      <c r="AS635" s="4"/>
      <c r="AT635" s="4"/>
      <c r="AU635" s="4"/>
      <c r="AV635" s="4"/>
      <c r="AW635" s="4"/>
      <c r="AX635" s="4"/>
      <c r="AY635" s="4"/>
      <c r="AZ635" s="4"/>
      <c r="BA635" s="4"/>
      <c r="BB635" s="4"/>
      <c r="BC635" s="4"/>
      <c r="BD635" s="4"/>
      <c r="BE635" s="4"/>
      <c r="BF635" s="4"/>
      <c r="BG635" s="4"/>
      <c r="BH635" s="4"/>
      <c r="BI635" s="4"/>
      <c r="BJ635" s="4"/>
      <c r="BK635" s="4"/>
      <c r="BL635" s="4"/>
      <c r="BM635" s="4"/>
      <c r="BN635" s="4"/>
      <c r="BO635" s="4"/>
      <c r="BP635" s="39"/>
      <c r="BQ635" s="39"/>
    </row>
    <row r="636" spans="3:69" ht="15.75" customHeight="1">
      <c r="C636" s="4"/>
      <c r="D636" s="4"/>
      <c r="E636" s="38"/>
      <c r="F636" s="38"/>
      <c r="G636" s="4"/>
      <c r="H636" s="4"/>
      <c r="I636" s="4"/>
      <c r="J636" s="4"/>
      <c r="K636" s="4"/>
      <c r="L636" s="4"/>
      <c r="M636" s="4"/>
      <c r="N636" s="38"/>
      <c r="O636" s="4"/>
      <c r="P636" s="4"/>
      <c r="Q636" s="4"/>
      <c r="R636" s="4"/>
      <c r="S636" s="4"/>
      <c r="T636" s="38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38"/>
      <c r="AN636" s="4"/>
      <c r="AO636" s="4"/>
      <c r="AP636" s="4"/>
      <c r="AQ636" s="4"/>
      <c r="AR636" s="4"/>
      <c r="AS636" s="4"/>
      <c r="AT636" s="4"/>
      <c r="AU636" s="4"/>
      <c r="AV636" s="4"/>
      <c r="AW636" s="4"/>
      <c r="AX636" s="4"/>
      <c r="AY636" s="4"/>
      <c r="AZ636" s="4"/>
      <c r="BA636" s="4"/>
      <c r="BB636" s="4"/>
      <c r="BC636" s="4"/>
      <c r="BD636" s="4"/>
      <c r="BE636" s="4"/>
      <c r="BF636" s="4"/>
      <c r="BG636" s="4"/>
      <c r="BH636" s="4"/>
      <c r="BI636" s="4"/>
      <c r="BJ636" s="4"/>
      <c r="BK636" s="4"/>
      <c r="BL636" s="4"/>
      <c r="BM636" s="4"/>
      <c r="BN636" s="4"/>
      <c r="BO636" s="4"/>
      <c r="BP636" s="39"/>
      <c r="BQ636" s="39"/>
    </row>
    <row r="637" spans="3:69" ht="15.75" customHeight="1">
      <c r="C637" s="4"/>
      <c r="D637" s="4"/>
      <c r="E637" s="38"/>
      <c r="F637" s="38"/>
      <c r="G637" s="4"/>
      <c r="H637" s="4"/>
      <c r="I637" s="4"/>
      <c r="J637" s="4"/>
      <c r="K637" s="4"/>
      <c r="L637" s="4"/>
      <c r="M637" s="4"/>
      <c r="N637" s="38"/>
      <c r="O637" s="4"/>
      <c r="P637" s="4"/>
      <c r="Q637" s="4"/>
      <c r="R637" s="4"/>
      <c r="S637" s="4"/>
      <c r="T637" s="38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38"/>
      <c r="AN637" s="4"/>
      <c r="AO637" s="4"/>
      <c r="AP637" s="4"/>
      <c r="AQ637" s="4"/>
      <c r="AR637" s="4"/>
      <c r="AS637" s="4"/>
      <c r="AT637" s="4"/>
      <c r="AU637" s="4"/>
      <c r="AV637" s="4"/>
      <c r="AW637" s="4"/>
      <c r="AX637" s="4"/>
      <c r="AY637" s="4"/>
      <c r="AZ637" s="4"/>
      <c r="BA637" s="4"/>
      <c r="BB637" s="4"/>
      <c r="BC637" s="4"/>
      <c r="BD637" s="4"/>
      <c r="BE637" s="4"/>
      <c r="BF637" s="4"/>
      <c r="BG637" s="4"/>
      <c r="BH637" s="4"/>
      <c r="BI637" s="4"/>
      <c r="BJ637" s="4"/>
      <c r="BK637" s="4"/>
      <c r="BL637" s="4"/>
      <c r="BM637" s="4"/>
      <c r="BN637" s="4"/>
      <c r="BO637" s="4"/>
      <c r="BP637" s="39"/>
      <c r="BQ637" s="39"/>
    </row>
    <row r="638" spans="3:69" ht="15.75" customHeight="1">
      <c r="C638" s="4"/>
      <c r="D638" s="4"/>
      <c r="E638" s="38"/>
      <c r="F638" s="38"/>
      <c r="G638" s="4"/>
      <c r="H638" s="4"/>
      <c r="I638" s="4"/>
      <c r="J638" s="4"/>
      <c r="K638" s="4"/>
      <c r="L638" s="4"/>
      <c r="M638" s="4"/>
      <c r="N638" s="38"/>
      <c r="O638" s="4"/>
      <c r="P638" s="4"/>
      <c r="Q638" s="4"/>
      <c r="R638" s="4"/>
      <c r="S638" s="4"/>
      <c r="T638" s="38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38"/>
      <c r="AN638" s="4"/>
      <c r="AO638" s="4"/>
      <c r="AP638" s="4"/>
      <c r="AQ638" s="4"/>
      <c r="AR638" s="4"/>
      <c r="AS638" s="4"/>
      <c r="AT638" s="4"/>
      <c r="AU638" s="4"/>
      <c r="AV638" s="4"/>
      <c r="AW638" s="4"/>
      <c r="AX638" s="4"/>
      <c r="AY638" s="4"/>
      <c r="AZ638" s="4"/>
      <c r="BA638" s="4"/>
      <c r="BB638" s="4"/>
      <c r="BC638" s="4"/>
      <c r="BD638" s="4"/>
      <c r="BE638" s="4"/>
      <c r="BF638" s="4"/>
      <c r="BG638" s="4"/>
      <c r="BH638" s="4"/>
      <c r="BI638" s="4"/>
      <c r="BJ638" s="4"/>
      <c r="BK638" s="4"/>
      <c r="BL638" s="4"/>
      <c r="BM638" s="4"/>
      <c r="BN638" s="4"/>
      <c r="BO638" s="4"/>
      <c r="BP638" s="39"/>
      <c r="BQ638" s="39"/>
    </row>
    <row r="639" spans="3:69" ht="15.75" customHeight="1">
      <c r="C639" s="4"/>
      <c r="D639" s="4"/>
      <c r="E639" s="38"/>
      <c r="F639" s="38"/>
      <c r="G639" s="4"/>
      <c r="H639" s="4"/>
      <c r="I639" s="4"/>
      <c r="J639" s="4"/>
      <c r="K639" s="4"/>
      <c r="L639" s="4"/>
      <c r="M639" s="4"/>
      <c r="N639" s="38"/>
      <c r="O639" s="4"/>
      <c r="P639" s="4"/>
      <c r="Q639" s="4"/>
      <c r="R639" s="4"/>
      <c r="S639" s="4"/>
      <c r="T639" s="38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38"/>
      <c r="AN639" s="4"/>
      <c r="AO639" s="4"/>
      <c r="AP639" s="4"/>
      <c r="AQ639" s="4"/>
      <c r="AR639" s="4"/>
      <c r="AS639" s="4"/>
      <c r="AT639" s="4"/>
      <c r="AU639" s="4"/>
      <c r="AV639" s="4"/>
      <c r="AW639" s="4"/>
      <c r="AX639" s="4"/>
      <c r="AY639" s="4"/>
      <c r="AZ639" s="4"/>
      <c r="BA639" s="4"/>
      <c r="BB639" s="4"/>
      <c r="BC639" s="4"/>
      <c r="BD639" s="4"/>
      <c r="BE639" s="4"/>
      <c r="BF639" s="4"/>
      <c r="BG639" s="4"/>
      <c r="BH639" s="4"/>
      <c r="BI639" s="4"/>
      <c r="BJ639" s="4"/>
      <c r="BK639" s="4"/>
      <c r="BL639" s="4"/>
      <c r="BM639" s="4"/>
      <c r="BN639" s="4"/>
      <c r="BO639" s="4"/>
      <c r="BP639" s="39"/>
      <c r="BQ639" s="39"/>
    </row>
    <row r="640" spans="3:69" ht="15.75" customHeight="1">
      <c r="C640" s="4"/>
      <c r="D640" s="4"/>
      <c r="E640" s="38"/>
      <c r="F640" s="38"/>
      <c r="G640" s="4"/>
      <c r="H640" s="4"/>
      <c r="I640" s="4"/>
      <c r="J640" s="4"/>
      <c r="K640" s="4"/>
      <c r="L640" s="4"/>
      <c r="M640" s="4"/>
      <c r="N640" s="38"/>
      <c r="O640" s="4"/>
      <c r="P640" s="4"/>
      <c r="Q640" s="4"/>
      <c r="R640" s="4"/>
      <c r="S640" s="4"/>
      <c r="T640" s="38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38"/>
      <c r="AN640" s="4"/>
      <c r="AO640" s="4"/>
      <c r="AP640" s="4"/>
      <c r="AQ640" s="4"/>
      <c r="AR640" s="4"/>
      <c r="AS640" s="4"/>
      <c r="AT640" s="4"/>
      <c r="AU640" s="4"/>
      <c r="AV640" s="4"/>
      <c r="AW640" s="4"/>
      <c r="AX640" s="4"/>
      <c r="AY640" s="4"/>
      <c r="AZ640" s="4"/>
      <c r="BA640" s="4"/>
      <c r="BB640" s="4"/>
      <c r="BC640" s="4"/>
      <c r="BD640" s="4"/>
      <c r="BE640" s="4"/>
      <c r="BF640" s="4"/>
      <c r="BG640" s="4"/>
      <c r="BH640" s="4"/>
      <c r="BI640" s="4"/>
      <c r="BJ640" s="4"/>
      <c r="BK640" s="4"/>
      <c r="BL640" s="4"/>
      <c r="BM640" s="4"/>
      <c r="BN640" s="4"/>
      <c r="BO640" s="4"/>
      <c r="BP640" s="39"/>
      <c r="BQ640" s="39"/>
    </row>
    <row r="641" spans="3:69" ht="15.75" customHeight="1">
      <c r="C641" s="4"/>
      <c r="D641" s="4"/>
      <c r="E641" s="38"/>
      <c r="F641" s="38"/>
      <c r="G641" s="4"/>
      <c r="H641" s="4"/>
      <c r="I641" s="4"/>
      <c r="J641" s="4"/>
      <c r="K641" s="4"/>
      <c r="L641" s="4"/>
      <c r="M641" s="4"/>
      <c r="N641" s="38"/>
      <c r="O641" s="4"/>
      <c r="P641" s="4"/>
      <c r="Q641" s="4"/>
      <c r="R641" s="4"/>
      <c r="S641" s="4"/>
      <c r="T641" s="38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38"/>
      <c r="AN641" s="4"/>
      <c r="AO641" s="4"/>
      <c r="AP641" s="4"/>
      <c r="AQ641" s="4"/>
      <c r="AR641" s="4"/>
      <c r="AS641" s="4"/>
      <c r="AT641" s="4"/>
      <c r="AU641" s="4"/>
      <c r="AV641" s="4"/>
      <c r="AW641" s="4"/>
      <c r="AX641" s="4"/>
      <c r="AY641" s="4"/>
      <c r="AZ641" s="4"/>
      <c r="BA641" s="4"/>
      <c r="BB641" s="4"/>
      <c r="BC641" s="4"/>
      <c r="BD641" s="4"/>
      <c r="BE641" s="4"/>
      <c r="BF641" s="4"/>
      <c r="BG641" s="4"/>
      <c r="BH641" s="4"/>
      <c r="BI641" s="4"/>
      <c r="BJ641" s="4"/>
      <c r="BK641" s="4"/>
      <c r="BL641" s="4"/>
      <c r="BM641" s="4"/>
      <c r="BN641" s="4"/>
      <c r="BO641" s="4"/>
      <c r="BP641" s="39"/>
      <c r="BQ641" s="39"/>
    </row>
    <row r="642" spans="3:69" ht="15.75" customHeight="1">
      <c r="C642" s="4"/>
      <c r="D642" s="4"/>
      <c r="E642" s="38"/>
      <c r="F642" s="38"/>
      <c r="G642" s="4"/>
      <c r="H642" s="4"/>
      <c r="I642" s="4"/>
      <c r="J642" s="4"/>
      <c r="K642" s="4"/>
      <c r="L642" s="4"/>
      <c r="M642" s="4"/>
      <c r="N642" s="38"/>
      <c r="O642" s="4"/>
      <c r="P642" s="4"/>
      <c r="Q642" s="4"/>
      <c r="R642" s="4"/>
      <c r="S642" s="4"/>
      <c r="T642" s="38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38"/>
      <c r="AN642" s="4"/>
      <c r="AO642" s="4"/>
      <c r="AP642" s="4"/>
      <c r="AQ642" s="4"/>
      <c r="AR642" s="4"/>
      <c r="AS642" s="4"/>
      <c r="AT642" s="4"/>
      <c r="AU642" s="4"/>
      <c r="AV642" s="4"/>
      <c r="AW642" s="4"/>
      <c r="AX642" s="4"/>
      <c r="AY642" s="4"/>
      <c r="AZ642" s="4"/>
      <c r="BA642" s="4"/>
      <c r="BB642" s="4"/>
      <c r="BC642" s="4"/>
      <c r="BD642" s="4"/>
      <c r="BE642" s="4"/>
      <c r="BF642" s="4"/>
      <c r="BG642" s="4"/>
      <c r="BH642" s="4"/>
      <c r="BI642" s="4"/>
      <c r="BJ642" s="4"/>
      <c r="BK642" s="4"/>
      <c r="BL642" s="4"/>
      <c r="BM642" s="4"/>
      <c r="BN642" s="4"/>
      <c r="BO642" s="4"/>
      <c r="BP642" s="39"/>
      <c r="BQ642" s="39"/>
    </row>
    <row r="643" spans="3:69" ht="15.75" customHeight="1">
      <c r="C643" s="4"/>
      <c r="D643" s="4"/>
      <c r="E643" s="38"/>
      <c r="F643" s="38"/>
      <c r="G643" s="4"/>
      <c r="H643" s="4"/>
      <c r="I643" s="4"/>
      <c r="J643" s="4"/>
      <c r="K643" s="4"/>
      <c r="L643" s="4"/>
      <c r="M643" s="4"/>
      <c r="N643" s="38"/>
      <c r="O643" s="4"/>
      <c r="P643" s="4"/>
      <c r="Q643" s="4"/>
      <c r="R643" s="4"/>
      <c r="S643" s="4"/>
      <c r="T643" s="38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38"/>
      <c r="AN643" s="4"/>
      <c r="AO643" s="4"/>
      <c r="AP643" s="4"/>
      <c r="AQ643" s="4"/>
      <c r="AR643" s="4"/>
      <c r="AS643" s="4"/>
      <c r="AT643" s="4"/>
      <c r="AU643" s="4"/>
      <c r="AV643" s="4"/>
      <c r="AW643" s="4"/>
      <c r="AX643" s="4"/>
      <c r="AY643" s="4"/>
      <c r="AZ643" s="4"/>
      <c r="BA643" s="4"/>
      <c r="BB643" s="4"/>
      <c r="BC643" s="4"/>
      <c r="BD643" s="4"/>
      <c r="BE643" s="4"/>
      <c r="BF643" s="4"/>
      <c r="BG643" s="4"/>
      <c r="BH643" s="4"/>
      <c r="BI643" s="4"/>
      <c r="BJ643" s="4"/>
      <c r="BK643" s="4"/>
      <c r="BL643" s="4"/>
      <c r="BM643" s="4"/>
      <c r="BN643" s="4"/>
      <c r="BO643" s="4"/>
      <c r="BP643" s="39"/>
      <c r="BQ643" s="39"/>
    </row>
    <row r="644" spans="3:69" ht="15.75" customHeight="1">
      <c r="C644" s="4"/>
      <c r="D644" s="4"/>
      <c r="E644" s="38"/>
      <c r="F644" s="38"/>
      <c r="G644" s="4"/>
      <c r="H644" s="4"/>
      <c r="I644" s="4"/>
      <c r="J644" s="4"/>
      <c r="K644" s="4"/>
      <c r="L644" s="4"/>
      <c r="M644" s="4"/>
      <c r="N644" s="38"/>
      <c r="O644" s="4"/>
      <c r="P644" s="4"/>
      <c r="Q644" s="4"/>
      <c r="R644" s="4"/>
      <c r="S644" s="4"/>
      <c r="T644" s="38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38"/>
      <c r="AN644" s="4"/>
      <c r="AO644" s="4"/>
      <c r="AP644" s="4"/>
      <c r="AQ644" s="4"/>
      <c r="AR644" s="4"/>
      <c r="AS644" s="4"/>
      <c r="AT644" s="4"/>
      <c r="AU644" s="4"/>
      <c r="AV644" s="4"/>
      <c r="AW644" s="4"/>
      <c r="AX644" s="4"/>
      <c r="AY644" s="4"/>
      <c r="AZ644" s="4"/>
      <c r="BA644" s="4"/>
      <c r="BB644" s="4"/>
      <c r="BC644" s="4"/>
      <c r="BD644" s="4"/>
      <c r="BE644" s="4"/>
      <c r="BF644" s="4"/>
      <c r="BG644" s="4"/>
      <c r="BH644" s="4"/>
      <c r="BI644" s="4"/>
      <c r="BJ644" s="4"/>
      <c r="BK644" s="4"/>
      <c r="BL644" s="4"/>
      <c r="BM644" s="4"/>
      <c r="BN644" s="4"/>
      <c r="BO644" s="4"/>
      <c r="BP644" s="39"/>
      <c r="BQ644" s="39"/>
    </row>
    <row r="645" spans="3:69" ht="15.75" customHeight="1">
      <c r="C645" s="4"/>
      <c r="D645" s="4"/>
      <c r="E645" s="38"/>
      <c r="F645" s="38"/>
      <c r="G645" s="4"/>
      <c r="H645" s="4"/>
      <c r="I645" s="4"/>
      <c r="J645" s="4"/>
      <c r="K645" s="4"/>
      <c r="L645" s="4"/>
      <c r="M645" s="4"/>
      <c r="N645" s="38"/>
      <c r="O645" s="4"/>
      <c r="P645" s="4"/>
      <c r="Q645" s="4"/>
      <c r="R645" s="4"/>
      <c r="S645" s="4"/>
      <c r="T645" s="38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38"/>
      <c r="AN645" s="4"/>
      <c r="AO645" s="4"/>
      <c r="AP645" s="4"/>
      <c r="AQ645" s="4"/>
      <c r="AR645" s="4"/>
      <c r="AS645" s="4"/>
      <c r="AT645" s="4"/>
      <c r="AU645" s="4"/>
      <c r="AV645" s="4"/>
      <c r="AW645" s="4"/>
      <c r="AX645" s="4"/>
      <c r="AY645" s="4"/>
      <c r="AZ645" s="4"/>
      <c r="BA645" s="4"/>
      <c r="BB645" s="4"/>
      <c r="BC645" s="4"/>
      <c r="BD645" s="4"/>
      <c r="BE645" s="4"/>
      <c r="BF645" s="4"/>
      <c r="BG645" s="4"/>
      <c r="BH645" s="4"/>
      <c r="BI645" s="4"/>
      <c r="BJ645" s="4"/>
      <c r="BK645" s="4"/>
      <c r="BL645" s="4"/>
      <c r="BM645" s="4"/>
      <c r="BN645" s="4"/>
      <c r="BO645" s="4"/>
      <c r="BP645" s="39"/>
      <c r="BQ645" s="39"/>
    </row>
    <row r="646" spans="3:69" ht="15.75" customHeight="1">
      <c r="C646" s="4"/>
      <c r="D646" s="4"/>
      <c r="E646" s="38"/>
      <c r="F646" s="38"/>
      <c r="G646" s="4"/>
      <c r="H646" s="4"/>
      <c r="I646" s="4"/>
      <c r="J646" s="4"/>
      <c r="K646" s="4"/>
      <c r="L646" s="4"/>
      <c r="M646" s="4"/>
      <c r="N646" s="38"/>
      <c r="O646" s="4"/>
      <c r="P646" s="4"/>
      <c r="Q646" s="4"/>
      <c r="R646" s="4"/>
      <c r="S646" s="4"/>
      <c r="T646" s="38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38"/>
      <c r="AN646" s="4"/>
      <c r="AO646" s="4"/>
      <c r="AP646" s="4"/>
      <c r="AQ646" s="4"/>
      <c r="AR646" s="4"/>
      <c r="AS646" s="4"/>
      <c r="AT646" s="4"/>
      <c r="AU646" s="4"/>
      <c r="AV646" s="4"/>
      <c r="AW646" s="4"/>
      <c r="AX646" s="4"/>
      <c r="AY646" s="4"/>
      <c r="AZ646" s="4"/>
      <c r="BA646" s="4"/>
      <c r="BB646" s="4"/>
      <c r="BC646" s="4"/>
      <c r="BD646" s="4"/>
      <c r="BE646" s="4"/>
      <c r="BF646" s="4"/>
      <c r="BG646" s="4"/>
      <c r="BH646" s="4"/>
      <c r="BI646" s="4"/>
      <c r="BJ646" s="4"/>
      <c r="BK646" s="4"/>
      <c r="BL646" s="4"/>
      <c r="BM646" s="4"/>
      <c r="BN646" s="4"/>
      <c r="BO646" s="4"/>
      <c r="BP646" s="39"/>
      <c r="BQ646" s="39"/>
    </row>
    <row r="647" spans="3:69" ht="15.75" customHeight="1">
      <c r="C647" s="4"/>
      <c r="D647" s="4"/>
      <c r="E647" s="38"/>
      <c r="F647" s="38"/>
      <c r="G647" s="4"/>
      <c r="H647" s="4"/>
      <c r="I647" s="4"/>
      <c r="J647" s="4"/>
      <c r="K647" s="4"/>
      <c r="L647" s="4"/>
      <c r="M647" s="4"/>
      <c r="N647" s="38"/>
      <c r="O647" s="4"/>
      <c r="P647" s="4"/>
      <c r="Q647" s="4"/>
      <c r="R647" s="4"/>
      <c r="S647" s="4"/>
      <c r="T647" s="38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38"/>
      <c r="AN647" s="4"/>
      <c r="AO647" s="4"/>
      <c r="AP647" s="4"/>
      <c r="AQ647" s="4"/>
      <c r="AR647" s="4"/>
      <c r="AS647" s="4"/>
      <c r="AT647" s="4"/>
      <c r="AU647" s="4"/>
      <c r="AV647" s="4"/>
      <c r="AW647" s="4"/>
      <c r="AX647" s="4"/>
      <c r="AY647" s="4"/>
      <c r="AZ647" s="4"/>
      <c r="BA647" s="4"/>
      <c r="BB647" s="4"/>
      <c r="BC647" s="4"/>
      <c r="BD647" s="4"/>
      <c r="BE647" s="4"/>
      <c r="BF647" s="4"/>
      <c r="BG647" s="4"/>
      <c r="BH647" s="4"/>
      <c r="BI647" s="4"/>
      <c r="BJ647" s="4"/>
      <c r="BK647" s="4"/>
      <c r="BL647" s="4"/>
      <c r="BM647" s="4"/>
      <c r="BN647" s="4"/>
      <c r="BO647" s="4"/>
      <c r="BP647" s="39"/>
      <c r="BQ647" s="39"/>
    </row>
    <row r="648" spans="3:69" ht="15.75" customHeight="1">
      <c r="C648" s="4"/>
      <c r="D648" s="4"/>
      <c r="E648" s="38"/>
      <c r="F648" s="38"/>
      <c r="G648" s="4"/>
      <c r="H648" s="4"/>
      <c r="I648" s="4"/>
      <c r="J648" s="4"/>
      <c r="K648" s="4"/>
      <c r="L648" s="4"/>
      <c r="M648" s="4"/>
      <c r="N648" s="38"/>
      <c r="O648" s="4"/>
      <c r="P648" s="4"/>
      <c r="Q648" s="4"/>
      <c r="R648" s="4"/>
      <c r="S648" s="4"/>
      <c r="T648" s="38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38"/>
      <c r="AN648" s="4"/>
      <c r="AO648" s="4"/>
      <c r="AP648" s="4"/>
      <c r="AQ648" s="4"/>
      <c r="AR648" s="4"/>
      <c r="AS648" s="4"/>
      <c r="AT648" s="4"/>
      <c r="AU648" s="4"/>
      <c r="AV648" s="4"/>
      <c r="AW648" s="4"/>
      <c r="AX648" s="4"/>
      <c r="AY648" s="4"/>
      <c r="AZ648" s="4"/>
      <c r="BA648" s="4"/>
      <c r="BB648" s="4"/>
      <c r="BC648" s="4"/>
      <c r="BD648" s="4"/>
      <c r="BE648" s="4"/>
      <c r="BF648" s="4"/>
      <c r="BG648" s="4"/>
      <c r="BH648" s="4"/>
      <c r="BI648" s="4"/>
      <c r="BJ648" s="4"/>
      <c r="BK648" s="4"/>
      <c r="BL648" s="4"/>
      <c r="BM648" s="4"/>
      <c r="BN648" s="4"/>
      <c r="BO648" s="4"/>
      <c r="BP648" s="39"/>
      <c r="BQ648" s="39"/>
    </row>
    <row r="649" spans="3:69" ht="15.75" customHeight="1">
      <c r="C649" s="4"/>
      <c r="D649" s="4"/>
      <c r="E649" s="38"/>
      <c r="F649" s="38"/>
      <c r="G649" s="4"/>
      <c r="H649" s="4"/>
      <c r="I649" s="4"/>
      <c r="J649" s="4"/>
      <c r="K649" s="4"/>
      <c r="L649" s="4"/>
      <c r="M649" s="4"/>
      <c r="N649" s="38"/>
      <c r="O649" s="4"/>
      <c r="P649" s="4"/>
      <c r="Q649" s="4"/>
      <c r="R649" s="4"/>
      <c r="S649" s="4"/>
      <c r="T649" s="38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38"/>
      <c r="AN649" s="4"/>
      <c r="AO649" s="4"/>
      <c r="AP649" s="4"/>
      <c r="AQ649" s="4"/>
      <c r="AR649" s="4"/>
      <c r="AS649" s="4"/>
      <c r="AT649" s="4"/>
      <c r="AU649" s="4"/>
      <c r="AV649" s="4"/>
      <c r="AW649" s="4"/>
      <c r="AX649" s="4"/>
      <c r="AY649" s="4"/>
      <c r="AZ649" s="4"/>
      <c r="BA649" s="4"/>
      <c r="BB649" s="4"/>
      <c r="BC649" s="4"/>
      <c r="BD649" s="4"/>
      <c r="BE649" s="4"/>
      <c r="BF649" s="4"/>
      <c r="BG649" s="4"/>
      <c r="BH649" s="4"/>
      <c r="BI649" s="4"/>
      <c r="BJ649" s="4"/>
      <c r="BK649" s="4"/>
      <c r="BL649" s="4"/>
      <c r="BM649" s="4"/>
      <c r="BN649" s="4"/>
      <c r="BO649" s="4"/>
      <c r="BP649" s="39"/>
      <c r="BQ649" s="39"/>
    </row>
    <row r="650" spans="3:69" ht="15.75" customHeight="1">
      <c r="C650" s="4"/>
      <c r="D650" s="4"/>
      <c r="E650" s="38"/>
      <c r="F650" s="38"/>
      <c r="G650" s="4"/>
      <c r="H650" s="4"/>
      <c r="I650" s="4"/>
      <c r="J650" s="4"/>
      <c r="K650" s="4"/>
      <c r="L650" s="4"/>
      <c r="M650" s="4"/>
      <c r="N650" s="38"/>
      <c r="O650" s="4"/>
      <c r="P650" s="4"/>
      <c r="Q650" s="4"/>
      <c r="R650" s="4"/>
      <c r="S650" s="4"/>
      <c r="T650" s="38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38"/>
      <c r="AN650" s="4"/>
      <c r="AO650" s="4"/>
      <c r="AP650" s="4"/>
      <c r="AQ650" s="4"/>
      <c r="AR650" s="4"/>
      <c r="AS650" s="4"/>
      <c r="AT650" s="4"/>
      <c r="AU650" s="4"/>
      <c r="AV650" s="4"/>
      <c r="AW650" s="4"/>
      <c r="AX650" s="4"/>
      <c r="AY650" s="4"/>
      <c r="AZ650" s="4"/>
      <c r="BA650" s="4"/>
      <c r="BB650" s="4"/>
      <c r="BC650" s="4"/>
      <c r="BD650" s="4"/>
      <c r="BE650" s="4"/>
      <c r="BF650" s="4"/>
      <c r="BG650" s="4"/>
      <c r="BH650" s="4"/>
      <c r="BI650" s="4"/>
      <c r="BJ650" s="4"/>
      <c r="BK650" s="4"/>
      <c r="BL650" s="4"/>
      <c r="BM650" s="4"/>
      <c r="BN650" s="4"/>
      <c r="BO650" s="4"/>
      <c r="BP650" s="39"/>
      <c r="BQ650" s="39"/>
    </row>
    <row r="651" spans="3:69" ht="15.75" customHeight="1">
      <c r="C651" s="4"/>
      <c r="D651" s="4"/>
      <c r="E651" s="38"/>
      <c r="F651" s="38"/>
      <c r="G651" s="4"/>
      <c r="H651" s="4"/>
      <c r="I651" s="4"/>
      <c r="J651" s="4"/>
      <c r="K651" s="4"/>
      <c r="L651" s="4"/>
      <c r="M651" s="4"/>
      <c r="N651" s="38"/>
      <c r="O651" s="4"/>
      <c r="P651" s="4"/>
      <c r="Q651" s="4"/>
      <c r="R651" s="4"/>
      <c r="S651" s="4"/>
      <c r="T651" s="38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38"/>
      <c r="AN651" s="4"/>
      <c r="AO651" s="4"/>
      <c r="AP651" s="4"/>
      <c r="AQ651" s="4"/>
      <c r="AR651" s="4"/>
      <c r="AS651" s="4"/>
      <c r="AT651" s="4"/>
      <c r="AU651" s="4"/>
      <c r="AV651" s="4"/>
      <c r="AW651" s="4"/>
      <c r="AX651" s="4"/>
      <c r="AY651" s="4"/>
      <c r="AZ651" s="4"/>
      <c r="BA651" s="4"/>
      <c r="BB651" s="4"/>
      <c r="BC651" s="4"/>
      <c r="BD651" s="4"/>
      <c r="BE651" s="4"/>
      <c r="BF651" s="4"/>
      <c r="BG651" s="4"/>
      <c r="BH651" s="4"/>
      <c r="BI651" s="4"/>
      <c r="BJ651" s="4"/>
      <c r="BK651" s="4"/>
      <c r="BL651" s="4"/>
      <c r="BM651" s="4"/>
      <c r="BN651" s="4"/>
      <c r="BO651" s="4"/>
      <c r="BP651" s="39"/>
      <c r="BQ651" s="39"/>
    </row>
    <row r="652" spans="3:69" ht="15.75" customHeight="1">
      <c r="C652" s="4"/>
      <c r="D652" s="4"/>
      <c r="E652" s="38"/>
      <c r="F652" s="38"/>
      <c r="G652" s="4"/>
      <c r="H652" s="4"/>
      <c r="I652" s="4"/>
      <c r="J652" s="4"/>
      <c r="K652" s="4"/>
      <c r="L652" s="4"/>
      <c r="M652" s="4"/>
      <c r="N652" s="38"/>
      <c r="O652" s="4"/>
      <c r="P652" s="4"/>
      <c r="Q652" s="4"/>
      <c r="R652" s="4"/>
      <c r="S652" s="4"/>
      <c r="T652" s="38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38"/>
      <c r="AN652" s="4"/>
      <c r="AO652" s="4"/>
      <c r="AP652" s="4"/>
      <c r="AQ652" s="4"/>
      <c r="AR652" s="4"/>
      <c r="AS652" s="4"/>
      <c r="AT652" s="4"/>
      <c r="AU652" s="4"/>
      <c r="AV652" s="4"/>
      <c r="AW652" s="4"/>
      <c r="AX652" s="4"/>
      <c r="AY652" s="4"/>
      <c r="AZ652" s="4"/>
      <c r="BA652" s="4"/>
      <c r="BB652" s="4"/>
      <c r="BC652" s="4"/>
      <c r="BD652" s="4"/>
      <c r="BE652" s="4"/>
      <c r="BF652" s="4"/>
      <c r="BG652" s="4"/>
      <c r="BH652" s="4"/>
      <c r="BI652" s="4"/>
      <c r="BJ652" s="4"/>
      <c r="BK652" s="4"/>
      <c r="BL652" s="4"/>
      <c r="BM652" s="4"/>
      <c r="BN652" s="4"/>
      <c r="BO652" s="4"/>
      <c r="BP652" s="39"/>
      <c r="BQ652" s="39"/>
    </row>
    <row r="653" spans="3:69" ht="15.75" customHeight="1">
      <c r="C653" s="4"/>
      <c r="D653" s="4"/>
      <c r="E653" s="38"/>
      <c r="F653" s="38"/>
      <c r="G653" s="4"/>
      <c r="H653" s="4"/>
      <c r="I653" s="4"/>
      <c r="J653" s="4"/>
      <c r="K653" s="4"/>
      <c r="L653" s="4"/>
      <c r="M653" s="4"/>
      <c r="N653" s="38"/>
      <c r="O653" s="4"/>
      <c r="P653" s="4"/>
      <c r="Q653" s="4"/>
      <c r="R653" s="4"/>
      <c r="S653" s="4"/>
      <c r="T653" s="38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38"/>
      <c r="AN653" s="4"/>
      <c r="AO653" s="4"/>
      <c r="AP653" s="4"/>
      <c r="AQ653" s="4"/>
      <c r="AR653" s="4"/>
      <c r="AS653" s="4"/>
      <c r="AT653" s="4"/>
      <c r="AU653" s="4"/>
      <c r="AV653" s="4"/>
      <c r="AW653" s="4"/>
      <c r="AX653" s="4"/>
      <c r="AY653" s="4"/>
      <c r="AZ653" s="4"/>
      <c r="BA653" s="4"/>
      <c r="BB653" s="4"/>
      <c r="BC653" s="4"/>
      <c r="BD653" s="4"/>
      <c r="BE653" s="4"/>
      <c r="BF653" s="4"/>
      <c r="BG653" s="4"/>
      <c r="BH653" s="4"/>
      <c r="BI653" s="4"/>
      <c r="BJ653" s="4"/>
      <c r="BK653" s="4"/>
      <c r="BL653" s="4"/>
      <c r="BM653" s="4"/>
      <c r="BN653" s="4"/>
      <c r="BO653" s="4"/>
      <c r="BP653" s="39"/>
      <c r="BQ653" s="39"/>
    </row>
    <row r="654" spans="3:69" ht="15.75" customHeight="1">
      <c r="C654" s="4"/>
      <c r="D654" s="4"/>
      <c r="E654" s="38"/>
      <c r="F654" s="38"/>
      <c r="G654" s="4"/>
      <c r="H654" s="4"/>
      <c r="I654" s="4"/>
      <c r="J654" s="4"/>
      <c r="K654" s="4"/>
      <c r="L654" s="4"/>
      <c r="M654" s="4"/>
      <c r="N654" s="38"/>
      <c r="O654" s="4"/>
      <c r="P654" s="4"/>
      <c r="Q654" s="4"/>
      <c r="R654" s="4"/>
      <c r="S654" s="4"/>
      <c r="T654" s="38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38"/>
      <c r="AN654" s="4"/>
      <c r="AO654" s="4"/>
      <c r="AP654" s="4"/>
      <c r="AQ654" s="4"/>
      <c r="AR654" s="4"/>
      <c r="AS654" s="4"/>
      <c r="AT654" s="4"/>
      <c r="AU654" s="4"/>
      <c r="AV654" s="4"/>
      <c r="AW654" s="4"/>
      <c r="AX654" s="4"/>
      <c r="AY654" s="4"/>
      <c r="AZ654" s="4"/>
      <c r="BA654" s="4"/>
      <c r="BB654" s="4"/>
      <c r="BC654" s="4"/>
      <c r="BD654" s="4"/>
      <c r="BE654" s="4"/>
      <c r="BF654" s="4"/>
      <c r="BG654" s="4"/>
      <c r="BH654" s="4"/>
      <c r="BI654" s="4"/>
      <c r="BJ654" s="4"/>
      <c r="BK654" s="4"/>
      <c r="BL654" s="4"/>
      <c r="BM654" s="4"/>
      <c r="BN654" s="4"/>
      <c r="BO654" s="4"/>
      <c r="BP654" s="39"/>
      <c r="BQ654" s="39"/>
    </row>
    <row r="655" spans="3:69" ht="15.75" customHeight="1">
      <c r="C655" s="4"/>
      <c r="D655" s="4"/>
      <c r="E655" s="38"/>
      <c r="F655" s="38"/>
      <c r="G655" s="4"/>
      <c r="H655" s="4"/>
      <c r="I655" s="4"/>
      <c r="J655" s="4"/>
      <c r="K655" s="4"/>
      <c r="L655" s="4"/>
      <c r="M655" s="4"/>
      <c r="N655" s="38"/>
      <c r="O655" s="4"/>
      <c r="P655" s="4"/>
      <c r="Q655" s="4"/>
      <c r="R655" s="4"/>
      <c r="S655" s="4"/>
      <c r="T655" s="38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38"/>
      <c r="AN655" s="4"/>
      <c r="AO655" s="4"/>
      <c r="AP655" s="4"/>
      <c r="AQ655" s="4"/>
      <c r="AR655" s="4"/>
      <c r="AS655" s="4"/>
      <c r="AT655" s="4"/>
      <c r="AU655" s="4"/>
      <c r="AV655" s="4"/>
      <c r="AW655" s="4"/>
      <c r="AX655" s="4"/>
      <c r="AY655" s="4"/>
      <c r="AZ655" s="4"/>
      <c r="BA655" s="4"/>
      <c r="BB655" s="4"/>
      <c r="BC655" s="4"/>
      <c r="BD655" s="4"/>
      <c r="BE655" s="4"/>
      <c r="BF655" s="4"/>
      <c r="BG655" s="4"/>
      <c r="BH655" s="4"/>
      <c r="BI655" s="4"/>
      <c r="BJ655" s="4"/>
      <c r="BK655" s="4"/>
      <c r="BL655" s="4"/>
      <c r="BM655" s="4"/>
      <c r="BN655" s="4"/>
      <c r="BO655" s="4"/>
      <c r="BP655" s="39"/>
      <c r="BQ655" s="39"/>
    </row>
    <row r="656" spans="3:69" ht="15.75" customHeight="1">
      <c r="C656" s="4"/>
      <c r="D656" s="4"/>
      <c r="E656" s="38"/>
      <c r="F656" s="38"/>
      <c r="G656" s="4"/>
      <c r="H656" s="4"/>
      <c r="I656" s="4"/>
      <c r="J656" s="4"/>
      <c r="K656" s="4"/>
      <c r="L656" s="4"/>
      <c r="M656" s="4"/>
      <c r="N656" s="38"/>
      <c r="O656" s="4"/>
      <c r="P656" s="4"/>
      <c r="Q656" s="4"/>
      <c r="R656" s="4"/>
      <c r="S656" s="4"/>
      <c r="T656" s="38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38"/>
      <c r="AN656" s="4"/>
      <c r="AO656" s="4"/>
      <c r="AP656" s="4"/>
      <c r="AQ656" s="4"/>
      <c r="AR656" s="4"/>
      <c r="AS656" s="4"/>
      <c r="AT656" s="4"/>
      <c r="AU656" s="4"/>
      <c r="AV656" s="4"/>
      <c r="AW656" s="4"/>
      <c r="AX656" s="4"/>
      <c r="AY656" s="4"/>
      <c r="AZ656" s="4"/>
      <c r="BA656" s="4"/>
      <c r="BB656" s="4"/>
      <c r="BC656" s="4"/>
      <c r="BD656" s="4"/>
      <c r="BE656" s="4"/>
      <c r="BF656" s="4"/>
      <c r="BG656" s="4"/>
      <c r="BH656" s="4"/>
      <c r="BI656" s="4"/>
      <c r="BJ656" s="4"/>
      <c r="BK656" s="4"/>
      <c r="BL656" s="4"/>
      <c r="BM656" s="4"/>
      <c r="BN656" s="4"/>
      <c r="BO656" s="4"/>
      <c r="BP656" s="39"/>
      <c r="BQ656" s="39"/>
    </row>
    <row r="657" spans="3:69" ht="15.75" customHeight="1">
      <c r="C657" s="4"/>
      <c r="D657" s="4"/>
      <c r="E657" s="38"/>
      <c r="F657" s="38"/>
      <c r="G657" s="4"/>
      <c r="H657" s="4"/>
      <c r="I657" s="4"/>
      <c r="J657" s="4"/>
      <c r="K657" s="4"/>
      <c r="L657" s="4"/>
      <c r="M657" s="4"/>
      <c r="N657" s="38"/>
      <c r="O657" s="4"/>
      <c r="P657" s="4"/>
      <c r="Q657" s="4"/>
      <c r="R657" s="4"/>
      <c r="S657" s="4"/>
      <c r="T657" s="38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38"/>
      <c r="AN657" s="4"/>
      <c r="AO657" s="4"/>
      <c r="AP657" s="4"/>
      <c r="AQ657" s="4"/>
      <c r="AR657" s="4"/>
      <c r="AS657" s="4"/>
      <c r="AT657" s="4"/>
      <c r="AU657" s="4"/>
      <c r="AV657" s="4"/>
      <c r="AW657" s="4"/>
      <c r="AX657" s="4"/>
      <c r="AY657" s="4"/>
      <c r="AZ657" s="4"/>
      <c r="BA657" s="4"/>
      <c r="BB657" s="4"/>
      <c r="BC657" s="4"/>
      <c r="BD657" s="4"/>
      <c r="BE657" s="4"/>
      <c r="BF657" s="4"/>
      <c r="BG657" s="4"/>
      <c r="BH657" s="4"/>
      <c r="BI657" s="4"/>
      <c r="BJ657" s="4"/>
      <c r="BK657" s="4"/>
      <c r="BL657" s="4"/>
      <c r="BM657" s="4"/>
      <c r="BN657" s="4"/>
      <c r="BO657" s="4"/>
      <c r="BP657" s="39"/>
      <c r="BQ657" s="39"/>
    </row>
    <row r="658" spans="3:69" ht="15.75" customHeight="1">
      <c r="C658" s="4"/>
      <c r="D658" s="4"/>
      <c r="E658" s="38"/>
      <c r="F658" s="38"/>
      <c r="G658" s="4"/>
      <c r="H658" s="4"/>
      <c r="I658" s="4"/>
      <c r="J658" s="4"/>
      <c r="K658" s="4"/>
      <c r="L658" s="4"/>
      <c r="M658" s="4"/>
      <c r="N658" s="38"/>
      <c r="O658" s="4"/>
      <c r="P658" s="4"/>
      <c r="Q658" s="4"/>
      <c r="R658" s="4"/>
      <c r="S658" s="4"/>
      <c r="T658" s="38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38"/>
      <c r="AN658" s="4"/>
      <c r="AO658" s="4"/>
      <c r="AP658" s="4"/>
      <c r="AQ658" s="4"/>
      <c r="AR658" s="4"/>
      <c r="AS658" s="4"/>
      <c r="AT658" s="4"/>
      <c r="AU658" s="4"/>
      <c r="AV658" s="4"/>
      <c r="AW658" s="4"/>
      <c r="AX658" s="4"/>
      <c r="AY658" s="4"/>
      <c r="AZ658" s="4"/>
      <c r="BA658" s="4"/>
      <c r="BB658" s="4"/>
      <c r="BC658" s="4"/>
      <c r="BD658" s="4"/>
      <c r="BE658" s="4"/>
      <c r="BF658" s="4"/>
      <c r="BG658" s="4"/>
      <c r="BH658" s="4"/>
      <c r="BI658" s="4"/>
      <c r="BJ658" s="4"/>
      <c r="BK658" s="4"/>
      <c r="BL658" s="4"/>
      <c r="BM658" s="4"/>
      <c r="BN658" s="4"/>
      <c r="BO658" s="4"/>
      <c r="BP658" s="39"/>
      <c r="BQ658" s="39"/>
    </row>
    <row r="659" spans="3:69" ht="15.75" customHeight="1">
      <c r="C659" s="4"/>
      <c r="D659" s="4"/>
      <c r="E659" s="38"/>
      <c r="F659" s="38"/>
      <c r="G659" s="4"/>
      <c r="H659" s="4"/>
      <c r="I659" s="4"/>
      <c r="J659" s="4"/>
      <c r="K659" s="4"/>
      <c r="L659" s="4"/>
      <c r="M659" s="4"/>
      <c r="N659" s="38"/>
      <c r="O659" s="4"/>
      <c r="P659" s="4"/>
      <c r="Q659" s="4"/>
      <c r="R659" s="4"/>
      <c r="S659" s="4"/>
      <c r="T659" s="38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38"/>
      <c r="AN659" s="4"/>
      <c r="AO659" s="4"/>
      <c r="AP659" s="4"/>
      <c r="AQ659" s="4"/>
      <c r="AR659" s="4"/>
      <c r="AS659" s="4"/>
      <c r="AT659" s="4"/>
      <c r="AU659" s="4"/>
      <c r="AV659" s="4"/>
      <c r="AW659" s="4"/>
      <c r="AX659" s="4"/>
      <c r="AY659" s="4"/>
      <c r="AZ659" s="4"/>
      <c r="BA659" s="4"/>
      <c r="BB659" s="4"/>
      <c r="BC659" s="4"/>
      <c r="BD659" s="4"/>
      <c r="BE659" s="4"/>
      <c r="BF659" s="4"/>
      <c r="BG659" s="4"/>
      <c r="BH659" s="4"/>
      <c r="BI659" s="4"/>
      <c r="BJ659" s="4"/>
      <c r="BK659" s="4"/>
      <c r="BL659" s="4"/>
      <c r="BM659" s="4"/>
      <c r="BN659" s="4"/>
      <c r="BO659" s="4"/>
      <c r="BP659" s="39"/>
      <c r="BQ659" s="39"/>
    </row>
    <row r="660" spans="3:69" ht="15.75" customHeight="1">
      <c r="C660" s="4"/>
      <c r="D660" s="4"/>
      <c r="E660" s="38"/>
      <c r="F660" s="38"/>
      <c r="G660" s="4"/>
      <c r="H660" s="4"/>
      <c r="I660" s="4"/>
      <c r="J660" s="4"/>
      <c r="K660" s="4"/>
      <c r="L660" s="4"/>
      <c r="M660" s="4"/>
      <c r="N660" s="38"/>
      <c r="O660" s="4"/>
      <c r="P660" s="4"/>
      <c r="Q660" s="4"/>
      <c r="R660" s="4"/>
      <c r="S660" s="4"/>
      <c r="T660" s="38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38"/>
      <c r="AN660" s="4"/>
      <c r="AO660" s="4"/>
      <c r="AP660" s="4"/>
      <c r="AQ660" s="4"/>
      <c r="AR660" s="4"/>
      <c r="AS660" s="4"/>
      <c r="AT660" s="4"/>
      <c r="AU660" s="4"/>
      <c r="AV660" s="4"/>
      <c r="AW660" s="4"/>
      <c r="AX660" s="4"/>
      <c r="AY660" s="4"/>
      <c r="AZ660" s="4"/>
      <c r="BA660" s="4"/>
      <c r="BB660" s="4"/>
      <c r="BC660" s="4"/>
      <c r="BD660" s="4"/>
      <c r="BE660" s="4"/>
      <c r="BF660" s="4"/>
      <c r="BG660" s="4"/>
      <c r="BH660" s="4"/>
      <c r="BI660" s="4"/>
      <c r="BJ660" s="4"/>
      <c r="BK660" s="4"/>
      <c r="BL660" s="4"/>
      <c r="BM660" s="4"/>
      <c r="BN660" s="4"/>
      <c r="BO660" s="4"/>
      <c r="BP660" s="39"/>
      <c r="BQ660" s="39"/>
    </row>
    <row r="661" spans="3:69" ht="15.75" customHeight="1">
      <c r="C661" s="4"/>
      <c r="D661" s="4"/>
      <c r="E661" s="38"/>
      <c r="F661" s="38"/>
      <c r="G661" s="4"/>
      <c r="H661" s="4"/>
      <c r="I661" s="4"/>
      <c r="J661" s="4"/>
      <c r="K661" s="4"/>
      <c r="L661" s="4"/>
      <c r="M661" s="4"/>
      <c r="N661" s="38"/>
      <c r="O661" s="4"/>
      <c r="P661" s="4"/>
      <c r="Q661" s="4"/>
      <c r="R661" s="4"/>
      <c r="S661" s="4"/>
      <c r="T661" s="38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38"/>
      <c r="AN661" s="4"/>
      <c r="AO661" s="4"/>
      <c r="AP661" s="4"/>
      <c r="AQ661" s="4"/>
      <c r="AR661" s="4"/>
      <c r="AS661" s="4"/>
      <c r="AT661" s="4"/>
      <c r="AU661" s="4"/>
      <c r="AV661" s="4"/>
      <c r="AW661" s="4"/>
      <c r="AX661" s="4"/>
      <c r="AY661" s="4"/>
      <c r="AZ661" s="4"/>
      <c r="BA661" s="4"/>
      <c r="BB661" s="4"/>
      <c r="BC661" s="4"/>
      <c r="BD661" s="4"/>
      <c r="BE661" s="4"/>
      <c r="BF661" s="4"/>
      <c r="BG661" s="4"/>
      <c r="BH661" s="4"/>
      <c r="BI661" s="4"/>
      <c r="BJ661" s="4"/>
      <c r="BK661" s="4"/>
      <c r="BL661" s="4"/>
      <c r="BM661" s="4"/>
      <c r="BN661" s="4"/>
      <c r="BO661" s="4"/>
      <c r="BP661" s="39"/>
      <c r="BQ661" s="39"/>
    </row>
    <row r="662" spans="3:69" ht="15.75" customHeight="1">
      <c r="C662" s="4"/>
      <c r="D662" s="4"/>
      <c r="E662" s="38"/>
      <c r="F662" s="38"/>
      <c r="G662" s="4"/>
      <c r="H662" s="4"/>
      <c r="I662" s="4"/>
      <c r="J662" s="4"/>
      <c r="K662" s="4"/>
      <c r="L662" s="4"/>
      <c r="M662" s="4"/>
      <c r="N662" s="38"/>
      <c r="O662" s="4"/>
      <c r="P662" s="4"/>
      <c r="Q662" s="4"/>
      <c r="R662" s="4"/>
      <c r="S662" s="4"/>
      <c r="T662" s="38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38"/>
      <c r="AN662" s="4"/>
      <c r="AO662" s="4"/>
      <c r="AP662" s="4"/>
      <c r="AQ662" s="4"/>
      <c r="AR662" s="4"/>
      <c r="AS662" s="4"/>
      <c r="AT662" s="4"/>
      <c r="AU662" s="4"/>
      <c r="AV662" s="4"/>
      <c r="AW662" s="4"/>
      <c r="AX662" s="4"/>
      <c r="AY662" s="4"/>
      <c r="AZ662" s="4"/>
      <c r="BA662" s="4"/>
      <c r="BB662" s="4"/>
      <c r="BC662" s="4"/>
      <c r="BD662" s="4"/>
      <c r="BE662" s="4"/>
      <c r="BF662" s="4"/>
      <c r="BG662" s="4"/>
      <c r="BH662" s="4"/>
      <c r="BI662" s="4"/>
      <c r="BJ662" s="4"/>
      <c r="BK662" s="4"/>
      <c r="BL662" s="4"/>
      <c r="BM662" s="4"/>
      <c r="BN662" s="4"/>
      <c r="BO662" s="4"/>
      <c r="BP662" s="39"/>
      <c r="BQ662" s="39"/>
    </row>
    <row r="663" spans="3:69" ht="15.75" customHeight="1">
      <c r="C663" s="4"/>
      <c r="D663" s="4"/>
      <c r="E663" s="38"/>
      <c r="F663" s="38"/>
      <c r="G663" s="4"/>
      <c r="H663" s="4"/>
      <c r="I663" s="4"/>
      <c r="J663" s="4"/>
      <c r="K663" s="4"/>
      <c r="L663" s="4"/>
      <c r="M663" s="4"/>
      <c r="N663" s="38"/>
      <c r="O663" s="4"/>
      <c r="P663" s="4"/>
      <c r="Q663" s="4"/>
      <c r="R663" s="4"/>
      <c r="S663" s="4"/>
      <c r="T663" s="38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38"/>
      <c r="AN663" s="4"/>
      <c r="AO663" s="4"/>
      <c r="AP663" s="4"/>
      <c r="AQ663" s="4"/>
      <c r="AR663" s="4"/>
      <c r="AS663" s="4"/>
      <c r="AT663" s="4"/>
      <c r="AU663" s="4"/>
      <c r="AV663" s="4"/>
      <c r="AW663" s="4"/>
      <c r="AX663" s="4"/>
      <c r="AY663" s="4"/>
      <c r="AZ663" s="4"/>
      <c r="BA663" s="4"/>
      <c r="BB663" s="4"/>
      <c r="BC663" s="4"/>
      <c r="BD663" s="4"/>
      <c r="BE663" s="4"/>
      <c r="BF663" s="4"/>
      <c r="BG663" s="4"/>
      <c r="BH663" s="4"/>
      <c r="BI663" s="4"/>
      <c r="BJ663" s="4"/>
      <c r="BK663" s="4"/>
      <c r="BL663" s="4"/>
      <c r="BM663" s="4"/>
      <c r="BN663" s="4"/>
      <c r="BO663" s="4"/>
      <c r="BP663" s="39"/>
      <c r="BQ663" s="39"/>
    </row>
    <row r="664" spans="3:69" ht="15.75" customHeight="1">
      <c r="C664" s="4"/>
      <c r="D664" s="4"/>
      <c r="E664" s="38"/>
      <c r="F664" s="38"/>
      <c r="G664" s="4"/>
      <c r="H664" s="4"/>
      <c r="I664" s="4"/>
      <c r="J664" s="4"/>
      <c r="K664" s="4"/>
      <c r="L664" s="4"/>
      <c r="M664" s="4"/>
      <c r="N664" s="38"/>
      <c r="O664" s="4"/>
      <c r="P664" s="4"/>
      <c r="Q664" s="4"/>
      <c r="R664" s="4"/>
      <c r="S664" s="4"/>
      <c r="T664" s="38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38"/>
      <c r="AN664" s="4"/>
      <c r="AO664" s="4"/>
      <c r="AP664" s="4"/>
      <c r="AQ664" s="4"/>
      <c r="AR664" s="4"/>
      <c r="AS664" s="4"/>
      <c r="AT664" s="4"/>
      <c r="AU664" s="4"/>
      <c r="AV664" s="4"/>
      <c r="AW664" s="4"/>
      <c r="AX664" s="4"/>
      <c r="AY664" s="4"/>
      <c r="AZ664" s="4"/>
      <c r="BA664" s="4"/>
      <c r="BB664" s="4"/>
      <c r="BC664" s="4"/>
      <c r="BD664" s="4"/>
      <c r="BE664" s="4"/>
      <c r="BF664" s="4"/>
      <c r="BG664" s="4"/>
      <c r="BH664" s="4"/>
      <c r="BI664" s="4"/>
      <c r="BJ664" s="4"/>
      <c r="BK664" s="4"/>
      <c r="BL664" s="4"/>
      <c r="BM664" s="4"/>
      <c r="BN664" s="4"/>
      <c r="BO664" s="4"/>
      <c r="BP664" s="39"/>
      <c r="BQ664" s="39"/>
    </row>
    <row r="665" spans="3:69" ht="15.75" customHeight="1">
      <c r="C665" s="4"/>
      <c r="D665" s="4"/>
      <c r="E665" s="38"/>
      <c r="F665" s="38"/>
      <c r="G665" s="4"/>
      <c r="H665" s="4"/>
      <c r="I665" s="4"/>
      <c r="J665" s="4"/>
      <c r="K665" s="4"/>
      <c r="L665" s="4"/>
      <c r="M665" s="4"/>
      <c r="N665" s="38"/>
      <c r="O665" s="4"/>
      <c r="P665" s="4"/>
      <c r="Q665" s="4"/>
      <c r="R665" s="4"/>
      <c r="S665" s="4"/>
      <c r="T665" s="38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38"/>
      <c r="AN665" s="4"/>
      <c r="AO665" s="4"/>
      <c r="AP665" s="4"/>
      <c r="AQ665" s="4"/>
      <c r="AR665" s="4"/>
      <c r="AS665" s="4"/>
      <c r="AT665" s="4"/>
      <c r="AU665" s="4"/>
      <c r="AV665" s="4"/>
      <c r="AW665" s="4"/>
      <c r="AX665" s="4"/>
      <c r="AY665" s="4"/>
      <c r="AZ665" s="4"/>
      <c r="BA665" s="4"/>
      <c r="BB665" s="4"/>
      <c r="BC665" s="4"/>
      <c r="BD665" s="4"/>
      <c r="BE665" s="4"/>
      <c r="BF665" s="4"/>
      <c r="BG665" s="4"/>
      <c r="BH665" s="4"/>
      <c r="BI665" s="4"/>
      <c r="BJ665" s="4"/>
      <c r="BK665" s="4"/>
      <c r="BL665" s="4"/>
      <c r="BM665" s="4"/>
      <c r="BN665" s="4"/>
      <c r="BO665" s="4"/>
      <c r="BP665" s="39"/>
      <c r="BQ665" s="39"/>
    </row>
    <row r="666" spans="3:69" ht="15.75" customHeight="1">
      <c r="C666" s="4"/>
      <c r="D666" s="4"/>
      <c r="E666" s="38"/>
      <c r="F666" s="38"/>
      <c r="G666" s="4"/>
      <c r="H666" s="4"/>
      <c r="I666" s="4"/>
      <c r="J666" s="4"/>
      <c r="K666" s="4"/>
      <c r="L666" s="4"/>
      <c r="M666" s="4"/>
      <c r="N666" s="38"/>
      <c r="O666" s="4"/>
      <c r="P666" s="4"/>
      <c r="Q666" s="4"/>
      <c r="R666" s="4"/>
      <c r="S666" s="4"/>
      <c r="T666" s="38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38"/>
      <c r="AN666" s="4"/>
      <c r="AO666" s="4"/>
      <c r="AP666" s="4"/>
      <c r="AQ666" s="4"/>
      <c r="AR666" s="4"/>
      <c r="AS666" s="4"/>
      <c r="AT666" s="4"/>
      <c r="AU666" s="4"/>
      <c r="AV666" s="4"/>
      <c r="AW666" s="4"/>
      <c r="AX666" s="4"/>
      <c r="AY666" s="4"/>
      <c r="AZ666" s="4"/>
      <c r="BA666" s="4"/>
      <c r="BB666" s="4"/>
      <c r="BC666" s="4"/>
      <c r="BD666" s="4"/>
      <c r="BE666" s="4"/>
      <c r="BF666" s="4"/>
      <c r="BG666" s="4"/>
      <c r="BH666" s="4"/>
      <c r="BI666" s="4"/>
      <c r="BJ666" s="4"/>
      <c r="BK666" s="4"/>
      <c r="BL666" s="4"/>
      <c r="BM666" s="4"/>
      <c r="BN666" s="4"/>
      <c r="BO666" s="4"/>
      <c r="BP666" s="39"/>
      <c r="BQ666" s="39"/>
    </row>
    <row r="667" spans="3:69" ht="15.75" customHeight="1">
      <c r="C667" s="4"/>
      <c r="D667" s="4"/>
      <c r="E667" s="38"/>
      <c r="F667" s="38"/>
      <c r="G667" s="4"/>
      <c r="H667" s="4"/>
      <c r="I667" s="4"/>
      <c r="J667" s="4"/>
      <c r="K667" s="4"/>
      <c r="L667" s="4"/>
      <c r="M667" s="4"/>
      <c r="N667" s="38"/>
      <c r="O667" s="4"/>
      <c r="P667" s="4"/>
      <c r="Q667" s="4"/>
      <c r="R667" s="4"/>
      <c r="S667" s="4"/>
      <c r="T667" s="38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38"/>
      <c r="AN667" s="4"/>
      <c r="AO667" s="4"/>
      <c r="AP667" s="4"/>
      <c r="AQ667" s="4"/>
      <c r="AR667" s="4"/>
      <c r="AS667" s="4"/>
      <c r="AT667" s="4"/>
      <c r="AU667" s="4"/>
      <c r="AV667" s="4"/>
      <c r="AW667" s="4"/>
      <c r="AX667" s="4"/>
      <c r="AY667" s="4"/>
      <c r="AZ667" s="4"/>
      <c r="BA667" s="4"/>
      <c r="BB667" s="4"/>
      <c r="BC667" s="4"/>
      <c r="BD667" s="4"/>
      <c r="BE667" s="4"/>
      <c r="BF667" s="4"/>
      <c r="BG667" s="4"/>
      <c r="BH667" s="4"/>
      <c r="BI667" s="4"/>
      <c r="BJ667" s="4"/>
      <c r="BK667" s="4"/>
      <c r="BL667" s="4"/>
      <c r="BM667" s="4"/>
      <c r="BN667" s="4"/>
      <c r="BO667" s="4"/>
      <c r="BP667" s="39"/>
      <c r="BQ667" s="39"/>
    </row>
    <row r="668" spans="3:69" ht="15.75" customHeight="1">
      <c r="C668" s="4"/>
      <c r="D668" s="4"/>
      <c r="E668" s="38"/>
      <c r="F668" s="38"/>
      <c r="G668" s="4"/>
      <c r="H668" s="4"/>
      <c r="I668" s="4"/>
      <c r="J668" s="4"/>
      <c r="K668" s="4"/>
      <c r="L668" s="4"/>
      <c r="M668" s="4"/>
      <c r="N668" s="38"/>
      <c r="O668" s="4"/>
      <c r="P668" s="4"/>
      <c r="Q668" s="4"/>
      <c r="R668" s="4"/>
      <c r="S668" s="4"/>
      <c r="T668" s="38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38"/>
      <c r="AN668" s="4"/>
      <c r="AO668" s="4"/>
      <c r="AP668" s="4"/>
      <c r="AQ668" s="4"/>
      <c r="AR668" s="4"/>
      <c r="AS668" s="4"/>
      <c r="AT668" s="4"/>
      <c r="AU668" s="4"/>
      <c r="AV668" s="4"/>
      <c r="AW668" s="4"/>
      <c r="AX668" s="4"/>
      <c r="AY668" s="4"/>
      <c r="AZ668" s="4"/>
      <c r="BA668" s="4"/>
      <c r="BB668" s="4"/>
      <c r="BC668" s="4"/>
      <c r="BD668" s="4"/>
      <c r="BE668" s="4"/>
      <c r="BF668" s="4"/>
      <c r="BG668" s="4"/>
      <c r="BH668" s="4"/>
      <c r="BI668" s="4"/>
      <c r="BJ668" s="4"/>
      <c r="BK668" s="4"/>
      <c r="BL668" s="4"/>
      <c r="BM668" s="4"/>
      <c r="BN668" s="4"/>
      <c r="BO668" s="4"/>
      <c r="BP668" s="39"/>
      <c r="BQ668" s="39"/>
    </row>
    <row r="669" spans="3:69" ht="15.75" customHeight="1">
      <c r="C669" s="4"/>
      <c r="D669" s="4"/>
      <c r="E669" s="38"/>
      <c r="F669" s="38"/>
      <c r="G669" s="4"/>
      <c r="H669" s="4"/>
      <c r="I669" s="4"/>
      <c r="J669" s="4"/>
      <c r="K669" s="4"/>
      <c r="L669" s="4"/>
      <c r="M669" s="4"/>
      <c r="N669" s="38"/>
      <c r="O669" s="4"/>
      <c r="P669" s="4"/>
      <c r="Q669" s="4"/>
      <c r="R669" s="4"/>
      <c r="S669" s="4"/>
      <c r="T669" s="38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38"/>
      <c r="AN669" s="4"/>
      <c r="AO669" s="4"/>
      <c r="AP669" s="4"/>
      <c r="AQ669" s="4"/>
      <c r="AR669" s="4"/>
      <c r="AS669" s="4"/>
      <c r="AT669" s="4"/>
      <c r="AU669" s="4"/>
      <c r="AV669" s="4"/>
      <c r="AW669" s="4"/>
      <c r="AX669" s="4"/>
      <c r="AY669" s="4"/>
      <c r="AZ669" s="4"/>
      <c r="BA669" s="4"/>
      <c r="BB669" s="4"/>
      <c r="BC669" s="4"/>
      <c r="BD669" s="4"/>
      <c r="BE669" s="4"/>
      <c r="BF669" s="4"/>
      <c r="BG669" s="4"/>
      <c r="BH669" s="4"/>
      <c r="BI669" s="4"/>
      <c r="BJ669" s="4"/>
      <c r="BK669" s="4"/>
      <c r="BL669" s="4"/>
      <c r="BM669" s="4"/>
      <c r="BN669" s="4"/>
      <c r="BO669" s="4"/>
      <c r="BP669" s="39"/>
      <c r="BQ669" s="39"/>
    </row>
    <row r="670" spans="3:69" ht="15.75" customHeight="1">
      <c r="C670" s="4"/>
      <c r="D670" s="4"/>
      <c r="E670" s="38"/>
      <c r="F670" s="38"/>
      <c r="G670" s="4"/>
      <c r="H670" s="4"/>
      <c r="I670" s="4"/>
      <c r="J670" s="4"/>
      <c r="K670" s="4"/>
      <c r="L670" s="4"/>
      <c r="M670" s="4"/>
      <c r="N670" s="38"/>
      <c r="O670" s="4"/>
      <c r="P670" s="4"/>
      <c r="Q670" s="4"/>
      <c r="R670" s="4"/>
      <c r="S670" s="4"/>
      <c r="T670" s="38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38"/>
      <c r="AN670" s="4"/>
      <c r="AO670" s="4"/>
      <c r="AP670" s="4"/>
      <c r="AQ670" s="4"/>
      <c r="AR670" s="4"/>
      <c r="AS670" s="4"/>
      <c r="AT670" s="4"/>
      <c r="AU670" s="4"/>
      <c r="AV670" s="4"/>
      <c r="AW670" s="4"/>
      <c r="AX670" s="4"/>
      <c r="AY670" s="4"/>
      <c r="AZ670" s="4"/>
      <c r="BA670" s="4"/>
      <c r="BB670" s="4"/>
      <c r="BC670" s="4"/>
      <c r="BD670" s="4"/>
      <c r="BE670" s="4"/>
      <c r="BF670" s="4"/>
      <c r="BG670" s="4"/>
      <c r="BH670" s="4"/>
      <c r="BI670" s="4"/>
      <c r="BJ670" s="4"/>
      <c r="BK670" s="4"/>
      <c r="BL670" s="4"/>
      <c r="BM670" s="4"/>
      <c r="BN670" s="4"/>
      <c r="BO670" s="4"/>
      <c r="BP670" s="39"/>
      <c r="BQ670" s="39"/>
    </row>
    <row r="671" spans="3:69" ht="15.75" customHeight="1">
      <c r="C671" s="4"/>
      <c r="D671" s="4"/>
      <c r="E671" s="38"/>
      <c r="F671" s="38"/>
      <c r="G671" s="4"/>
      <c r="H671" s="4"/>
      <c r="I671" s="4"/>
      <c r="J671" s="4"/>
      <c r="K671" s="4"/>
      <c r="L671" s="4"/>
      <c r="M671" s="4"/>
      <c r="N671" s="38"/>
      <c r="O671" s="4"/>
      <c r="P671" s="4"/>
      <c r="Q671" s="4"/>
      <c r="R671" s="4"/>
      <c r="S671" s="4"/>
      <c r="T671" s="38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38"/>
      <c r="AN671" s="4"/>
      <c r="AO671" s="4"/>
      <c r="AP671" s="4"/>
      <c r="AQ671" s="4"/>
      <c r="AR671" s="4"/>
      <c r="AS671" s="4"/>
      <c r="AT671" s="4"/>
      <c r="AU671" s="4"/>
      <c r="AV671" s="4"/>
      <c r="AW671" s="4"/>
      <c r="AX671" s="4"/>
      <c r="AY671" s="4"/>
      <c r="AZ671" s="4"/>
      <c r="BA671" s="4"/>
      <c r="BB671" s="4"/>
      <c r="BC671" s="4"/>
      <c r="BD671" s="4"/>
      <c r="BE671" s="4"/>
      <c r="BF671" s="4"/>
      <c r="BG671" s="4"/>
      <c r="BH671" s="4"/>
      <c r="BI671" s="4"/>
      <c r="BJ671" s="4"/>
      <c r="BK671" s="4"/>
      <c r="BL671" s="4"/>
      <c r="BM671" s="4"/>
      <c r="BN671" s="4"/>
      <c r="BO671" s="4"/>
      <c r="BP671" s="39"/>
      <c r="BQ671" s="39"/>
    </row>
    <row r="672" spans="3:69" ht="15.75" customHeight="1">
      <c r="C672" s="4"/>
      <c r="D672" s="4"/>
      <c r="E672" s="38"/>
      <c r="F672" s="38"/>
      <c r="G672" s="4"/>
      <c r="H672" s="4"/>
      <c r="I672" s="4"/>
      <c r="J672" s="4"/>
      <c r="K672" s="4"/>
      <c r="L672" s="4"/>
      <c r="M672" s="4"/>
      <c r="N672" s="38"/>
      <c r="O672" s="4"/>
      <c r="P672" s="4"/>
      <c r="Q672" s="4"/>
      <c r="R672" s="4"/>
      <c r="S672" s="4"/>
      <c r="T672" s="38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38"/>
      <c r="AN672" s="4"/>
      <c r="AO672" s="4"/>
      <c r="AP672" s="4"/>
      <c r="AQ672" s="4"/>
      <c r="AR672" s="4"/>
      <c r="AS672" s="4"/>
      <c r="AT672" s="4"/>
      <c r="AU672" s="4"/>
      <c r="AV672" s="4"/>
      <c r="AW672" s="4"/>
      <c r="AX672" s="4"/>
      <c r="AY672" s="4"/>
      <c r="AZ672" s="4"/>
      <c r="BA672" s="4"/>
      <c r="BB672" s="4"/>
      <c r="BC672" s="4"/>
      <c r="BD672" s="4"/>
      <c r="BE672" s="4"/>
      <c r="BF672" s="4"/>
      <c r="BG672" s="4"/>
      <c r="BH672" s="4"/>
      <c r="BI672" s="4"/>
      <c r="BJ672" s="4"/>
      <c r="BK672" s="4"/>
      <c r="BL672" s="4"/>
      <c r="BM672" s="4"/>
      <c r="BN672" s="4"/>
      <c r="BO672" s="4"/>
      <c r="BP672" s="39"/>
      <c r="BQ672" s="39"/>
    </row>
    <row r="673" spans="3:69" ht="15.75" customHeight="1">
      <c r="C673" s="4"/>
      <c r="D673" s="4"/>
      <c r="E673" s="38"/>
      <c r="F673" s="38"/>
      <c r="G673" s="4"/>
      <c r="H673" s="4"/>
      <c r="I673" s="4"/>
      <c r="J673" s="4"/>
      <c r="K673" s="4"/>
      <c r="L673" s="4"/>
      <c r="M673" s="4"/>
      <c r="N673" s="38"/>
      <c r="O673" s="4"/>
      <c r="P673" s="4"/>
      <c r="Q673" s="4"/>
      <c r="R673" s="4"/>
      <c r="S673" s="4"/>
      <c r="T673" s="38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38"/>
      <c r="AN673" s="4"/>
      <c r="AO673" s="4"/>
      <c r="AP673" s="4"/>
      <c r="AQ673" s="4"/>
      <c r="AR673" s="4"/>
      <c r="AS673" s="4"/>
      <c r="AT673" s="4"/>
      <c r="AU673" s="4"/>
      <c r="AV673" s="4"/>
      <c r="AW673" s="4"/>
      <c r="AX673" s="4"/>
      <c r="AY673" s="4"/>
      <c r="AZ673" s="4"/>
      <c r="BA673" s="4"/>
      <c r="BB673" s="4"/>
      <c r="BC673" s="4"/>
      <c r="BD673" s="4"/>
      <c r="BE673" s="4"/>
      <c r="BF673" s="4"/>
      <c r="BG673" s="4"/>
      <c r="BH673" s="4"/>
      <c r="BI673" s="4"/>
      <c r="BJ673" s="4"/>
      <c r="BK673" s="4"/>
      <c r="BL673" s="4"/>
      <c r="BM673" s="4"/>
      <c r="BN673" s="4"/>
      <c r="BO673" s="4"/>
      <c r="BP673" s="39"/>
      <c r="BQ673" s="39"/>
    </row>
    <row r="674" spans="3:69" ht="15.75" customHeight="1">
      <c r="C674" s="4"/>
      <c r="D674" s="4"/>
      <c r="E674" s="38"/>
      <c r="F674" s="38"/>
      <c r="G674" s="4"/>
      <c r="H674" s="4"/>
      <c r="I674" s="4"/>
      <c r="J674" s="4"/>
      <c r="K674" s="4"/>
      <c r="L674" s="4"/>
      <c r="M674" s="4"/>
      <c r="N674" s="38"/>
      <c r="O674" s="4"/>
      <c r="P674" s="4"/>
      <c r="Q674" s="4"/>
      <c r="R674" s="4"/>
      <c r="S674" s="4"/>
      <c r="T674" s="38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38"/>
      <c r="AN674" s="4"/>
      <c r="AO674" s="4"/>
      <c r="AP674" s="4"/>
      <c r="AQ674" s="4"/>
      <c r="AR674" s="4"/>
      <c r="AS674" s="4"/>
      <c r="AT674" s="4"/>
      <c r="AU674" s="4"/>
      <c r="AV674" s="4"/>
      <c r="AW674" s="4"/>
      <c r="AX674" s="4"/>
      <c r="AY674" s="4"/>
      <c r="AZ674" s="4"/>
      <c r="BA674" s="4"/>
      <c r="BB674" s="4"/>
      <c r="BC674" s="4"/>
      <c r="BD674" s="4"/>
      <c r="BE674" s="4"/>
      <c r="BF674" s="4"/>
      <c r="BG674" s="4"/>
      <c r="BH674" s="4"/>
      <c r="BI674" s="4"/>
      <c r="BJ674" s="4"/>
      <c r="BK674" s="4"/>
      <c r="BL674" s="4"/>
      <c r="BM674" s="4"/>
      <c r="BN674" s="4"/>
      <c r="BO674" s="4"/>
      <c r="BP674" s="39"/>
      <c r="BQ674" s="39"/>
    </row>
    <row r="675" spans="3:69" ht="15.75" customHeight="1">
      <c r="C675" s="4"/>
      <c r="D675" s="4"/>
      <c r="E675" s="38"/>
      <c r="F675" s="38"/>
      <c r="G675" s="4"/>
      <c r="H675" s="4"/>
      <c r="I675" s="4"/>
      <c r="J675" s="4"/>
      <c r="K675" s="4"/>
      <c r="L675" s="4"/>
      <c r="M675" s="4"/>
      <c r="N675" s="38"/>
      <c r="O675" s="4"/>
      <c r="P675" s="4"/>
      <c r="Q675" s="4"/>
      <c r="R675" s="4"/>
      <c r="S675" s="4"/>
      <c r="T675" s="38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38"/>
      <c r="AN675" s="4"/>
      <c r="AO675" s="4"/>
      <c r="AP675" s="4"/>
      <c r="AQ675" s="4"/>
      <c r="AR675" s="4"/>
      <c r="AS675" s="4"/>
      <c r="AT675" s="4"/>
      <c r="AU675" s="4"/>
      <c r="AV675" s="4"/>
      <c r="AW675" s="4"/>
      <c r="AX675" s="4"/>
      <c r="AY675" s="4"/>
      <c r="AZ675" s="4"/>
      <c r="BA675" s="4"/>
      <c r="BB675" s="4"/>
      <c r="BC675" s="4"/>
      <c r="BD675" s="4"/>
      <c r="BE675" s="4"/>
      <c r="BF675" s="4"/>
      <c r="BG675" s="4"/>
      <c r="BH675" s="4"/>
      <c r="BI675" s="4"/>
      <c r="BJ675" s="4"/>
      <c r="BK675" s="4"/>
      <c r="BL675" s="4"/>
      <c r="BM675" s="4"/>
      <c r="BN675" s="4"/>
      <c r="BO675" s="4"/>
      <c r="BP675" s="39"/>
      <c r="BQ675" s="39"/>
    </row>
    <row r="676" spans="3:69" ht="15.75" customHeight="1">
      <c r="C676" s="4"/>
      <c r="D676" s="4"/>
      <c r="E676" s="38"/>
      <c r="F676" s="38"/>
      <c r="G676" s="4"/>
      <c r="H676" s="4"/>
      <c r="I676" s="4"/>
      <c r="J676" s="4"/>
      <c r="K676" s="4"/>
      <c r="L676" s="4"/>
      <c r="M676" s="4"/>
      <c r="N676" s="38"/>
      <c r="O676" s="4"/>
      <c r="P676" s="4"/>
      <c r="Q676" s="4"/>
      <c r="R676" s="4"/>
      <c r="S676" s="4"/>
      <c r="T676" s="38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38"/>
      <c r="AN676" s="4"/>
      <c r="AO676" s="4"/>
      <c r="AP676" s="4"/>
      <c r="AQ676" s="4"/>
      <c r="AR676" s="4"/>
      <c r="AS676" s="4"/>
      <c r="AT676" s="4"/>
      <c r="AU676" s="4"/>
      <c r="AV676" s="4"/>
      <c r="AW676" s="4"/>
      <c r="AX676" s="4"/>
      <c r="AY676" s="4"/>
      <c r="AZ676" s="4"/>
      <c r="BA676" s="4"/>
      <c r="BB676" s="4"/>
      <c r="BC676" s="4"/>
      <c r="BD676" s="4"/>
      <c r="BE676" s="4"/>
      <c r="BF676" s="4"/>
      <c r="BG676" s="4"/>
      <c r="BH676" s="4"/>
      <c r="BI676" s="4"/>
      <c r="BJ676" s="4"/>
      <c r="BK676" s="4"/>
      <c r="BL676" s="4"/>
      <c r="BM676" s="4"/>
      <c r="BN676" s="4"/>
      <c r="BO676" s="4"/>
      <c r="BP676" s="39"/>
      <c r="BQ676" s="39"/>
    </row>
    <row r="677" spans="3:69" ht="15.75" customHeight="1">
      <c r="C677" s="4"/>
      <c r="D677" s="4"/>
      <c r="E677" s="38"/>
      <c r="F677" s="38"/>
      <c r="G677" s="4"/>
      <c r="H677" s="4"/>
      <c r="I677" s="4"/>
      <c r="J677" s="4"/>
      <c r="K677" s="4"/>
      <c r="L677" s="4"/>
      <c r="M677" s="4"/>
      <c r="N677" s="38"/>
      <c r="O677" s="4"/>
      <c r="P677" s="4"/>
      <c r="Q677" s="4"/>
      <c r="R677" s="4"/>
      <c r="S677" s="4"/>
      <c r="T677" s="38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38"/>
      <c r="AN677" s="4"/>
      <c r="AO677" s="4"/>
      <c r="AP677" s="4"/>
      <c r="AQ677" s="4"/>
      <c r="AR677" s="4"/>
      <c r="AS677" s="4"/>
      <c r="AT677" s="4"/>
      <c r="AU677" s="4"/>
      <c r="AV677" s="4"/>
      <c r="AW677" s="4"/>
      <c r="AX677" s="4"/>
      <c r="AY677" s="4"/>
      <c r="AZ677" s="4"/>
      <c r="BA677" s="4"/>
      <c r="BB677" s="4"/>
      <c r="BC677" s="4"/>
      <c r="BD677" s="4"/>
      <c r="BE677" s="4"/>
      <c r="BF677" s="4"/>
      <c r="BG677" s="4"/>
      <c r="BH677" s="4"/>
      <c r="BI677" s="4"/>
      <c r="BJ677" s="4"/>
      <c r="BK677" s="4"/>
      <c r="BL677" s="4"/>
      <c r="BM677" s="4"/>
      <c r="BN677" s="4"/>
      <c r="BO677" s="4"/>
      <c r="BP677" s="39"/>
      <c r="BQ677" s="39"/>
    </row>
    <row r="678" spans="3:69" ht="15.75" customHeight="1">
      <c r="C678" s="4"/>
      <c r="D678" s="4"/>
      <c r="E678" s="38"/>
      <c r="F678" s="38"/>
      <c r="G678" s="4"/>
      <c r="H678" s="4"/>
      <c r="I678" s="4"/>
      <c r="J678" s="4"/>
      <c r="K678" s="4"/>
      <c r="L678" s="4"/>
      <c r="M678" s="4"/>
      <c r="N678" s="38"/>
      <c r="O678" s="4"/>
      <c r="P678" s="4"/>
      <c r="Q678" s="4"/>
      <c r="R678" s="4"/>
      <c r="S678" s="4"/>
      <c r="T678" s="38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38"/>
      <c r="AN678" s="4"/>
      <c r="AO678" s="4"/>
      <c r="AP678" s="4"/>
      <c r="AQ678" s="4"/>
      <c r="AR678" s="4"/>
      <c r="AS678" s="4"/>
      <c r="AT678" s="4"/>
      <c r="AU678" s="4"/>
      <c r="AV678" s="4"/>
      <c r="AW678" s="4"/>
      <c r="AX678" s="4"/>
      <c r="AY678" s="4"/>
      <c r="AZ678" s="4"/>
      <c r="BA678" s="4"/>
      <c r="BB678" s="4"/>
      <c r="BC678" s="4"/>
      <c r="BD678" s="4"/>
      <c r="BE678" s="4"/>
      <c r="BF678" s="4"/>
      <c r="BG678" s="4"/>
      <c r="BH678" s="4"/>
      <c r="BI678" s="4"/>
      <c r="BJ678" s="4"/>
      <c r="BK678" s="4"/>
      <c r="BL678" s="4"/>
      <c r="BM678" s="4"/>
      <c r="BN678" s="4"/>
      <c r="BO678" s="4"/>
      <c r="BP678" s="39"/>
      <c r="BQ678" s="39"/>
    </row>
    <row r="679" spans="3:69" ht="15.75" customHeight="1">
      <c r="C679" s="4"/>
      <c r="D679" s="4"/>
      <c r="E679" s="38"/>
      <c r="F679" s="38"/>
      <c r="G679" s="4"/>
      <c r="H679" s="4"/>
      <c r="I679" s="4"/>
      <c r="J679" s="4"/>
      <c r="K679" s="4"/>
      <c r="L679" s="4"/>
      <c r="M679" s="4"/>
      <c r="N679" s="38"/>
      <c r="O679" s="4"/>
      <c r="P679" s="4"/>
      <c r="Q679" s="4"/>
      <c r="R679" s="4"/>
      <c r="S679" s="4"/>
      <c r="T679" s="38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38"/>
      <c r="AN679" s="4"/>
      <c r="AO679" s="4"/>
      <c r="AP679" s="4"/>
      <c r="AQ679" s="4"/>
      <c r="AR679" s="4"/>
      <c r="AS679" s="4"/>
      <c r="AT679" s="4"/>
      <c r="AU679" s="4"/>
      <c r="AV679" s="4"/>
      <c r="AW679" s="4"/>
      <c r="AX679" s="4"/>
      <c r="AY679" s="4"/>
      <c r="AZ679" s="4"/>
      <c r="BA679" s="4"/>
      <c r="BB679" s="4"/>
      <c r="BC679" s="4"/>
      <c r="BD679" s="4"/>
      <c r="BE679" s="4"/>
      <c r="BF679" s="4"/>
      <c r="BG679" s="4"/>
      <c r="BH679" s="4"/>
      <c r="BI679" s="4"/>
      <c r="BJ679" s="4"/>
      <c r="BK679" s="4"/>
      <c r="BL679" s="4"/>
      <c r="BM679" s="4"/>
      <c r="BN679" s="4"/>
      <c r="BO679" s="4"/>
      <c r="BP679" s="39"/>
      <c r="BQ679" s="39"/>
    </row>
    <row r="680" spans="3:69" ht="15.75" customHeight="1">
      <c r="C680" s="4"/>
      <c r="D680" s="4"/>
      <c r="E680" s="38"/>
      <c r="F680" s="38"/>
      <c r="G680" s="4"/>
      <c r="H680" s="4"/>
      <c r="I680" s="4"/>
      <c r="J680" s="4"/>
      <c r="K680" s="4"/>
      <c r="L680" s="4"/>
      <c r="M680" s="4"/>
      <c r="N680" s="38"/>
      <c r="O680" s="4"/>
      <c r="P680" s="4"/>
      <c r="Q680" s="4"/>
      <c r="R680" s="4"/>
      <c r="S680" s="4"/>
      <c r="T680" s="38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38"/>
      <c r="AN680" s="4"/>
      <c r="AO680" s="4"/>
      <c r="AP680" s="4"/>
      <c r="AQ680" s="4"/>
      <c r="AR680" s="4"/>
      <c r="AS680" s="4"/>
      <c r="AT680" s="4"/>
      <c r="AU680" s="4"/>
      <c r="AV680" s="4"/>
      <c r="AW680" s="4"/>
      <c r="AX680" s="4"/>
      <c r="AY680" s="4"/>
      <c r="AZ680" s="4"/>
      <c r="BA680" s="4"/>
      <c r="BB680" s="4"/>
      <c r="BC680" s="4"/>
      <c r="BD680" s="4"/>
      <c r="BE680" s="4"/>
      <c r="BF680" s="4"/>
      <c r="BG680" s="4"/>
      <c r="BH680" s="4"/>
      <c r="BI680" s="4"/>
      <c r="BJ680" s="4"/>
      <c r="BK680" s="4"/>
      <c r="BL680" s="4"/>
      <c r="BM680" s="4"/>
      <c r="BN680" s="4"/>
      <c r="BO680" s="4"/>
      <c r="BP680" s="39"/>
      <c r="BQ680" s="39"/>
    </row>
    <row r="681" spans="3:69" ht="15.75" customHeight="1">
      <c r="C681" s="4"/>
      <c r="D681" s="4"/>
      <c r="E681" s="38"/>
      <c r="F681" s="38"/>
      <c r="G681" s="4"/>
      <c r="H681" s="4"/>
      <c r="I681" s="4"/>
      <c r="J681" s="4"/>
      <c r="K681" s="4"/>
      <c r="L681" s="4"/>
      <c r="M681" s="4"/>
      <c r="N681" s="38"/>
      <c r="O681" s="4"/>
      <c r="P681" s="4"/>
      <c r="Q681" s="4"/>
      <c r="R681" s="4"/>
      <c r="S681" s="4"/>
      <c r="T681" s="38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38"/>
      <c r="AN681" s="4"/>
      <c r="AO681" s="4"/>
      <c r="AP681" s="4"/>
      <c r="AQ681" s="4"/>
      <c r="AR681" s="4"/>
      <c r="AS681" s="4"/>
      <c r="AT681" s="4"/>
      <c r="AU681" s="4"/>
      <c r="AV681" s="4"/>
      <c r="AW681" s="4"/>
      <c r="AX681" s="4"/>
      <c r="AY681" s="4"/>
      <c r="AZ681" s="4"/>
      <c r="BA681" s="4"/>
      <c r="BB681" s="4"/>
      <c r="BC681" s="4"/>
      <c r="BD681" s="4"/>
      <c r="BE681" s="4"/>
      <c r="BF681" s="4"/>
      <c r="BG681" s="4"/>
      <c r="BH681" s="4"/>
      <c r="BI681" s="4"/>
      <c r="BJ681" s="4"/>
      <c r="BK681" s="4"/>
      <c r="BL681" s="4"/>
      <c r="BM681" s="4"/>
      <c r="BN681" s="4"/>
      <c r="BO681" s="4"/>
      <c r="BP681" s="39"/>
      <c r="BQ681" s="39"/>
    </row>
    <row r="682" spans="3:69" ht="15.75" customHeight="1">
      <c r="C682" s="4"/>
      <c r="D682" s="4"/>
      <c r="E682" s="38"/>
      <c r="F682" s="38"/>
      <c r="G682" s="4"/>
      <c r="H682" s="4"/>
      <c r="I682" s="4"/>
      <c r="J682" s="4"/>
      <c r="K682" s="4"/>
      <c r="L682" s="4"/>
      <c r="M682" s="4"/>
      <c r="N682" s="38"/>
      <c r="O682" s="4"/>
      <c r="P682" s="4"/>
      <c r="Q682" s="4"/>
      <c r="R682" s="4"/>
      <c r="S682" s="4"/>
      <c r="T682" s="38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38"/>
      <c r="AN682" s="4"/>
      <c r="AO682" s="4"/>
      <c r="AP682" s="4"/>
      <c r="AQ682" s="4"/>
      <c r="AR682" s="4"/>
      <c r="AS682" s="4"/>
      <c r="AT682" s="4"/>
      <c r="AU682" s="4"/>
      <c r="AV682" s="4"/>
      <c r="AW682" s="4"/>
      <c r="AX682" s="4"/>
      <c r="AY682" s="4"/>
      <c r="AZ682" s="4"/>
      <c r="BA682" s="4"/>
      <c r="BB682" s="4"/>
      <c r="BC682" s="4"/>
      <c r="BD682" s="4"/>
      <c r="BE682" s="4"/>
      <c r="BF682" s="4"/>
      <c r="BG682" s="4"/>
      <c r="BH682" s="4"/>
      <c r="BI682" s="4"/>
      <c r="BJ682" s="4"/>
      <c r="BK682" s="4"/>
      <c r="BL682" s="4"/>
      <c r="BM682" s="4"/>
      <c r="BN682" s="4"/>
      <c r="BO682" s="4"/>
      <c r="BP682" s="39"/>
      <c r="BQ682" s="39"/>
    </row>
    <row r="683" spans="3:69" ht="15.75" customHeight="1">
      <c r="C683" s="4"/>
      <c r="D683" s="4"/>
      <c r="E683" s="38"/>
      <c r="F683" s="38"/>
      <c r="G683" s="4"/>
      <c r="H683" s="4"/>
      <c r="I683" s="4"/>
      <c r="J683" s="4"/>
      <c r="K683" s="4"/>
      <c r="L683" s="4"/>
      <c r="M683" s="4"/>
      <c r="N683" s="38"/>
      <c r="O683" s="4"/>
      <c r="P683" s="4"/>
      <c r="Q683" s="4"/>
      <c r="R683" s="4"/>
      <c r="S683" s="4"/>
      <c r="T683" s="38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38"/>
      <c r="AN683" s="4"/>
      <c r="AO683" s="4"/>
      <c r="AP683" s="4"/>
      <c r="AQ683" s="4"/>
      <c r="AR683" s="4"/>
      <c r="AS683" s="4"/>
      <c r="AT683" s="4"/>
      <c r="AU683" s="4"/>
      <c r="AV683" s="4"/>
      <c r="AW683" s="4"/>
      <c r="AX683" s="4"/>
      <c r="AY683" s="4"/>
      <c r="AZ683" s="4"/>
      <c r="BA683" s="4"/>
      <c r="BB683" s="4"/>
      <c r="BC683" s="4"/>
      <c r="BD683" s="4"/>
      <c r="BE683" s="4"/>
      <c r="BF683" s="4"/>
      <c r="BG683" s="4"/>
      <c r="BH683" s="4"/>
      <c r="BI683" s="4"/>
      <c r="BJ683" s="4"/>
      <c r="BK683" s="4"/>
      <c r="BL683" s="4"/>
      <c r="BM683" s="4"/>
      <c r="BN683" s="4"/>
      <c r="BO683" s="4"/>
      <c r="BP683" s="39"/>
      <c r="BQ683" s="39"/>
    </row>
    <row r="684" spans="3:69" ht="15.75" customHeight="1">
      <c r="C684" s="4"/>
      <c r="D684" s="4"/>
      <c r="E684" s="38"/>
      <c r="F684" s="38"/>
      <c r="G684" s="4"/>
      <c r="H684" s="4"/>
      <c r="I684" s="4"/>
      <c r="J684" s="4"/>
      <c r="K684" s="4"/>
      <c r="L684" s="4"/>
      <c r="M684" s="4"/>
      <c r="N684" s="38"/>
      <c r="O684" s="4"/>
      <c r="P684" s="4"/>
      <c r="Q684" s="4"/>
      <c r="R684" s="4"/>
      <c r="S684" s="4"/>
      <c r="T684" s="38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38"/>
      <c r="AN684" s="4"/>
      <c r="AO684" s="4"/>
      <c r="AP684" s="4"/>
      <c r="AQ684" s="4"/>
      <c r="AR684" s="4"/>
      <c r="AS684" s="4"/>
      <c r="AT684" s="4"/>
      <c r="AU684" s="4"/>
      <c r="AV684" s="4"/>
      <c r="AW684" s="4"/>
      <c r="AX684" s="4"/>
      <c r="AY684" s="4"/>
      <c r="AZ684" s="4"/>
      <c r="BA684" s="4"/>
      <c r="BB684" s="4"/>
      <c r="BC684" s="4"/>
      <c r="BD684" s="4"/>
      <c r="BE684" s="4"/>
      <c r="BF684" s="4"/>
      <c r="BG684" s="4"/>
      <c r="BH684" s="4"/>
      <c r="BI684" s="4"/>
      <c r="BJ684" s="4"/>
      <c r="BK684" s="4"/>
      <c r="BL684" s="4"/>
      <c r="BM684" s="4"/>
      <c r="BN684" s="4"/>
      <c r="BO684" s="4"/>
      <c r="BP684" s="39"/>
      <c r="BQ684" s="39"/>
    </row>
    <row r="685" spans="3:69" ht="15.75" customHeight="1">
      <c r="C685" s="4"/>
      <c r="D685" s="4"/>
      <c r="E685" s="38"/>
      <c r="F685" s="38"/>
      <c r="G685" s="4"/>
      <c r="H685" s="4"/>
      <c r="I685" s="4"/>
      <c r="J685" s="4"/>
      <c r="K685" s="4"/>
      <c r="L685" s="4"/>
      <c r="M685" s="4"/>
      <c r="N685" s="38"/>
      <c r="O685" s="4"/>
      <c r="P685" s="4"/>
      <c r="Q685" s="4"/>
      <c r="R685" s="4"/>
      <c r="S685" s="4"/>
      <c r="T685" s="38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38"/>
      <c r="AN685" s="4"/>
      <c r="AO685" s="4"/>
      <c r="AP685" s="4"/>
      <c r="AQ685" s="4"/>
      <c r="AR685" s="4"/>
      <c r="AS685" s="4"/>
      <c r="AT685" s="4"/>
      <c r="AU685" s="4"/>
      <c r="AV685" s="4"/>
      <c r="AW685" s="4"/>
      <c r="AX685" s="4"/>
      <c r="AY685" s="4"/>
      <c r="AZ685" s="4"/>
      <c r="BA685" s="4"/>
      <c r="BB685" s="4"/>
      <c r="BC685" s="4"/>
      <c r="BD685" s="4"/>
      <c r="BE685" s="4"/>
      <c r="BF685" s="4"/>
      <c r="BG685" s="4"/>
      <c r="BH685" s="4"/>
      <c r="BI685" s="4"/>
      <c r="BJ685" s="4"/>
      <c r="BK685" s="4"/>
      <c r="BL685" s="4"/>
      <c r="BM685" s="4"/>
      <c r="BN685" s="4"/>
      <c r="BO685" s="4"/>
      <c r="BP685" s="39"/>
      <c r="BQ685" s="39"/>
    </row>
    <row r="686" spans="3:69" ht="15.75" customHeight="1">
      <c r="C686" s="4"/>
      <c r="D686" s="4"/>
      <c r="E686" s="38"/>
      <c r="F686" s="38"/>
      <c r="G686" s="4"/>
      <c r="H686" s="4"/>
      <c r="I686" s="4"/>
      <c r="J686" s="4"/>
      <c r="K686" s="4"/>
      <c r="L686" s="4"/>
      <c r="M686" s="4"/>
      <c r="N686" s="38"/>
      <c r="O686" s="4"/>
      <c r="P686" s="4"/>
      <c r="Q686" s="4"/>
      <c r="R686" s="4"/>
      <c r="S686" s="4"/>
      <c r="T686" s="38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38"/>
      <c r="AN686" s="4"/>
      <c r="AO686" s="4"/>
      <c r="AP686" s="4"/>
      <c r="AQ686" s="4"/>
      <c r="AR686" s="4"/>
      <c r="AS686" s="4"/>
      <c r="AT686" s="4"/>
      <c r="AU686" s="4"/>
      <c r="AV686" s="4"/>
      <c r="AW686" s="4"/>
      <c r="AX686" s="4"/>
      <c r="AY686" s="4"/>
      <c r="AZ686" s="4"/>
      <c r="BA686" s="4"/>
      <c r="BB686" s="4"/>
      <c r="BC686" s="4"/>
      <c r="BD686" s="4"/>
      <c r="BE686" s="4"/>
      <c r="BF686" s="4"/>
      <c r="BG686" s="4"/>
      <c r="BH686" s="4"/>
      <c r="BI686" s="4"/>
      <c r="BJ686" s="4"/>
      <c r="BK686" s="4"/>
      <c r="BL686" s="4"/>
      <c r="BM686" s="4"/>
      <c r="BN686" s="4"/>
      <c r="BO686" s="4"/>
      <c r="BP686" s="39"/>
      <c r="BQ686" s="39"/>
    </row>
    <row r="687" spans="3:69" ht="15.75" customHeight="1">
      <c r="C687" s="4"/>
      <c r="D687" s="4"/>
      <c r="E687" s="38"/>
      <c r="F687" s="38"/>
      <c r="G687" s="4"/>
      <c r="H687" s="4"/>
      <c r="I687" s="4"/>
      <c r="J687" s="4"/>
      <c r="K687" s="4"/>
      <c r="L687" s="4"/>
      <c r="M687" s="4"/>
      <c r="N687" s="38"/>
      <c r="O687" s="4"/>
      <c r="P687" s="4"/>
      <c r="Q687" s="4"/>
      <c r="R687" s="4"/>
      <c r="S687" s="4"/>
      <c r="T687" s="38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38"/>
      <c r="AN687" s="4"/>
      <c r="AO687" s="4"/>
      <c r="AP687" s="4"/>
      <c r="AQ687" s="4"/>
      <c r="AR687" s="4"/>
      <c r="AS687" s="4"/>
      <c r="AT687" s="4"/>
      <c r="AU687" s="4"/>
      <c r="AV687" s="4"/>
      <c r="AW687" s="4"/>
      <c r="AX687" s="4"/>
      <c r="AY687" s="4"/>
      <c r="AZ687" s="4"/>
      <c r="BA687" s="4"/>
      <c r="BB687" s="4"/>
      <c r="BC687" s="4"/>
      <c r="BD687" s="4"/>
      <c r="BE687" s="4"/>
      <c r="BF687" s="4"/>
      <c r="BG687" s="4"/>
      <c r="BH687" s="4"/>
      <c r="BI687" s="4"/>
      <c r="BJ687" s="4"/>
      <c r="BK687" s="4"/>
      <c r="BL687" s="4"/>
      <c r="BM687" s="4"/>
      <c r="BN687" s="4"/>
      <c r="BO687" s="4"/>
      <c r="BP687" s="39"/>
      <c r="BQ687" s="39"/>
    </row>
    <row r="688" spans="3:69" ht="15.75" customHeight="1">
      <c r="C688" s="4"/>
      <c r="D688" s="4"/>
      <c r="E688" s="38"/>
      <c r="F688" s="38"/>
      <c r="G688" s="4"/>
      <c r="H688" s="4"/>
      <c r="I688" s="4"/>
      <c r="J688" s="4"/>
      <c r="K688" s="4"/>
      <c r="L688" s="4"/>
      <c r="M688" s="4"/>
      <c r="N688" s="38"/>
      <c r="O688" s="4"/>
      <c r="P688" s="4"/>
      <c r="Q688" s="4"/>
      <c r="R688" s="4"/>
      <c r="S688" s="4"/>
      <c r="T688" s="38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38"/>
      <c r="AN688" s="4"/>
      <c r="AO688" s="4"/>
      <c r="AP688" s="4"/>
      <c r="AQ688" s="4"/>
      <c r="AR688" s="4"/>
      <c r="AS688" s="4"/>
      <c r="AT688" s="4"/>
      <c r="AU688" s="4"/>
      <c r="AV688" s="4"/>
      <c r="AW688" s="4"/>
      <c r="AX688" s="4"/>
      <c r="AY688" s="4"/>
      <c r="AZ688" s="4"/>
      <c r="BA688" s="4"/>
      <c r="BB688" s="4"/>
      <c r="BC688" s="4"/>
      <c r="BD688" s="4"/>
      <c r="BE688" s="4"/>
      <c r="BF688" s="4"/>
      <c r="BG688" s="4"/>
      <c r="BH688" s="4"/>
      <c r="BI688" s="4"/>
      <c r="BJ688" s="4"/>
      <c r="BK688" s="4"/>
      <c r="BL688" s="4"/>
      <c r="BM688" s="4"/>
      <c r="BN688" s="4"/>
      <c r="BO688" s="4"/>
      <c r="BP688" s="39"/>
      <c r="BQ688" s="39"/>
    </row>
    <row r="689" spans="3:69" ht="15.75" customHeight="1">
      <c r="C689" s="4"/>
      <c r="D689" s="4"/>
      <c r="E689" s="38"/>
      <c r="F689" s="38"/>
      <c r="G689" s="4"/>
      <c r="H689" s="4"/>
      <c r="I689" s="4"/>
      <c r="J689" s="4"/>
      <c r="K689" s="4"/>
      <c r="L689" s="4"/>
      <c r="M689" s="4"/>
      <c r="N689" s="38"/>
      <c r="O689" s="4"/>
      <c r="P689" s="4"/>
      <c r="Q689" s="4"/>
      <c r="R689" s="4"/>
      <c r="S689" s="4"/>
      <c r="T689" s="38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38"/>
      <c r="AN689" s="4"/>
      <c r="AO689" s="4"/>
      <c r="AP689" s="4"/>
      <c r="AQ689" s="4"/>
      <c r="AR689" s="4"/>
      <c r="AS689" s="4"/>
      <c r="AT689" s="4"/>
      <c r="AU689" s="4"/>
      <c r="AV689" s="4"/>
      <c r="AW689" s="4"/>
      <c r="AX689" s="4"/>
      <c r="AY689" s="4"/>
      <c r="AZ689" s="4"/>
      <c r="BA689" s="4"/>
      <c r="BB689" s="4"/>
      <c r="BC689" s="4"/>
      <c r="BD689" s="4"/>
      <c r="BE689" s="4"/>
      <c r="BF689" s="4"/>
      <c r="BG689" s="4"/>
      <c r="BH689" s="4"/>
      <c r="BI689" s="4"/>
      <c r="BJ689" s="4"/>
      <c r="BK689" s="4"/>
      <c r="BL689" s="4"/>
      <c r="BM689" s="4"/>
      <c r="BN689" s="4"/>
      <c r="BO689" s="4"/>
      <c r="BP689" s="39"/>
      <c r="BQ689" s="39"/>
    </row>
    <row r="690" spans="3:69" ht="15.75" customHeight="1">
      <c r="C690" s="4"/>
      <c r="D690" s="4"/>
      <c r="E690" s="38"/>
      <c r="F690" s="38"/>
      <c r="G690" s="4"/>
      <c r="H690" s="4"/>
      <c r="I690" s="4"/>
      <c r="J690" s="4"/>
      <c r="K690" s="4"/>
      <c r="L690" s="4"/>
      <c r="M690" s="4"/>
      <c r="N690" s="38"/>
      <c r="O690" s="4"/>
      <c r="P690" s="4"/>
      <c r="Q690" s="4"/>
      <c r="R690" s="4"/>
      <c r="S690" s="4"/>
      <c r="T690" s="38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38"/>
      <c r="AN690" s="4"/>
      <c r="AO690" s="4"/>
      <c r="AP690" s="4"/>
      <c r="AQ690" s="4"/>
      <c r="AR690" s="4"/>
      <c r="AS690" s="4"/>
      <c r="AT690" s="4"/>
      <c r="AU690" s="4"/>
      <c r="AV690" s="4"/>
      <c r="AW690" s="4"/>
      <c r="AX690" s="4"/>
      <c r="AY690" s="4"/>
      <c r="AZ690" s="4"/>
      <c r="BA690" s="4"/>
      <c r="BB690" s="4"/>
      <c r="BC690" s="4"/>
      <c r="BD690" s="4"/>
      <c r="BE690" s="4"/>
      <c r="BF690" s="4"/>
      <c r="BG690" s="4"/>
      <c r="BH690" s="4"/>
      <c r="BI690" s="4"/>
      <c r="BJ690" s="4"/>
      <c r="BK690" s="4"/>
      <c r="BL690" s="4"/>
      <c r="BM690" s="4"/>
      <c r="BN690" s="4"/>
      <c r="BO690" s="4"/>
      <c r="BP690" s="39"/>
      <c r="BQ690" s="39"/>
    </row>
    <row r="691" spans="3:69" ht="15.75" customHeight="1">
      <c r="C691" s="4"/>
      <c r="D691" s="4"/>
      <c r="E691" s="38"/>
      <c r="F691" s="38"/>
      <c r="G691" s="4"/>
      <c r="H691" s="4"/>
      <c r="I691" s="4"/>
      <c r="J691" s="4"/>
      <c r="K691" s="4"/>
      <c r="L691" s="4"/>
      <c r="M691" s="4"/>
      <c r="N691" s="38"/>
      <c r="O691" s="4"/>
      <c r="P691" s="4"/>
      <c r="Q691" s="4"/>
      <c r="R691" s="4"/>
      <c r="S691" s="4"/>
      <c r="T691" s="38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38"/>
      <c r="AN691" s="4"/>
      <c r="AO691" s="4"/>
      <c r="AP691" s="4"/>
      <c r="AQ691" s="4"/>
      <c r="AR691" s="4"/>
      <c r="AS691" s="4"/>
      <c r="AT691" s="4"/>
      <c r="AU691" s="4"/>
      <c r="AV691" s="4"/>
      <c r="AW691" s="4"/>
      <c r="AX691" s="4"/>
      <c r="AY691" s="4"/>
      <c r="AZ691" s="4"/>
      <c r="BA691" s="4"/>
      <c r="BB691" s="4"/>
      <c r="BC691" s="4"/>
      <c r="BD691" s="4"/>
      <c r="BE691" s="4"/>
      <c r="BF691" s="4"/>
      <c r="BG691" s="4"/>
      <c r="BH691" s="4"/>
      <c r="BI691" s="4"/>
      <c r="BJ691" s="4"/>
      <c r="BK691" s="4"/>
      <c r="BL691" s="4"/>
      <c r="BM691" s="4"/>
      <c r="BN691" s="4"/>
      <c r="BO691" s="4"/>
      <c r="BP691" s="39"/>
      <c r="BQ691" s="39"/>
    </row>
    <row r="692" spans="3:69" ht="15.75" customHeight="1">
      <c r="C692" s="4"/>
      <c r="D692" s="4"/>
      <c r="E692" s="38"/>
      <c r="F692" s="38"/>
      <c r="G692" s="4"/>
      <c r="H692" s="4"/>
      <c r="I692" s="4"/>
      <c r="J692" s="4"/>
      <c r="K692" s="4"/>
      <c r="L692" s="4"/>
      <c r="M692" s="4"/>
      <c r="N692" s="38"/>
      <c r="O692" s="4"/>
      <c r="P692" s="4"/>
      <c r="Q692" s="4"/>
      <c r="R692" s="4"/>
      <c r="S692" s="4"/>
      <c r="T692" s="38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38"/>
      <c r="AN692" s="4"/>
      <c r="AO692" s="4"/>
      <c r="AP692" s="4"/>
      <c r="AQ692" s="4"/>
      <c r="AR692" s="4"/>
      <c r="AS692" s="4"/>
      <c r="AT692" s="4"/>
      <c r="AU692" s="4"/>
      <c r="AV692" s="4"/>
      <c r="AW692" s="4"/>
      <c r="AX692" s="4"/>
      <c r="AY692" s="4"/>
      <c r="AZ692" s="4"/>
      <c r="BA692" s="4"/>
      <c r="BB692" s="4"/>
      <c r="BC692" s="4"/>
      <c r="BD692" s="4"/>
      <c r="BE692" s="4"/>
      <c r="BF692" s="4"/>
      <c r="BG692" s="4"/>
      <c r="BH692" s="4"/>
      <c r="BI692" s="4"/>
      <c r="BJ692" s="4"/>
      <c r="BK692" s="4"/>
      <c r="BL692" s="4"/>
      <c r="BM692" s="4"/>
      <c r="BN692" s="4"/>
      <c r="BO692" s="4"/>
      <c r="BP692" s="39"/>
      <c r="BQ692" s="39"/>
    </row>
    <row r="693" spans="3:69" ht="15.75" customHeight="1">
      <c r="C693" s="4"/>
      <c r="D693" s="4"/>
      <c r="E693" s="38"/>
      <c r="F693" s="38"/>
      <c r="G693" s="4"/>
      <c r="H693" s="4"/>
      <c r="I693" s="4"/>
      <c r="J693" s="4"/>
      <c r="K693" s="4"/>
      <c r="L693" s="4"/>
      <c r="M693" s="4"/>
      <c r="N693" s="38"/>
      <c r="O693" s="4"/>
      <c r="P693" s="4"/>
      <c r="Q693" s="4"/>
      <c r="R693" s="4"/>
      <c r="S693" s="4"/>
      <c r="T693" s="38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38"/>
      <c r="AN693" s="4"/>
      <c r="AO693" s="4"/>
      <c r="AP693" s="4"/>
      <c r="AQ693" s="4"/>
      <c r="AR693" s="4"/>
      <c r="AS693" s="4"/>
      <c r="AT693" s="4"/>
      <c r="AU693" s="4"/>
      <c r="AV693" s="4"/>
      <c r="AW693" s="4"/>
      <c r="AX693" s="4"/>
      <c r="AY693" s="4"/>
      <c r="AZ693" s="4"/>
      <c r="BA693" s="4"/>
      <c r="BB693" s="4"/>
      <c r="BC693" s="4"/>
      <c r="BD693" s="4"/>
      <c r="BE693" s="4"/>
      <c r="BF693" s="4"/>
      <c r="BG693" s="4"/>
      <c r="BH693" s="4"/>
      <c r="BI693" s="4"/>
      <c r="BJ693" s="4"/>
      <c r="BK693" s="4"/>
      <c r="BL693" s="4"/>
      <c r="BM693" s="4"/>
      <c r="BN693" s="4"/>
      <c r="BO693" s="4"/>
      <c r="BP693" s="39"/>
      <c r="BQ693" s="39"/>
    </row>
    <row r="694" spans="3:69" ht="15.75" customHeight="1">
      <c r="C694" s="4"/>
      <c r="D694" s="4"/>
      <c r="E694" s="38"/>
      <c r="F694" s="38"/>
      <c r="G694" s="4"/>
      <c r="H694" s="4"/>
      <c r="I694" s="4"/>
      <c r="J694" s="4"/>
      <c r="K694" s="4"/>
      <c r="L694" s="4"/>
      <c r="M694" s="4"/>
      <c r="N694" s="38"/>
      <c r="O694" s="4"/>
      <c r="P694" s="4"/>
      <c r="Q694" s="4"/>
      <c r="R694" s="4"/>
      <c r="S694" s="4"/>
      <c r="T694" s="38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38"/>
      <c r="AN694" s="4"/>
      <c r="AO694" s="4"/>
      <c r="AP694" s="4"/>
      <c r="AQ694" s="4"/>
      <c r="AR694" s="4"/>
      <c r="AS694" s="4"/>
      <c r="AT694" s="4"/>
      <c r="AU694" s="4"/>
      <c r="AV694" s="4"/>
      <c r="AW694" s="4"/>
      <c r="AX694" s="4"/>
      <c r="AY694" s="4"/>
      <c r="AZ694" s="4"/>
      <c r="BA694" s="4"/>
      <c r="BB694" s="4"/>
      <c r="BC694" s="4"/>
      <c r="BD694" s="4"/>
      <c r="BE694" s="4"/>
      <c r="BF694" s="4"/>
      <c r="BG694" s="4"/>
      <c r="BH694" s="4"/>
      <c r="BI694" s="4"/>
      <c r="BJ694" s="4"/>
      <c r="BK694" s="4"/>
      <c r="BL694" s="4"/>
      <c r="BM694" s="4"/>
      <c r="BN694" s="4"/>
      <c r="BO694" s="4"/>
      <c r="BP694" s="39"/>
      <c r="BQ694" s="39"/>
    </row>
    <row r="695" spans="3:69" ht="15.75" customHeight="1">
      <c r="C695" s="4"/>
      <c r="D695" s="4"/>
      <c r="E695" s="38"/>
      <c r="F695" s="38"/>
      <c r="G695" s="4"/>
      <c r="H695" s="4"/>
      <c r="I695" s="4"/>
      <c r="J695" s="4"/>
      <c r="K695" s="4"/>
      <c r="L695" s="4"/>
      <c r="M695" s="4"/>
      <c r="N695" s="38"/>
      <c r="O695" s="4"/>
      <c r="P695" s="4"/>
      <c r="Q695" s="4"/>
      <c r="R695" s="4"/>
      <c r="S695" s="4"/>
      <c r="T695" s="38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38"/>
      <c r="AN695" s="4"/>
      <c r="AO695" s="4"/>
      <c r="AP695" s="4"/>
      <c r="AQ695" s="4"/>
      <c r="AR695" s="4"/>
      <c r="AS695" s="4"/>
      <c r="AT695" s="4"/>
      <c r="AU695" s="4"/>
      <c r="AV695" s="4"/>
      <c r="AW695" s="4"/>
      <c r="AX695" s="4"/>
      <c r="AY695" s="4"/>
      <c r="AZ695" s="4"/>
      <c r="BA695" s="4"/>
      <c r="BB695" s="4"/>
      <c r="BC695" s="4"/>
      <c r="BD695" s="4"/>
      <c r="BE695" s="4"/>
      <c r="BF695" s="4"/>
      <c r="BG695" s="4"/>
      <c r="BH695" s="4"/>
      <c r="BI695" s="4"/>
      <c r="BJ695" s="4"/>
      <c r="BK695" s="4"/>
      <c r="BL695" s="4"/>
      <c r="BM695" s="4"/>
      <c r="BN695" s="4"/>
      <c r="BO695" s="4"/>
      <c r="BP695" s="39"/>
      <c r="BQ695" s="39"/>
    </row>
    <row r="696" spans="3:69" ht="15.75" customHeight="1">
      <c r="C696" s="4"/>
      <c r="D696" s="4"/>
      <c r="E696" s="38"/>
      <c r="F696" s="38"/>
      <c r="G696" s="4"/>
      <c r="H696" s="4"/>
      <c r="I696" s="4"/>
      <c r="J696" s="4"/>
      <c r="K696" s="4"/>
      <c r="L696" s="4"/>
      <c r="M696" s="4"/>
      <c r="N696" s="38"/>
      <c r="O696" s="4"/>
      <c r="P696" s="4"/>
      <c r="Q696" s="4"/>
      <c r="R696" s="4"/>
      <c r="S696" s="4"/>
      <c r="T696" s="38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38"/>
      <c r="AN696" s="4"/>
      <c r="AO696" s="4"/>
      <c r="AP696" s="4"/>
      <c r="AQ696" s="4"/>
      <c r="AR696" s="4"/>
      <c r="AS696" s="4"/>
      <c r="AT696" s="4"/>
      <c r="AU696" s="4"/>
      <c r="AV696" s="4"/>
      <c r="AW696" s="4"/>
      <c r="AX696" s="4"/>
      <c r="AY696" s="4"/>
      <c r="AZ696" s="4"/>
      <c r="BA696" s="4"/>
      <c r="BB696" s="4"/>
      <c r="BC696" s="4"/>
      <c r="BD696" s="4"/>
      <c r="BE696" s="4"/>
      <c r="BF696" s="4"/>
      <c r="BG696" s="4"/>
      <c r="BH696" s="4"/>
      <c r="BI696" s="4"/>
      <c r="BJ696" s="4"/>
      <c r="BK696" s="4"/>
      <c r="BL696" s="4"/>
      <c r="BM696" s="4"/>
      <c r="BN696" s="4"/>
      <c r="BO696" s="4"/>
      <c r="BP696" s="39"/>
      <c r="BQ696" s="39"/>
    </row>
    <row r="697" spans="3:69" ht="15.75" customHeight="1">
      <c r="C697" s="4"/>
      <c r="D697" s="4"/>
      <c r="E697" s="38"/>
      <c r="F697" s="38"/>
      <c r="G697" s="4"/>
      <c r="H697" s="4"/>
      <c r="I697" s="4"/>
      <c r="J697" s="4"/>
      <c r="K697" s="4"/>
      <c r="L697" s="4"/>
      <c r="M697" s="4"/>
      <c r="N697" s="38"/>
      <c r="O697" s="4"/>
      <c r="P697" s="4"/>
      <c r="Q697" s="4"/>
      <c r="R697" s="4"/>
      <c r="S697" s="4"/>
      <c r="T697" s="38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38"/>
      <c r="AN697" s="4"/>
      <c r="AO697" s="4"/>
      <c r="AP697" s="4"/>
      <c r="AQ697" s="4"/>
      <c r="AR697" s="4"/>
      <c r="AS697" s="4"/>
      <c r="AT697" s="4"/>
      <c r="AU697" s="4"/>
      <c r="AV697" s="4"/>
      <c r="AW697" s="4"/>
      <c r="AX697" s="4"/>
      <c r="AY697" s="4"/>
      <c r="AZ697" s="4"/>
      <c r="BA697" s="4"/>
      <c r="BB697" s="4"/>
      <c r="BC697" s="4"/>
      <c r="BD697" s="4"/>
      <c r="BE697" s="4"/>
      <c r="BF697" s="4"/>
      <c r="BG697" s="4"/>
      <c r="BH697" s="4"/>
      <c r="BI697" s="4"/>
      <c r="BJ697" s="4"/>
      <c r="BK697" s="4"/>
      <c r="BL697" s="4"/>
      <c r="BM697" s="4"/>
      <c r="BN697" s="4"/>
      <c r="BO697" s="4"/>
      <c r="BP697" s="39"/>
      <c r="BQ697" s="39"/>
    </row>
    <row r="698" spans="3:69" ht="15.75" customHeight="1">
      <c r="C698" s="4"/>
      <c r="D698" s="4"/>
      <c r="E698" s="38"/>
      <c r="F698" s="38"/>
      <c r="G698" s="4"/>
      <c r="H698" s="4"/>
      <c r="I698" s="4"/>
      <c r="J698" s="4"/>
      <c r="K698" s="4"/>
      <c r="L698" s="4"/>
      <c r="M698" s="4"/>
      <c r="N698" s="38"/>
      <c r="O698" s="4"/>
      <c r="P698" s="4"/>
      <c r="Q698" s="4"/>
      <c r="R698" s="4"/>
      <c r="S698" s="4"/>
      <c r="T698" s="38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38"/>
      <c r="AN698" s="4"/>
      <c r="AO698" s="4"/>
      <c r="AP698" s="4"/>
      <c r="AQ698" s="4"/>
      <c r="AR698" s="4"/>
      <c r="AS698" s="4"/>
      <c r="AT698" s="4"/>
      <c r="AU698" s="4"/>
      <c r="AV698" s="4"/>
      <c r="AW698" s="4"/>
      <c r="AX698" s="4"/>
      <c r="AY698" s="4"/>
      <c r="AZ698" s="4"/>
      <c r="BA698" s="4"/>
      <c r="BB698" s="4"/>
      <c r="BC698" s="4"/>
      <c r="BD698" s="4"/>
      <c r="BE698" s="4"/>
      <c r="BF698" s="4"/>
      <c r="BG698" s="4"/>
      <c r="BH698" s="4"/>
      <c r="BI698" s="4"/>
      <c r="BJ698" s="4"/>
      <c r="BK698" s="4"/>
      <c r="BL698" s="4"/>
      <c r="BM698" s="4"/>
      <c r="BN698" s="4"/>
      <c r="BO698" s="4"/>
      <c r="BP698" s="39"/>
      <c r="BQ698" s="39"/>
    </row>
    <row r="699" spans="3:69" ht="15.75" customHeight="1">
      <c r="C699" s="4"/>
      <c r="D699" s="4"/>
      <c r="E699" s="38"/>
      <c r="F699" s="38"/>
      <c r="G699" s="4"/>
      <c r="H699" s="4"/>
      <c r="I699" s="4"/>
      <c r="J699" s="4"/>
      <c r="K699" s="4"/>
      <c r="L699" s="4"/>
      <c r="M699" s="4"/>
      <c r="N699" s="38"/>
      <c r="O699" s="4"/>
      <c r="P699" s="4"/>
      <c r="Q699" s="4"/>
      <c r="R699" s="4"/>
      <c r="S699" s="4"/>
      <c r="T699" s="38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38"/>
      <c r="AN699" s="4"/>
      <c r="AO699" s="4"/>
      <c r="AP699" s="4"/>
      <c r="AQ699" s="4"/>
      <c r="AR699" s="4"/>
      <c r="AS699" s="4"/>
      <c r="AT699" s="4"/>
      <c r="AU699" s="4"/>
      <c r="AV699" s="4"/>
      <c r="AW699" s="4"/>
      <c r="AX699" s="4"/>
      <c r="AY699" s="4"/>
      <c r="AZ699" s="4"/>
      <c r="BA699" s="4"/>
      <c r="BB699" s="4"/>
      <c r="BC699" s="4"/>
      <c r="BD699" s="4"/>
      <c r="BE699" s="4"/>
      <c r="BF699" s="4"/>
      <c r="BG699" s="4"/>
      <c r="BH699" s="4"/>
      <c r="BI699" s="4"/>
      <c r="BJ699" s="4"/>
      <c r="BK699" s="4"/>
      <c r="BL699" s="4"/>
      <c r="BM699" s="4"/>
      <c r="BN699" s="4"/>
      <c r="BO699" s="4"/>
      <c r="BP699" s="39"/>
      <c r="BQ699" s="39"/>
    </row>
    <row r="700" spans="3:69" ht="15.75" customHeight="1">
      <c r="C700" s="4"/>
      <c r="D700" s="4"/>
      <c r="E700" s="38"/>
      <c r="F700" s="38"/>
      <c r="G700" s="4"/>
      <c r="H700" s="4"/>
      <c r="I700" s="4"/>
      <c r="J700" s="4"/>
      <c r="K700" s="4"/>
      <c r="L700" s="4"/>
      <c r="M700" s="4"/>
      <c r="N700" s="38"/>
      <c r="O700" s="4"/>
      <c r="P700" s="4"/>
      <c r="Q700" s="4"/>
      <c r="R700" s="4"/>
      <c r="S700" s="4"/>
      <c r="T700" s="38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38"/>
      <c r="AN700" s="4"/>
      <c r="AO700" s="4"/>
      <c r="AP700" s="4"/>
      <c r="AQ700" s="4"/>
      <c r="AR700" s="4"/>
      <c r="AS700" s="4"/>
      <c r="AT700" s="4"/>
      <c r="AU700" s="4"/>
      <c r="AV700" s="4"/>
      <c r="AW700" s="4"/>
      <c r="AX700" s="4"/>
      <c r="AY700" s="4"/>
      <c r="AZ700" s="4"/>
      <c r="BA700" s="4"/>
      <c r="BB700" s="4"/>
      <c r="BC700" s="4"/>
      <c r="BD700" s="4"/>
      <c r="BE700" s="4"/>
      <c r="BF700" s="4"/>
      <c r="BG700" s="4"/>
      <c r="BH700" s="4"/>
      <c r="BI700" s="4"/>
      <c r="BJ700" s="4"/>
      <c r="BK700" s="4"/>
      <c r="BL700" s="4"/>
      <c r="BM700" s="4"/>
      <c r="BN700" s="4"/>
      <c r="BO700" s="4"/>
      <c r="BP700" s="39"/>
      <c r="BQ700" s="39"/>
    </row>
    <row r="701" spans="3:69" ht="15.75" customHeight="1">
      <c r="C701" s="4"/>
      <c r="D701" s="4"/>
      <c r="E701" s="38"/>
      <c r="F701" s="38"/>
      <c r="G701" s="4"/>
      <c r="H701" s="4"/>
      <c r="I701" s="4"/>
      <c r="J701" s="4"/>
      <c r="K701" s="4"/>
      <c r="L701" s="4"/>
      <c r="M701" s="4"/>
      <c r="N701" s="38"/>
      <c r="O701" s="4"/>
      <c r="P701" s="4"/>
      <c r="Q701" s="4"/>
      <c r="R701" s="4"/>
      <c r="S701" s="4"/>
      <c r="T701" s="38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38"/>
      <c r="AN701" s="4"/>
      <c r="AO701" s="4"/>
      <c r="AP701" s="4"/>
      <c r="AQ701" s="4"/>
      <c r="AR701" s="4"/>
      <c r="AS701" s="4"/>
      <c r="AT701" s="4"/>
      <c r="AU701" s="4"/>
      <c r="AV701" s="4"/>
      <c r="AW701" s="4"/>
      <c r="AX701" s="4"/>
      <c r="AY701" s="4"/>
      <c r="AZ701" s="4"/>
      <c r="BA701" s="4"/>
      <c r="BB701" s="4"/>
      <c r="BC701" s="4"/>
      <c r="BD701" s="4"/>
      <c r="BE701" s="4"/>
      <c r="BF701" s="4"/>
      <c r="BG701" s="4"/>
      <c r="BH701" s="4"/>
      <c r="BI701" s="4"/>
      <c r="BJ701" s="4"/>
      <c r="BK701" s="4"/>
      <c r="BL701" s="4"/>
      <c r="BM701" s="4"/>
      <c r="BN701" s="4"/>
      <c r="BO701" s="4"/>
      <c r="BP701" s="39"/>
      <c r="BQ701" s="39"/>
    </row>
    <row r="702" spans="3:69" ht="15.75" customHeight="1">
      <c r="C702" s="4"/>
      <c r="D702" s="4"/>
      <c r="E702" s="38"/>
      <c r="F702" s="38"/>
      <c r="G702" s="4"/>
      <c r="H702" s="4"/>
      <c r="I702" s="4"/>
      <c r="J702" s="4"/>
      <c r="K702" s="4"/>
      <c r="L702" s="4"/>
      <c r="M702" s="4"/>
      <c r="N702" s="38"/>
      <c r="O702" s="4"/>
      <c r="P702" s="4"/>
      <c r="Q702" s="4"/>
      <c r="R702" s="4"/>
      <c r="S702" s="4"/>
      <c r="T702" s="38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38"/>
      <c r="AN702" s="4"/>
      <c r="AO702" s="4"/>
      <c r="AP702" s="4"/>
      <c r="AQ702" s="4"/>
      <c r="AR702" s="4"/>
      <c r="AS702" s="4"/>
      <c r="AT702" s="4"/>
      <c r="AU702" s="4"/>
      <c r="AV702" s="4"/>
      <c r="AW702" s="4"/>
      <c r="AX702" s="4"/>
      <c r="AY702" s="4"/>
      <c r="AZ702" s="4"/>
      <c r="BA702" s="4"/>
      <c r="BB702" s="4"/>
      <c r="BC702" s="4"/>
      <c r="BD702" s="4"/>
      <c r="BE702" s="4"/>
      <c r="BF702" s="4"/>
      <c r="BG702" s="4"/>
      <c r="BH702" s="4"/>
      <c r="BI702" s="4"/>
      <c r="BJ702" s="4"/>
      <c r="BK702" s="4"/>
      <c r="BL702" s="4"/>
      <c r="BM702" s="4"/>
      <c r="BN702" s="4"/>
      <c r="BO702" s="4"/>
      <c r="BP702" s="39"/>
      <c r="BQ702" s="39"/>
    </row>
    <row r="703" spans="3:69" ht="15.75" customHeight="1">
      <c r="C703" s="4"/>
      <c r="D703" s="4"/>
      <c r="E703" s="38"/>
      <c r="F703" s="38"/>
      <c r="G703" s="4"/>
      <c r="H703" s="4"/>
      <c r="I703" s="4"/>
      <c r="J703" s="4"/>
      <c r="K703" s="4"/>
      <c r="L703" s="4"/>
      <c r="M703" s="4"/>
      <c r="N703" s="38"/>
      <c r="O703" s="4"/>
      <c r="P703" s="4"/>
      <c r="Q703" s="4"/>
      <c r="R703" s="4"/>
      <c r="S703" s="4"/>
      <c r="T703" s="38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38"/>
      <c r="AN703" s="4"/>
      <c r="AO703" s="4"/>
      <c r="AP703" s="4"/>
      <c r="AQ703" s="4"/>
      <c r="AR703" s="4"/>
      <c r="AS703" s="4"/>
      <c r="AT703" s="4"/>
      <c r="AU703" s="4"/>
      <c r="AV703" s="4"/>
      <c r="AW703" s="4"/>
      <c r="AX703" s="4"/>
      <c r="AY703" s="4"/>
      <c r="AZ703" s="4"/>
      <c r="BA703" s="4"/>
      <c r="BB703" s="4"/>
      <c r="BC703" s="4"/>
      <c r="BD703" s="4"/>
      <c r="BE703" s="4"/>
      <c r="BF703" s="4"/>
      <c r="BG703" s="4"/>
      <c r="BH703" s="4"/>
      <c r="BI703" s="4"/>
      <c r="BJ703" s="4"/>
      <c r="BK703" s="4"/>
      <c r="BL703" s="4"/>
      <c r="BM703" s="4"/>
      <c r="BN703" s="4"/>
      <c r="BO703" s="4"/>
      <c r="BP703" s="39"/>
      <c r="BQ703" s="39"/>
    </row>
    <row r="704" spans="3:69" ht="15.75" customHeight="1">
      <c r="C704" s="4"/>
      <c r="D704" s="4"/>
      <c r="E704" s="38"/>
      <c r="F704" s="38"/>
      <c r="G704" s="4"/>
      <c r="H704" s="4"/>
      <c r="I704" s="4"/>
      <c r="J704" s="4"/>
      <c r="K704" s="4"/>
      <c r="L704" s="4"/>
      <c r="M704" s="4"/>
      <c r="N704" s="38"/>
      <c r="O704" s="4"/>
      <c r="P704" s="4"/>
      <c r="Q704" s="4"/>
      <c r="R704" s="4"/>
      <c r="S704" s="4"/>
      <c r="T704" s="38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38"/>
      <c r="AN704" s="4"/>
      <c r="AO704" s="4"/>
      <c r="AP704" s="4"/>
      <c r="AQ704" s="4"/>
      <c r="AR704" s="4"/>
      <c r="AS704" s="4"/>
      <c r="AT704" s="4"/>
      <c r="AU704" s="4"/>
      <c r="AV704" s="4"/>
      <c r="AW704" s="4"/>
      <c r="AX704" s="4"/>
      <c r="AY704" s="4"/>
      <c r="AZ704" s="4"/>
      <c r="BA704" s="4"/>
      <c r="BB704" s="4"/>
      <c r="BC704" s="4"/>
      <c r="BD704" s="4"/>
      <c r="BE704" s="4"/>
      <c r="BF704" s="4"/>
      <c r="BG704" s="4"/>
      <c r="BH704" s="4"/>
      <c r="BI704" s="4"/>
      <c r="BJ704" s="4"/>
      <c r="BK704" s="4"/>
      <c r="BL704" s="4"/>
      <c r="BM704" s="4"/>
      <c r="BN704" s="4"/>
      <c r="BO704" s="4"/>
      <c r="BP704" s="39"/>
      <c r="BQ704" s="39"/>
    </row>
    <row r="705" spans="3:69" ht="15.75" customHeight="1">
      <c r="C705" s="4"/>
      <c r="D705" s="4"/>
      <c r="E705" s="38"/>
      <c r="F705" s="38"/>
      <c r="G705" s="4"/>
      <c r="H705" s="4"/>
      <c r="I705" s="4"/>
      <c r="J705" s="4"/>
      <c r="K705" s="4"/>
      <c r="L705" s="4"/>
      <c r="M705" s="4"/>
      <c r="N705" s="38"/>
      <c r="O705" s="4"/>
      <c r="P705" s="4"/>
      <c r="Q705" s="4"/>
      <c r="R705" s="4"/>
      <c r="S705" s="4"/>
      <c r="T705" s="38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38"/>
      <c r="AN705" s="4"/>
      <c r="AO705" s="4"/>
      <c r="AP705" s="4"/>
      <c r="AQ705" s="4"/>
      <c r="AR705" s="4"/>
      <c r="AS705" s="4"/>
      <c r="AT705" s="4"/>
      <c r="AU705" s="4"/>
      <c r="AV705" s="4"/>
      <c r="AW705" s="4"/>
      <c r="AX705" s="4"/>
      <c r="AY705" s="4"/>
      <c r="AZ705" s="4"/>
      <c r="BA705" s="4"/>
      <c r="BB705" s="4"/>
      <c r="BC705" s="4"/>
      <c r="BD705" s="4"/>
      <c r="BE705" s="4"/>
      <c r="BF705" s="4"/>
      <c r="BG705" s="4"/>
      <c r="BH705" s="4"/>
      <c r="BI705" s="4"/>
      <c r="BJ705" s="4"/>
      <c r="BK705" s="4"/>
      <c r="BL705" s="4"/>
      <c r="BM705" s="4"/>
      <c r="BN705" s="4"/>
      <c r="BO705" s="4"/>
      <c r="BP705" s="39"/>
      <c r="BQ705" s="39"/>
    </row>
    <row r="706" spans="3:69" ht="15.75" customHeight="1">
      <c r="C706" s="4"/>
      <c r="D706" s="4"/>
      <c r="E706" s="38"/>
      <c r="F706" s="38"/>
      <c r="G706" s="4"/>
      <c r="H706" s="4"/>
      <c r="I706" s="4"/>
      <c r="J706" s="4"/>
      <c r="K706" s="4"/>
      <c r="L706" s="4"/>
      <c r="M706" s="4"/>
      <c r="N706" s="38"/>
      <c r="O706" s="4"/>
      <c r="P706" s="4"/>
      <c r="Q706" s="4"/>
      <c r="R706" s="4"/>
      <c r="S706" s="4"/>
      <c r="T706" s="38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38"/>
      <c r="AN706" s="4"/>
      <c r="AO706" s="4"/>
      <c r="AP706" s="4"/>
      <c r="AQ706" s="4"/>
      <c r="AR706" s="4"/>
      <c r="AS706" s="4"/>
      <c r="AT706" s="4"/>
      <c r="AU706" s="4"/>
      <c r="AV706" s="4"/>
      <c r="AW706" s="4"/>
      <c r="AX706" s="4"/>
      <c r="AY706" s="4"/>
      <c r="AZ706" s="4"/>
      <c r="BA706" s="4"/>
      <c r="BB706" s="4"/>
      <c r="BC706" s="4"/>
      <c r="BD706" s="4"/>
      <c r="BE706" s="4"/>
      <c r="BF706" s="4"/>
      <c r="BG706" s="4"/>
      <c r="BH706" s="4"/>
      <c r="BI706" s="4"/>
      <c r="BJ706" s="4"/>
      <c r="BK706" s="4"/>
      <c r="BL706" s="4"/>
      <c r="BM706" s="4"/>
      <c r="BN706" s="4"/>
      <c r="BO706" s="4"/>
      <c r="BP706" s="39"/>
      <c r="BQ706" s="39"/>
    </row>
    <row r="707" spans="3:69" ht="15.75" customHeight="1">
      <c r="C707" s="4"/>
      <c r="D707" s="4"/>
      <c r="E707" s="38"/>
      <c r="F707" s="38"/>
      <c r="G707" s="4"/>
      <c r="H707" s="4"/>
      <c r="I707" s="4"/>
      <c r="J707" s="4"/>
      <c r="K707" s="4"/>
      <c r="L707" s="4"/>
      <c r="M707" s="4"/>
      <c r="N707" s="38"/>
      <c r="O707" s="4"/>
      <c r="P707" s="4"/>
      <c r="Q707" s="4"/>
      <c r="R707" s="4"/>
      <c r="S707" s="4"/>
      <c r="T707" s="38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38"/>
      <c r="AN707" s="4"/>
      <c r="AO707" s="4"/>
      <c r="AP707" s="4"/>
      <c r="AQ707" s="4"/>
      <c r="AR707" s="4"/>
      <c r="AS707" s="4"/>
      <c r="AT707" s="4"/>
      <c r="AU707" s="4"/>
      <c r="AV707" s="4"/>
      <c r="AW707" s="4"/>
      <c r="AX707" s="4"/>
      <c r="AY707" s="4"/>
      <c r="AZ707" s="4"/>
      <c r="BA707" s="4"/>
      <c r="BB707" s="4"/>
      <c r="BC707" s="4"/>
      <c r="BD707" s="4"/>
      <c r="BE707" s="4"/>
      <c r="BF707" s="4"/>
      <c r="BG707" s="4"/>
      <c r="BH707" s="4"/>
      <c r="BI707" s="4"/>
      <c r="BJ707" s="4"/>
      <c r="BK707" s="4"/>
      <c r="BL707" s="4"/>
      <c r="BM707" s="4"/>
      <c r="BN707" s="4"/>
      <c r="BO707" s="4"/>
      <c r="BP707" s="39"/>
      <c r="BQ707" s="39"/>
    </row>
    <row r="708" spans="3:69" ht="15.75" customHeight="1">
      <c r="C708" s="4"/>
      <c r="D708" s="4"/>
      <c r="E708" s="38"/>
      <c r="F708" s="38"/>
      <c r="G708" s="4"/>
      <c r="H708" s="4"/>
      <c r="I708" s="4"/>
      <c r="J708" s="4"/>
      <c r="K708" s="4"/>
      <c r="L708" s="4"/>
      <c r="M708" s="4"/>
      <c r="N708" s="38"/>
      <c r="O708" s="4"/>
      <c r="P708" s="4"/>
      <c r="Q708" s="4"/>
      <c r="R708" s="4"/>
      <c r="S708" s="4"/>
      <c r="T708" s="38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38"/>
      <c r="AN708" s="4"/>
      <c r="AO708" s="4"/>
      <c r="AP708" s="4"/>
      <c r="AQ708" s="4"/>
      <c r="AR708" s="4"/>
      <c r="AS708" s="4"/>
      <c r="AT708" s="4"/>
      <c r="AU708" s="4"/>
      <c r="AV708" s="4"/>
      <c r="AW708" s="4"/>
      <c r="AX708" s="4"/>
      <c r="AY708" s="4"/>
      <c r="AZ708" s="4"/>
      <c r="BA708" s="4"/>
      <c r="BB708" s="4"/>
      <c r="BC708" s="4"/>
      <c r="BD708" s="4"/>
      <c r="BE708" s="4"/>
      <c r="BF708" s="4"/>
      <c r="BG708" s="4"/>
      <c r="BH708" s="4"/>
      <c r="BI708" s="4"/>
      <c r="BJ708" s="4"/>
      <c r="BK708" s="4"/>
      <c r="BL708" s="4"/>
      <c r="BM708" s="4"/>
      <c r="BN708" s="4"/>
      <c r="BO708" s="4"/>
      <c r="BP708" s="39"/>
      <c r="BQ708" s="39"/>
    </row>
    <row r="709" spans="3:69" ht="15.75" customHeight="1">
      <c r="C709" s="4"/>
      <c r="D709" s="4"/>
      <c r="E709" s="38"/>
      <c r="F709" s="38"/>
      <c r="G709" s="4"/>
      <c r="H709" s="4"/>
      <c r="I709" s="4"/>
      <c r="J709" s="4"/>
      <c r="K709" s="4"/>
      <c r="L709" s="4"/>
      <c r="M709" s="4"/>
      <c r="N709" s="38"/>
      <c r="O709" s="4"/>
      <c r="P709" s="4"/>
      <c r="Q709" s="4"/>
      <c r="R709" s="4"/>
      <c r="S709" s="4"/>
      <c r="T709" s="38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38"/>
      <c r="AN709" s="4"/>
      <c r="AO709" s="4"/>
      <c r="AP709" s="4"/>
      <c r="AQ709" s="4"/>
      <c r="AR709" s="4"/>
      <c r="AS709" s="4"/>
      <c r="AT709" s="4"/>
      <c r="AU709" s="4"/>
      <c r="AV709" s="4"/>
      <c r="AW709" s="4"/>
      <c r="AX709" s="4"/>
      <c r="AY709" s="4"/>
      <c r="AZ709" s="4"/>
      <c r="BA709" s="4"/>
      <c r="BB709" s="4"/>
      <c r="BC709" s="4"/>
      <c r="BD709" s="4"/>
      <c r="BE709" s="4"/>
      <c r="BF709" s="4"/>
      <c r="BG709" s="4"/>
      <c r="BH709" s="4"/>
      <c r="BI709" s="4"/>
      <c r="BJ709" s="4"/>
      <c r="BK709" s="4"/>
      <c r="BL709" s="4"/>
      <c r="BM709" s="4"/>
      <c r="BN709" s="4"/>
      <c r="BO709" s="4"/>
      <c r="BP709" s="39"/>
      <c r="BQ709" s="39"/>
    </row>
    <row r="710" spans="3:69" ht="15.75" customHeight="1">
      <c r="C710" s="4"/>
      <c r="D710" s="4"/>
      <c r="E710" s="38"/>
      <c r="F710" s="38"/>
      <c r="G710" s="4"/>
      <c r="H710" s="4"/>
      <c r="I710" s="4"/>
      <c r="J710" s="4"/>
      <c r="K710" s="4"/>
      <c r="L710" s="4"/>
      <c r="M710" s="4"/>
      <c r="N710" s="38"/>
      <c r="O710" s="4"/>
      <c r="P710" s="4"/>
      <c r="Q710" s="4"/>
      <c r="R710" s="4"/>
      <c r="S710" s="4"/>
      <c r="T710" s="38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38"/>
      <c r="AN710" s="4"/>
      <c r="AO710" s="4"/>
      <c r="AP710" s="4"/>
      <c r="AQ710" s="4"/>
      <c r="AR710" s="4"/>
      <c r="AS710" s="4"/>
      <c r="AT710" s="4"/>
      <c r="AU710" s="4"/>
      <c r="AV710" s="4"/>
      <c r="AW710" s="4"/>
      <c r="AX710" s="4"/>
      <c r="AY710" s="4"/>
      <c r="AZ710" s="4"/>
      <c r="BA710" s="4"/>
      <c r="BB710" s="4"/>
      <c r="BC710" s="4"/>
      <c r="BD710" s="4"/>
      <c r="BE710" s="4"/>
      <c r="BF710" s="4"/>
      <c r="BG710" s="4"/>
      <c r="BH710" s="4"/>
      <c r="BI710" s="4"/>
      <c r="BJ710" s="4"/>
      <c r="BK710" s="4"/>
      <c r="BL710" s="4"/>
      <c r="BM710" s="4"/>
      <c r="BN710" s="4"/>
      <c r="BO710" s="4"/>
      <c r="BP710" s="39"/>
      <c r="BQ710" s="39"/>
    </row>
    <row r="711" spans="3:69" ht="15.75" customHeight="1">
      <c r="C711" s="4"/>
      <c r="D711" s="4"/>
      <c r="E711" s="38"/>
      <c r="F711" s="38"/>
      <c r="G711" s="4"/>
      <c r="H711" s="4"/>
      <c r="I711" s="4"/>
      <c r="J711" s="4"/>
      <c r="K711" s="4"/>
      <c r="L711" s="4"/>
      <c r="M711" s="4"/>
      <c r="N711" s="38"/>
      <c r="O711" s="4"/>
      <c r="P711" s="4"/>
      <c r="Q711" s="4"/>
      <c r="R711" s="4"/>
      <c r="S711" s="4"/>
      <c r="T711" s="38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38"/>
      <c r="AN711" s="4"/>
      <c r="AO711" s="4"/>
      <c r="AP711" s="4"/>
      <c r="AQ711" s="4"/>
      <c r="AR711" s="4"/>
      <c r="AS711" s="4"/>
      <c r="AT711" s="4"/>
      <c r="AU711" s="4"/>
      <c r="AV711" s="4"/>
      <c r="AW711" s="4"/>
      <c r="AX711" s="4"/>
      <c r="AY711" s="4"/>
      <c r="AZ711" s="4"/>
      <c r="BA711" s="4"/>
      <c r="BB711" s="4"/>
      <c r="BC711" s="4"/>
      <c r="BD711" s="4"/>
      <c r="BE711" s="4"/>
      <c r="BF711" s="4"/>
      <c r="BG711" s="4"/>
      <c r="BH711" s="4"/>
      <c r="BI711" s="4"/>
      <c r="BJ711" s="4"/>
      <c r="BK711" s="4"/>
      <c r="BL711" s="4"/>
      <c r="BM711" s="4"/>
      <c r="BN711" s="4"/>
      <c r="BO711" s="4"/>
      <c r="BP711" s="39"/>
      <c r="BQ711" s="39"/>
    </row>
    <row r="712" spans="3:69" ht="15.75" customHeight="1">
      <c r="C712" s="4"/>
      <c r="D712" s="4"/>
      <c r="E712" s="38"/>
      <c r="F712" s="38"/>
      <c r="G712" s="4"/>
      <c r="H712" s="4"/>
      <c r="I712" s="4"/>
      <c r="J712" s="4"/>
      <c r="K712" s="4"/>
      <c r="L712" s="4"/>
      <c r="M712" s="4"/>
      <c r="N712" s="38"/>
      <c r="O712" s="4"/>
      <c r="P712" s="4"/>
      <c r="Q712" s="4"/>
      <c r="R712" s="4"/>
      <c r="S712" s="4"/>
      <c r="T712" s="38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38"/>
      <c r="AN712" s="4"/>
      <c r="AO712" s="4"/>
      <c r="AP712" s="4"/>
      <c r="AQ712" s="4"/>
      <c r="AR712" s="4"/>
      <c r="AS712" s="4"/>
      <c r="AT712" s="4"/>
      <c r="AU712" s="4"/>
      <c r="AV712" s="4"/>
      <c r="AW712" s="4"/>
      <c r="AX712" s="4"/>
      <c r="AY712" s="4"/>
      <c r="AZ712" s="4"/>
      <c r="BA712" s="4"/>
      <c r="BB712" s="4"/>
      <c r="BC712" s="4"/>
      <c r="BD712" s="4"/>
      <c r="BE712" s="4"/>
      <c r="BF712" s="4"/>
      <c r="BG712" s="4"/>
      <c r="BH712" s="4"/>
      <c r="BI712" s="4"/>
      <c r="BJ712" s="4"/>
      <c r="BK712" s="4"/>
      <c r="BL712" s="4"/>
      <c r="BM712" s="4"/>
      <c r="BN712" s="4"/>
      <c r="BO712" s="4"/>
      <c r="BP712" s="39"/>
      <c r="BQ712" s="39"/>
    </row>
    <row r="713" spans="3:69" ht="15.75" customHeight="1">
      <c r="C713" s="4"/>
      <c r="D713" s="4"/>
      <c r="E713" s="38"/>
      <c r="F713" s="38"/>
      <c r="G713" s="4"/>
      <c r="H713" s="4"/>
      <c r="I713" s="4"/>
      <c r="J713" s="4"/>
      <c r="K713" s="4"/>
      <c r="L713" s="4"/>
      <c r="M713" s="4"/>
      <c r="N713" s="38"/>
      <c r="O713" s="4"/>
      <c r="P713" s="4"/>
      <c r="Q713" s="4"/>
      <c r="R713" s="4"/>
      <c r="S713" s="4"/>
      <c r="T713" s="38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38"/>
      <c r="AN713" s="4"/>
      <c r="AO713" s="4"/>
      <c r="AP713" s="4"/>
      <c r="AQ713" s="4"/>
      <c r="AR713" s="4"/>
      <c r="AS713" s="4"/>
      <c r="AT713" s="4"/>
      <c r="AU713" s="4"/>
      <c r="AV713" s="4"/>
      <c r="AW713" s="4"/>
      <c r="AX713" s="4"/>
      <c r="AY713" s="4"/>
      <c r="AZ713" s="4"/>
      <c r="BA713" s="4"/>
      <c r="BB713" s="4"/>
      <c r="BC713" s="4"/>
      <c r="BD713" s="4"/>
      <c r="BE713" s="4"/>
      <c r="BF713" s="4"/>
      <c r="BG713" s="4"/>
      <c r="BH713" s="4"/>
      <c r="BI713" s="4"/>
      <c r="BJ713" s="4"/>
      <c r="BK713" s="4"/>
      <c r="BL713" s="4"/>
      <c r="BM713" s="4"/>
      <c r="BN713" s="4"/>
      <c r="BO713" s="4"/>
      <c r="BP713" s="39"/>
      <c r="BQ713" s="39"/>
    </row>
    <row r="714" spans="3:69" ht="15.75" customHeight="1">
      <c r="C714" s="4"/>
      <c r="D714" s="4"/>
      <c r="E714" s="38"/>
      <c r="F714" s="38"/>
      <c r="G714" s="4"/>
      <c r="H714" s="4"/>
      <c r="I714" s="4"/>
      <c r="J714" s="4"/>
      <c r="K714" s="4"/>
      <c r="L714" s="4"/>
      <c r="M714" s="4"/>
      <c r="N714" s="38"/>
      <c r="O714" s="4"/>
      <c r="P714" s="4"/>
      <c r="Q714" s="4"/>
      <c r="R714" s="4"/>
      <c r="S714" s="4"/>
      <c r="T714" s="38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38"/>
      <c r="AN714" s="4"/>
      <c r="AO714" s="4"/>
      <c r="AP714" s="4"/>
      <c r="AQ714" s="4"/>
      <c r="AR714" s="4"/>
      <c r="AS714" s="4"/>
      <c r="AT714" s="4"/>
      <c r="AU714" s="4"/>
      <c r="AV714" s="4"/>
      <c r="AW714" s="4"/>
      <c r="AX714" s="4"/>
      <c r="AY714" s="4"/>
      <c r="AZ714" s="4"/>
      <c r="BA714" s="4"/>
      <c r="BB714" s="4"/>
      <c r="BC714" s="4"/>
      <c r="BD714" s="4"/>
      <c r="BE714" s="4"/>
      <c r="BF714" s="4"/>
      <c r="BG714" s="4"/>
      <c r="BH714" s="4"/>
      <c r="BI714" s="4"/>
      <c r="BJ714" s="4"/>
      <c r="BK714" s="4"/>
      <c r="BL714" s="4"/>
      <c r="BM714" s="4"/>
      <c r="BN714" s="4"/>
      <c r="BO714" s="4"/>
      <c r="BP714" s="39"/>
      <c r="BQ714" s="39"/>
    </row>
    <row r="715" spans="3:69" ht="15.75" customHeight="1">
      <c r="C715" s="4"/>
      <c r="D715" s="4"/>
      <c r="E715" s="38"/>
      <c r="F715" s="38"/>
      <c r="G715" s="4"/>
      <c r="H715" s="4"/>
      <c r="I715" s="4"/>
      <c r="J715" s="4"/>
      <c r="K715" s="4"/>
      <c r="L715" s="4"/>
      <c r="M715" s="4"/>
      <c r="N715" s="38"/>
      <c r="O715" s="4"/>
      <c r="P715" s="4"/>
      <c r="Q715" s="4"/>
      <c r="R715" s="4"/>
      <c r="S715" s="4"/>
      <c r="T715" s="38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38"/>
      <c r="AN715" s="4"/>
      <c r="AO715" s="4"/>
      <c r="AP715" s="4"/>
      <c r="AQ715" s="4"/>
      <c r="AR715" s="4"/>
      <c r="AS715" s="4"/>
      <c r="AT715" s="4"/>
      <c r="AU715" s="4"/>
      <c r="AV715" s="4"/>
      <c r="AW715" s="4"/>
      <c r="AX715" s="4"/>
      <c r="AY715" s="4"/>
      <c r="AZ715" s="4"/>
      <c r="BA715" s="4"/>
      <c r="BB715" s="4"/>
      <c r="BC715" s="4"/>
      <c r="BD715" s="4"/>
      <c r="BE715" s="4"/>
      <c r="BF715" s="4"/>
      <c r="BG715" s="4"/>
      <c r="BH715" s="4"/>
      <c r="BI715" s="4"/>
      <c r="BJ715" s="4"/>
      <c r="BK715" s="4"/>
      <c r="BL715" s="4"/>
      <c r="BM715" s="4"/>
      <c r="BN715" s="4"/>
      <c r="BO715" s="4"/>
      <c r="BP715" s="39"/>
      <c r="BQ715" s="39"/>
    </row>
    <row r="716" spans="3:69" ht="15.75" customHeight="1">
      <c r="C716" s="4"/>
      <c r="D716" s="4"/>
      <c r="E716" s="38"/>
      <c r="F716" s="38"/>
      <c r="G716" s="4"/>
      <c r="H716" s="4"/>
      <c r="I716" s="4"/>
      <c r="J716" s="4"/>
      <c r="K716" s="4"/>
      <c r="L716" s="4"/>
      <c r="M716" s="4"/>
      <c r="N716" s="38"/>
      <c r="O716" s="4"/>
      <c r="P716" s="4"/>
      <c r="Q716" s="4"/>
      <c r="R716" s="4"/>
      <c r="S716" s="4"/>
      <c r="T716" s="38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38"/>
      <c r="AN716" s="4"/>
      <c r="AO716" s="4"/>
      <c r="AP716" s="4"/>
      <c r="AQ716" s="4"/>
      <c r="AR716" s="4"/>
      <c r="AS716" s="4"/>
      <c r="AT716" s="4"/>
      <c r="AU716" s="4"/>
      <c r="AV716" s="4"/>
      <c r="AW716" s="4"/>
      <c r="AX716" s="4"/>
      <c r="AY716" s="4"/>
      <c r="AZ716" s="4"/>
      <c r="BA716" s="4"/>
      <c r="BB716" s="4"/>
      <c r="BC716" s="4"/>
      <c r="BD716" s="4"/>
      <c r="BE716" s="4"/>
      <c r="BF716" s="4"/>
      <c r="BG716" s="4"/>
      <c r="BH716" s="4"/>
      <c r="BI716" s="4"/>
      <c r="BJ716" s="4"/>
      <c r="BK716" s="4"/>
      <c r="BL716" s="4"/>
      <c r="BM716" s="4"/>
      <c r="BN716" s="4"/>
      <c r="BO716" s="4"/>
      <c r="BP716" s="39"/>
      <c r="BQ716" s="39"/>
    </row>
    <row r="717" spans="3:69" ht="15.75" customHeight="1">
      <c r="C717" s="4"/>
      <c r="D717" s="4"/>
      <c r="E717" s="38"/>
      <c r="F717" s="38"/>
      <c r="G717" s="4"/>
      <c r="H717" s="4"/>
      <c r="I717" s="4"/>
      <c r="J717" s="4"/>
      <c r="K717" s="4"/>
      <c r="L717" s="4"/>
      <c r="M717" s="4"/>
      <c r="N717" s="38"/>
      <c r="O717" s="4"/>
      <c r="P717" s="4"/>
      <c r="Q717" s="4"/>
      <c r="R717" s="4"/>
      <c r="S717" s="4"/>
      <c r="T717" s="38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38"/>
      <c r="AN717" s="4"/>
      <c r="AO717" s="4"/>
      <c r="AP717" s="4"/>
      <c r="AQ717" s="4"/>
      <c r="AR717" s="4"/>
      <c r="AS717" s="4"/>
      <c r="AT717" s="4"/>
      <c r="AU717" s="4"/>
      <c r="AV717" s="4"/>
      <c r="AW717" s="4"/>
      <c r="AX717" s="4"/>
      <c r="AY717" s="4"/>
      <c r="AZ717" s="4"/>
      <c r="BA717" s="4"/>
      <c r="BB717" s="4"/>
      <c r="BC717" s="4"/>
      <c r="BD717" s="4"/>
      <c r="BE717" s="4"/>
      <c r="BF717" s="4"/>
      <c r="BG717" s="4"/>
      <c r="BH717" s="4"/>
      <c r="BI717" s="4"/>
      <c r="BJ717" s="4"/>
      <c r="BK717" s="4"/>
      <c r="BL717" s="4"/>
      <c r="BM717" s="4"/>
      <c r="BN717" s="4"/>
      <c r="BO717" s="4"/>
      <c r="BP717" s="39"/>
      <c r="BQ717" s="39"/>
    </row>
    <row r="718" spans="3:69" ht="15.75" customHeight="1">
      <c r="C718" s="4"/>
      <c r="D718" s="4"/>
      <c r="E718" s="38"/>
      <c r="F718" s="38"/>
      <c r="G718" s="4"/>
      <c r="H718" s="4"/>
      <c r="I718" s="4"/>
      <c r="J718" s="4"/>
      <c r="K718" s="4"/>
      <c r="L718" s="4"/>
      <c r="M718" s="4"/>
      <c r="N718" s="38"/>
      <c r="O718" s="4"/>
      <c r="P718" s="4"/>
      <c r="Q718" s="4"/>
      <c r="R718" s="4"/>
      <c r="S718" s="4"/>
      <c r="T718" s="38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38"/>
      <c r="AN718" s="4"/>
      <c r="AO718" s="4"/>
      <c r="AP718" s="4"/>
      <c r="AQ718" s="4"/>
      <c r="AR718" s="4"/>
      <c r="AS718" s="4"/>
      <c r="AT718" s="4"/>
      <c r="AU718" s="4"/>
      <c r="AV718" s="4"/>
      <c r="AW718" s="4"/>
      <c r="AX718" s="4"/>
      <c r="AY718" s="4"/>
      <c r="AZ718" s="4"/>
      <c r="BA718" s="4"/>
      <c r="BB718" s="4"/>
      <c r="BC718" s="4"/>
      <c r="BD718" s="4"/>
      <c r="BE718" s="4"/>
      <c r="BF718" s="4"/>
      <c r="BG718" s="4"/>
      <c r="BH718" s="4"/>
      <c r="BI718" s="4"/>
      <c r="BJ718" s="4"/>
      <c r="BK718" s="4"/>
      <c r="BL718" s="4"/>
      <c r="BM718" s="4"/>
      <c r="BN718" s="4"/>
      <c r="BO718" s="4"/>
      <c r="BP718" s="39"/>
      <c r="BQ718" s="39"/>
    </row>
    <row r="719" spans="3:69" ht="15.75" customHeight="1">
      <c r="C719" s="4"/>
      <c r="D719" s="4"/>
      <c r="E719" s="38"/>
      <c r="F719" s="38"/>
      <c r="G719" s="4"/>
      <c r="H719" s="4"/>
      <c r="I719" s="4"/>
      <c r="J719" s="4"/>
      <c r="K719" s="4"/>
      <c r="L719" s="4"/>
      <c r="M719" s="4"/>
      <c r="N719" s="38"/>
      <c r="O719" s="4"/>
      <c r="P719" s="4"/>
      <c r="Q719" s="4"/>
      <c r="R719" s="4"/>
      <c r="S719" s="4"/>
      <c r="T719" s="38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38"/>
      <c r="AN719" s="4"/>
      <c r="AO719" s="4"/>
      <c r="AP719" s="4"/>
      <c r="AQ719" s="4"/>
      <c r="AR719" s="4"/>
      <c r="AS719" s="4"/>
      <c r="AT719" s="4"/>
      <c r="AU719" s="4"/>
      <c r="AV719" s="4"/>
      <c r="AW719" s="4"/>
      <c r="AX719" s="4"/>
      <c r="AY719" s="4"/>
      <c r="AZ719" s="4"/>
      <c r="BA719" s="4"/>
      <c r="BB719" s="4"/>
      <c r="BC719" s="4"/>
      <c r="BD719" s="4"/>
      <c r="BE719" s="4"/>
      <c r="BF719" s="4"/>
      <c r="BG719" s="4"/>
      <c r="BH719" s="4"/>
      <c r="BI719" s="4"/>
      <c r="BJ719" s="4"/>
      <c r="BK719" s="4"/>
      <c r="BL719" s="4"/>
      <c r="BM719" s="4"/>
      <c r="BN719" s="4"/>
      <c r="BO719" s="4"/>
      <c r="BP719" s="39"/>
      <c r="BQ719" s="39"/>
    </row>
    <row r="720" spans="3:69" ht="15.75" customHeight="1">
      <c r="C720" s="4"/>
      <c r="D720" s="4"/>
      <c r="E720" s="38"/>
      <c r="F720" s="38"/>
      <c r="G720" s="4"/>
      <c r="H720" s="4"/>
      <c r="I720" s="4"/>
      <c r="J720" s="4"/>
      <c r="K720" s="4"/>
      <c r="L720" s="4"/>
      <c r="M720" s="4"/>
      <c r="N720" s="38"/>
      <c r="O720" s="4"/>
      <c r="P720" s="4"/>
      <c r="Q720" s="4"/>
      <c r="R720" s="4"/>
      <c r="S720" s="4"/>
      <c r="T720" s="38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38"/>
      <c r="AN720" s="4"/>
      <c r="AO720" s="4"/>
      <c r="AP720" s="4"/>
      <c r="AQ720" s="4"/>
      <c r="AR720" s="4"/>
      <c r="AS720" s="4"/>
      <c r="AT720" s="4"/>
      <c r="AU720" s="4"/>
      <c r="AV720" s="4"/>
      <c r="AW720" s="4"/>
      <c r="AX720" s="4"/>
      <c r="AY720" s="4"/>
      <c r="AZ720" s="4"/>
      <c r="BA720" s="4"/>
      <c r="BB720" s="4"/>
      <c r="BC720" s="4"/>
      <c r="BD720" s="4"/>
      <c r="BE720" s="4"/>
      <c r="BF720" s="4"/>
      <c r="BG720" s="4"/>
      <c r="BH720" s="4"/>
      <c r="BI720" s="4"/>
      <c r="BJ720" s="4"/>
      <c r="BK720" s="4"/>
      <c r="BL720" s="4"/>
      <c r="BM720" s="4"/>
      <c r="BN720" s="4"/>
      <c r="BO720" s="4"/>
      <c r="BP720" s="39"/>
      <c r="BQ720" s="39"/>
    </row>
    <row r="721" spans="3:69" ht="15.75" customHeight="1">
      <c r="C721" s="4"/>
      <c r="D721" s="4"/>
      <c r="E721" s="38"/>
      <c r="F721" s="38"/>
      <c r="G721" s="4"/>
      <c r="H721" s="4"/>
      <c r="I721" s="4"/>
      <c r="J721" s="4"/>
      <c r="K721" s="4"/>
      <c r="L721" s="4"/>
      <c r="M721" s="4"/>
      <c r="N721" s="38"/>
      <c r="O721" s="4"/>
      <c r="P721" s="4"/>
      <c r="Q721" s="4"/>
      <c r="R721" s="4"/>
      <c r="S721" s="4"/>
      <c r="T721" s="38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38"/>
      <c r="AN721" s="4"/>
      <c r="AO721" s="4"/>
      <c r="AP721" s="4"/>
      <c r="AQ721" s="4"/>
      <c r="AR721" s="4"/>
      <c r="AS721" s="4"/>
      <c r="AT721" s="4"/>
      <c r="AU721" s="4"/>
      <c r="AV721" s="4"/>
      <c r="AW721" s="4"/>
      <c r="AX721" s="4"/>
      <c r="AY721" s="4"/>
      <c r="AZ721" s="4"/>
      <c r="BA721" s="4"/>
      <c r="BB721" s="4"/>
      <c r="BC721" s="4"/>
      <c r="BD721" s="4"/>
      <c r="BE721" s="4"/>
      <c r="BF721" s="4"/>
      <c r="BG721" s="4"/>
      <c r="BH721" s="4"/>
      <c r="BI721" s="4"/>
      <c r="BJ721" s="4"/>
      <c r="BK721" s="4"/>
      <c r="BL721" s="4"/>
      <c r="BM721" s="4"/>
      <c r="BN721" s="4"/>
      <c r="BO721" s="4"/>
      <c r="BP721" s="39"/>
      <c r="BQ721" s="39"/>
    </row>
    <row r="722" spans="3:69" ht="15.75" customHeight="1">
      <c r="C722" s="4"/>
      <c r="D722" s="4"/>
      <c r="E722" s="38"/>
      <c r="F722" s="38"/>
      <c r="G722" s="4"/>
      <c r="H722" s="4"/>
      <c r="I722" s="4"/>
      <c r="J722" s="4"/>
      <c r="K722" s="4"/>
      <c r="L722" s="4"/>
      <c r="M722" s="4"/>
      <c r="N722" s="38"/>
      <c r="O722" s="4"/>
      <c r="P722" s="4"/>
      <c r="Q722" s="4"/>
      <c r="R722" s="4"/>
      <c r="S722" s="4"/>
      <c r="T722" s="38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38"/>
      <c r="AN722" s="4"/>
      <c r="AO722" s="4"/>
      <c r="AP722" s="4"/>
      <c r="AQ722" s="4"/>
      <c r="AR722" s="4"/>
      <c r="AS722" s="4"/>
      <c r="AT722" s="4"/>
      <c r="AU722" s="4"/>
      <c r="AV722" s="4"/>
      <c r="AW722" s="4"/>
      <c r="AX722" s="4"/>
      <c r="AY722" s="4"/>
      <c r="AZ722" s="4"/>
      <c r="BA722" s="4"/>
      <c r="BB722" s="4"/>
      <c r="BC722" s="4"/>
      <c r="BD722" s="4"/>
      <c r="BE722" s="4"/>
      <c r="BF722" s="4"/>
      <c r="BG722" s="4"/>
      <c r="BH722" s="4"/>
      <c r="BI722" s="4"/>
      <c r="BJ722" s="4"/>
      <c r="BK722" s="4"/>
      <c r="BL722" s="4"/>
      <c r="BM722" s="4"/>
      <c r="BN722" s="4"/>
      <c r="BO722" s="4"/>
      <c r="BP722" s="39"/>
      <c r="BQ722" s="39"/>
    </row>
    <row r="723" spans="3:69" ht="15.75" customHeight="1">
      <c r="C723" s="4"/>
      <c r="D723" s="4"/>
      <c r="E723" s="38"/>
      <c r="F723" s="38"/>
      <c r="G723" s="4"/>
      <c r="H723" s="4"/>
      <c r="I723" s="4"/>
      <c r="J723" s="4"/>
      <c r="K723" s="4"/>
      <c r="L723" s="4"/>
      <c r="M723" s="4"/>
      <c r="N723" s="38"/>
      <c r="O723" s="4"/>
      <c r="P723" s="4"/>
      <c r="Q723" s="4"/>
      <c r="R723" s="4"/>
      <c r="S723" s="4"/>
      <c r="T723" s="38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38"/>
      <c r="AN723" s="4"/>
      <c r="AO723" s="4"/>
      <c r="AP723" s="4"/>
      <c r="AQ723" s="4"/>
      <c r="AR723" s="4"/>
      <c r="AS723" s="4"/>
      <c r="AT723" s="4"/>
      <c r="AU723" s="4"/>
      <c r="AV723" s="4"/>
      <c r="AW723" s="4"/>
      <c r="AX723" s="4"/>
      <c r="AY723" s="4"/>
      <c r="AZ723" s="4"/>
      <c r="BA723" s="4"/>
      <c r="BB723" s="4"/>
      <c r="BC723" s="4"/>
      <c r="BD723" s="4"/>
      <c r="BE723" s="4"/>
      <c r="BF723" s="4"/>
      <c r="BG723" s="4"/>
      <c r="BH723" s="4"/>
      <c r="BI723" s="4"/>
      <c r="BJ723" s="4"/>
      <c r="BK723" s="4"/>
      <c r="BL723" s="4"/>
      <c r="BM723" s="4"/>
      <c r="BN723" s="4"/>
      <c r="BO723" s="4"/>
      <c r="BP723" s="39"/>
      <c r="BQ723" s="39"/>
    </row>
    <row r="724" spans="3:69" ht="15.75" customHeight="1">
      <c r="C724" s="4"/>
      <c r="D724" s="4"/>
      <c r="E724" s="38"/>
      <c r="F724" s="38"/>
      <c r="G724" s="4"/>
      <c r="H724" s="4"/>
      <c r="I724" s="4"/>
      <c r="J724" s="4"/>
      <c r="K724" s="4"/>
      <c r="L724" s="4"/>
      <c r="M724" s="4"/>
      <c r="N724" s="38"/>
      <c r="O724" s="4"/>
      <c r="P724" s="4"/>
      <c r="Q724" s="4"/>
      <c r="R724" s="4"/>
      <c r="S724" s="4"/>
      <c r="T724" s="38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38"/>
      <c r="AN724" s="4"/>
      <c r="AO724" s="4"/>
      <c r="AP724" s="4"/>
      <c r="AQ724" s="4"/>
      <c r="AR724" s="4"/>
      <c r="AS724" s="4"/>
      <c r="AT724" s="4"/>
      <c r="AU724" s="4"/>
      <c r="AV724" s="4"/>
      <c r="AW724" s="4"/>
      <c r="AX724" s="4"/>
      <c r="AY724" s="4"/>
      <c r="AZ724" s="4"/>
      <c r="BA724" s="4"/>
      <c r="BB724" s="4"/>
      <c r="BC724" s="4"/>
      <c r="BD724" s="4"/>
      <c r="BE724" s="4"/>
      <c r="BF724" s="4"/>
      <c r="BG724" s="4"/>
      <c r="BH724" s="4"/>
      <c r="BI724" s="4"/>
      <c r="BJ724" s="4"/>
      <c r="BK724" s="4"/>
      <c r="BL724" s="4"/>
      <c r="BM724" s="4"/>
      <c r="BN724" s="4"/>
      <c r="BO724" s="4"/>
      <c r="BP724" s="39"/>
      <c r="BQ724" s="39"/>
    </row>
    <row r="725" spans="3:69" ht="15.75" customHeight="1">
      <c r="C725" s="4"/>
      <c r="D725" s="4"/>
      <c r="E725" s="38"/>
      <c r="F725" s="38"/>
      <c r="G725" s="4"/>
      <c r="H725" s="4"/>
      <c r="I725" s="4"/>
      <c r="J725" s="4"/>
      <c r="K725" s="4"/>
      <c r="L725" s="4"/>
      <c r="M725" s="4"/>
      <c r="N725" s="38"/>
      <c r="O725" s="4"/>
      <c r="P725" s="4"/>
      <c r="Q725" s="4"/>
      <c r="R725" s="4"/>
      <c r="S725" s="4"/>
      <c r="T725" s="38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38"/>
      <c r="AN725" s="4"/>
      <c r="AO725" s="4"/>
      <c r="AP725" s="4"/>
      <c r="AQ725" s="4"/>
      <c r="AR725" s="4"/>
      <c r="AS725" s="4"/>
      <c r="AT725" s="4"/>
      <c r="AU725" s="4"/>
      <c r="AV725" s="4"/>
      <c r="AW725" s="4"/>
      <c r="AX725" s="4"/>
      <c r="AY725" s="4"/>
      <c r="AZ725" s="4"/>
      <c r="BA725" s="4"/>
      <c r="BB725" s="4"/>
      <c r="BC725" s="4"/>
      <c r="BD725" s="4"/>
      <c r="BE725" s="4"/>
      <c r="BF725" s="4"/>
      <c r="BG725" s="4"/>
      <c r="BH725" s="4"/>
      <c r="BI725" s="4"/>
      <c r="BJ725" s="4"/>
      <c r="BK725" s="4"/>
      <c r="BL725" s="4"/>
      <c r="BM725" s="4"/>
      <c r="BN725" s="4"/>
      <c r="BO725" s="4"/>
      <c r="BP725" s="39"/>
      <c r="BQ725" s="39"/>
    </row>
    <row r="726" spans="3:69" ht="15.75" customHeight="1">
      <c r="C726" s="4"/>
      <c r="D726" s="4"/>
      <c r="E726" s="38"/>
      <c r="F726" s="38"/>
      <c r="G726" s="4"/>
      <c r="H726" s="4"/>
      <c r="I726" s="4"/>
      <c r="J726" s="4"/>
      <c r="K726" s="4"/>
      <c r="L726" s="4"/>
      <c r="M726" s="4"/>
      <c r="N726" s="38"/>
      <c r="O726" s="4"/>
      <c r="P726" s="4"/>
      <c r="Q726" s="4"/>
      <c r="R726" s="4"/>
      <c r="S726" s="4"/>
      <c r="T726" s="38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38"/>
      <c r="AN726" s="4"/>
      <c r="AO726" s="4"/>
      <c r="AP726" s="4"/>
      <c r="AQ726" s="4"/>
      <c r="AR726" s="4"/>
      <c r="AS726" s="4"/>
      <c r="AT726" s="4"/>
      <c r="AU726" s="4"/>
      <c r="AV726" s="4"/>
      <c r="AW726" s="4"/>
      <c r="AX726" s="4"/>
      <c r="AY726" s="4"/>
      <c r="AZ726" s="4"/>
      <c r="BA726" s="4"/>
      <c r="BB726" s="4"/>
      <c r="BC726" s="4"/>
      <c r="BD726" s="4"/>
      <c r="BE726" s="4"/>
      <c r="BF726" s="4"/>
      <c r="BG726" s="4"/>
      <c r="BH726" s="4"/>
      <c r="BI726" s="4"/>
      <c r="BJ726" s="4"/>
      <c r="BK726" s="4"/>
      <c r="BL726" s="4"/>
      <c r="BM726" s="4"/>
      <c r="BN726" s="4"/>
      <c r="BO726" s="4"/>
      <c r="BP726" s="39"/>
      <c r="BQ726" s="39"/>
    </row>
    <row r="727" spans="3:69" ht="15.75" customHeight="1">
      <c r="C727" s="4"/>
      <c r="D727" s="4"/>
      <c r="E727" s="38"/>
      <c r="F727" s="38"/>
      <c r="G727" s="4"/>
      <c r="H727" s="4"/>
      <c r="I727" s="4"/>
      <c r="J727" s="4"/>
      <c r="K727" s="4"/>
      <c r="L727" s="4"/>
      <c r="M727" s="4"/>
      <c r="N727" s="38"/>
      <c r="O727" s="4"/>
      <c r="P727" s="4"/>
      <c r="Q727" s="4"/>
      <c r="R727" s="4"/>
      <c r="S727" s="4"/>
      <c r="T727" s="38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38"/>
      <c r="AN727" s="4"/>
      <c r="AO727" s="4"/>
      <c r="AP727" s="4"/>
      <c r="AQ727" s="4"/>
      <c r="AR727" s="4"/>
      <c r="AS727" s="4"/>
      <c r="AT727" s="4"/>
      <c r="AU727" s="4"/>
      <c r="AV727" s="4"/>
      <c r="AW727" s="4"/>
      <c r="AX727" s="4"/>
      <c r="AY727" s="4"/>
      <c r="AZ727" s="4"/>
      <c r="BA727" s="4"/>
      <c r="BB727" s="4"/>
      <c r="BC727" s="4"/>
      <c r="BD727" s="4"/>
      <c r="BE727" s="4"/>
      <c r="BF727" s="4"/>
      <c r="BG727" s="4"/>
      <c r="BH727" s="4"/>
      <c r="BI727" s="4"/>
      <c r="BJ727" s="4"/>
      <c r="BK727" s="4"/>
      <c r="BL727" s="4"/>
      <c r="BM727" s="4"/>
      <c r="BN727" s="4"/>
      <c r="BO727" s="4"/>
      <c r="BP727" s="39"/>
      <c r="BQ727" s="39"/>
    </row>
    <row r="728" spans="3:69" ht="15.75" customHeight="1">
      <c r="C728" s="4"/>
      <c r="D728" s="4"/>
      <c r="E728" s="38"/>
      <c r="F728" s="38"/>
      <c r="G728" s="4"/>
      <c r="H728" s="4"/>
      <c r="I728" s="4"/>
      <c r="J728" s="4"/>
      <c r="K728" s="4"/>
      <c r="L728" s="4"/>
      <c r="M728" s="4"/>
      <c r="N728" s="38"/>
      <c r="O728" s="4"/>
      <c r="P728" s="4"/>
      <c r="Q728" s="4"/>
      <c r="R728" s="4"/>
      <c r="S728" s="4"/>
      <c r="T728" s="38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38"/>
      <c r="AN728" s="4"/>
      <c r="AO728" s="4"/>
      <c r="AP728" s="4"/>
      <c r="AQ728" s="4"/>
      <c r="AR728" s="4"/>
      <c r="AS728" s="4"/>
      <c r="AT728" s="4"/>
      <c r="AU728" s="4"/>
      <c r="AV728" s="4"/>
      <c r="AW728" s="4"/>
      <c r="AX728" s="4"/>
      <c r="AY728" s="4"/>
      <c r="AZ728" s="4"/>
      <c r="BA728" s="4"/>
      <c r="BB728" s="4"/>
      <c r="BC728" s="4"/>
      <c r="BD728" s="4"/>
      <c r="BE728" s="4"/>
      <c r="BF728" s="4"/>
      <c r="BG728" s="4"/>
      <c r="BH728" s="4"/>
      <c r="BI728" s="4"/>
      <c r="BJ728" s="4"/>
      <c r="BK728" s="4"/>
      <c r="BL728" s="4"/>
      <c r="BM728" s="4"/>
      <c r="BN728" s="4"/>
      <c r="BO728" s="4"/>
      <c r="BP728" s="39"/>
      <c r="BQ728" s="39"/>
    </row>
    <row r="729" spans="3:69" ht="15.75" customHeight="1">
      <c r="C729" s="4"/>
      <c r="D729" s="4"/>
      <c r="E729" s="38"/>
      <c r="F729" s="38"/>
      <c r="G729" s="4"/>
      <c r="H729" s="4"/>
      <c r="I729" s="4"/>
      <c r="J729" s="4"/>
      <c r="K729" s="4"/>
      <c r="L729" s="4"/>
      <c r="M729" s="4"/>
      <c r="N729" s="38"/>
      <c r="O729" s="4"/>
      <c r="P729" s="4"/>
      <c r="Q729" s="4"/>
      <c r="R729" s="4"/>
      <c r="S729" s="4"/>
      <c r="T729" s="38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38"/>
      <c r="AN729" s="4"/>
      <c r="AO729" s="4"/>
      <c r="AP729" s="4"/>
      <c r="AQ729" s="4"/>
      <c r="AR729" s="4"/>
      <c r="AS729" s="4"/>
      <c r="AT729" s="4"/>
      <c r="AU729" s="4"/>
      <c r="AV729" s="4"/>
      <c r="AW729" s="4"/>
      <c r="AX729" s="4"/>
      <c r="AY729" s="4"/>
      <c r="AZ729" s="4"/>
      <c r="BA729" s="4"/>
      <c r="BB729" s="4"/>
      <c r="BC729" s="4"/>
      <c r="BD729" s="4"/>
      <c r="BE729" s="4"/>
      <c r="BF729" s="4"/>
      <c r="BG729" s="4"/>
      <c r="BH729" s="4"/>
      <c r="BI729" s="4"/>
      <c r="BJ729" s="4"/>
      <c r="BK729" s="4"/>
      <c r="BL729" s="4"/>
      <c r="BM729" s="4"/>
      <c r="BN729" s="4"/>
      <c r="BO729" s="4"/>
      <c r="BP729" s="39"/>
      <c r="BQ729" s="39"/>
    </row>
    <row r="730" spans="3:69" ht="15.75" customHeight="1">
      <c r="C730" s="4"/>
      <c r="D730" s="4"/>
      <c r="E730" s="38"/>
      <c r="F730" s="38"/>
      <c r="G730" s="4"/>
      <c r="H730" s="4"/>
      <c r="I730" s="4"/>
      <c r="J730" s="4"/>
      <c r="K730" s="4"/>
      <c r="L730" s="4"/>
      <c r="M730" s="4"/>
      <c r="N730" s="38"/>
      <c r="O730" s="4"/>
      <c r="P730" s="4"/>
      <c r="Q730" s="4"/>
      <c r="R730" s="4"/>
      <c r="S730" s="4"/>
      <c r="T730" s="38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38"/>
      <c r="AN730" s="4"/>
      <c r="AO730" s="4"/>
      <c r="AP730" s="4"/>
      <c r="AQ730" s="4"/>
      <c r="AR730" s="4"/>
      <c r="AS730" s="4"/>
      <c r="AT730" s="4"/>
      <c r="AU730" s="4"/>
      <c r="AV730" s="4"/>
      <c r="AW730" s="4"/>
      <c r="AX730" s="4"/>
      <c r="AY730" s="4"/>
      <c r="AZ730" s="4"/>
      <c r="BA730" s="4"/>
      <c r="BB730" s="4"/>
      <c r="BC730" s="4"/>
      <c r="BD730" s="4"/>
      <c r="BE730" s="4"/>
      <c r="BF730" s="4"/>
      <c r="BG730" s="4"/>
      <c r="BH730" s="4"/>
      <c r="BI730" s="4"/>
      <c r="BJ730" s="4"/>
      <c r="BK730" s="4"/>
      <c r="BL730" s="4"/>
      <c r="BM730" s="4"/>
      <c r="BN730" s="4"/>
      <c r="BO730" s="4"/>
      <c r="BP730" s="39"/>
      <c r="BQ730" s="39"/>
    </row>
    <row r="731" spans="3:69" ht="15.75" customHeight="1">
      <c r="C731" s="4"/>
      <c r="D731" s="4"/>
      <c r="E731" s="38"/>
      <c r="F731" s="38"/>
      <c r="G731" s="4"/>
      <c r="H731" s="4"/>
      <c r="I731" s="4"/>
      <c r="J731" s="4"/>
      <c r="K731" s="4"/>
      <c r="L731" s="4"/>
      <c r="M731" s="4"/>
      <c r="N731" s="38"/>
      <c r="O731" s="4"/>
      <c r="P731" s="4"/>
      <c r="Q731" s="4"/>
      <c r="R731" s="4"/>
      <c r="S731" s="4"/>
      <c r="T731" s="38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38"/>
      <c r="AN731" s="4"/>
      <c r="AO731" s="4"/>
      <c r="AP731" s="4"/>
      <c r="AQ731" s="4"/>
      <c r="AR731" s="4"/>
      <c r="AS731" s="4"/>
      <c r="AT731" s="4"/>
      <c r="AU731" s="4"/>
      <c r="AV731" s="4"/>
      <c r="AW731" s="4"/>
      <c r="AX731" s="4"/>
      <c r="AY731" s="4"/>
      <c r="AZ731" s="4"/>
      <c r="BA731" s="4"/>
      <c r="BB731" s="4"/>
      <c r="BC731" s="4"/>
      <c r="BD731" s="4"/>
      <c r="BE731" s="4"/>
      <c r="BF731" s="4"/>
      <c r="BG731" s="4"/>
      <c r="BH731" s="4"/>
      <c r="BI731" s="4"/>
      <c r="BJ731" s="4"/>
      <c r="BK731" s="4"/>
      <c r="BL731" s="4"/>
      <c r="BM731" s="4"/>
      <c r="BN731" s="4"/>
      <c r="BO731" s="4"/>
      <c r="BP731" s="39"/>
      <c r="BQ731" s="39"/>
    </row>
    <row r="732" spans="3:69" ht="15.75" customHeight="1">
      <c r="C732" s="4"/>
      <c r="D732" s="4"/>
      <c r="E732" s="38"/>
      <c r="F732" s="38"/>
      <c r="G732" s="4"/>
      <c r="H732" s="4"/>
      <c r="I732" s="4"/>
      <c r="J732" s="4"/>
      <c r="K732" s="4"/>
      <c r="L732" s="4"/>
      <c r="M732" s="4"/>
      <c r="N732" s="38"/>
      <c r="O732" s="4"/>
      <c r="P732" s="4"/>
      <c r="Q732" s="4"/>
      <c r="R732" s="4"/>
      <c r="S732" s="4"/>
      <c r="T732" s="38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38"/>
      <c r="AN732" s="4"/>
      <c r="AO732" s="4"/>
      <c r="AP732" s="4"/>
      <c r="AQ732" s="4"/>
      <c r="AR732" s="4"/>
      <c r="AS732" s="4"/>
      <c r="AT732" s="4"/>
      <c r="AU732" s="4"/>
      <c r="AV732" s="4"/>
      <c r="AW732" s="4"/>
      <c r="AX732" s="4"/>
      <c r="AY732" s="4"/>
      <c r="AZ732" s="4"/>
      <c r="BA732" s="4"/>
      <c r="BB732" s="4"/>
      <c r="BC732" s="4"/>
      <c r="BD732" s="4"/>
      <c r="BE732" s="4"/>
      <c r="BF732" s="4"/>
      <c r="BG732" s="4"/>
      <c r="BH732" s="4"/>
      <c r="BI732" s="4"/>
      <c r="BJ732" s="4"/>
      <c r="BK732" s="4"/>
      <c r="BL732" s="4"/>
      <c r="BM732" s="4"/>
      <c r="BN732" s="4"/>
      <c r="BO732" s="4"/>
      <c r="BP732" s="39"/>
      <c r="BQ732" s="39"/>
    </row>
    <row r="733" spans="3:69" ht="15.75" customHeight="1">
      <c r="C733" s="4"/>
      <c r="D733" s="4"/>
      <c r="E733" s="38"/>
      <c r="F733" s="38"/>
      <c r="G733" s="4"/>
      <c r="H733" s="4"/>
      <c r="I733" s="4"/>
      <c r="J733" s="4"/>
      <c r="K733" s="4"/>
      <c r="L733" s="4"/>
      <c r="M733" s="4"/>
      <c r="N733" s="38"/>
      <c r="O733" s="4"/>
      <c r="P733" s="4"/>
      <c r="Q733" s="4"/>
      <c r="R733" s="4"/>
      <c r="S733" s="4"/>
      <c r="T733" s="38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38"/>
      <c r="AN733" s="4"/>
      <c r="AO733" s="4"/>
      <c r="AP733" s="4"/>
      <c r="AQ733" s="4"/>
      <c r="AR733" s="4"/>
      <c r="AS733" s="4"/>
      <c r="AT733" s="4"/>
      <c r="AU733" s="4"/>
      <c r="AV733" s="4"/>
      <c r="AW733" s="4"/>
      <c r="AX733" s="4"/>
      <c r="AY733" s="4"/>
      <c r="AZ733" s="4"/>
      <c r="BA733" s="4"/>
      <c r="BB733" s="4"/>
      <c r="BC733" s="4"/>
      <c r="BD733" s="4"/>
      <c r="BE733" s="4"/>
      <c r="BF733" s="4"/>
      <c r="BG733" s="4"/>
      <c r="BH733" s="4"/>
      <c r="BI733" s="4"/>
      <c r="BJ733" s="4"/>
      <c r="BK733" s="4"/>
      <c r="BL733" s="4"/>
      <c r="BM733" s="4"/>
      <c r="BN733" s="4"/>
      <c r="BO733" s="4"/>
      <c r="BP733" s="39"/>
      <c r="BQ733" s="39"/>
    </row>
    <row r="734" spans="3:69" ht="15.75" customHeight="1">
      <c r="C734" s="4"/>
      <c r="D734" s="4"/>
      <c r="E734" s="38"/>
      <c r="F734" s="38"/>
      <c r="G734" s="4"/>
      <c r="H734" s="4"/>
      <c r="I734" s="4"/>
      <c r="J734" s="4"/>
      <c r="K734" s="4"/>
      <c r="L734" s="4"/>
      <c r="M734" s="4"/>
      <c r="N734" s="38"/>
      <c r="O734" s="4"/>
      <c r="P734" s="4"/>
      <c r="Q734" s="4"/>
      <c r="R734" s="4"/>
      <c r="S734" s="4"/>
      <c r="T734" s="38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38"/>
      <c r="AN734" s="4"/>
      <c r="AO734" s="4"/>
      <c r="AP734" s="4"/>
      <c r="AQ734" s="4"/>
      <c r="AR734" s="4"/>
      <c r="AS734" s="4"/>
      <c r="AT734" s="4"/>
      <c r="AU734" s="4"/>
      <c r="AV734" s="4"/>
      <c r="AW734" s="4"/>
      <c r="AX734" s="4"/>
      <c r="AY734" s="4"/>
      <c r="AZ734" s="4"/>
      <c r="BA734" s="4"/>
      <c r="BB734" s="4"/>
      <c r="BC734" s="4"/>
      <c r="BD734" s="4"/>
      <c r="BE734" s="4"/>
      <c r="BF734" s="4"/>
      <c r="BG734" s="4"/>
      <c r="BH734" s="4"/>
      <c r="BI734" s="4"/>
      <c r="BJ734" s="4"/>
      <c r="BK734" s="4"/>
      <c r="BL734" s="4"/>
      <c r="BM734" s="4"/>
      <c r="BN734" s="4"/>
      <c r="BO734" s="4"/>
      <c r="BP734" s="39"/>
      <c r="BQ734" s="39"/>
    </row>
    <row r="735" spans="3:69" ht="15.75" customHeight="1">
      <c r="C735" s="4"/>
      <c r="D735" s="4"/>
      <c r="E735" s="38"/>
      <c r="F735" s="38"/>
      <c r="G735" s="4"/>
      <c r="H735" s="4"/>
      <c r="I735" s="4"/>
      <c r="J735" s="4"/>
      <c r="K735" s="4"/>
      <c r="L735" s="4"/>
      <c r="M735" s="4"/>
      <c r="N735" s="38"/>
      <c r="O735" s="4"/>
      <c r="P735" s="4"/>
      <c r="Q735" s="4"/>
      <c r="R735" s="4"/>
      <c r="S735" s="4"/>
      <c r="T735" s="38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38"/>
      <c r="AN735" s="4"/>
      <c r="AO735" s="4"/>
      <c r="AP735" s="4"/>
      <c r="AQ735" s="4"/>
      <c r="AR735" s="4"/>
      <c r="AS735" s="4"/>
      <c r="AT735" s="4"/>
      <c r="AU735" s="4"/>
      <c r="AV735" s="4"/>
      <c r="AW735" s="4"/>
      <c r="AX735" s="4"/>
      <c r="AY735" s="4"/>
      <c r="AZ735" s="4"/>
      <c r="BA735" s="4"/>
      <c r="BB735" s="4"/>
      <c r="BC735" s="4"/>
      <c r="BD735" s="4"/>
      <c r="BE735" s="4"/>
      <c r="BF735" s="4"/>
      <c r="BG735" s="4"/>
      <c r="BH735" s="4"/>
      <c r="BI735" s="4"/>
      <c r="BJ735" s="4"/>
      <c r="BK735" s="4"/>
      <c r="BL735" s="4"/>
      <c r="BM735" s="4"/>
      <c r="BN735" s="4"/>
      <c r="BO735" s="4"/>
      <c r="BP735" s="39"/>
      <c r="BQ735" s="39"/>
    </row>
    <row r="736" spans="3:69" ht="15.75" customHeight="1">
      <c r="C736" s="4"/>
      <c r="D736" s="4"/>
      <c r="E736" s="38"/>
      <c r="F736" s="38"/>
      <c r="G736" s="4"/>
      <c r="H736" s="4"/>
      <c r="I736" s="4"/>
      <c r="J736" s="4"/>
      <c r="K736" s="4"/>
      <c r="L736" s="4"/>
      <c r="M736" s="4"/>
      <c r="N736" s="38"/>
      <c r="O736" s="4"/>
      <c r="P736" s="4"/>
      <c r="Q736" s="4"/>
      <c r="R736" s="4"/>
      <c r="S736" s="4"/>
      <c r="T736" s="38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38"/>
      <c r="AN736" s="4"/>
      <c r="AO736" s="4"/>
      <c r="AP736" s="4"/>
      <c r="AQ736" s="4"/>
      <c r="AR736" s="4"/>
      <c r="AS736" s="4"/>
      <c r="AT736" s="4"/>
      <c r="AU736" s="4"/>
      <c r="AV736" s="4"/>
      <c r="AW736" s="4"/>
      <c r="AX736" s="4"/>
      <c r="AY736" s="4"/>
      <c r="AZ736" s="4"/>
      <c r="BA736" s="4"/>
      <c r="BB736" s="4"/>
      <c r="BC736" s="4"/>
      <c r="BD736" s="4"/>
      <c r="BE736" s="4"/>
      <c r="BF736" s="4"/>
      <c r="BG736" s="4"/>
      <c r="BH736" s="4"/>
      <c r="BI736" s="4"/>
      <c r="BJ736" s="4"/>
      <c r="BK736" s="4"/>
      <c r="BL736" s="4"/>
      <c r="BM736" s="4"/>
      <c r="BN736" s="4"/>
      <c r="BO736" s="4"/>
      <c r="BP736" s="39"/>
      <c r="BQ736" s="39"/>
    </row>
    <row r="737" spans="3:69" ht="15.75" customHeight="1">
      <c r="C737" s="4"/>
      <c r="D737" s="4"/>
      <c r="E737" s="38"/>
      <c r="F737" s="38"/>
      <c r="G737" s="4"/>
      <c r="H737" s="4"/>
      <c r="I737" s="4"/>
      <c r="J737" s="4"/>
      <c r="K737" s="4"/>
      <c r="L737" s="4"/>
      <c r="M737" s="4"/>
      <c r="N737" s="38"/>
      <c r="O737" s="4"/>
      <c r="P737" s="4"/>
      <c r="Q737" s="4"/>
      <c r="R737" s="4"/>
      <c r="S737" s="4"/>
      <c r="T737" s="38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38"/>
      <c r="AN737" s="4"/>
      <c r="AO737" s="4"/>
      <c r="AP737" s="4"/>
      <c r="AQ737" s="4"/>
      <c r="AR737" s="4"/>
      <c r="AS737" s="4"/>
      <c r="AT737" s="4"/>
      <c r="AU737" s="4"/>
      <c r="AV737" s="4"/>
      <c r="AW737" s="4"/>
      <c r="AX737" s="4"/>
      <c r="AY737" s="4"/>
      <c r="AZ737" s="4"/>
      <c r="BA737" s="4"/>
      <c r="BB737" s="4"/>
      <c r="BC737" s="4"/>
      <c r="BD737" s="4"/>
      <c r="BE737" s="4"/>
      <c r="BF737" s="4"/>
      <c r="BG737" s="4"/>
      <c r="BH737" s="4"/>
      <c r="BI737" s="4"/>
      <c r="BJ737" s="4"/>
      <c r="BK737" s="4"/>
      <c r="BL737" s="4"/>
      <c r="BM737" s="4"/>
      <c r="BN737" s="4"/>
      <c r="BO737" s="4"/>
      <c r="BP737" s="39"/>
      <c r="BQ737" s="39"/>
    </row>
    <row r="738" spans="3:69" ht="15.75" customHeight="1">
      <c r="C738" s="4"/>
      <c r="D738" s="4"/>
      <c r="E738" s="38"/>
      <c r="F738" s="38"/>
      <c r="G738" s="4"/>
      <c r="H738" s="4"/>
      <c r="I738" s="4"/>
      <c r="J738" s="4"/>
      <c r="K738" s="4"/>
      <c r="L738" s="4"/>
      <c r="M738" s="4"/>
      <c r="N738" s="38"/>
      <c r="O738" s="4"/>
      <c r="P738" s="4"/>
      <c r="Q738" s="4"/>
      <c r="R738" s="4"/>
      <c r="S738" s="4"/>
      <c r="T738" s="38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38"/>
      <c r="AN738" s="4"/>
      <c r="AO738" s="4"/>
      <c r="AP738" s="4"/>
      <c r="AQ738" s="4"/>
      <c r="AR738" s="4"/>
      <c r="AS738" s="4"/>
      <c r="AT738" s="4"/>
      <c r="AU738" s="4"/>
      <c r="AV738" s="4"/>
      <c r="AW738" s="4"/>
      <c r="AX738" s="4"/>
      <c r="AY738" s="4"/>
      <c r="AZ738" s="4"/>
      <c r="BA738" s="4"/>
      <c r="BB738" s="4"/>
      <c r="BC738" s="4"/>
      <c r="BD738" s="4"/>
      <c r="BE738" s="4"/>
      <c r="BF738" s="4"/>
      <c r="BG738" s="4"/>
      <c r="BH738" s="4"/>
      <c r="BI738" s="4"/>
      <c r="BJ738" s="4"/>
      <c r="BK738" s="4"/>
      <c r="BL738" s="4"/>
      <c r="BM738" s="4"/>
      <c r="BN738" s="4"/>
      <c r="BO738" s="4"/>
      <c r="BP738" s="39"/>
      <c r="BQ738" s="39"/>
    </row>
    <row r="739" spans="3:69" ht="15.75" customHeight="1">
      <c r="C739" s="4"/>
      <c r="D739" s="4"/>
      <c r="E739" s="38"/>
      <c r="F739" s="38"/>
      <c r="G739" s="4"/>
      <c r="H739" s="4"/>
      <c r="I739" s="4"/>
      <c r="J739" s="4"/>
      <c r="K739" s="4"/>
      <c r="L739" s="4"/>
      <c r="M739" s="4"/>
      <c r="N739" s="38"/>
      <c r="O739" s="4"/>
      <c r="P739" s="4"/>
      <c r="Q739" s="4"/>
      <c r="R739" s="4"/>
      <c r="S739" s="4"/>
      <c r="T739" s="38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38"/>
      <c r="AN739" s="4"/>
      <c r="AO739" s="4"/>
      <c r="AP739" s="4"/>
      <c r="AQ739" s="4"/>
      <c r="AR739" s="4"/>
      <c r="AS739" s="4"/>
      <c r="AT739" s="4"/>
      <c r="AU739" s="4"/>
      <c r="AV739" s="4"/>
      <c r="AW739" s="4"/>
      <c r="AX739" s="4"/>
      <c r="AY739" s="4"/>
      <c r="AZ739" s="4"/>
      <c r="BA739" s="4"/>
      <c r="BB739" s="4"/>
      <c r="BC739" s="4"/>
      <c r="BD739" s="4"/>
      <c r="BE739" s="4"/>
      <c r="BF739" s="4"/>
      <c r="BG739" s="4"/>
      <c r="BH739" s="4"/>
      <c r="BI739" s="4"/>
      <c r="BJ739" s="4"/>
      <c r="BK739" s="4"/>
      <c r="BL739" s="4"/>
      <c r="BM739" s="4"/>
      <c r="BN739" s="4"/>
      <c r="BO739" s="4"/>
      <c r="BP739" s="39"/>
      <c r="BQ739" s="39"/>
    </row>
    <row r="740" spans="3:69" ht="15.75" customHeight="1">
      <c r="C740" s="4"/>
      <c r="D740" s="4"/>
      <c r="E740" s="38"/>
      <c r="F740" s="38"/>
      <c r="G740" s="4"/>
      <c r="H740" s="4"/>
      <c r="I740" s="4"/>
      <c r="J740" s="4"/>
      <c r="K740" s="4"/>
      <c r="L740" s="4"/>
      <c r="M740" s="4"/>
      <c r="N740" s="38"/>
      <c r="O740" s="4"/>
      <c r="P740" s="4"/>
      <c r="Q740" s="4"/>
      <c r="R740" s="4"/>
      <c r="S740" s="4"/>
      <c r="T740" s="38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38"/>
      <c r="AN740" s="4"/>
      <c r="AO740" s="4"/>
      <c r="AP740" s="4"/>
      <c r="AQ740" s="4"/>
      <c r="AR740" s="4"/>
      <c r="AS740" s="4"/>
      <c r="AT740" s="4"/>
      <c r="AU740" s="4"/>
      <c r="AV740" s="4"/>
      <c r="AW740" s="4"/>
      <c r="AX740" s="4"/>
      <c r="AY740" s="4"/>
      <c r="AZ740" s="4"/>
      <c r="BA740" s="4"/>
      <c r="BB740" s="4"/>
      <c r="BC740" s="4"/>
      <c r="BD740" s="4"/>
      <c r="BE740" s="4"/>
      <c r="BF740" s="4"/>
      <c r="BG740" s="4"/>
      <c r="BH740" s="4"/>
      <c r="BI740" s="4"/>
      <c r="BJ740" s="4"/>
      <c r="BK740" s="4"/>
      <c r="BL740" s="4"/>
      <c r="BM740" s="4"/>
      <c r="BN740" s="4"/>
      <c r="BO740" s="4"/>
      <c r="BP740" s="39"/>
      <c r="BQ740" s="39"/>
    </row>
    <row r="741" spans="3:69" ht="15.75" customHeight="1">
      <c r="C741" s="4"/>
      <c r="D741" s="4"/>
      <c r="E741" s="38"/>
      <c r="F741" s="38"/>
      <c r="G741" s="4"/>
      <c r="H741" s="4"/>
      <c r="I741" s="4"/>
      <c r="J741" s="4"/>
      <c r="K741" s="4"/>
      <c r="L741" s="4"/>
      <c r="M741" s="4"/>
      <c r="N741" s="38"/>
      <c r="O741" s="4"/>
      <c r="P741" s="4"/>
      <c r="Q741" s="4"/>
      <c r="R741" s="4"/>
      <c r="S741" s="4"/>
      <c r="T741" s="38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38"/>
      <c r="AN741" s="4"/>
      <c r="AO741" s="4"/>
      <c r="AP741" s="4"/>
      <c r="AQ741" s="4"/>
      <c r="AR741" s="4"/>
      <c r="AS741" s="4"/>
      <c r="AT741" s="4"/>
      <c r="AU741" s="4"/>
      <c r="AV741" s="4"/>
      <c r="AW741" s="4"/>
      <c r="AX741" s="4"/>
      <c r="AY741" s="4"/>
      <c r="AZ741" s="4"/>
      <c r="BA741" s="4"/>
      <c r="BB741" s="4"/>
      <c r="BC741" s="4"/>
      <c r="BD741" s="4"/>
      <c r="BE741" s="4"/>
      <c r="BF741" s="4"/>
      <c r="BG741" s="4"/>
      <c r="BH741" s="4"/>
      <c r="BI741" s="4"/>
      <c r="BJ741" s="4"/>
      <c r="BK741" s="4"/>
      <c r="BL741" s="4"/>
      <c r="BM741" s="4"/>
      <c r="BN741" s="4"/>
      <c r="BO741" s="4"/>
      <c r="BP741" s="39"/>
      <c r="BQ741" s="39"/>
    </row>
    <row r="742" spans="3:69" ht="15.75" customHeight="1">
      <c r="C742" s="4"/>
      <c r="D742" s="4"/>
      <c r="E742" s="38"/>
      <c r="F742" s="38"/>
      <c r="G742" s="4"/>
      <c r="H742" s="4"/>
      <c r="I742" s="4"/>
      <c r="J742" s="4"/>
      <c r="K742" s="4"/>
      <c r="L742" s="4"/>
      <c r="M742" s="4"/>
      <c r="N742" s="38"/>
      <c r="O742" s="4"/>
      <c r="P742" s="4"/>
      <c r="Q742" s="4"/>
      <c r="R742" s="4"/>
      <c r="S742" s="4"/>
      <c r="T742" s="38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38"/>
      <c r="AN742" s="4"/>
      <c r="AO742" s="4"/>
      <c r="AP742" s="4"/>
      <c r="AQ742" s="4"/>
      <c r="AR742" s="4"/>
      <c r="AS742" s="4"/>
      <c r="AT742" s="4"/>
      <c r="AU742" s="4"/>
      <c r="AV742" s="4"/>
      <c r="AW742" s="4"/>
      <c r="AX742" s="4"/>
      <c r="AY742" s="4"/>
      <c r="AZ742" s="4"/>
      <c r="BA742" s="4"/>
      <c r="BB742" s="4"/>
      <c r="BC742" s="4"/>
      <c r="BD742" s="4"/>
      <c r="BE742" s="4"/>
      <c r="BF742" s="4"/>
      <c r="BG742" s="4"/>
      <c r="BH742" s="4"/>
      <c r="BI742" s="4"/>
      <c r="BJ742" s="4"/>
      <c r="BK742" s="4"/>
      <c r="BL742" s="4"/>
      <c r="BM742" s="4"/>
      <c r="BN742" s="4"/>
      <c r="BO742" s="4"/>
      <c r="BP742" s="39"/>
      <c r="BQ742" s="39"/>
    </row>
    <row r="743" spans="3:69" ht="15.75" customHeight="1">
      <c r="C743" s="4"/>
      <c r="D743" s="4"/>
      <c r="E743" s="38"/>
      <c r="F743" s="38"/>
      <c r="G743" s="4"/>
      <c r="H743" s="4"/>
      <c r="I743" s="4"/>
      <c r="J743" s="4"/>
      <c r="K743" s="4"/>
      <c r="L743" s="4"/>
      <c r="M743" s="4"/>
      <c r="N743" s="38"/>
      <c r="O743" s="4"/>
      <c r="P743" s="4"/>
      <c r="Q743" s="4"/>
      <c r="R743" s="4"/>
      <c r="S743" s="4"/>
      <c r="T743" s="38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38"/>
      <c r="AN743" s="4"/>
      <c r="AO743" s="4"/>
      <c r="AP743" s="4"/>
      <c r="AQ743" s="4"/>
      <c r="AR743" s="4"/>
      <c r="AS743" s="4"/>
      <c r="AT743" s="4"/>
      <c r="AU743" s="4"/>
      <c r="AV743" s="4"/>
      <c r="AW743" s="4"/>
      <c r="AX743" s="4"/>
      <c r="AY743" s="4"/>
      <c r="AZ743" s="4"/>
      <c r="BA743" s="4"/>
      <c r="BB743" s="4"/>
      <c r="BC743" s="4"/>
      <c r="BD743" s="4"/>
      <c r="BE743" s="4"/>
      <c r="BF743" s="4"/>
      <c r="BG743" s="4"/>
      <c r="BH743" s="4"/>
      <c r="BI743" s="4"/>
      <c r="BJ743" s="4"/>
      <c r="BK743" s="4"/>
      <c r="BL743" s="4"/>
      <c r="BM743" s="4"/>
      <c r="BN743" s="4"/>
      <c r="BO743" s="4"/>
      <c r="BP743" s="39"/>
      <c r="BQ743" s="39"/>
    </row>
    <row r="744" spans="3:69" ht="15.75" customHeight="1">
      <c r="C744" s="4"/>
      <c r="D744" s="4"/>
      <c r="E744" s="38"/>
      <c r="F744" s="38"/>
      <c r="G744" s="4"/>
      <c r="H744" s="4"/>
      <c r="I744" s="4"/>
      <c r="J744" s="4"/>
      <c r="K744" s="4"/>
      <c r="L744" s="4"/>
      <c r="M744" s="4"/>
      <c r="N744" s="38"/>
      <c r="O744" s="4"/>
      <c r="P744" s="4"/>
      <c r="Q744" s="4"/>
      <c r="R744" s="4"/>
      <c r="S744" s="4"/>
      <c r="T744" s="38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38"/>
      <c r="AN744" s="4"/>
      <c r="AO744" s="4"/>
      <c r="AP744" s="4"/>
      <c r="AQ744" s="4"/>
      <c r="AR744" s="4"/>
      <c r="AS744" s="4"/>
      <c r="AT744" s="4"/>
      <c r="AU744" s="4"/>
      <c r="AV744" s="4"/>
      <c r="AW744" s="4"/>
      <c r="AX744" s="4"/>
      <c r="AY744" s="4"/>
      <c r="AZ744" s="4"/>
      <c r="BA744" s="4"/>
      <c r="BB744" s="4"/>
      <c r="BC744" s="4"/>
      <c r="BD744" s="4"/>
      <c r="BE744" s="4"/>
      <c r="BF744" s="4"/>
      <c r="BG744" s="4"/>
      <c r="BH744" s="4"/>
      <c r="BI744" s="4"/>
      <c r="BJ744" s="4"/>
      <c r="BK744" s="4"/>
      <c r="BL744" s="4"/>
      <c r="BM744" s="4"/>
      <c r="BN744" s="4"/>
      <c r="BO744" s="4"/>
      <c r="BP744" s="39"/>
      <c r="BQ744" s="39"/>
    </row>
    <row r="745" spans="3:69" ht="15.75" customHeight="1">
      <c r="C745" s="4"/>
      <c r="D745" s="4"/>
      <c r="E745" s="38"/>
      <c r="F745" s="38"/>
      <c r="G745" s="4"/>
      <c r="H745" s="4"/>
      <c r="I745" s="4"/>
      <c r="J745" s="4"/>
      <c r="K745" s="4"/>
      <c r="L745" s="4"/>
      <c r="M745" s="4"/>
      <c r="N745" s="38"/>
      <c r="O745" s="4"/>
      <c r="P745" s="4"/>
      <c r="Q745" s="4"/>
      <c r="R745" s="4"/>
      <c r="S745" s="4"/>
      <c r="T745" s="38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38"/>
      <c r="AN745" s="4"/>
      <c r="AO745" s="4"/>
      <c r="AP745" s="4"/>
      <c r="AQ745" s="4"/>
      <c r="AR745" s="4"/>
      <c r="AS745" s="4"/>
      <c r="AT745" s="4"/>
      <c r="AU745" s="4"/>
      <c r="AV745" s="4"/>
      <c r="AW745" s="4"/>
      <c r="AX745" s="4"/>
      <c r="AY745" s="4"/>
      <c r="AZ745" s="4"/>
      <c r="BA745" s="4"/>
      <c r="BB745" s="4"/>
      <c r="BC745" s="4"/>
      <c r="BD745" s="4"/>
      <c r="BE745" s="4"/>
      <c r="BF745" s="4"/>
      <c r="BG745" s="4"/>
      <c r="BH745" s="4"/>
      <c r="BI745" s="4"/>
      <c r="BJ745" s="4"/>
      <c r="BK745" s="4"/>
      <c r="BL745" s="4"/>
      <c r="BM745" s="4"/>
      <c r="BN745" s="4"/>
      <c r="BO745" s="4"/>
      <c r="BP745" s="39"/>
      <c r="BQ745" s="39"/>
    </row>
    <row r="746" spans="3:69" ht="15.75" customHeight="1">
      <c r="C746" s="4"/>
      <c r="D746" s="4"/>
      <c r="E746" s="38"/>
      <c r="F746" s="38"/>
      <c r="G746" s="4"/>
      <c r="H746" s="4"/>
      <c r="I746" s="4"/>
      <c r="J746" s="4"/>
      <c r="K746" s="4"/>
      <c r="L746" s="4"/>
      <c r="M746" s="4"/>
      <c r="N746" s="38"/>
      <c r="O746" s="4"/>
      <c r="P746" s="4"/>
      <c r="Q746" s="4"/>
      <c r="R746" s="4"/>
      <c r="S746" s="4"/>
      <c r="T746" s="38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38"/>
      <c r="AN746" s="4"/>
      <c r="AO746" s="4"/>
      <c r="AP746" s="4"/>
      <c r="AQ746" s="4"/>
      <c r="AR746" s="4"/>
      <c r="AS746" s="4"/>
      <c r="AT746" s="4"/>
      <c r="AU746" s="4"/>
      <c r="AV746" s="4"/>
      <c r="AW746" s="4"/>
      <c r="AX746" s="4"/>
      <c r="AY746" s="4"/>
      <c r="AZ746" s="4"/>
      <c r="BA746" s="4"/>
      <c r="BB746" s="4"/>
      <c r="BC746" s="4"/>
      <c r="BD746" s="4"/>
      <c r="BE746" s="4"/>
      <c r="BF746" s="4"/>
      <c r="BG746" s="4"/>
      <c r="BH746" s="4"/>
      <c r="BI746" s="4"/>
      <c r="BJ746" s="4"/>
      <c r="BK746" s="4"/>
      <c r="BL746" s="4"/>
      <c r="BM746" s="4"/>
      <c r="BN746" s="4"/>
      <c r="BO746" s="4"/>
      <c r="BP746" s="39"/>
      <c r="BQ746" s="39"/>
    </row>
    <row r="747" spans="3:69" ht="15.75" customHeight="1">
      <c r="C747" s="4"/>
      <c r="D747" s="4"/>
      <c r="E747" s="38"/>
      <c r="F747" s="38"/>
      <c r="G747" s="4"/>
      <c r="H747" s="4"/>
      <c r="I747" s="4"/>
      <c r="J747" s="4"/>
      <c r="K747" s="4"/>
      <c r="L747" s="4"/>
      <c r="M747" s="4"/>
      <c r="N747" s="38"/>
      <c r="O747" s="4"/>
      <c r="P747" s="4"/>
      <c r="Q747" s="4"/>
      <c r="R747" s="4"/>
      <c r="S747" s="4"/>
      <c r="T747" s="38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38"/>
      <c r="AN747" s="4"/>
      <c r="AO747" s="4"/>
      <c r="AP747" s="4"/>
      <c r="AQ747" s="4"/>
      <c r="AR747" s="4"/>
      <c r="AS747" s="4"/>
      <c r="AT747" s="4"/>
      <c r="AU747" s="4"/>
      <c r="AV747" s="4"/>
      <c r="AW747" s="4"/>
      <c r="AX747" s="4"/>
      <c r="AY747" s="4"/>
      <c r="AZ747" s="4"/>
      <c r="BA747" s="4"/>
      <c r="BB747" s="4"/>
      <c r="BC747" s="4"/>
      <c r="BD747" s="4"/>
      <c r="BE747" s="4"/>
      <c r="BF747" s="4"/>
      <c r="BG747" s="4"/>
      <c r="BH747" s="4"/>
      <c r="BI747" s="4"/>
      <c r="BJ747" s="4"/>
      <c r="BK747" s="4"/>
      <c r="BL747" s="4"/>
      <c r="BM747" s="4"/>
      <c r="BN747" s="4"/>
      <c r="BO747" s="4"/>
      <c r="BP747" s="39"/>
      <c r="BQ747" s="39"/>
    </row>
    <row r="748" spans="3:69" ht="15.75" customHeight="1">
      <c r="C748" s="4"/>
      <c r="D748" s="4"/>
      <c r="E748" s="38"/>
      <c r="F748" s="38"/>
      <c r="G748" s="4"/>
      <c r="H748" s="4"/>
      <c r="I748" s="4"/>
      <c r="J748" s="4"/>
      <c r="K748" s="4"/>
      <c r="L748" s="4"/>
      <c r="M748" s="4"/>
      <c r="N748" s="38"/>
      <c r="O748" s="4"/>
      <c r="P748" s="4"/>
      <c r="Q748" s="4"/>
      <c r="R748" s="4"/>
      <c r="S748" s="4"/>
      <c r="T748" s="38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38"/>
      <c r="AN748" s="4"/>
      <c r="AO748" s="4"/>
      <c r="AP748" s="4"/>
      <c r="AQ748" s="4"/>
      <c r="AR748" s="4"/>
      <c r="AS748" s="4"/>
      <c r="AT748" s="4"/>
      <c r="AU748" s="4"/>
      <c r="AV748" s="4"/>
      <c r="AW748" s="4"/>
      <c r="AX748" s="4"/>
      <c r="AY748" s="4"/>
      <c r="AZ748" s="4"/>
      <c r="BA748" s="4"/>
      <c r="BB748" s="4"/>
      <c r="BC748" s="4"/>
      <c r="BD748" s="4"/>
      <c r="BE748" s="4"/>
      <c r="BF748" s="4"/>
      <c r="BG748" s="4"/>
      <c r="BH748" s="4"/>
      <c r="BI748" s="4"/>
      <c r="BJ748" s="4"/>
      <c r="BK748" s="4"/>
      <c r="BL748" s="4"/>
      <c r="BM748" s="4"/>
      <c r="BN748" s="4"/>
      <c r="BO748" s="4"/>
      <c r="BP748" s="39"/>
      <c r="BQ748" s="39"/>
    </row>
    <row r="749" spans="3:69" ht="15.75" customHeight="1">
      <c r="C749" s="4"/>
      <c r="D749" s="4"/>
      <c r="E749" s="38"/>
      <c r="F749" s="38"/>
      <c r="G749" s="4"/>
      <c r="H749" s="4"/>
      <c r="I749" s="4"/>
      <c r="J749" s="4"/>
      <c r="K749" s="4"/>
      <c r="L749" s="4"/>
      <c r="M749" s="4"/>
      <c r="N749" s="38"/>
      <c r="O749" s="4"/>
      <c r="P749" s="4"/>
      <c r="Q749" s="4"/>
      <c r="R749" s="4"/>
      <c r="S749" s="4"/>
      <c r="T749" s="38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38"/>
      <c r="AN749" s="4"/>
      <c r="AO749" s="4"/>
      <c r="AP749" s="4"/>
      <c r="AQ749" s="4"/>
      <c r="AR749" s="4"/>
      <c r="AS749" s="4"/>
      <c r="AT749" s="4"/>
      <c r="AU749" s="4"/>
      <c r="AV749" s="4"/>
      <c r="AW749" s="4"/>
      <c r="AX749" s="4"/>
      <c r="AY749" s="4"/>
      <c r="AZ749" s="4"/>
      <c r="BA749" s="4"/>
      <c r="BB749" s="4"/>
      <c r="BC749" s="4"/>
      <c r="BD749" s="4"/>
      <c r="BE749" s="4"/>
      <c r="BF749" s="4"/>
      <c r="BG749" s="4"/>
      <c r="BH749" s="4"/>
      <c r="BI749" s="4"/>
      <c r="BJ749" s="4"/>
      <c r="BK749" s="4"/>
      <c r="BL749" s="4"/>
      <c r="BM749" s="4"/>
      <c r="BN749" s="4"/>
      <c r="BO749" s="4"/>
      <c r="BP749" s="39"/>
      <c r="BQ749" s="39"/>
    </row>
    <row r="750" spans="3:69" ht="15.75" customHeight="1">
      <c r="C750" s="4"/>
      <c r="D750" s="4"/>
      <c r="E750" s="38"/>
      <c r="F750" s="38"/>
      <c r="G750" s="4"/>
      <c r="H750" s="4"/>
      <c r="I750" s="4"/>
      <c r="J750" s="4"/>
      <c r="K750" s="4"/>
      <c r="L750" s="4"/>
      <c r="M750" s="4"/>
      <c r="N750" s="38"/>
      <c r="O750" s="4"/>
      <c r="P750" s="4"/>
      <c r="Q750" s="4"/>
      <c r="R750" s="4"/>
      <c r="S750" s="4"/>
      <c r="T750" s="38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38"/>
      <c r="AN750" s="4"/>
      <c r="AO750" s="4"/>
      <c r="AP750" s="4"/>
      <c r="AQ750" s="4"/>
      <c r="AR750" s="4"/>
      <c r="AS750" s="4"/>
      <c r="AT750" s="4"/>
      <c r="AU750" s="4"/>
      <c r="AV750" s="4"/>
      <c r="AW750" s="4"/>
      <c r="AX750" s="4"/>
      <c r="AY750" s="4"/>
      <c r="AZ750" s="4"/>
      <c r="BA750" s="4"/>
      <c r="BB750" s="4"/>
      <c r="BC750" s="4"/>
      <c r="BD750" s="4"/>
      <c r="BE750" s="4"/>
      <c r="BF750" s="4"/>
      <c r="BG750" s="4"/>
      <c r="BH750" s="4"/>
      <c r="BI750" s="4"/>
      <c r="BJ750" s="4"/>
      <c r="BK750" s="4"/>
      <c r="BL750" s="4"/>
      <c r="BM750" s="4"/>
      <c r="BN750" s="4"/>
      <c r="BO750" s="4"/>
      <c r="BP750" s="39"/>
      <c r="BQ750" s="39"/>
    </row>
    <row r="751" spans="3:69" ht="15.75" customHeight="1">
      <c r="C751" s="4"/>
      <c r="D751" s="4"/>
      <c r="E751" s="38"/>
      <c r="F751" s="38"/>
      <c r="G751" s="4"/>
      <c r="H751" s="4"/>
      <c r="I751" s="4"/>
      <c r="J751" s="4"/>
      <c r="K751" s="4"/>
      <c r="L751" s="4"/>
      <c r="M751" s="4"/>
      <c r="N751" s="38"/>
      <c r="O751" s="4"/>
      <c r="P751" s="4"/>
      <c r="Q751" s="4"/>
      <c r="R751" s="4"/>
      <c r="S751" s="4"/>
      <c r="T751" s="38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38"/>
      <c r="AN751" s="4"/>
      <c r="AO751" s="4"/>
      <c r="AP751" s="4"/>
      <c r="AQ751" s="4"/>
      <c r="AR751" s="4"/>
      <c r="AS751" s="4"/>
      <c r="AT751" s="4"/>
      <c r="AU751" s="4"/>
      <c r="AV751" s="4"/>
      <c r="AW751" s="4"/>
      <c r="AX751" s="4"/>
      <c r="AY751" s="4"/>
      <c r="AZ751" s="4"/>
      <c r="BA751" s="4"/>
      <c r="BB751" s="4"/>
      <c r="BC751" s="4"/>
      <c r="BD751" s="4"/>
      <c r="BE751" s="4"/>
      <c r="BF751" s="4"/>
      <c r="BG751" s="4"/>
      <c r="BH751" s="4"/>
      <c r="BI751" s="4"/>
      <c r="BJ751" s="4"/>
      <c r="BK751" s="4"/>
      <c r="BL751" s="4"/>
      <c r="BM751" s="4"/>
      <c r="BN751" s="4"/>
      <c r="BO751" s="4"/>
      <c r="BP751" s="39"/>
      <c r="BQ751" s="39"/>
    </row>
    <row r="752" spans="3:69" ht="15.75" customHeight="1">
      <c r="C752" s="4"/>
      <c r="D752" s="4"/>
      <c r="E752" s="38"/>
      <c r="F752" s="38"/>
      <c r="G752" s="4"/>
      <c r="H752" s="4"/>
      <c r="I752" s="4"/>
      <c r="J752" s="4"/>
      <c r="K752" s="4"/>
      <c r="L752" s="4"/>
      <c r="M752" s="4"/>
      <c r="N752" s="38"/>
      <c r="O752" s="4"/>
      <c r="P752" s="4"/>
      <c r="Q752" s="4"/>
      <c r="R752" s="4"/>
      <c r="S752" s="4"/>
      <c r="T752" s="38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38"/>
      <c r="AN752" s="4"/>
      <c r="AO752" s="4"/>
      <c r="AP752" s="4"/>
      <c r="AQ752" s="4"/>
      <c r="AR752" s="4"/>
      <c r="AS752" s="4"/>
      <c r="AT752" s="4"/>
      <c r="AU752" s="4"/>
      <c r="AV752" s="4"/>
      <c r="AW752" s="4"/>
      <c r="AX752" s="4"/>
      <c r="AY752" s="4"/>
      <c r="AZ752" s="4"/>
      <c r="BA752" s="4"/>
      <c r="BB752" s="4"/>
      <c r="BC752" s="4"/>
      <c r="BD752" s="4"/>
      <c r="BE752" s="4"/>
      <c r="BF752" s="4"/>
      <c r="BG752" s="4"/>
      <c r="BH752" s="4"/>
      <c r="BI752" s="4"/>
      <c r="BJ752" s="4"/>
      <c r="BK752" s="4"/>
      <c r="BL752" s="4"/>
      <c r="BM752" s="4"/>
      <c r="BN752" s="4"/>
      <c r="BO752" s="4"/>
      <c r="BP752" s="39"/>
      <c r="BQ752" s="39"/>
    </row>
    <row r="753" spans="3:69" ht="15.75" customHeight="1">
      <c r="C753" s="4"/>
      <c r="D753" s="4"/>
      <c r="E753" s="38"/>
      <c r="F753" s="38"/>
      <c r="G753" s="4"/>
      <c r="H753" s="4"/>
      <c r="I753" s="4"/>
      <c r="J753" s="4"/>
      <c r="K753" s="4"/>
      <c r="L753" s="4"/>
      <c r="M753" s="4"/>
      <c r="N753" s="38"/>
      <c r="O753" s="4"/>
      <c r="P753" s="4"/>
      <c r="Q753" s="4"/>
      <c r="R753" s="4"/>
      <c r="S753" s="4"/>
      <c r="T753" s="38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38"/>
      <c r="AN753" s="4"/>
      <c r="AO753" s="4"/>
      <c r="AP753" s="4"/>
      <c r="AQ753" s="4"/>
      <c r="AR753" s="4"/>
      <c r="AS753" s="4"/>
      <c r="AT753" s="4"/>
      <c r="AU753" s="4"/>
      <c r="AV753" s="4"/>
      <c r="AW753" s="4"/>
      <c r="AX753" s="4"/>
      <c r="AY753" s="4"/>
      <c r="AZ753" s="4"/>
      <c r="BA753" s="4"/>
      <c r="BB753" s="4"/>
      <c r="BC753" s="4"/>
      <c r="BD753" s="4"/>
      <c r="BE753" s="4"/>
      <c r="BF753" s="4"/>
      <c r="BG753" s="4"/>
      <c r="BH753" s="4"/>
      <c r="BI753" s="4"/>
      <c r="BJ753" s="4"/>
      <c r="BK753" s="4"/>
      <c r="BL753" s="4"/>
      <c r="BM753" s="4"/>
      <c r="BN753" s="4"/>
      <c r="BO753" s="4"/>
      <c r="BP753" s="39"/>
      <c r="BQ753" s="39"/>
    </row>
    <row r="754" spans="3:69" ht="15.75" customHeight="1">
      <c r="C754" s="4"/>
      <c r="D754" s="4"/>
      <c r="E754" s="38"/>
      <c r="F754" s="38"/>
      <c r="G754" s="4"/>
      <c r="H754" s="4"/>
      <c r="I754" s="4"/>
      <c r="J754" s="4"/>
      <c r="K754" s="4"/>
      <c r="L754" s="4"/>
      <c r="M754" s="4"/>
      <c r="N754" s="38"/>
      <c r="O754" s="4"/>
      <c r="P754" s="4"/>
      <c r="Q754" s="4"/>
      <c r="R754" s="4"/>
      <c r="S754" s="4"/>
      <c r="T754" s="38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38"/>
      <c r="AN754" s="4"/>
      <c r="AO754" s="4"/>
      <c r="AP754" s="4"/>
      <c r="AQ754" s="4"/>
      <c r="AR754" s="4"/>
      <c r="AS754" s="4"/>
      <c r="AT754" s="4"/>
      <c r="AU754" s="4"/>
      <c r="AV754" s="4"/>
      <c r="AW754" s="4"/>
      <c r="AX754" s="4"/>
      <c r="AY754" s="4"/>
      <c r="AZ754" s="4"/>
      <c r="BA754" s="4"/>
      <c r="BB754" s="4"/>
      <c r="BC754" s="4"/>
      <c r="BD754" s="4"/>
      <c r="BE754" s="4"/>
      <c r="BF754" s="4"/>
      <c r="BG754" s="4"/>
      <c r="BH754" s="4"/>
      <c r="BI754" s="4"/>
      <c r="BJ754" s="4"/>
      <c r="BK754" s="4"/>
      <c r="BL754" s="4"/>
      <c r="BM754" s="4"/>
      <c r="BN754" s="4"/>
      <c r="BO754" s="4"/>
      <c r="BP754" s="39"/>
      <c r="BQ754" s="39"/>
    </row>
    <row r="755" spans="3:69" ht="15.75" customHeight="1">
      <c r="C755" s="4"/>
      <c r="D755" s="4"/>
      <c r="E755" s="38"/>
      <c r="F755" s="38"/>
      <c r="G755" s="4"/>
      <c r="H755" s="4"/>
      <c r="I755" s="4"/>
      <c r="J755" s="4"/>
      <c r="K755" s="4"/>
      <c r="L755" s="4"/>
      <c r="M755" s="4"/>
      <c r="N755" s="38"/>
      <c r="O755" s="4"/>
      <c r="P755" s="4"/>
      <c r="Q755" s="4"/>
      <c r="R755" s="4"/>
      <c r="S755" s="4"/>
      <c r="T755" s="38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38"/>
      <c r="AN755" s="4"/>
      <c r="AO755" s="4"/>
      <c r="AP755" s="4"/>
      <c r="AQ755" s="4"/>
      <c r="AR755" s="4"/>
      <c r="AS755" s="4"/>
      <c r="AT755" s="4"/>
      <c r="AU755" s="4"/>
      <c r="AV755" s="4"/>
      <c r="AW755" s="4"/>
      <c r="AX755" s="4"/>
      <c r="AY755" s="4"/>
      <c r="AZ755" s="4"/>
      <c r="BA755" s="4"/>
      <c r="BB755" s="4"/>
      <c r="BC755" s="4"/>
      <c r="BD755" s="4"/>
      <c r="BE755" s="4"/>
      <c r="BF755" s="4"/>
      <c r="BG755" s="4"/>
      <c r="BH755" s="4"/>
      <c r="BI755" s="4"/>
      <c r="BJ755" s="4"/>
      <c r="BK755" s="4"/>
      <c r="BL755" s="4"/>
      <c r="BM755" s="4"/>
      <c r="BN755" s="4"/>
      <c r="BO755" s="4"/>
      <c r="BP755" s="39"/>
      <c r="BQ755" s="39"/>
    </row>
    <row r="756" spans="3:69" ht="15.75" customHeight="1">
      <c r="C756" s="4"/>
      <c r="D756" s="4"/>
      <c r="E756" s="38"/>
      <c r="F756" s="38"/>
      <c r="G756" s="4"/>
      <c r="H756" s="4"/>
      <c r="I756" s="4"/>
      <c r="J756" s="4"/>
      <c r="K756" s="4"/>
      <c r="L756" s="4"/>
      <c r="M756" s="4"/>
      <c r="N756" s="38"/>
      <c r="O756" s="4"/>
      <c r="P756" s="4"/>
      <c r="Q756" s="4"/>
      <c r="R756" s="4"/>
      <c r="S756" s="4"/>
      <c r="T756" s="38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38"/>
      <c r="AN756" s="4"/>
      <c r="AO756" s="4"/>
      <c r="AP756" s="4"/>
      <c r="AQ756" s="4"/>
      <c r="AR756" s="4"/>
      <c r="AS756" s="4"/>
      <c r="AT756" s="4"/>
      <c r="AU756" s="4"/>
      <c r="AV756" s="4"/>
      <c r="AW756" s="4"/>
      <c r="AX756" s="4"/>
      <c r="AY756" s="4"/>
      <c r="AZ756" s="4"/>
      <c r="BA756" s="4"/>
      <c r="BB756" s="4"/>
      <c r="BC756" s="4"/>
      <c r="BD756" s="4"/>
      <c r="BE756" s="4"/>
      <c r="BF756" s="4"/>
      <c r="BG756" s="4"/>
      <c r="BH756" s="4"/>
      <c r="BI756" s="4"/>
      <c r="BJ756" s="4"/>
      <c r="BK756" s="4"/>
      <c r="BL756" s="4"/>
      <c r="BM756" s="4"/>
      <c r="BN756" s="4"/>
      <c r="BO756" s="4"/>
      <c r="BP756" s="39"/>
      <c r="BQ756" s="39"/>
    </row>
    <row r="757" spans="3:69" ht="15.75" customHeight="1">
      <c r="C757" s="4"/>
      <c r="D757" s="4"/>
      <c r="E757" s="38"/>
      <c r="F757" s="38"/>
      <c r="G757" s="4"/>
      <c r="H757" s="4"/>
      <c r="I757" s="4"/>
      <c r="J757" s="4"/>
      <c r="K757" s="4"/>
      <c r="L757" s="4"/>
      <c r="M757" s="4"/>
      <c r="N757" s="38"/>
      <c r="O757" s="4"/>
      <c r="P757" s="4"/>
      <c r="Q757" s="4"/>
      <c r="R757" s="4"/>
      <c r="S757" s="4"/>
      <c r="T757" s="38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38"/>
      <c r="AN757" s="4"/>
      <c r="AO757" s="4"/>
      <c r="AP757" s="4"/>
      <c r="AQ757" s="4"/>
      <c r="AR757" s="4"/>
      <c r="AS757" s="4"/>
      <c r="AT757" s="4"/>
      <c r="AU757" s="4"/>
      <c r="AV757" s="4"/>
      <c r="AW757" s="4"/>
      <c r="AX757" s="4"/>
      <c r="AY757" s="4"/>
      <c r="AZ757" s="4"/>
      <c r="BA757" s="4"/>
      <c r="BB757" s="4"/>
      <c r="BC757" s="4"/>
      <c r="BD757" s="4"/>
      <c r="BE757" s="4"/>
      <c r="BF757" s="4"/>
      <c r="BG757" s="4"/>
      <c r="BH757" s="4"/>
      <c r="BI757" s="4"/>
      <c r="BJ757" s="4"/>
      <c r="BK757" s="4"/>
      <c r="BL757" s="4"/>
      <c r="BM757" s="4"/>
      <c r="BN757" s="4"/>
      <c r="BO757" s="4"/>
      <c r="BP757" s="39"/>
      <c r="BQ757" s="39"/>
    </row>
    <row r="758" spans="3:69" ht="15.75" customHeight="1">
      <c r="C758" s="4"/>
      <c r="D758" s="4"/>
      <c r="E758" s="38"/>
      <c r="F758" s="38"/>
      <c r="G758" s="4"/>
      <c r="H758" s="4"/>
      <c r="I758" s="4"/>
      <c r="J758" s="4"/>
      <c r="K758" s="4"/>
      <c r="L758" s="4"/>
      <c r="M758" s="4"/>
      <c r="N758" s="38"/>
      <c r="O758" s="4"/>
      <c r="P758" s="4"/>
      <c r="Q758" s="4"/>
      <c r="R758" s="4"/>
      <c r="S758" s="4"/>
      <c r="T758" s="38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38"/>
      <c r="AN758" s="4"/>
      <c r="AO758" s="4"/>
      <c r="AP758" s="4"/>
      <c r="AQ758" s="4"/>
      <c r="AR758" s="4"/>
      <c r="AS758" s="4"/>
      <c r="AT758" s="4"/>
      <c r="AU758" s="4"/>
      <c r="AV758" s="4"/>
      <c r="AW758" s="4"/>
      <c r="AX758" s="4"/>
      <c r="AY758" s="4"/>
      <c r="AZ758" s="4"/>
      <c r="BA758" s="4"/>
      <c r="BB758" s="4"/>
      <c r="BC758" s="4"/>
      <c r="BD758" s="4"/>
      <c r="BE758" s="4"/>
      <c r="BF758" s="4"/>
      <c r="BG758" s="4"/>
      <c r="BH758" s="4"/>
      <c r="BI758" s="4"/>
      <c r="BJ758" s="4"/>
      <c r="BK758" s="4"/>
      <c r="BL758" s="4"/>
      <c r="BM758" s="4"/>
      <c r="BN758" s="4"/>
      <c r="BO758" s="4"/>
      <c r="BP758" s="39"/>
      <c r="BQ758" s="39"/>
    </row>
    <row r="759" spans="3:69" ht="15.75" customHeight="1">
      <c r="C759" s="4"/>
      <c r="D759" s="4"/>
      <c r="E759" s="38"/>
      <c r="F759" s="38"/>
      <c r="G759" s="4"/>
      <c r="H759" s="4"/>
      <c r="I759" s="4"/>
      <c r="J759" s="4"/>
      <c r="K759" s="4"/>
      <c r="L759" s="4"/>
      <c r="M759" s="4"/>
      <c r="N759" s="38"/>
      <c r="O759" s="4"/>
      <c r="P759" s="4"/>
      <c r="Q759" s="4"/>
      <c r="R759" s="4"/>
      <c r="S759" s="4"/>
      <c r="T759" s="38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38"/>
      <c r="AN759" s="4"/>
      <c r="AO759" s="4"/>
      <c r="AP759" s="4"/>
      <c r="AQ759" s="4"/>
      <c r="AR759" s="4"/>
      <c r="AS759" s="4"/>
      <c r="AT759" s="4"/>
      <c r="AU759" s="4"/>
      <c r="AV759" s="4"/>
      <c r="AW759" s="4"/>
      <c r="AX759" s="4"/>
      <c r="AY759" s="4"/>
      <c r="AZ759" s="4"/>
      <c r="BA759" s="4"/>
      <c r="BB759" s="4"/>
      <c r="BC759" s="4"/>
      <c r="BD759" s="4"/>
      <c r="BE759" s="4"/>
      <c r="BF759" s="4"/>
      <c r="BG759" s="4"/>
      <c r="BH759" s="4"/>
      <c r="BI759" s="4"/>
      <c r="BJ759" s="4"/>
      <c r="BK759" s="4"/>
      <c r="BL759" s="4"/>
      <c r="BM759" s="4"/>
      <c r="BN759" s="4"/>
      <c r="BO759" s="4"/>
      <c r="BP759" s="39"/>
      <c r="BQ759" s="39"/>
    </row>
    <row r="760" spans="3:69" ht="15.75" customHeight="1">
      <c r="C760" s="4"/>
      <c r="D760" s="4"/>
      <c r="E760" s="38"/>
      <c r="F760" s="38"/>
      <c r="G760" s="4"/>
      <c r="H760" s="4"/>
      <c r="I760" s="4"/>
      <c r="J760" s="4"/>
      <c r="K760" s="4"/>
      <c r="L760" s="4"/>
      <c r="M760" s="4"/>
      <c r="N760" s="38"/>
      <c r="O760" s="4"/>
      <c r="P760" s="4"/>
      <c r="Q760" s="4"/>
      <c r="R760" s="4"/>
      <c r="S760" s="4"/>
      <c r="T760" s="38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38"/>
      <c r="AN760" s="4"/>
      <c r="AO760" s="4"/>
      <c r="AP760" s="4"/>
      <c r="AQ760" s="4"/>
      <c r="AR760" s="4"/>
      <c r="AS760" s="4"/>
      <c r="AT760" s="4"/>
      <c r="AU760" s="4"/>
      <c r="AV760" s="4"/>
      <c r="AW760" s="4"/>
      <c r="AX760" s="4"/>
      <c r="AY760" s="4"/>
      <c r="AZ760" s="4"/>
      <c r="BA760" s="4"/>
      <c r="BB760" s="4"/>
      <c r="BC760" s="4"/>
      <c r="BD760" s="4"/>
      <c r="BE760" s="4"/>
      <c r="BF760" s="4"/>
      <c r="BG760" s="4"/>
      <c r="BH760" s="4"/>
      <c r="BI760" s="4"/>
      <c r="BJ760" s="4"/>
      <c r="BK760" s="4"/>
      <c r="BL760" s="4"/>
      <c r="BM760" s="4"/>
      <c r="BN760" s="4"/>
      <c r="BO760" s="4"/>
      <c r="BP760" s="39"/>
      <c r="BQ760" s="39"/>
    </row>
    <row r="761" spans="3:69" ht="15.75" customHeight="1">
      <c r="C761" s="4"/>
      <c r="D761" s="4"/>
      <c r="E761" s="38"/>
      <c r="F761" s="38"/>
      <c r="G761" s="4"/>
      <c r="H761" s="4"/>
      <c r="I761" s="4"/>
      <c r="J761" s="4"/>
      <c r="K761" s="4"/>
      <c r="L761" s="4"/>
      <c r="M761" s="4"/>
      <c r="N761" s="38"/>
      <c r="O761" s="4"/>
      <c r="P761" s="4"/>
      <c r="Q761" s="4"/>
      <c r="R761" s="4"/>
      <c r="S761" s="4"/>
      <c r="T761" s="38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38"/>
      <c r="AN761" s="4"/>
      <c r="AO761" s="4"/>
      <c r="AP761" s="4"/>
      <c r="AQ761" s="4"/>
      <c r="AR761" s="4"/>
      <c r="AS761" s="4"/>
      <c r="AT761" s="4"/>
      <c r="AU761" s="4"/>
      <c r="AV761" s="4"/>
      <c r="AW761" s="4"/>
      <c r="AX761" s="4"/>
      <c r="AY761" s="4"/>
      <c r="AZ761" s="4"/>
      <c r="BA761" s="4"/>
      <c r="BB761" s="4"/>
      <c r="BC761" s="4"/>
      <c r="BD761" s="4"/>
      <c r="BE761" s="4"/>
      <c r="BF761" s="4"/>
      <c r="BG761" s="4"/>
      <c r="BH761" s="4"/>
      <c r="BI761" s="4"/>
      <c r="BJ761" s="4"/>
      <c r="BK761" s="4"/>
      <c r="BL761" s="4"/>
      <c r="BM761" s="4"/>
      <c r="BN761" s="4"/>
      <c r="BO761" s="4"/>
      <c r="BP761" s="39"/>
      <c r="BQ761" s="39"/>
    </row>
    <row r="762" spans="3:69" ht="15.75" customHeight="1">
      <c r="C762" s="4"/>
      <c r="D762" s="4"/>
      <c r="E762" s="38"/>
      <c r="F762" s="38"/>
      <c r="G762" s="4"/>
      <c r="H762" s="4"/>
      <c r="I762" s="4"/>
      <c r="J762" s="4"/>
      <c r="K762" s="4"/>
      <c r="L762" s="4"/>
      <c r="M762" s="4"/>
      <c r="N762" s="38"/>
      <c r="O762" s="4"/>
      <c r="P762" s="4"/>
      <c r="Q762" s="4"/>
      <c r="R762" s="4"/>
      <c r="S762" s="4"/>
      <c r="T762" s="38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38"/>
      <c r="AN762" s="4"/>
      <c r="AO762" s="4"/>
      <c r="AP762" s="4"/>
      <c r="AQ762" s="4"/>
      <c r="AR762" s="4"/>
      <c r="AS762" s="4"/>
      <c r="AT762" s="4"/>
      <c r="AU762" s="4"/>
      <c r="AV762" s="4"/>
      <c r="AW762" s="4"/>
      <c r="AX762" s="4"/>
      <c r="AY762" s="4"/>
      <c r="AZ762" s="4"/>
      <c r="BA762" s="4"/>
      <c r="BB762" s="4"/>
      <c r="BC762" s="4"/>
      <c r="BD762" s="4"/>
      <c r="BE762" s="4"/>
      <c r="BF762" s="4"/>
      <c r="BG762" s="4"/>
      <c r="BH762" s="4"/>
      <c r="BI762" s="4"/>
      <c r="BJ762" s="4"/>
      <c r="BK762" s="4"/>
      <c r="BL762" s="4"/>
      <c r="BM762" s="4"/>
      <c r="BN762" s="4"/>
      <c r="BO762" s="4"/>
      <c r="BP762" s="39"/>
      <c r="BQ762" s="39"/>
    </row>
    <row r="763" spans="3:69" ht="15.75" customHeight="1">
      <c r="C763" s="4"/>
      <c r="D763" s="4"/>
      <c r="E763" s="38"/>
      <c r="F763" s="38"/>
      <c r="G763" s="4"/>
      <c r="H763" s="4"/>
      <c r="I763" s="4"/>
      <c r="J763" s="4"/>
      <c r="K763" s="4"/>
      <c r="L763" s="4"/>
      <c r="M763" s="4"/>
      <c r="N763" s="38"/>
      <c r="O763" s="4"/>
      <c r="P763" s="4"/>
      <c r="Q763" s="4"/>
      <c r="R763" s="4"/>
      <c r="S763" s="4"/>
      <c r="T763" s="38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38"/>
      <c r="AN763" s="4"/>
      <c r="AO763" s="4"/>
      <c r="AP763" s="4"/>
      <c r="AQ763" s="4"/>
      <c r="AR763" s="4"/>
      <c r="AS763" s="4"/>
      <c r="AT763" s="4"/>
      <c r="AU763" s="4"/>
      <c r="AV763" s="4"/>
      <c r="AW763" s="4"/>
      <c r="AX763" s="4"/>
      <c r="AY763" s="4"/>
      <c r="AZ763" s="4"/>
      <c r="BA763" s="4"/>
      <c r="BB763" s="4"/>
      <c r="BC763" s="4"/>
      <c r="BD763" s="4"/>
      <c r="BE763" s="4"/>
      <c r="BF763" s="4"/>
      <c r="BG763" s="4"/>
      <c r="BH763" s="4"/>
      <c r="BI763" s="4"/>
      <c r="BJ763" s="4"/>
      <c r="BK763" s="4"/>
      <c r="BL763" s="4"/>
      <c r="BM763" s="4"/>
      <c r="BN763" s="4"/>
      <c r="BO763" s="4"/>
      <c r="BP763" s="39"/>
      <c r="BQ763" s="39"/>
    </row>
    <row r="764" spans="3:69" ht="15.75" customHeight="1">
      <c r="C764" s="4"/>
      <c r="D764" s="4"/>
      <c r="E764" s="38"/>
      <c r="F764" s="38"/>
      <c r="G764" s="4"/>
      <c r="H764" s="4"/>
      <c r="I764" s="4"/>
      <c r="J764" s="4"/>
      <c r="K764" s="4"/>
      <c r="L764" s="4"/>
      <c r="M764" s="4"/>
      <c r="N764" s="38"/>
      <c r="O764" s="4"/>
      <c r="P764" s="4"/>
      <c r="Q764" s="4"/>
      <c r="R764" s="4"/>
      <c r="S764" s="4"/>
      <c r="T764" s="38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38"/>
      <c r="AN764" s="4"/>
      <c r="AO764" s="4"/>
      <c r="AP764" s="4"/>
      <c r="AQ764" s="4"/>
      <c r="AR764" s="4"/>
      <c r="AS764" s="4"/>
      <c r="AT764" s="4"/>
      <c r="AU764" s="4"/>
      <c r="AV764" s="4"/>
      <c r="AW764" s="4"/>
      <c r="AX764" s="4"/>
      <c r="AY764" s="4"/>
      <c r="AZ764" s="4"/>
      <c r="BA764" s="4"/>
      <c r="BB764" s="4"/>
      <c r="BC764" s="4"/>
      <c r="BD764" s="4"/>
      <c r="BE764" s="4"/>
      <c r="BF764" s="4"/>
      <c r="BG764" s="4"/>
      <c r="BH764" s="4"/>
      <c r="BI764" s="4"/>
      <c r="BJ764" s="4"/>
      <c r="BK764" s="4"/>
      <c r="BL764" s="4"/>
      <c r="BM764" s="4"/>
      <c r="BN764" s="4"/>
      <c r="BO764" s="4"/>
      <c r="BP764" s="39"/>
      <c r="BQ764" s="39"/>
    </row>
    <row r="765" spans="3:69" ht="15.75" customHeight="1">
      <c r="C765" s="4"/>
      <c r="D765" s="4"/>
      <c r="E765" s="38"/>
      <c r="F765" s="38"/>
      <c r="G765" s="4"/>
      <c r="H765" s="4"/>
      <c r="I765" s="4"/>
      <c r="J765" s="4"/>
      <c r="K765" s="4"/>
      <c r="L765" s="4"/>
      <c r="M765" s="4"/>
      <c r="N765" s="38"/>
      <c r="O765" s="4"/>
      <c r="P765" s="4"/>
      <c r="Q765" s="4"/>
      <c r="R765" s="4"/>
      <c r="S765" s="4"/>
      <c r="T765" s="38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38"/>
      <c r="AN765" s="4"/>
      <c r="AO765" s="4"/>
      <c r="AP765" s="4"/>
      <c r="AQ765" s="4"/>
      <c r="AR765" s="4"/>
      <c r="AS765" s="4"/>
      <c r="AT765" s="4"/>
      <c r="AU765" s="4"/>
      <c r="AV765" s="4"/>
      <c r="AW765" s="4"/>
      <c r="AX765" s="4"/>
      <c r="AY765" s="4"/>
      <c r="AZ765" s="4"/>
      <c r="BA765" s="4"/>
      <c r="BB765" s="4"/>
      <c r="BC765" s="4"/>
      <c r="BD765" s="4"/>
      <c r="BE765" s="4"/>
      <c r="BF765" s="4"/>
      <c r="BG765" s="4"/>
      <c r="BH765" s="4"/>
      <c r="BI765" s="4"/>
      <c r="BJ765" s="4"/>
      <c r="BK765" s="4"/>
      <c r="BL765" s="4"/>
      <c r="BM765" s="4"/>
      <c r="BN765" s="4"/>
      <c r="BO765" s="4"/>
      <c r="BP765" s="39"/>
      <c r="BQ765" s="39"/>
    </row>
    <row r="766" spans="3:69" ht="15.75" customHeight="1">
      <c r="C766" s="4"/>
      <c r="D766" s="4"/>
      <c r="E766" s="38"/>
      <c r="F766" s="38"/>
      <c r="G766" s="4"/>
      <c r="H766" s="4"/>
      <c r="I766" s="4"/>
      <c r="J766" s="4"/>
      <c r="K766" s="4"/>
      <c r="L766" s="4"/>
      <c r="M766" s="4"/>
      <c r="N766" s="38"/>
      <c r="O766" s="4"/>
      <c r="P766" s="4"/>
      <c r="Q766" s="4"/>
      <c r="R766" s="4"/>
      <c r="S766" s="4"/>
      <c r="T766" s="38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38"/>
      <c r="AN766" s="4"/>
      <c r="AO766" s="4"/>
      <c r="AP766" s="4"/>
      <c r="AQ766" s="4"/>
      <c r="AR766" s="4"/>
      <c r="AS766" s="4"/>
      <c r="AT766" s="4"/>
      <c r="AU766" s="4"/>
      <c r="AV766" s="4"/>
      <c r="AW766" s="4"/>
      <c r="AX766" s="4"/>
      <c r="AY766" s="4"/>
      <c r="AZ766" s="4"/>
      <c r="BA766" s="4"/>
      <c r="BB766" s="4"/>
      <c r="BC766" s="4"/>
      <c r="BD766" s="4"/>
      <c r="BE766" s="4"/>
      <c r="BF766" s="4"/>
      <c r="BG766" s="4"/>
      <c r="BH766" s="4"/>
      <c r="BI766" s="4"/>
      <c r="BJ766" s="4"/>
      <c r="BK766" s="4"/>
      <c r="BL766" s="4"/>
      <c r="BM766" s="4"/>
      <c r="BN766" s="4"/>
      <c r="BO766" s="4"/>
      <c r="BP766" s="39"/>
      <c r="BQ766" s="39"/>
    </row>
    <row r="767" spans="3:69" ht="15.75" customHeight="1">
      <c r="C767" s="4"/>
      <c r="D767" s="4"/>
      <c r="E767" s="38"/>
      <c r="F767" s="38"/>
      <c r="G767" s="4"/>
      <c r="H767" s="4"/>
      <c r="I767" s="4"/>
      <c r="J767" s="4"/>
      <c r="K767" s="4"/>
      <c r="L767" s="4"/>
      <c r="M767" s="4"/>
      <c r="N767" s="38"/>
      <c r="O767" s="4"/>
      <c r="P767" s="4"/>
      <c r="Q767" s="4"/>
      <c r="R767" s="4"/>
      <c r="S767" s="4"/>
      <c r="T767" s="38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38"/>
      <c r="AN767" s="4"/>
      <c r="AO767" s="4"/>
      <c r="AP767" s="4"/>
      <c r="AQ767" s="4"/>
      <c r="AR767" s="4"/>
      <c r="AS767" s="4"/>
      <c r="AT767" s="4"/>
      <c r="AU767" s="4"/>
      <c r="AV767" s="4"/>
      <c r="AW767" s="4"/>
      <c r="AX767" s="4"/>
      <c r="AY767" s="4"/>
      <c r="AZ767" s="4"/>
      <c r="BA767" s="4"/>
      <c r="BB767" s="4"/>
      <c r="BC767" s="4"/>
      <c r="BD767" s="4"/>
      <c r="BE767" s="4"/>
      <c r="BF767" s="4"/>
      <c r="BG767" s="4"/>
      <c r="BH767" s="4"/>
      <c r="BI767" s="4"/>
      <c r="BJ767" s="4"/>
      <c r="BK767" s="4"/>
      <c r="BL767" s="4"/>
      <c r="BM767" s="4"/>
      <c r="BN767" s="4"/>
      <c r="BO767" s="4"/>
      <c r="BP767" s="39"/>
      <c r="BQ767" s="39"/>
    </row>
    <row r="768" spans="3:69" ht="15.75" customHeight="1">
      <c r="C768" s="4"/>
      <c r="D768" s="4"/>
      <c r="E768" s="38"/>
      <c r="F768" s="38"/>
      <c r="G768" s="4"/>
      <c r="H768" s="4"/>
      <c r="I768" s="4"/>
      <c r="J768" s="4"/>
      <c r="K768" s="4"/>
      <c r="L768" s="4"/>
      <c r="M768" s="4"/>
      <c r="N768" s="38"/>
      <c r="O768" s="4"/>
      <c r="P768" s="4"/>
      <c r="Q768" s="4"/>
      <c r="R768" s="4"/>
      <c r="S768" s="4"/>
      <c r="T768" s="38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38"/>
      <c r="AN768" s="4"/>
      <c r="AO768" s="4"/>
      <c r="AP768" s="4"/>
      <c r="AQ768" s="4"/>
      <c r="AR768" s="4"/>
      <c r="AS768" s="4"/>
      <c r="AT768" s="4"/>
      <c r="AU768" s="4"/>
      <c r="AV768" s="4"/>
      <c r="AW768" s="4"/>
      <c r="AX768" s="4"/>
      <c r="AY768" s="4"/>
      <c r="AZ768" s="4"/>
      <c r="BA768" s="4"/>
      <c r="BB768" s="4"/>
      <c r="BC768" s="4"/>
      <c r="BD768" s="4"/>
      <c r="BE768" s="4"/>
      <c r="BF768" s="4"/>
      <c r="BG768" s="4"/>
      <c r="BH768" s="4"/>
      <c r="BI768" s="4"/>
      <c r="BJ768" s="4"/>
      <c r="BK768" s="4"/>
      <c r="BL768" s="4"/>
      <c r="BM768" s="4"/>
      <c r="BN768" s="4"/>
      <c r="BO768" s="4"/>
      <c r="BP768" s="39"/>
      <c r="BQ768" s="39"/>
    </row>
    <row r="769" spans="3:69" ht="15.75" customHeight="1">
      <c r="C769" s="4"/>
      <c r="D769" s="4"/>
      <c r="E769" s="38"/>
      <c r="F769" s="38"/>
      <c r="G769" s="4"/>
      <c r="H769" s="4"/>
      <c r="I769" s="4"/>
      <c r="J769" s="4"/>
      <c r="K769" s="4"/>
      <c r="L769" s="4"/>
      <c r="M769" s="4"/>
      <c r="N769" s="38"/>
      <c r="O769" s="4"/>
      <c r="P769" s="4"/>
      <c r="Q769" s="4"/>
      <c r="R769" s="4"/>
      <c r="S769" s="4"/>
      <c r="T769" s="38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38"/>
      <c r="AN769" s="4"/>
      <c r="AO769" s="4"/>
      <c r="AP769" s="4"/>
      <c r="AQ769" s="4"/>
      <c r="AR769" s="4"/>
      <c r="AS769" s="4"/>
      <c r="AT769" s="4"/>
      <c r="AU769" s="4"/>
      <c r="AV769" s="4"/>
      <c r="AW769" s="4"/>
      <c r="AX769" s="4"/>
      <c r="AY769" s="4"/>
      <c r="AZ769" s="4"/>
      <c r="BA769" s="4"/>
      <c r="BB769" s="4"/>
      <c r="BC769" s="4"/>
      <c r="BD769" s="4"/>
      <c r="BE769" s="4"/>
      <c r="BF769" s="4"/>
      <c r="BG769" s="4"/>
      <c r="BH769" s="4"/>
      <c r="BI769" s="4"/>
      <c r="BJ769" s="4"/>
      <c r="BK769" s="4"/>
      <c r="BL769" s="4"/>
      <c r="BM769" s="4"/>
      <c r="BN769" s="4"/>
      <c r="BO769" s="4"/>
      <c r="BP769" s="39"/>
      <c r="BQ769" s="39"/>
    </row>
    <row r="770" spans="3:69" ht="15.75" customHeight="1">
      <c r="C770" s="4"/>
      <c r="D770" s="4"/>
      <c r="E770" s="38"/>
      <c r="F770" s="38"/>
      <c r="G770" s="4"/>
      <c r="H770" s="4"/>
      <c r="I770" s="4"/>
      <c r="J770" s="4"/>
      <c r="K770" s="4"/>
      <c r="L770" s="4"/>
      <c r="M770" s="4"/>
      <c r="N770" s="38"/>
      <c r="O770" s="4"/>
      <c r="P770" s="4"/>
      <c r="Q770" s="4"/>
      <c r="R770" s="4"/>
      <c r="S770" s="4"/>
      <c r="T770" s="38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38"/>
      <c r="AN770" s="4"/>
      <c r="AO770" s="4"/>
      <c r="AP770" s="4"/>
      <c r="AQ770" s="4"/>
      <c r="AR770" s="4"/>
      <c r="AS770" s="4"/>
      <c r="AT770" s="4"/>
      <c r="AU770" s="4"/>
      <c r="AV770" s="4"/>
      <c r="AW770" s="4"/>
      <c r="AX770" s="4"/>
      <c r="AY770" s="4"/>
      <c r="AZ770" s="4"/>
      <c r="BA770" s="4"/>
      <c r="BB770" s="4"/>
      <c r="BC770" s="4"/>
      <c r="BD770" s="4"/>
      <c r="BE770" s="4"/>
      <c r="BF770" s="4"/>
      <c r="BG770" s="4"/>
      <c r="BH770" s="4"/>
      <c r="BI770" s="4"/>
      <c r="BJ770" s="4"/>
      <c r="BK770" s="4"/>
      <c r="BL770" s="4"/>
      <c r="BM770" s="4"/>
      <c r="BN770" s="4"/>
      <c r="BO770" s="4"/>
      <c r="BP770" s="39"/>
      <c r="BQ770" s="39"/>
    </row>
    <row r="771" spans="3:69" ht="15.75" customHeight="1">
      <c r="C771" s="4"/>
      <c r="D771" s="4"/>
      <c r="E771" s="38"/>
      <c r="F771" s="38"/>
      <c r="G771" s="4"/>
      <c r="H771" s="4"/>
      <c r="I771" s="4"/>
      <c r="J771" s="4"/>
      <c r="K771" s="4"/>
      <c r="L771" s="4"/>
      <c r="M771" s="4"/>
      <c r="N771" s="38"/>
      <c r="O771" s="4"/>
      <c r="P771" s="4"/>
      <c r="Q771" s="4"/>
      <c r="R771" s="4"/>
      <c r="S771" s="4"/>
      <c r="T771" s="38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38"/>
      <c r="AN771" s="4"/>
      <c r="AO771" s="4"/>
      <c r="AP771" s="4"/>
      <c r="AQ771" s="4"/>
      <c r="AR771" s="4"/>
      <c r="AS771" s="4"/>
      <c r="AT771" s="4"/>
      <c r="AU771" s="4"/>
      <c r="AV771" s="4"/>
      <c r="AW771" s="4"/>
      <c r="AX771" s="4"/>
      <c r="AY771" s="4"/>
      <c r="AZ771" s="4"/>
      <c r="BA771" s="4"/>
      <c r="BB771" s="4"/>
      <c r="BC771" s="4"/>
      <c r="BD771" s="4"/>
      <c r="BE771" s="4"/>
      <c r="BF771" s="4"/>
      <c r="BG771" s="4"/>
      <c r="BH771" s="4"/>
      <c r="BI771" s="4"/>
      <c r="BJ771" s="4"/>
      <c r="BK771" s="4"/>
      <c r="BL771" s="4"/>
      <c r="BM771" s="4"/>
      <c r="BN771" s="4"/>
      <c r="BO771" s="4"/>
      <c r="BP771" s="39"/>
      <c r="BQ771" s="39"/>
    </row>
    <row r="772" spans="3:69" ht="15.75" customHeight="1">
      <c r="C772" s="4"/>
      <c r="D772" s="4"/>
      <c r="E772" s="38"/>
      <c r="F772" s="38"/>
      <c r="G772" s="4"/>
      <c r="H772" s="4"/>
      <c r="I772" s="4"/>
      <c r="J772" s="4"/>
      <c r="K772" s="4"/>
      <c r="L772" s="4"/>
      <c r="M772" s="4"/>
      <c r="N772" s="38"/>
      <c r="O772" s="4"/>
      <c r="P772" s="4"/>
      <c r="Q772" s="4"/>
      <c r="R772" s="4"/>
      <c r="S772" s="4"/>
      <c r="T772" s="38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38"/>
      <c r="AN772" s="4"/>
      <c r="AO772" s="4"/>
      <c r="AP772" s="4"/>
      <c r="AQ772" s="4"/>
      <c r="AR772" s="4"/>
      <c r="AS772" s="4"/>
      <c r="AT772" s="4"/>
      <c r="AU772" s="4"/>
      <c r="AV772" s="4"/>
      <c r="AW772" s="4"/>
      <c r="AX772" s="4"/>
      <c r="AY772" s="4"/>
      <c r="AZ772" s="4"/>
      <c r="BA772" s="4"/>
      <c r="BB772" s="4"/>
      <c r="BC772" s="4"/>
      <c r="BD772" s="4"/>
      <c r="BE772" s="4"/>
      <c r="BF772" s="4"/>
      <c r="BG772" s="4"/>
      <c r="BH772" s="4"/>
      <c r="BI772" s="4"/>
      <c r="BJ772" s="4"/>
      <c r="BK772" s="4"/>
      <c r="BL772" s="4"/>
      <c r="BM772" s="4"/>
      <c r="BN772" s="4"/>
      <c r="BO772" s="4"/>
      <c r="BP772" s="39"/>
      <c r="BQ772" s="39"/>
    </row>
    <row r="773" spans="3:69" ht="15.75" customHeight="1">
      <c r="C773" s="4"/>
      <c r="D773" s="4"/>
      <c r="E773" s="38"/>
      <c r="F773" s="38"/>
      <c r="G773" s="4"/>
      <c r="H773" s="4"/>
      <c r="I773" s="4"/>
      <c r="J773" s="4"/>
      <c r="K773" s="4"/>
      <c r="L773" s="4"/>
      <c r="M773" s="4"/>
      <c r="N773" s="38"/>
      <c r="O773" s="4"/>
      <c r="P773" s="4"/>
      <c r="Q773" s="4"/>
      <c r="R773" s="4"/>
      <c r="S773" s="4"/>
      <c r="T773" s="38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38"/>
      <c r="AN773" s="4"/>
      <c r="AO773" s="4"/>
      <c r="AP773" s="4"/>
      <c r="AQ773" s="4"/>
      <c r="AR773" s="4"/>
      <c r="AS773" s="4"/>
      <c r="AT773" s="4"/>
      <c r="AU773" s="4"/>
      <c r="AV773" s="4"/>
      <c r="AW773" s="4"/>
      <c r="AX773" s="4"/>
      <c r="AY773" s="4"/>
      <c r="AZ773" s="4"/>
      <c r="BA773" s="4"/>
      <c r="BB773" s="4"/>
      <c r="BC773" s="4"/>
      <c r="BD773" s="4"/>
      <c r="BE773" s="4"/>
      <c r="BF773" s="4"/>
      <c r="BG773" s="4"/>
      <c r="BH773" s="4"/>
      <c r="BI773" s="4"/>
      <c r="BJ773" s="4"/>
      <c r="BK773" s="4"/>
      <c r="BL773" s="4"/>
      <c r="BM773" s="4"/>
      <c r="BN773" s="4"/>
      <c r="BO773" s="4"/>
      <c r="BP773" s="39"/>
      <c r="BQ773" s="39"/>
    </row>
    <row r="774" spans="3:69" ht="15.75" customHeight="1">
      <c r="C774" s="4"/>
      <c r="D774" s="4"/>
      <c r="E774" s="38"/>
      <c r="F774" s="38"/>
      <c r="G774" s="4"/>
      <c r="H774" s="4"/>
      <c r="I774" s="4"/>
      <c r="J774" s="4"/>
      <c r="K774" s="4"/>
      <c r="L774" s="4"/>
      <c r="M774" s="4"/>
      <c r="N774" s="38"/>
      <c r="O774" s="4"/>
      <c r="P774" s="4"/>
      <c r="Q774" s="4"/>
      <c r="R774" s="4"/>
      <c r="S774" s="4"/>
      <c r="T774" s="38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38"/>
      <c r="AN774" s="4"/>
      <c r="AO774" s="4"/>
      <c r="AP774" s="4"/>
      <c r="AQ774" s="4"/>
      <c r="AR774" s="4"/>
      <c r="AS774" s="4"/>
      <c r="AT774" s="4"/>
      <c r="AU774" s="4"/>
      <c r="AV774" s="4"/>
      <c r="AW774" s="4"/>
      <c r="AX774" s="4"/>
      <c r="AY774" s="4"/>
      <c r="AZ774" s="4"/>
      <c r="BA774" s="4"/>
      <c r="BB774" s="4"/>
      <c r="BC774" s="4"/>
      <c r="BD774" s="4"/>
      <c r="BE774" s="4"/>
      <c r="BF774" s="4"/>
      <c r="BG774" s="4"/>
      <c r="BH774" s="4"/>
      <c r="BI774" s="4"/>
      <c r="BJ774" s="4"/>
      <c r="BK774" s="4"/>
      <c r="BL774" s="4"/>
      <c r="BM774" s="4"/>
      <c r="BN774" s="4"/>
      <c r="BO774" s="4"/>
      <c r="BP774" s="39"/>
      <c r="BQ774" s="39"/>
    </row>
    <row r="775" spans="3:69" ht="15.75" customHeight="1">
      <c r="C775" s="4"/>
      <c r="D775" s="4"/>
      <c r="E775" s="38"/>
      <c r="F775" s="38"/>
      <c r="G775" s="4"/>
      <c r="H775" s="4"/>
      <c r="I775" s="4"/>
      <c r="J775" s="4"/>
      <c r="K775" s="4"/>
      <c r="L775" s="4"/>
      <c r="M775" s="4"/>
      <c r="N775" s="38"/>
      <c r="O775" s="4"/>
      <c r="P775" s="4"/>
      <c r="Q775" s="4"/>
      <c r="R775" s="4"/>
      <c r="S775" s="4"/>
      <c r="T775" s="38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38"/>
      <c r="AN775" s="4"/>
      <c r="AO775" s="4"/>
      <c r="AP775" s="4"/>
      <c r="AQ775" s="4"/>
      <c r="AR775" s="4"/>
      <c r="AS775" s="4"/>
      <c r="AT775" s="4"/>
      <c r="AU775" s="4"/>
      <c r="AV775" s="4"/>
      <c r="AW775" s="4"/>
      <c r="AX775" s="4"/>
      <c r="AY775" s="4"/>
      <c r="AZ775" s="4"/>
      <c r="BA775" s="4"/>
      <c r="BB775" s="4"/>
      <c r="BC775" s="4"/>
      <c r="BD775" s="4"/>
      <c r="BE775" s="4"/>
      <c r="BF775" s="4"/>
      <c r="BG775" s="4"/>
      <c r="BH775" s="4"/>
      <c r="BI775" s="4"/>
      <c r="BJ775" s="4"/>
      <c r="BK775" s="4"/>
      <c r="BL775" s="4"/>
      <c r="BM775" s="4"/>
      <c r="BN775" s="4"/>
      <c r="BO775" s="4"/>
      <c r="BP775" s="39"/>
      <c r="BQ775" s="39"/>
    </row>
    <row r="776" spans="3:69" ht="15.75" customHeight="1">
      <c r="C776" s="4"/>
      <c r="D776" s="4"/>
      <c r="E776" s="38"/>
      <c r="F776" s="38"/>
      <c r="G776" s="4"/>
      <c r="H776" s="4"/>
      <c r="I776" s="4"/>
      <c r="J776" s="4"/>
      <c r="K776" s="4"/>
      <c r="L776" s="4"/>
      <c r="M776" s="4"/>
      <c r="N776" s="38"/>
      <c r="O776" s="4"/>
      <c r="P776" s="4"/>
      <c r="Q776" s="4"/>
      <c r="R776" s="4"/>
      <c r="S776" s="4"/>
      <c r="T776" s="38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38"/>
      <c r="AN776" s="4"/>
      <c r="AO776" s="4"/>
      <c r="AP776" s="4"/>
      <c r="AQ776" s="4"/>
      <c r="AR776" s="4"/>
      <c r="AS776" s="4"/>
      <c r="AT776" s="4"/>
      <c r="AU776" s="4"/>
      <c r="AV776" s="4"/>
      <c r="AW776" s="4"/>
      <c r="AX776" s="4"/>
      <c r="AY776" s="4"/>
      <c r="AZ776" s="4"/>
      <c r="BA776" s="4"/>
      <c r="BB776" s="4"/>
      <c r="BC776" s="4"/>
      <c r="BD776" s="4"/>
      <c r="BE776" s="4"/>
      <c r="BF776" s="4"/>
      <c r="BG776" s="4"/>
      <c r="BH776" s="4"/>
      <c r="BI776" s="4"/>
      <c r="BJ776" s="4"/>
      <c r="BK776" s="4"/>
      <c r="BL776" s="4"/>
      <c r="BM776" s="4"/>
      <c r="BN776" s="4"/>
      <c r="BO776" s="4"/>
      <c r="BP776" s="39"/>
      <c r="BQ776" s="39"/>
    </row>
    <row r="777" spans="3:69" ht="15.75" customHeight="1">
      <c r="C777" s="4"/>
      <c r="D777" s="4"/>
      <c r="E777" s="38"/>
      <c r="F777" s="38"/>
      <c r="G777" s="4"/>
      <c r="H777" s="4"/>
      <c r="I777" s="4"/>
      <c r="J777" s="4"/>
      <c r="K777" s="4"/>
      <c r="L777" s="4"/>
      <c r="M777" s="4"/>
      <c r="N777" s="38"/>
      <c r="O777" s="4"/>
      <c r="P777" s="4"/>
      <c r="Q777" s="4"/>
      <c r="R777" s="4"/>
      <c r="S777" s="4"/>
      <c r="T777" s="38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38"/>
      <c r="AN777" s="4"/>
      <c r="AO777" s="4"/>
      <c r="AP777" s="4"/>
      <c r="AQ777" s="4"/>
      <c r="AR777" s="4"/>
      <c r="AS777" s="4"/>
      <c r="AT777" s="4"/>
      <c r="AU777" s="4"/>
      <c r="AV777" s="4"/>
      <c r="AW777" s="4"/>
      <c r="AX777" s="4"/>
      <c r="AY777" s="4"/>
      <c r="AZ777" s="4"/>
      <c r="BA777" s="4"/>
      <c r="BB777" s="4"/>
      <c r="BC777" s="4"/>
      <c r="BD777" s="4"/>
      <c r="BE777" s="4"/>
      <c r="BF777" s="4"/>
      <c r="BG777" s="4"/>
      <c r="BH777" s="4"/>
      <c r="BI777" s="4"/>
      <c r="BJ777" s="4"/>
      <c r="BK777" s="4"/>
      <c r="BL777" s="4"/>
      <c r="BM777" s="4"/>
      <c r="BN777" s="4"/>
      <c r="BO777" s="4"/>
      <c r="BP777" s="39"/>
      <c r="BQ777" s="39"/>
    </row>
    <row r="778" spans="3:69" ht="15.75" customHeight="1">
      <c r="C778" s="4"/>
      <c r="D778" s="4"/>
      <c r="E778" s="38"/>
      <c r="F778" s="38"/>
      <c r="G778" s="4"/>
      <c r="H778" s="4"/>
      <c r="I778" s="4"/>
      <c r="J778" s="4"/>
      <c r="K778" s="4"/>
      <c r="L778" s="4"/>
      <c r="M778" s="4"/>
      <c r="N778" s="38"/>
      <c r="O778" s="4"/>
      <c r="P778" s="4"/>
      <c r="Q778" s="4"/>
      <c r="R778" s="4"/>
      <c r="S778" s="4"/>
      <c r="T778" s="38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38"/>
      <c r="AN778" s="4"/>
      <c r="AO778" s="4"/>
      <c r="AP778" s="4"/>
      <c r="AQ778" s="4"/>
      <c r="AR778" s="4"/>
      <c r="AS778" s="4"/>
      <c r="AT778" s="4"/>
      <c r="AU778" s="4"/>
      <c r="AV778" s="4"/>
      <c r="AW778" s="4"/>
      <c r="AX778" s="4"/>
      <c r="AY778" s="4"/>
      <c r="AZ778" s="4"/>
      <c r="BA778" s="4"/>
      <c r="BB778" s="4"/>
      <c r="BC778" s="4"/>
      <c r="BD778" s="4"/>
      <c r="BE778" s="4"/>
      <c r="BF778" s="4"/>
      <c r="BG778" s="4"/>
      <c r="BH778" s="4"/>
      <c r="BI778" s="4"/>
      <c r="BJ778" s="4"/>
      <c r="BK778" s="4"/>
      <c r="BL778" s="4"/>
      <c r="BM778" s="4"/>
      <c r="BN778" s="4"/>
      <c r="BO778" s="4"/>
      <c r="BP778" s="39"/>
      <c r="BQ778" s="39"/>
    </row>
    <row r="779" spans="3:69" ht="15.75" customHeight="1">
      <c r="C779" s="4"/>
      <c r="D779" s="4"/>
      <c r="E779" s="38"/>
      <c r="F779" s="38"/>
      <c r="G779" s="4"/>
      <c r="H779" s="4"/>
      <c r="I779" s="4"/>
      <c r="J779" s="4"/>
      <c r="K779" s="4"/>
      <c r="L779" s="4"/>
      <c r="M779" s="4"/>
      <c r="N779" s="38"/>
      <c r="O779" s="4"/>
      <c r="P779" s="4"/>
      <c r="Q779" s="4"/>
      <c r="R779" s="4"/>
      <c r="S779" s="4"/>
      <c r="T779" s="38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38"/>
      <c r="AN779" s="4"/>
      <c r="AO779" s="4"/>
      <c r="AP779" s="4"/>
      <c r="AQ779" s="4"/>
      <c r="AR779" s="4"/>
      <c r="AS779" s="4"/>
      <c r="AT779" s="4"/>
      <c r="AU779" s="4"/>
      <c r="AV779" s="4"/>
      <c r="AW779" s="4"/>
      <c r="AX779" s="4"/>
      <c r="AY779" s="4"/>
      <c r="AZ779" s="4"/>
      <c r="BA779" s="4"/>
      <c r="BB779" s="4"/>
      <c r="BC779" s="4"/>
      <c r="BD779" s="4"/>
      <c r="BE779" s="4"/>
      <c r="BF779" s="4"/>
      <c r="BG779" s="4"/>
      <c r="BH779" s="4"/>
      <c r="BI779" s="4"/>
      <c r="BJ779" s="4"/>
      <c r="BK779" s="4"/>
      <c r="BL779" s="4"/>
      <c r="BM779" s="4"/>
      <c r="BN779" s="4"/>
      <c r="BO779" s="4"/>
      <c r="BP779" s="39"/>
      <c r="BQ779" s="39"/>
    </row>
    <row r="780" spans="3:69" ht="15.75" customHeight="1">
      <c r="C780" s="4"/>
      <c r="D780" s="4"/>
      <c r="E780" s="38"/>
      <c r="F780" s="38"/>
      <c r="G780" s="4"/>
      <c r="H780" s="4"/>
      <c r="I780" s="4"/>
      <c r="J780" s="4"/>
      <c r="K780" s="4"/>
      <c r="L780" s="4"/>
      <c r="M780" s="4"/>
      <c r="N780" s="38"/>
      <c r="O780" s="4"/>
      <c r="P780" s="4"/>
      <c r="Q780" s="4"/>
      <c r="R780" s="4"/>
      <c r="S780" s="4"/>
      <c r="T780" s="38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38"/>
      <c r="AN780" s="4"/>
      <c r="AO780" s="4"/>
      <c r="AP780" s="4"/>
      <c r="AQ780" s="4"/>
      <c r="AR780" s="4"/>
      <c r="AS780" s="4"/>
      <c r="AT780" s="4"/>
      <c r="AU780" s="4"/>
      <c r="AV780" s="4"/>
      <c r="AW780" s="4"/>
      <c r="AX780" s="4"/>
      <c r="AY780" s="4"/>
      <c r="AZ780" s="4"/>
      <c r="BA780" s="4"/>
      <c r="BB780" s="4"/>
      <c r="BC780" s="4"/>
      <c r="BD780" s="4"/>
      <c r="BE780" s="4"/>
      <c r="BF780" s="4"/>
      <c r="BG780" s="4"/>
      <c r="BH780" s="4"/>
      <c r="BI780" s="4"/>
      <c r="BJ780" s="4"/>
      <c r="BK780" s="4"/>
      <c r="BL780" s="4"/>
      <c r="BM780" s="4"/>
      <c r="BN780" s="4"/>
      <c r="BO780" s="4"/>
      <c r="BP780" s="39"/>
      <c r="BQ780" s="39"/>
    </row>
    <row r="781" spans="3:69" ht="15.75" customHeight="1">
      <c r="C781" s="4"/>
      <c r="D781" s="4"/>
      <c r="E781" s="38"/>
      <c r="F781" s="38"/>
      <c r="G781" s="4"/>
      <c r="H781" s="4"/>
      <c r="I781" s="4"/>
      <c r="J781" s="4"/>
      <c r="K781" s="4"/>
      <c r="L781" s="4"/>
      <c r="M781" s="4"/>
      <c r="N781" s="38"/>
      <c r="O781" s="4"/>
      <c r="P781" s="4"/>
      <c r="Q781" s="4"/>
      <c r="R781" s="4"/>
      <c r="S781" s="4"/>
      <c r="T781" s="38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38"/>
      <c r="AN781" s="4"/>
      <c r="AO781" s="4"/>
      <c r="AP781" s="4"/>
      <c r="AQ781" s="4"/>
      <c r="AR781" s="4"/>
      <c r="AS781" s="4"/>
      <c r="AT781" s="4"/>
      <c r="AU781" s="4"/>
      <c r="AV781" s="4"/>
      <c r="AW781" s="4"/>
      <c r="AX781" s="4"/>
      <c r="AY781" s="4"/>
      <c r="AZ781" s="4"/>
      <c r="BA781" s="4"/>
      <c r="BB781" s="4"/>
      <c r="BC781" s="4"/>
      <c r="BD781" s="4"/>
      <c r="BE781" s="4"/>
      <c r="BF781" s="4"/>
      <c r="BG781" s="4"/>
      <c r="BH781" s="4"/>
      <c r="BI781" s="4"/>
      <c r="BJ781" s="4"/>
      <c r="BK781" s="4"/>
      <c r="BL781" s="4"/>
      <c r="BM781" s="4"/>
      <c r="BN781" s="4"/>
      <c r="BO781" s="4"/>
      <c r="BP781" s="39"/>
      <c r="BQ781" s="39"/>
    </row>
    <row r="782" spans="3:69" ht="15.75" customHeight="1">
      <c r="C782" s="4"/>
      <c r="D782" s="4"/>
      <c r="E782" s="38"/>
      <c r="F782" s="38"/>
      <c r="G782" s="4"/>
      <c r="H782" s="4"/>
      <c r="I782" s="4"/>
      <c r="J782" s="4"/>
      <c r="K782" s="4"/>
      <c r="L782" s="4"/>
      <c r="M782" s="4"/>
      <c r="N782" s="38"/>
      <c r="O782" s="4"/>
      <c r="P782" s="4"/>
      <c r="Q782" s="4"/>
      <c r="R782" s="4"/>
      <c r="S782" s="4"/>
      <c r="T782" s="38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38"/>
      <c r="AN782" s="4"/>
      <c r="AO782" s="4"/>
      <c r="AP782" s="4"/>
      <c r="AQ782" s="4"/>
      <c r="AR782" s="4"/>
      <c r="AS782" s="4"/>
      <c r="AT782" s="4"/>
      <c r="AU782" s="4"/>
      <c r="AV782" s="4"/>
      <c r="AW782" s="4"/>
      <c r="AX782" s="4"/>
      <c r="AY782" s="4"/>
      <c r="AZ782" s="4"/>
      <c r="BA782" s="4"/>
      <c r="BB782" s="4"/>
      <c r="BC782" s="4"/>
      <c r="BD782" s="4"/>
      <c r="BE782" s="4"/>
      <c r="BF782" s="4"/>
      <c r="BG782" s="4"/>
      <c r="BH782" s="4"/>
      <c r="BI782" s="4"/>
      <c r="BJ782" s="4"/>
      <c r="BK782" s="4"/>
      <c r="BL782" s="4"/>
      <c r="BM782" s="4"/>
      <c r="BN782" s="4"/>
      <c r="BO782" s="4"/>
      <c r="BP782" s="39"/>
      <c r="BQ782" s="39"/>
    </row>
    <row r="783" spans="3:69" ht="15.75" customHeight="1">
      <c r="C783" s="4"/>
      <c r="D783" s="4"/>
      <c r="E783" s="38"/>
      <c r="F783" s="38"/>
      <c r="G783" s="4"/>
      <c r="H783" s="4"/>
      <c r="I783" s="4"/>
      <c r="J783" s="4"/>
      <c r="K783" s="4"/>
      <c r="L783" s="4"/>
      <c r="M783" s="4"/>
      <c r="N783" s="38"/>
      <c r="O783" s="4"/>
      <c r="P783" s="4"/>
      <c r="Q783" s="4"/>
      <c r="R783" s="4"/>
      <c r="S783" s="4"/>
      <c r="T783" s="38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38"/>
      <c r="AN783" s="4"/>
      <c r="AO783" s="4"/>
      <c r="AP783" s="4"/>
      <c r="AQ783" s="4"/>
      <c r="AR783" s="4"/>
      <c r="AS783" s="4"/>
      <c r="AT783" s="4"/>
      <c r="AU783" s="4"/>
      <c r="AV783" s="4"/>
      <c r="AW783" s="4"/>
      <c r="AX783" s="4"/>
      <c r="AY783" s="4"/>
      <c r="AZ783" s="4"/>
      <c r="BA783" s="4"/>
      <c r="BB783" s="4"/>
      <c r="BC783" s="4"/>
      <c r="BD783" s="4"/>
      <c r="BE783" s="4"/>
      <c r="BF783" s="4"/>
      <c r="BG783" s="4"/>
      <c r="BH783" s="4"/>
      <c r="BI783" s="4"/>
      <c r="BJ783" s="4"/>
      <c r="BK783" s="4"/>
      <c r="BL783" s="4"/>
      <c r="BM783" s="4"/>
      <c r="BN783" s="4"/>
      <c r="BO783" s="4"/>
      <c r="BP783" s="39"/>
      <c r="BQ783" s="39"/>
    </row>
    <row r="784" spans="3:69" ht="15.75" customHeight="1">
      <c r="C784" s="4"/>
      <c r="D784" s="4"/>
      <c r="E784" s="38"/>
      <c r="F784" s="38"/>
      <c r="G784" s="4"/>
      <c r="H784" s="4"/>
      <c r="I784" s="4"/>
      <c r="J784" s="4"/>
      <c r="K784" s="4"/>
      <c r="L784" s="4"/>
      <c r="M784" s="4"/>
      <c r="N784" s="38"/>
      <c r="O784" s="4"/>
      <c r="P784" s="4"/>
      <c r="Q784" s="4"/>
      <c r="R784" s="4"/>
      <c r="S784" s="4"/>
      <c r="T784" s="38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38"/>
      <c r="AN784" s="4"/>
      <c r="AO784" s="4"/>
      <c r="AP784" s="4"/>
      <c r="AQ784" s="4"/>
      <c r="AR784" s="4"/>
      <c r="AS784" s="4"/>
      <c r="AT784" s="4"/>
      <c r="AU784" s="4"/>
      <c r="AV784" s="4"/>
      <c r="AW784" s="4"/>
      <c r="AX784" s="4"/>
      <c r="AY784" s="4"/>
      <c r="AZ784" s="4"/>
      <c r="BA784" s="4"/>
      <c r="BB784" s="4"/>
      <c r="BC784" s="4"/>
      <c r="BD784" s="4"/>
      <c r="BE784" s="4"/>
      <c r="BF784" s="4"/>
      <c r="BG784" s="4"/>
      <c r="BH784" s="4"/>
      <c r="BI784" s="4"/>
      <c r="BJ784" s="4"/>
      <c r="BK784" s="4"/>
      <c r="BL784" s="4"/>
      <c r="BM784" s="4"/>
      <c r="BN784" s="4"/>
      <c r="BO784" s="4"/>
      <c r="BP784" s="39"/>
      <c r="BQ784" s="39"/>
    </row>
    <row r="785" spans="3:69" ht="15.75" customHeight="1">
      <c r="C785" s="4"/>
      <c r="D785" s="4"/>
      <c r="E785" s="38"/>
      <c r="F785" s="38"/>
      <c r="G785" s="4"/>
      <c r="H785" s="4"/>
      <c r="I785" s="4"/>
      <c r="J785" s="4"/>
      <c r="K785" s="4"/>
      <c r="L785" s="4"/>
      <c r="M785" s="4"/>
      <c r="N785" s="38"/>
      <c r="O785" s="4"/>
      <c r="P785" s="4"/>
      <c r="Q785" s="4"/>
      <c r="R785" s="4"/>
      <c r="S785" s="4"/>
      <c r="T785" s="38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38"/>
      <c r="AN785" s="4"/>
      <c r="AO785" s="4"/>
      <c r="AP785" s="4"/>
      <c r="AQ785" s="4"/>
      <c r="AR785" s="4"/>
      <c r="AS785" s="4"/>
      <c r="AT785" s="4"/>
      <c r="AU785" s="4"/>
      <c r="AV785" s="4"/>
      <c r="AW785" s="4"/>
      <c r="AX785" s="4"/>
      <c r="AY785" s="4"/>
      <c r="AZ785" s="4"/>
      <c r="BA785" s="4"/>
      <c r="BB785" s="4"/>
      <c r="BC785" s="4"/>
      <c r="BD785" s="4"/>
      <c r="BE785" s="4"/>
      <c r="BF785" s="4"/>
      <c r="BG785" s="4"/>
      <c r="BH785" s="4"/>
      <c r="BI785" s="4"/>
      <c r="BJ785" s="4"/>
      <c r="BK785" s="4"/>
      <c r="BL785" s="4"/>
      <c r="BM785" s="4"/>
      <c r="BN785" s="4"/>
      <c r="BO785" s="4"/>
      <c r="BP785" s="39"/>
      <c r="BQ785" s="39"/>
    </row>
    <row r="786" spans="3:69" ht="15.75" customHeight="1">
      <c r="C786" s="4"/>
      <c r="D786" s="4"/>
      <c r="E786" s="38"/>
      <c r="F786" s="38"/>
      <c r="G786" s="4"/>
      <c r="H786" s="4"/>
      <c r="I786" s="4"/>
      <c r="J786" s="4"/>
      <c r="K786" s="4"/>
      <c r="L786" s="4"/>
      <c r="M786" s="4"/>
      <c r="N786" s="38"/>
      <c r="O786" s="4"/>
      <c r="P786" s="4"/>
      <c r="Q786" s="4"/>
      <c r="R786" s="4"/>
      <c r="S786" s="4"/>
      <c r="T786" s="38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38"/>
      <c r="AN786" s="4"/>
      <c r="AO786" s="4"/>
      <c r="AP786" s="4"/>
      <c r="AQ786" s="4"/>
      <c r="AR786" s="4"/>
      <c r="AS786" s="4"/>
      <c r="AT786" s="4"/>
      <c r="AU786" s="4"/>
      <c r="AV786" s="4"/>
      <c r="AW786" s="4"/>
      <c r="AX786" s="4"/>
      <c r="AY786" s="4"/>
      <c r="AZ786" s="4"/>
      <c r="BA786" s="4"/>
      <c r="BB786" s="4"/>
      <c r="BC786" s="4"/>
      <c r="BD786" s="4"/>
      <c r="BE786" s="4"/>
      <c r="BF786" s="4"/>
      <c r="BG786" s="4"/>
      <c r="BH786" s="4"/>
      <c r="BI786" s="4"/>
      <c r="BJ786" s="4"/>
      <c r="BK786" s="4"/>
      <c r="BL786" s="4"/>
      <c r="BM786" s="4"/>
      <c r="BN786" s="4"/>
      <c r="BO786" s="4"/>
      <c r="BP786" s="39"/>
      <c r="BQ786" s="39"/>
    </row>
    <row r="787" spans="3:69" ht="15.75" customHeight="1">
      <c r="C787" s="4"/>
      <c r="D787" s="4"/>
      <c r="E787" s="38"/>
      <c r="F787" s="38"/>
      <c r="G787" s="4"/>
      <c r="H787" s="4"/>
      <c r="I787" s="4"/>
      <c r="J787" s="4"/>
      <c r="K787" s="4"/>
      <c r="L787" s="4"/>
      <c r="M787" s="4"/>
      <c r="N787" s="38"/>
      <c r="O787" s="4"/>
      <c r="P787" s="4"/>
      <c r="Q787" s="4"/>
      <c r="R787" s="4"/>
      <c r="S787" s="4"/>
      <c r="T787" s="38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38"/>
      <c r="AN787" s="4"/>
      <c r="AO787" s="4"/>
      <c r="AP787" s="4"/>
      <c r="AQ787" s="4"/>
      <c r="AR787" s="4"/>
      <c r="AS787" s="4"/>
      <c r="AT787" s="4"/>
      <c r="AU787" s="4"/>
      <c r="AV787" s="4"/>
      <c r="AW787" s="4"/>
      <c r="AX787" s="4"/>
      <c r="AY787" s="4"/>
      <c r="AZ787" s="4"/>
      <c r="BA787" s="4"/>
      <c r="BB787" s="4"/>
      <c r="BC787" s="4"/>
      <c r="BD787" s="4"/>
      <c r="BE787" s="4"/>
      <c r="BF787" s="4"/>
      <c r="BG787" s="4"/>
      <c r="BH787" s="4"/>
      <c r="BI787" s="4"/>
      <c r="BJ787" s="4"/>
      <c r="BK787" s="4"/>
      <c r="BL787" s="4"/>
      <c r="BM787" s="4"/>
      <c r="BN787" s="4"/>
      <c r="BO787" s="4"/>
      <c r="BP787" s="39"/>
      <c r="BQ787" s="39"/>
    </row>
    <row r="788" spans="3:69" ht="15.75" customHeight="1">
      <c r="C788" s="4"/>
      <c r="D788" s="4"/>
      <c r="E788" s="38"/>
      <c r="F788" s="38"/>
      <c r="G788" s="4"/>
      <c r="H788" s="4"/>
      <c r="I788" s="4"/>
      <c r="J788" s="4"/>
      <c r="K788" s="4"/>
      <c r="L788" s="4"/>
      <c r="M788" s="4"/>
      <c r="N788" s="38"/>
      <c r="O788" s="4"/>
      <c r="P788" s="4"/>
      <c r="Q788" s="4"/>
      <c r="R788" s="4"/>
      <c r="S788" s="4"/>
      <c r="T788" s="38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38"/>
      <c r="AN788" s="4"/>
      <c r="AO788" s="4"/>
      <c r="AP788" s="4"/>
      <c r="AQ788" s="4"/>
      <c r="AR788" s="4"/>
      <c r="AS788" s="4"/>
      <c r="AT788" s="4"/>
      <c r="AU788" s="4"/>
      <c r="AV788" s="4"/>
      <c r="AW788" s="4"/>
      <c r="AX788" s="4"/>
      <c r="AY788" s="4"/>
      <c r="AZ788" s="4"/>
      <c r="BA788" s="4"/>
      <c r="BB788" s="4"/>
      <c r="BC788" s="4"/>
      <c r="BD788" s="4"/>
      <c r="BE788" s="4"/>
      <c r="BF788" s="4"/>
      <c r="BG788" s="4"/>
      <c r="BH788" s="4"/>
      <c r="BI788" s="4"/>
      <c r="BJ788" s="4"/>
      <c r="BK788" s="4"/>
      <c r="BL788" s="4"/>
      <c r="BM788" s="4"/>
      <c r="BN788" s="4"/>
      <c r="BO788" s="4"/>
      <c r="BP788" s="39"/>
      <c r="BQ788" s="39"/>
    </row>
    <row r="789" spans="3:69" ht="15.75" customHeight="1">
      <c r="C789" s="4"/>
      <c r="D789" s="4"/>
      <c r="E789" s="38"/>
      <c r="F789" s="38"/>
      <c r="G789" s="4"/>
      <c r="H789" s="4"/>
      <c r="I789" s="4"/>
      <c r="J789" s="4"/>
      <c r="K789" s="4"/>
      <c r="L789" s="4"/>
      <c r="M789" s="4"/>
      <c r="N789" s="38"/>
      <c r="O789" s="4"/>
      <c r="P789" s="4"/>
      <c r="Q789" s="4"/>
      <c r="R789" s="4"/>
      <c r="S789" s="4"/>
      <c r="T789" s="38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38"/>
      <c r="AN789" s="4"/>
      <c r="AO789" s="4"/>
      <c r="AP789" s="4"/>
      <c r="AQ789" s="4"/>
      <c r="AR789" s="4"/>
      <c r="AS789" s="4"/>
      <c r="AT789" s="4"/>
      <c r="AU789" s="4"/>
      <c r="AV789" s="4"/>
      <c r="AW789" s="4"/>
      <c r="AX789" s="4"/>
      <c r="AY789" s="4"/>
      <c r="AZ789" s="4"/>
      <c r="BA789" s="4"/>
      <c r="BB789" s="4"/>
      <c r="BC789" s="4"/>
      <c r="BD789" s="4"/>
      <c r="BE789" s="4"/>
      <c r="BF789" s="4"/>
      <c r="BG789" s="4"/>
      <c r="BH789" s="4"/>
      <c r="BI789" s="4"/>
      <c r="BJ789" s="4"/>
      <c r="BK789" s="4"/>
      <c r="BL789" s="4"/>
      <c r="BM789" s="4"/>
      <c r="BN789" s="4"/>
      <c r="BO789" s="4"/>
      <c r="BP789" s="39"/>
      <c r="BQ789" s="39"/>
    </row>
    <row r="790" spans="3:69" ht="15.75" customHeight="1">
      <c r="C790" s="4"/>
      <c r="D790" s="4"/>
      <c r="E790" s="38"/>
      <c r="F790" s="38"/>
      <c r="G790" s="4"/>
      <c r="H790" s="4"/>
      <c r="I790" s="4"/>
      <c r="J790" s="4"/>
      <c r="K790" s="4"/>
      <c r="L790" s="4"/>
      <c r="M790" s="4"/>
      <c r="N790" s="38"/>
      <c r="O790" s="4"/>
      <c r="P790" s="4"/>
      <c r="Q790" s="4"/>
      <c r="R790" s="4"/>
      <c r="S790" s="4"/>
      <c r="T790" s="38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38"/>
      <c r="AN790" s="4"/>
      <c r="AO790" s="4"/>
      <c r="AP790" s="4"/>
      <c r="AQ790" s="4"/>
      <c r="AR790" s="4"/>
      <c r="AS790" s="4"/>
      <c r="AT790" s="4"/>
      <c r="AU790" s="4"/>
      <c r="AV790" s="4"/>
      <c r="AW790" s="4"/>
      <c r="AX790" s="4"/>
      <c r="AY790" s="4"/>
      <c r="AZ790" s="4"/>
      <c r="BA790" s="4"/>
      <c r="BB790" s="4"/>
      <c r="BC790" s="4"/>
      <c r="BD790" s="4"/>
      <c r="BE790" s="4"/>
      <c r="BF790" s="4"/>
      <c r="BG790" s="4"/>
      <c r="BH790" s="4"/>
      <c r="BI790" s="4"/>
      <c r="BJ790" s="4"/>
      <c r="BK790" s="4"/>
      <c r="BL790" s="4"/>
      <c r="BM790" s="4"/>
      <c r="BN790" s="4"/>
      <c r="BO790" s="4"/>
      <c r="BP790" s="39"/>
      <c r="BQ790" s="39"/>
    </row>
    <row r="791" spans="3:69" ht="15.75" customHeight="1">
      <c r="C791" s="4"/>
      <c r="D791" s="4"/>
      <c r="E791" s="38"/>
      <c r="F791" s="38"/>
      <c r="G791" s="4"/>
      <c r="H791" s="4"/>
      <c r="I791" s="4"/>
      <c r="J791" s="4"/>
      <c r="K791" s="4"/>
      <c r="L791" s="4"/>
      <c r="M791" s="4"/>
      <c r="N791" s="38"/>
      <c r="O791" s="4"/>
      <c r="P791" s="4"/>
      <c r="Q791" s="4"/>
      <c r="R791" s="4"/>
      <c r="S791" s="4"/>
      <c r="T791" s="38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38"/>
      <c r="AN791" s="4"/>
      <c r="AO791" s="4"/>
      <c r="AP791" s="4"/>
      <c r="AQ791" s="4"/>
      <c r="AR791" s="4"/>
      <c r="AS791" s="4"/>
      <c r="AT791" s="4"/>
      <c r="AU791" s="4"/>
      <c r="AV791" s="4"/>
      <c r="AW791" s="4"/>
      <c r="AX791" s="4"/>
      <c r="AY791" s="4"/>
      <c r="AZ791" s="4"/>
      <c r="BA791" s="4"/>
      <c r="BB791" s="4"/>
      <c r="BC791" s="4"/>
      <c r="BD791" s="4"/>
      <c r="BE791" s="4"/>
      <c r="BF791" s="4"/>
      <c r="BG791" s="4"/>
      <c r="BH791" s="4"/>
      <c r="BI791" s="4"/>
      <c r="BJ791" s="4"/>
      <c r="BK791" s="4"/>
      <c r="BL791" s="4"/>
      <c r="BM791" s="4"/>
      <c r="BN791" s="4"/>
      <c r="BO791" s="4"/>
      <c r="BP791" s="39"/>
      <c r="BQ791" s="39"/>
    </row>
    <row r="792" spans="3:69" ht="15.75" customHeight="1">
      <c r="C792" s="4"/>
      <c r="D792" s="4"/>
      <c r="E792" s="38"/>
      <c r="F792" s="38"/>
      <c r="G792" s="4"/>
      <c r="H792" s="4"/>
      <c r="I792" s="4"/>
      <c r="J792" s="4"/>
      <c r="K792" s="4"/>
      <c r="L792" s="4"/>
      <c r="M792" s="4"/>
      <c r="N792" s="38"/>
      <c r="O792" s="4"/>
      <c r="P792" s="4"/>
      <c r="Q792" s="4"/>
      <c r="R792" s="4"/>
      <c r="S792" s="4"/>
      <c r="T792" s="38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38"/>
      <c r="AN792" s="4"/>
      <c r="AO792" s="4"/>
      <c r="AP792" s="4"/>
      <c r="AQ792" s="4"/>
      <c r="AR792" s="4"/>
      <c r="AS792" s="4"/>
      <c r="AT792" s="4"/>
      <c r="AU792" s="4"/>
      <c r="AV792" s="4"/>
      <c r="AW792" s="4"/>
      <c r="AX792" s="4"/>
      <c r="AY792" s="4"/>
      <c r="AZ792" s="4"/>
      <c r="BA792" s="4"/>
      <c r="BB792" s="4"/>
      <c r="BC792" s="4"/>
      <c r="BD792" s="4"/>
      <c r="BE792" s="4"/>
      <c r="BF792" s="4"/>
      <c r="BG792" s="4"/>
      <c r="BH792" s="4"/>
      <c r="BI792" s="4"/>
      <c r="BJ792" s="4"/>
      <c r="BK792" s="4"/>
      <c r="BL792" s="4"/>
      <c r="BM792" s="4"/>
      <c r="BN792" s="4"/>
      <c r="BO792" s="4"/>
      <c r="BP792" s="39"/>
      <c r="BQ792" s="39"/>
    </row>
    <row r="793" spans="3:69" ht="15.75" customHeight="1">
      <c r="C793" s="4"/>
      <c r="D793" s="4"/>
      <c r="E793" s="38"/>
      <c r="F793" s="38"/>
      <c r="G793" s="4"/>
      <c r="H793" s="4"/>
      <c r="I793" s="4"/>
      <c r="J793" s="4"/>
      <c r="K793" s="4"/>
      <c r="L793" s="4"/>
      <c r="M793" s="4"/>
      <c r="N793" s="38"/>
      <c r="O793" s="4"/>
      <c r="P793" s="4"/>
      <c r="Q793" s="4"/>
      <c r="R793" s="4"/>
      <c r="S793" s="4"/>
      <c r="T793" s="38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38"/>
      <c r="AN793" s="4"/>
      <c r="AO793" s="4"/>
      <c r="AP793" s="4"/>
      <c r="AQ793" s="4"/>
      <c r="AR793" s="4"/>
      <c r="AS793" s="4"/>
      <c r="AT793" s="4"/>
      <c r="AU793" s="4"/>
      <c r="AV793" s="4"/>
      <c r="AW793" s="4"/>
      <c r="AX793" s="4"/>
      <c r="AY793" s="4"/>
      <c r="AZ793" s="4"/>
      <c r="BA793" s="4"/>
      <c r="BB793" s="4"/>
      <c r="BC793" s="4"/>
      <c r="BD793" s="4"/>
      <c r="BE793" s="4"/>
      <c r="BF793" s="4"/>
      <c r="BG793" s="4"/>
      <c r="BH793" s="4"/>
      <c r="BI793" s="4"/>
      <c r="BJ793" s="4"/>
      <c r="BK793" s="4"/>
      <c r="BL793" s="4"/>
      <c r="BM793" s="4"/>
      <c r="BN793" s="4"/>
      <c r="BO793" s="4"/>
      <c r="BP793" s="39"/>
      <c r="BQ793" s="39"/>
    </row>
    <row r="794" spans="3:69" ht="15.75" customHeight="1">
      <c r="C794" s="4"/>
      <c r="D794" s="4"/>
      <c r="E794" s="38"/>
      <c r="F794" s="38"/>
      <c r="G794" s="4"/>
      <c r="H794" s="4"/>
      <c r="I794" s="4"/>
      <c r="J794" s="4"/>
      <c r="K794" s="4"/>
      <c r="L794" s="4"/>
      <c r="M794" s="4"/>
      <c r="N794" s="38"/>
      <c r="O794" s="4"/>
      <c r="P794" s="4"/>
      <c r="Q794" s="4"/>
      <c r="R794" s="4"/>
      <c r="S794" s="4"/>
      <c r="T794" s="38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38"/>
      <c r="AN794" s="4"/>
      <c r="AO794" s="4"/>
      <c r="AP794" s="4"/>
      <c r="AQ794" s="4"/>
      <c r="AR794" s="4"/>
      <c r="AS794" s="4"/>
      <c r="AT794" s="4"/>
      <c r="AU794" s="4"/>
      <c r="AV794" s="4"/>
      <c r="AW794" s="4"/>
      <c r="AX794" s="4"/>
      <c r="AY794" s="4"/>
      <c r="AZ794" s="4"/>
      <c r="BA794" s="4"/>
      <c r="BB794" s="4"/>
      <c r="BC794" s="4"/>
      <c r="BD794" s="4"/>
      <c r="BE794" s="4"/>
      <c r="BF794" s="4"/>
      <c r="BG794" s="4"/>
      <c r="BH794" s="4"/>
      <c r="BI794" s="4"/>
      <c r="BJ794" s="4"/>
      <c r="BK794" s="4"/>
      <c r="BL794" s="4"/>
      <c r="BM794" s="4"/>
      <c r="BN794" s="4"/>
      <c r="BO794" s="4"/>
      <c r="BP794" s="39"/>
      <c r="BQ794" s="39"/>
    </row>
    <row r="795" spans="3:69" ht="15.75" customHeight="1">
      <c r="C795" s="4"/>
      <c r="D795" s="4"/>
      <c r="E795" s="38"/>
      <c r="F795" s="38"/>
      <c r="G795" s="4"/>
      <c r="H795" s="4"/>
      <c r="I795" s="4"/>
      <c r="J795" s="4"/>
      <c r="K795" s="4"/>
      <c r="L795" s="4"/>
      <c r="M795" s="4"/>
      <c r="N795" s="38"/>
      <c r="O795" s="4"/>
      <c r="P795" s="4"/>
      <c r="Q795" s="4"/>
      <c r="R795" s="4"/>
      <c r="S795" s="4"/>
      <c r="T795" s="38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38"/>
      <c r="AN795" s="4"/>
      <c r="AO795" s="4"/>
      <c r="AP795" s="4"/>
      <c r="AQ795" s="4"/>
      <c r="AR795" s="4"/>
      <c r="AS795" s="4"/>
      <c r="AT795" s="4"/>
      <c r="AU795" s="4"/>
      <c r="AV795" s="4"/>
      <c r="AW795" s="4"/>
      <c r="AX795" s="4"/>
      <c r="AY795" s="4"/>
      <c r="AZ795" s="4"/>
      <c r="BA795" s="4"/>
      <c r="BB795" s="4"/>
      <c r="BC795" s="4"/>
      <c r="BD795" s="4"/>
      <c r="BE795" s="4"/>
      <c r="BF795" s="4"/>
      <c r="BG795" s="4"/>
      <c r="BH795" s="4"/>
      <c r="BI795" s="4"/>
      <c r="BJ795" s="4"/>
      <c r="BK795" s="4"/>
      <c r="BL795" s="4"/>
      <c r="BM795" s="4"/>
      <c r="BN795" s="4"/>
      <c r="BO795" s="4"/>
      <c r="BP795" s="39"/>
      <c r="BQ795" s="39"/>
    </row>
    <row r="796" spans="3:69" ht="15.75" customHeight="1">
      <c r="C796" s="4"/>
      <c r="D796" s="4"/>
      <c r="E796" s="38"/>
      <c r="F796" s="38"/>
      <c r="G796" s="4"/>
      <c r="H796" s="4"/>
      <c r="I796" s="4"/>
      <c r="J796" s="4"/>
      <c r="K796" s="4"/>
      <c r="L796" s="4"/>
      <c r="M796" s="4"/>
      <c r="N796" s="38"/>
      <c r="O796" s="4"/>
      <c r="P796" s="4"/>
      <c r="Q796" s="4"/>
      <c r="R796" s="4"/>
      <c r="S796" s="4"/>
      <c r="T796" s="38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38"/>
      <c r="AN796" s="4"/>
      <c r="AO796" s="4"/>
      <c r="AP796" s="4"/>
      <c r="AQ796" s="4"/>
      <c r="AR796" s="4"/>
      <c r="AS796" s="4"/>
      <c r="AT796" s="4"/>
      <c r="AU796" s="4"/>
      <c r="AV796" s="4"/>
      <c r="AW796" s="4"/>
      <c r="AX796" s="4"/>
      <c r="AY796" s="4"/>
      <c r="AZ796" s="4"/>
      <c r="BA796" s="4"/>
      <c r="BB796" s="4"/>
      <c r="BC796" s="4"/>
      <c r="BD796" s="4"/>
      <c r="BE796" s="4"/>
      <c r="BF796" s="4"/>
      <c r="BG796" s="4"/>
      <c r="BH796" s="4"/>
      <c r="BI796" s="4"/>
      <c r="BJ796" s="4"/>
      <c r="BK796" s="4"/>
      <c r="BL796" s="4"/>
      <c r="BM796" s="4"/>
      <c r="BN796" s="4"/>
      <c r="BO796" s="4"/>
      <c r="BP796" s="39"/>
      <c r="BQ796" s="39"/>
    </row>
    <row r="797" spans="3:69" ht="15.75" customHeight="1">
      <c r="C797" s="4"/>
      <c r="D797" s="4"/>
      <c r="E797" s="38"/>
      <c r="F797" s="38"/>
      <c r="G797" s="4"/>
      <c r="H797" s="4"/>
      <c r="I797" s="4"/>
      <c r="J797" s="4"/>
      <c r="K797" s="4"/>
      <c r="L797" s="4"/>
      <c r="M797" s="4"/>
      <c r="N797" s="38"/>
      <c r="O797" s="4"/>
      <c r="P797" s="4"/>
      <c r="Q797" s="4"/>
      <c r="R797" s="4"/>
      <c r="S797" s="4"/>
      <c r="T797" s="38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38"/>
      <c r="AN797" s="4"/>
      <c r="AO797" s="4"/>
      <c r="AP797" s="4"/>
      <c r="AQ797" s="4"/>
      <c r="AR797" s="4"/>
      <c r="AS797" s="4"/>
      <c r="AT797" s="4"/>
      <c r="AU797" s="4"/>
      <c r="AV797" s="4"/>
      <c r="AW797" s="4"/>
      <c r="AX797" s="4"/>
      <c r="AY797" s="4"/>
      <c r="AZ797" s="4"/>
      <c r="BA797" s="4"/>
      <c r="BB797" s="4"/>
      <c r="BC797" s="4"/>
      <c r="BD797" s="4"/>
      <c r="BE797" s="4"/>
      <c r="BF797" s="4"/>
      <c r="BG797" s="4"/>
      <c r="BH797" s="4"/>
      <c r="BI797" s="4"/>
      <c r="BJ797" s="4"/>
      <c r="BK797" s="4"/>
      <c r="BL797" s="4"/>
      <c r="BM797" s="4"/>
      <c r="BN797" s="4"/>
      <c r="BO797" s="4"/>
      <c r="BP797" s="39"/>
      <c r="BQ797" s="39"/>
    </row>
    <row r="798" spans="3:69" ht="15.75" customHeight="1">
      <c r="C798" s="4"/>
      <c r="D798" s="4"/>
      <c r="E798" s="38"/>
      <c r="F798" s="38"/>
      <c r="G798" s="4"/>
      <c r="H798" s="4"/>
      <c r="I798" s="4"/>
      <c r="J798" s="4"/>
      <c r="K798" s="4"/>
      <c r="L798" s="4"/>
      <c r="M798" s="4"/>
      <c r="N798" s="38"/>
      <c r="O798" s="4"/>
      <c r="P798" s="4"/>
      <c r="Q798" s="4"/>
      <c r="R798" s="4"/>
      <c r="S798" s="4"/>
      <c r="T798" s="38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38"/>
      <c r="AN798" s="4"/>
      <c r="AO798" s="4"/>
      <c r="AP798" s="4"/>
      <c r="AQ798" s="4"/>
      <c r="AR798" s="4"/>
      <c r="AS798" s="4"/>
      <c r="AT798" s="4"/>
      <c r="AU798" s="4"/>
      <c r="AV798" s="4"/>
      <c r="AW798" s="4"/>
      <c r="AX798" s="4"/>
      <c r="AY798" s="4"/>
      <c r="AZ798" s="4"/>
      <c r="BA798" s="4"/>
      <c r="BB798" s="4"/>
      <c r="BC798" s="4"/>
      <c r="BD798" s="4"/>
      <c r="BE798" s="4"/>
      <c r="BF798" s="4"/>
      <c r="BG798" s="4"/>
      <c r="BH798" s="4"/>
      <c r="BI798" s="4"/>
      <c r="BJ798" s="4"/>
      <c r="BK798" s="4"/>
      <c r="BL798" s="4"/>
      <c r="BM798" s="4"/>
      <c r="BN798" s="4"/>
      <c r="BO798" s="4"/>
      <c r="BP798" s="39"/>
      <c r="BQ798" s="39"/>
    </row>
    <row r="799" spans="3:69" ht="15.75" customHeight="1">
      <c r="C799" s="4"/>
      <c r="D799" s="4"/>
      <c r="E799" s="38"/>
      <c r="F799" s="38"/>
      <c r="G799" s="4"/>
      <c r="H799" s="4"/>
      <c r="I799" s="4"/>
      <c r="J799" s="4"/>
      <c r="K799" s="4"/>
      <c r="L799" s="4"/>
      <c r="M799" s="4"/>
      <c r="N799" s="38"/>
      <c r="O799" s="4"/>
      <c r="P799" s="4"/>
      <c r="Q799" s="4"/>
      <c r="R799" s="4"/>
      <c r="S799" s="4"/>
      <c r="T799" s="38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38"/>
      <c r="AN799" s="4"/>
      <c r="AO799" s="4"/>
      <c r="AP799" s="4"/>
      <c r="AQ799" s="4"/>
      <c r="AR799" s="4"/>
      <c r="AS799" s="4"/>
      <c r="AT799" s="4"/>
      <c r="AU799" s="4"/>
      <c r="AV799" s="4"/>
      <c r="AW799" s="4"/>
      <c r="AX799" s="4"/>
      <c r="AY799" s="4"/>
      <c r="AZ799" s="4"/>
      <c r="BA799" s="4"/>
      <c r="BB799" s="4"/>
      <c r="BC799" s="4"/>
      <c r="BD799" s="4"/>
      <c r="BE799" s="4"/>
      <c r="BF799" s="4"/>
      <c r="BG799" s="4"/>
      <c r="BH799" s="4"/>
      <c r="BI799" s="4"/>
      <c r="BJ799" s="4"/>
      <c r="BK799" s="4"/>
      <c r="BL799" s="4"/>
      <c r="BM799" s="4"/>
      <c r="BN799" s="4"/>
      <c r="BO799" s="4"/>
      <c r="BP799" s="39"/>
      <c r="BQ799" s="39"/>
    </row>
    <row r="800" spans="3:69" ht="15.75" customHeight="1">
      <c r="C800" s="4"/>
      <c r="D800" s="4"/>
      <c r="E800" s="38"/>
      <c r="F800" s="38"/>
      <c r="G800" s="4"/>
      <c r="H800" s="4"/>
      <c r="I800" s="4"/>
      <c r="J800" s="4"/>
      <c r="K800" s="4"/>
      <c r="L800" s="4"/>
      <c r="M800" s="4"/>
      <c r="N800" s="38"/>
      <c r="O800" s="4"/>
      <c r="P800" s="4"/>
      <c r="Q800" s="4"/>
      <c r="R800" s="4"/>
      <c r="S800" s="4"/>
      <c r="T800" s="38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38"/>
      <c r="AN800" s="4"/>
      <c r="AO800" s="4"/>
      <c r="AP800" s="4"/>
      <c r="AQ800" s="4"/>
      <c r="AR800" s="4"/>
      <c r="AS800" s="4"/>
      <c r="AT800" s="4"/>
      <c r="AU800" s="4"/>
      <c r="AV800" s="4"/>
      <c r="AW800" s="4"/>
      <c r="AX800" s="4"/>
      <c r="AY800" s="4"/>
      <c r="AZ800" s="4"/>
      <c r="BA800" s="4"/>
      <c r="BB800" s="4"/>
      <c r="BC800" s="4"/>
      <c r="BD800" s="4"/>
      <c r="BE800" s="4"/>
      <c r="BF800" s="4"/>
      <c r="BG800" s="4"/>
      <c r="BH800" s="4"/>
      <c r="BI800" s="4"/>
      <c r="BJ800" s="4"/>
      <c r="BK800" s="4"/>
      <c r="BL800" s="4"/>
      <c r="BM800" s="4"/>
      <c r="BN800" s="4"/>
      <c r="BO800" s="4"/>
      <c r="BP800" s="39"/>
      <c r="BQ800" s="39"/>
    </row>
    <row r="801" spans="3:69" ht="15.75" customHeight="1">
      <c r="C801" s="4"/>
      <c r="D801" s="4"/>
      <c r="E801" s="38"/>
      <c r="F801" s="38"/>
      <c r="G801" s="4"/>
      <c r="H801" s="4"/>
      <c r="I801" s="4"/>
      <c r="J801" s="4"/>
      <c r="K801" s="4"/>
      <c r="L801" s="4"/>
      <c r="M801" s="4"/>
      <c r="N801" s="38"/>
      <c r="O801" s="4"/>
      <c r="P801" s="4"/>
      <c r="Q801" s="4"/>
      <c r="R801" s="4"/>
      <c r="S801" s="4"/>
      <c r="T801" s="38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38"/>
      <c r="AN801" s="4"/>
      <c r="AO801" s="4"/>
      <c r="AP801" s="4"/>
      <c r="AQ801" s="4"/>
      <c r="AR801" s="4"/>
      <c r="AS801" s="4"/>
      <c r="AT801" s="4"/>
      <c r="AU801" s="4"/>
      <c r="AV801" s="4"/>
      <c r="AW801" s="4"/>
      <c r="AX801" s="4"/>
      <c r="AY801" s="4"/>
      <c r="AZ801" s="4"/>
      <c r="BA801" s="4"/>
      <c r="BB801" s="4"/>
      <c r="BC801" s="4"/>
      <c r="BD801" s="4"/>
      <c r="BE801" s="4"/>
      <c r="BF801" s="4"/>
      <c r="BG801" s="4"/>
      <c r="BH801" s="4"/>
      <c r="BI801" s="4"/>
      <c r="BJ801" s="4"/>
      <c r="BK801" s="4"/>
      <c r="BL801" s="4"/>
      <c r="BM801" s="4"/>
      <c r="BN801" s="4"/>
      <c r="BO801" s="4"/>
      <c r="BP801" s="39"/>
      <c r="BQ801" s="39"/>
    </row>
    <row r="802" spans="3:69" ht="15.75" customHeight="1">
      <c r="C802" s="4"/>
      <c r="D802" s="4"/>
      <c r="E802" s="38"/>
      <c r="F802" s="38"/>
      <c r="G802" s="4"/>
      <c r="H802" s="4"/>
      <c r="I802" s="4"/>
      <c r="J802" s="4"/>
      <c r="K802" s="4"/>
      <c r="L802" s="4"/>
      <c r="M802" s="4"/>
      <c r="N802" s="38"/>
      <c r="O802" s="4"/>
      <c r="P802" s="4"/>
      <c r="Q802" s="4"/>
      <c r="R802" s="4"/>
      <c r="S802" s="4"/>
      <c r="T802" s="38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38"/>
      <c r="AN802" s="4"/>
      <c r="AO802" s="4"/>
      <c r="AP802" s="4"/>
      <c r="AQ802" s="4"/>
      <c r="AR802" s="4"/>
      <c r="AS802" s="4"/>
      <c r="AT802" s="4"/>
      <c r="AU802" s="4"/>
      <c r="AV802" s="4"/>
      <c r="AW802" s="4"/>
      <c r="AX802" s="4"/>
      <c r="AY802" s="4"/>
      <c r="AZ802" s="4"/>
      <c r="BA802" s="4"/>
      <c r="BB802" s="4"/>
      <c r="BC802" s="4"/>
      <c r="BD802" s="4"/>
      <c r="BE802" s="4"/>
      <c r="BF802" s="4"/>
      <c r="BG802" s="4"/>
      <c r="BH802" s="4"/>
      <c r="BI802" s="4"/>
      <c r="BJ802" s="4"/>
      <c r="BK802" s="4"/>
      <c r="BL802" s="4"/>
      <c r="BM802" s="4"/>
      <c r="BN802" s="4"/>
      <c r="BO802" s="4"/>
      <c r="BP802" s="39"/>
      <c r="BQ802" s="39"/>
    </row>
    <row r="803" spans="3:69" ht="15.75" customHeight="1">
      <c r="C803" s="4"/>
      <c r="D803" s="4"/>
      <c r="E803" s="38"/>
      <c r="F803" s="38"/>
      <c r="G803" s="4"/>
      <c r="H803" s="4"/>
      <c r="I803" s="4"/>
      <c r="J803" s="4"/>
      <c r="K803" s="4"/>
      <c r="L803" s="4"/>
      <c r="M803" s="4"/>
      <c r="N803" s="38"/>
      <c r="O803" s="4"/>
      <c r="P803" s="4"/>
      <c r="Q803" s="4"/>
      <c r="R803" s="4"/>
      <c r="S803" s="4"/>
      <c r="T803" s="38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38"/>
      <c r="AN803" s="4"/>
      <c r="AO803" s="4"/>
      <c r="AP803" s="4"/>
      <c r="AQ803" s="4"/>
      <c r="AR803" s="4"/>
      <c r="AS803" s="4"/>
      <c r="AT803" s="4"/>
      <c r="AU803" s="4"/>
      <c r="AV803" s="4"/>
      <c r="AW803" s="4"/>
      <c r="AX803" s="4"/>
      <c r="AY803" s="4"/>
      <c r="AZ803" s="4"/>
      <c r="BA803" s="4"/>
      <c r="BB803" s="4"/>
      <c r="BC803" s="4"/>
      <c r="BD803" s="4"/>
      <c r="BE803" s="4"/>
      <c r="BF803" s="4"/>
      <c r="BG803" s="4"/>
      <c r="BH803" s="4"/>
      <c r="BI803" s="4"/>
      <c r="BJ803" s="4"/>
      <c r="BK803" s="4"/>
      <c r="BL803" s="4"/>
      <c r="BM803" s="4"/>
      <c r="BN803" s="4"/>
      <c r="BO803" s="4"/>
      <c r="BP803" s="39"/>
      <c r="BQ803" s="39"/>
    </row>
    <row r="804" spans="3:69" ht="15.75" customHeight="1">
      <c r="C804" s="4"/>
      <c r="D804" s="4"/>
      <c r="E804" s="38"/>
      <c r="F804" s="38"/>
      <c r="G804" s="4"/>
      <c r="H804" s="4"/>
      <c r="I804" s="4"/>
      <c r="J804" s="4"/>
      <c r="K804" s="4"/>
      <c r="L804" s="4"/>
      <c r="M804" s="4"/>
      <c r="N804" s="38"/>
      <c r="O804" s="4"/>
      <c r="P804" s="4"/>
      <c r="Q804" s="4"/>
      <c r="R804" s="4"/>
      <c r="S804" s="4"/>
      <c r="T804" s="38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38"/>
      <c r="AN804" s="4"/>
      <c r="AO804" s="4"/>
      <c r="AP804" s="4"/>
      <c r="AQ804" s="4"/>
      <c r="AR804" s="4"/>
      <c r="AS804" s="4"/>
      <c r="AT804" s="4"/>
      <c r="AU804" s="4"/>
      <c r="AV804" s="4"/>
      <c r="AW804" s="4"/>
      <c r="AX804" s="4"/>
      <c r="AY804" s="4"/>
      <c r="AZ804" s="4"/>
      <c r="BA804" s="4"/>
      <c r="BB804" s="4"/>
      <c r="BC804" s="4"/>
      <c r="BD804" s="4"/>
      <c r="BE804" s="4"/>
      <c r="BF804" s="4"/>
      <c r="BG804" s="4"/>
      <c r="BH804" s="4"/>
      <c r="BI804" s="4"/>
      <c r="BJ804" s="4"/>
      <c r="BK804" s="4"/>
      <c r="BL804" s="4"/>
      <c r="BM804" s="4"/>
      <c r="BN804" s="4"/>
      <c r="BO804" s="4"/>
      <c r="BP804" s="39"/>
      <c r="BQ804" s="39"/>
    </row>
    <row r="805" spans="3:69" ht="15.75" customHeight="1">
      <c r="C805" s="4"/>
      <c r="D805" s="4"/>
      <c r="E805" s="38"/>
      <c r="F805" s="38"/>
      <c r="G805" s="4"/>
      <c r="H805" s="4"/>
      <c r="I805" s="4"/>
      <c r="J805" s="4"/>
      <c r="K805" s="4"/>
      <c r="L805" s="4"/>
      <c r="M805" s="4"/>
      <c r="N805" s="38"/>
      <c r="O805" s="4"/>
      <c r="P805" s="4"/>
      <c r="Q805" s="4"/>
      <c r="R805" s="4"/>
      <c r="S805" s="4"/>
      <c r="T805" s="38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38"/>
      <c r="AN805" s="4"/>
      <c r="AO805" s="4"/>
      <c r="AP805" s="4"/>
      <c r="AQ805" s="4"/>
      <c r="AR805" s="4"/>
      <c r="AS805" s="4"/>
      <c r="AT805" s="4"/>
      <c r="AU805" s="4"/>
      <c r="AV805" s="4"/>
      <c r="AW805" s="4"/>
      <c r="AX805" s="4"/>
      <c r="AY805" s="4"/>
      <c r="AZ805" s="4"/>
      <c r="BA805" s="4"/>
      <c r="BB805" s="4"/>
      <c r="BC805" s="4"/>
      <c r="BD805" s="4"/>
      <c r="BE805" s="4"/>
      <c r="BF805" s="4"/>
      <c r="BG805" s="4"/>
      <c r="BH805" s="4"/>
      <c r="BI805" s="4"/>
      <c r="BJ805" s="4"/>
      <c r="BK805" s="4"/>
      <c r="BL805" s="4"/>
      <c r="BM805" s="4"/>
      <c r="BN805" s="4"/>
      <c r="BO805" s="4"/>
      <c r="BP805" s="39"/>
      <c r="BQ805" s="39"/>
    </row>
    <row r="806" spans="3:69" ht="15.75" customHeight="1">
      <c r="C806" s="4"/>
      <c r="D806" s="4"/>
      <c r="E806" s="38"/>
      <c r="F806" s="38"/>
      <c r="G806" s="4"/>
      <c r="H806" s="4"/>
      <c r="I806" s="4"/>
      <c r="J806" s="4"/>
      <c r="K806" s="4"/>
      <c r="L806" s="4"/>
      <c r="M806" s="4"/>
      <c r="N806" s="38"/>
      <c r="O806" s="4"/>
      <c r="P806" s="4"/>
      <c r="Q806" s="4"/>
      <c r="R806" s="4"/>
      <c r="S806" s="4"/>
      <c r="T806" s="38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38"/>
      <c r="AN806" s="4"/>
      <c r="AO806" s="4"/>
      <c r="AP806" s="4"/>
      <c r="AQ806" s="4"/>
      <c r="AR806" s="4"/>
      <c r="AS806" s="4"/>
      <c r="AT806" s="4"/>
      <c r="AU806" s="4"/>
      <c r="AV806" s="4"/>
      <c r="AW806" s="4"/>
      <c r="AX806" s="4"/>
      <c r="AY806" s="4"/>
      <c r="AZ806" s="4"/>
      <c r="BA806" s="4"/>
      <c r="BB806" s="4"/>
      <c r="BC806" s="4"/>
      <c r="BD806" s="4"/>
      <c r="BE806" s="4"/>
      <c r="BF806" s="4"/>
      <c r="BG806" s="4"/>
      <c r="BH806" s="4"/>
      <c r="BI806" s="4"/>
      <c r="BJ806" s="4"/>
      <c r="BK806" s="4"/>
      <c r="BL806" s="4"/>
      <c r="BM806" s="4"/>
      <c r="BN806" s="4"/>
      <c r="BO806" s="4"/>
      <c r="BP806" s="39"/>
      <c r="BQ806" s="39"/>
    </row>
    <row r="807" spans="3:69" ht="15.75" customHeight="1">
      <c r="C807" s="4"/>
      <c r="D807" s="4"/>
      <c r="E807" s="38"/>
      <c r="F807" s="38"/>
      <c r="G807" s="4"/>
      <c r="H807" s="4"/>
      <c r="I807" s="4"/>
      <c r="J807" s="4"/>
      <c r="K807" s="4"/>
      <c r="L807" s="4"/>
      <c r="M807" s="4"/>
      <c r="N807" s="38"/>
      <c r="O807" s="4"/>
      <c r="P807" s="4"/>
      <c r="Q807" s="4"/>
      <c r="R807" s="4"/>
      <c r="S807" s="4"/>
      <c r="T807" s="38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38"/>
      <c r="AN807" s="4"/>
      <c r="AO807" s="4"/>
      <c r="AP807" s="4"/>
      <c r="AQ807" s="4"/>
      <c r="AR807" s="4"/>
      <c r="AS807" s="4"/>
      <c r="AT807" s="4"/>
      <c r="AU807" s="4"/>
      <c r="AV807" s="4"/>
      <c r="AW807" s="4"/>
      <c r="AX807" s="4"/>
      <c r="AY807" s="4"/>
      <c r="AZ807" s="4"/>
      <c r="BA807" s="4"/>
      <c r="BB807" s="4"/>
      <c r="BC807" s="4"/>
      <c r="BD807" s="4"/>
      <c r="BE807" s="4"/>
      <c r="BF807" s="4"/>
      <c r="BG807" s="4"/>
      <c r="BH807" s="4"/>
      <c r="BI807" s="4"/>
      <c r="BJ807" s="4"/>
      <c r="BK807" s="4"/>
      <c r="BL807" s="4"/>
      <c r="BM807" s="4"/>
      <c r="BN807" s="4"/>
      <c r="BO807" s="4"/>
      <c r="BP807" s="39"/>
      <c r="BQ807" s="39"/>
    </row>
    <row r="808" spans="3:69" ht="15.75" customHeight="1">
      <c r="C808" s="4"/>
      <c r="D808" s="4"/>
      <c r="E808" s="38"/>
      <c r="F808" s="38"/>
      <c r="G808" s="4"/>
      <c r="H808" s="4"/>
      <c r="I808" s="4"/>
      <c r="J808" s="4"/>
      <c r="K808" s="4"/>
      <c r="L808" s="4"/>
      <c r="M808" s="4"/>
      <c r="N808" s="38"/>
      <c r="O808" s="4"/>
      <c r="P808" s="4"/>
      <c r="Q808" s="4"/>
      <c r="R808" s="4"/>
      <c r="S808" s="4"/>
      <c r="T808" s="38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38"/>
      <c r="AN808" s="4"/>
      <c r="AO808" s="4"/>
      <c r="AP808" s="4"/>
      <c r="AQ808" s="4"/>
      <c r="AR808" s="4"/>
      <c r="AS808" s="4"/>
      <c r="AT808" s="4"/>
      <c r="AU808" s="4"/>
      <c r="AV808" s="4"/>
      <c r="AW808" s="4"/>
      <c r="AX808" s="4"/>
      <c r="AY808" s="4"/>
      <c r="AZ808" s="4"/>
      <c r="BA808" s="4"/>
      <c r="BB808" s="4"/>
      <c r="BC808" s="4"/>
      <c r="BD808" s="4"/>
      <c r="BE808" s="4"/>
      <c r="BF808" s="4"/>
      <c r="BG808" s="4"/>
      <c r="BH808" s="4"/>
      <c r="BI808" s="4"/>
      <c r="BJ808" s="4"/>
      <c r="BK808" s="4"/>
      <c r="BL808" s="4"/>
      <c r="BM808" s="4"/>
      <c r="BN808" s="4"/>
      <c r="BO808" s="4"/>
      <c r="BP808" s="39"/>
      <c r="BQ808" s="39"/>
    </row>
    <row r="809" spans="3:69" ht="15.75" customHeight="1">
      <c r="C809" s="4"/>
      <c r="D809" s="4"/>
      <c r="E809" s="38"/>
      <c r="F809" s="38"/>
      <c r="G809" s="4"/>
      <c r="H809" s="4"/>
      <c r="I809" s="4"/>
      <c r="J809" s="4"/>
      <c r="K809" s="4"/>
      <c r="L809" s="4"/>
      <c r="M809" s="4"/>
      <c r="N809" s="38"/>
      <c r="O809" s="4"/>
      <c r="P809" s="4"/>
      <c r="Q809" s="4"/>
      <c r="R809" s="4"/>
      <c r="S809" s="4"/>
      <c r="T809" s="38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38"/>
      <c r="AN809" s="4"/>
      <c r="AO809" s="4"/>
      <c r="AP809" s="4"/>
      <c r="AQ809" s="4"/>
      <c r="AR809" s="4"/>
      <c r="AS809" s="4"/>
      <c r="AT809" s="4"/>
      <c r="AU809" s="4"/>
      <c r="AV809" s="4"/>
      <c r="AW809" s="4"/>
      <c r="AX809" s="4"/>
      <c r="AY809" s="4"/>
      <c r="AZ809" s="4"/>
      <c r="BA809" s="4"/>
      <c r="BB809" s="4"/>
      <c r="BC809" s="4"/>
      <c r="BD809" s="4"/>
      <c r="BE809" s="4"/>
      <c r="BF809" s="4"/>
      <c r="BG809" s="4"/>
      <c r="BH809" s="4"/>
      <c r="BI809" s="4"/>
      <c r="BJ809" s="4"/>
      <c r="BK809" s="4"/>
      <c r="BL809" s="4"/>
      <c r="BM809" s="4"/>
      <c r="BN809" s="4"/>
      <c r="BO809" s="4"/>
      <c r="BP809" s="39"/>
      <c r="BQ809" s="39"/>
    </row>
    <row r="810" spans="3:69" ht="15.75" customHeight="1">
      <c r="C810" s="4"/>
      <c r="D810" s="4"/>
      <c r="E810" s="38"/>
      <c r="F810" s="38"/>
      <c r="G810" s="4"/>
      <c r="H810" s="4"/>
      <c r="I810" s="4"/>
      <c r="J810" s="4"/>
      <c r="K810" s="4"/>
      <c r="L810" s="4"/>
      <c r="M810" s="4"/>
      <c r="N810" s="38"/>
      <c r="O810" s="4"/>
      <c r="P810" s="4"/>
      <c r="Q810" s="4"/>
      <c r="R810" s="4"/>
      <c r="S810" s="4"/>
      <c r="T810" s="38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38"/>
      <c r="AN810" s="4"/>
      <c r="AO810" s="4"/>
      <c r="AP810" s="4"/>
      <c r="AQ810" s="4"/>
      <c r="AR810" s="4"/>
      <c r="AS810" s="4"/>
      <c r="AT810" s="4"/>
      <c r="AU810" s="4"/>
      <c r="AV810" s="4"/>
      <c r="AW810" s="4"/>
      <c r="AX810" s="4"/>
      <c r="AY810" s="4"/>
      <c r="AZ810" s="4"/>
      <c r="BA810" s="4"/>
      <c r="BB810" s="4"/>
      <c r="BC810" s="4"/>
      <c r="BD810" s="4"/>
      <c r="BE810" s="4"/>
      <c r="BF810" s="4"/>
      <c r="BG810" s="4"/>
      <c r="BH810" s="4"/>
      <c r="BI810" s="4"/>
      <c r="BJ810" s="4"/>
      <c r="BK810" s="4"/>
      <c r="BL810" s="4"/>
      <c r="BM810" s="4"/>
      <c r="BN810" s="4"/>
      <c r="BO810" s="4"/>
      <c r="BP810" s="39"/>
      <c r="BQ810" s="39"/>
    </row>
    <row r="811" spans="3:69" ht="15.75" customHeight="1">
      <c r="C811" s="4"/>
      <c r="D811" s="4"/>
      <c r="E811" s="38"/>
      <c r="F811" s="38"/>
      <c r="G811" s="4"/>
      <c r="H811" s="4"/>
      <c r="I811" s="4"/>
      <c r="J811" s="4"/>
      <c r="K811" s="4"/>
      <c r="L811" s="4"/>
      <c r="M811" s="4"/>
      <c r="N811" s="38"/>
      <c r="O811" s="4"/>
      <c r="P811" s="4"/>
      <c r="Q811" s="4"/>
      <c r="R811" s="4"/>
      <c r="S811" s="4"/>
      <c r="T811" s="38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38"/>
      <c r="AN811" s="4"/>
      <c r="AO811" s="4"/>
      <c r="AP811" s="4"/>
      <c r="AQ811" s="4"/>
      <c r="AR811" s="4"/>
      <c r="AS811" s="4"/>
      <c r="AT811" s="4"/>
      <c r="AU811" s="4"/>
      <c r="AV811" s="4"/>
      <c r="AW811" s="4"/>
      <c r="AX811" s="4"/>
      <c r="AY811" s="4"/>
      <c r="AZ811" s="4"/>
      <c r="BA811" s="4"/>
      <c r="BB811" s="4"/>
      <c r="BC811" s="4"/>
      <c r="BD811" s="4"/>
      <c r="BE811" s="4"/>
      <c r="BF811" s="4"/>
      <c r="BG811" s="4"/>
      <c r="BH811" s="4"/>
      <c r="BI811" s="4"/>
      <c r="BJ811" s="4"/>
      <c r="BK811" s="4"/>
      <c r="BL811" s="4"/>
      <c r="BM811" s="4"/>
      <c r="BN811" s="4"/>
      <c r="BO811" s="4"/>
      <c r="BP811" s="39"/>
      <c r="BQ811" s="39"/>
    </row>
    <row r="812" spans="3:69" ht="15.75" customHeight="1">
      <c r="C812" s="4"/>
      <c r="D812" s="4"/>
      <c r="E812" s="38"/>
      <c r="F812" s="38"/>
      <c r="G812" s="4"/>
      <c r="H812" s="4"/>
      <c r="I812" s="4"/>
      <c r="J812" s="4"/>
      <c r="K812" s="4"/>
      <c r="L812" s="4"/>
      <c r="M812" s="4"/>
      <c r="N812" s="38"/>
      <c r="O812" s="4"/>
      <c r="P812" s="4"/>
      <c r="Q812" s="4"/>
      <c r="R812" s="4"/>
      <c r="S812" s="4"/>
      <c r="T812" s="38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38"/>
      <c r="AN812" s="4"/>
      <c r="AO812" s="4"/>
      <c r="AP812" s="4"/>
      <c r="AQ812" s="4"/>
      <c r="AR812" s="4"/>
      <c r="AS812" s="4"/>
      <c r="AT812" s="4"/>
      <c r="AU812" s="4"/>
      <c r="AV812" s="4"/>
      <c r="AW812" s="4"/>
      <c r="AX812" s="4"/>
      <c r="AY812" s="4"/>
      <c r="AZ812" s="4"/>
      <c r="BA812" s="4"/>
      <c r="BB812" s="4"/>
      <c r="BC812" s="4"/>
      <c r="BD812" s="4"/>
      <c r="BE812" s="4"/>
      <c r="BF812" s="4"/>
      <c r="BG812" s="4"/>
      <c r="BH812" s="4"/>
      <c r="BI812" s="4"/>
      <c r="BJ812" s="4"/>
      <c r="BK812" s="4"/>
      <c r="BL812" s="4"/>
      <c r="BM812" s="4"/>
      <c r="BN812" s="4"/>
      <c r="BO812" s="4"/>
      <c r="BP812" s="39"/>
      <c r="BQ812" s="39"/>
    </row>
    <row r="813" spans="3:69" ht="15.75" customHeight="1">
      <c r="C813" s="4"/>
      <c r="D813" s="4"/>
      <c r="E813" s="38"/>
      <c r="F813" s="38"/>
      <c r="G813" s="4"/>
      <c r="H813" s="4"/>
      <c r="I813" s="4"/>
      <c r="J813" s="4"/>
      <c r="K813" s="4"/>
      <c r="L813" s="4"/>
      <c r="M813" s="4"/>
      <c r="N813" s="38"/>
      <c r="O813" s="4"/>
      <c r="P813" s="4"/>
      <c r="Q813" s="4"/>
      <c r="R813" s="4"/>
      <c r="S813" s="4"/>
      <c r="T813" s="38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38"/>
      <c r="AN813" s="4"/>
      <c r="AO813" s="4"/>
      <c r="AP813" s="4"/>
      <c r="AQ813" s="4"/>
      <c r="AR813" s="4"/>
      <c r="AS813" s="4"/>
      <c r="AT813" s="4"/>
      <c r="AU813" s="4"/>
      <c r="AV813" s="4"/>
      <c r="AW813" s="4"/>
      <c r="AX813" s="4"/>
      <c r="AY813" s="4"/>
      <c r="AZ813" s="4"/>
      <c r="BA813" s="4"/>
      <c r="BB813" s="4"/>
      <c r="BC813" s="4"/>
      <c r="BD813" s="4"/>
      <c r="BE813" s="4"/>
      <c r="BF813" s="4"/>
      <c r="BG813" s="4"/>
      <c r="BH813" s="4"/>
      <c r="BI813" s="4"/>
      <c r="BJ813" s="4"/>
      <c r="BK813" s="4"/>
      <c r="BL813" s="4"/>
      <c r="BM813" s="4"/>
      <c r="BN813" s="4"/>
      <c r="BO813" s="4"/>
      <c r="BP813" s="39"/>
      <c r="BQ813" s="39"/>
    </row>
    <row r="814" spans="3:69" ht="15.75" customHeight="1">
      <c r="C814" s="4"/>
      <c r="D814" s="4"/>
      <c r="E814" s="38"/>
      <c r="F814" s="38"/>
      <c r="G814" s="4"/>
      <c r="H814" s="4"/>
      <c r="I814" s="4"/>
      <c r="J814" s="4"/>
      <c r="K814" s="4"/>
      <c r="L814" s="4"/>
      <c r="M814" s="4"/>
      <c r="N814" s="38"/>
      <c r="O814" s="4"/>
      <c r="P814" s="4"/>
      <c r="Q814" s="4"/>
      <c r="R814" s="4"/>
      <c r="S814" s="4"/>
      <c r="T814" s="38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38"/>
      <c r="AN814" s="4"/>
      <c r="AO814" s="4"/>
      <c r="AP814" s="4"/>
      <c r="AQ814" s="4"/>
      <c r="AR814" s="4"/>
      <c r="AS814" s="4"/>
      <c r="AT814" s="4"/>
      <c r="AU814" s="4"/>
      <c r="AV814" s="4"/>
      <c r="AW814" s="4"/>
      <c r="AX814" s="4"/>
      <c r="AY814" s="4"/>
      <c r="AZ814" s="4"/>
      <c r="BA814" s="4"/>
      <c r="BB814" s="4"/>
      <c r="BC814" s="4"/>
      <c r="BD814" s="4"/>
      <c r="BE814" s="4"/>
      <c r="BF814" s="4"/>
      <c r="BG814" s="4"/>
      <c r="BH814" s="4"/>
      <c r="BI814" s="4"/>
      <c r="BJ814" s="4"/>
      <c r="BK814" s="4"/>
      <c r="BL814" s="4"/>
      <c r="BM814" s="4"/>
      <c r="BN814" s="4"/>
      <c r="BO814" s="4"/>
      <c r="BP814" s="39"/>
      <c r="BQ814" s="39"/>
    </row>
    <row r="815" spans="3:69" ht="15.75" customHeight="1">
      <c r="C815" s="4"/>
      <c r="D815" s="4"/>
      <c r="E815" s="38"/>
      <c r="F815" s="38"/>
      <c r="G815" s="4"/>
      <c r="H815" s="4"/>
      <c r="I815" s="4"/>
      <c r="J815" s="4"/>
      <c r="K815" s="4"/>
      <c r="L815" s="4"/>
      <c r="M815" s="4"/>
      <c r="N815" s="38"/>
      <c r="O815" s="4"/>
      <c r="P815" s="4"/>
      <c r="Q815" s="4"/>
      <c r="R815" s="4"/>
      <c r="S815" s="4"/>
      <c r="T815" s="38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38"/>
      <c r="AN815" s="4"/>
      <c r="AO815" s="4"/>
      <c r="AP815" s="4"/>
      <c r="AQ815" s="4"/>
      <c r="AR815" s="4"/>
      <c r="AS815" s="4"/>
      <c r="AT815" s="4"/>
      <c r="AU815" s="4"/>
      <c r="AV815" s="4"/>
      <c r="AW815" s="4"/>
      <c r="AX815" s="4"/>
      <c r="AY815" s="4"/>
      <c r="AZ815" s="4"/>
      <c r="BA815" s="4"/>
      <c r="BB815" s="4"/>
      <c r="BC815" s="4"/>
      <c r="BD815" s="4"/>
      <c r="BE815" s="4"/>
      <c r="BF815" s="4"/>
      <c r="BG815" s="4"/>
      <c r="BH815" s="4"/>
      <c r="BI815" s="4"/>
      <c r="BJ815" s="4"/>
      <c r="BK815" s="4"/>
      <c r="BL815" s="4"/>
      <c r="BM815" s="4"/>
      <c r="BN815" s="4"/>
      <c r="BO815" s="4"/>
      <c r="BP815" s="39"/>
      <c r="BQ815" s="39"/>
    </row>
    <row r="816" spans="3:69" ht="15.75" customHeight="1">
      <c r="C816" s="4"/>
      <c r="D816" s="4"/>
      <c r="E816" s="38"/>
      <c r="F816" s="38"/>
      <c r="G816" s="4"/>
      <c r="H816" s="4"/>
      <c r="I816" s="4"/>
      <c r="J816" s="4"/>
      <c r="K816" s="4"/>
      <c r="L816" s="4"/>
      <c r="M816" s="4"/>
      <c r="N816" s="38"/>
      <c r="O816" s="4"/>
      <c r="P816" s="4"/>
      <c r="Q816" s="4"/>
      <c r="R816" s="4"/>
      <c r="S816" s="4"/>
      <c r="T816" s="38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38"/>
      <c r="AN816" s="4"/>
      <c r="AO816" s="4"/>
      <c r="AP816" s="4"/>
      <c r="AQ816" s="4"/>
      <c r="AR816" s="4"/>
      <c r="AS816" s="4"/>
      <c r="AT816" s="4"/>
      <c r="AU816" s="4"/>
      <c r="AV816" s="4"/>
      <c r="AW816" s="4"/>
      <c r="AX816" s="4"/>
      <c r="AY816" s="4"/>
      <c r="AZ816" s="4"/>
      <c r="BA816" s="4"/>
      <c r="BB816" s="4"/>
      <c r="BC816" s="4"/>
      <c r="BD816" s="4"/>
      <c r="BE816" s="4"/>
      <c r="BF816" s="4"/>
      <c r="BG816" s="4"/>
      <c r="BH816" s="4"/>
      <c r="BI816" s="4"/>
      <c r="BJ816" s="4"/>
      <c r="BK816" s="4"/>
      <c r="BL816" s="4"/>
      <c r="BM816" s="4"/>
      <c r="BN816" s="4"/>
      <c r="BO816" s="4"/>
      <c r="BP816" s="39"/>
      <c r="BQ816" s="39"/>
    </row>
    <row r="817" spans="3:69" ht="15.75" customHeight="1">
      <c r="C817" s="4"/>
      <c r="D817" s="4"/>
      <c r="E817" s="38"/>
      <c r="F817" s="38"/>
      <c r="G817" s="4"/>
      <c r="H817" s="4"/>
      <c r="I817" s="4"/>
      <c r="J817" s="4"/>
      <c r="K817" s="4"/>
      <c r="L817" s="4"/>
      <c r="M817" s="4"/>
      <c r="N817" s="38"/>
      <c r="O817" s="4"/>
      <c r="P817" s="4"/>
      <c r="Q817" s="4"/>
      <c r="R817" s="4"/>
      <c r="S817" s="4"/>
      <c r="T817" s="38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38"/>
      <c r="AN817" s="4"/>
      <c r="AO817" s="4"/>
      <c r="AP817" s="4"/>
      <c r="AQ817" s="4"/>
      <c r="AR817" s="4"/>
      <c r="AS817" s="4"/>
      <c r="AT817" s="4"/>
      <c r="AU817" s="4"/>
      <c r="AV817" s="4"/>
      <c r="AW817" s="4"/>
      <c r="AX817" s="4"/>
      <c r="AY817" s="4"/>
      <c r="AZ817" s="4"/>
      <c r="BA817" s="4"/>
      <c r="BB817" s="4"/>
      <c r="BC817" s="4"/>
      <c r="BD817" s="4"/>
      <c r="BE817" s="4"/>
      <c r="BF817" s="4"/>
      <c r="BG817" s="4"/>
      <c r="BH817" s="4"/>
      <c r="BI817" s="4"/>
      <c r="BJ817" s="4"/>
      <c r="BK817" s="4"/>
      <c r="BL817" s="4"/>
      <c r="BM817" s="4"/>
      <c r="BN817" s="4"/>
      <c r="BO817" s="4"/>
      <c r="BP817" s="39"/>
      <c r="BQ817" s="39"/>
    </row>
    <row r="818" spans="3:69" ht="15.75" customHeight="1">
      <c r="C818" s="4"/>
      <c r="D818" s="4"/>
      <c r="E818" s="38"/>
      <c r="F818" s="38"/>
      <c r="G818" s="4"/>
      <c r="H818" s="4"/>
      <c r="I818" s="4"/>
      <c r="J818" s="4"/>
      <c r="K818" s="4"/>
      <c r="L818" s="4"/>
      <c r="M818" s="4"/>
      <c r="N818" s="38"/>
      <c r="O818" s="4"/>
      <c r="P818" s="4"/>
      <c r="Q818" s="4"/>
      <c r="R818" s="4"/>
      <c r="S818" s="4"/>
      <c r="T818" s="38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38"/>
      <c r="AN818" s="4"/>
      <c r="AO818" s="4"/>
      <c r="AP818" s="4"/>
      <c r="AQ818" s="4"/>
      <c r="AR818" s="4"/>
      <c r="AS818" s="4"/>
      <c r="AT818" s="4"/>
      <c r="AU818" s="4"/>
      <c r="AV818" s="4"/>
      <c r="AW818" s="4"/>
      <c r="AX818" s="4"/>
      <c r="AY818" s="4"/>
      <c r="AZ818" s="4"/>
      <c r="BA818" s="4"/>
      <c r="BB818" s="4"/>
      <c r="BC818" s="4"/>
      <c r="BD818" s="4"/>
      <c r="BE818" s="4"/>
      <c r="BF818" s="4"/>
      <c r="BG818" s="4"/>
      <c r="BH818" s="4"/>
      <c r="BI818" s="4"/>
      <c r="BJ818" s="4"/>
      <c r="BK818" s="4"/>
      <c r="BL818" s="4"/>
      <c r="BM818" s="4"/>
      <c r="BN818" s="4"/>
      <c r="BO818" s="4"/>
      <c r="BP818" s="39"/>
      <c r="BQ818" s="39"/>
    </row>
    <row r="819" spans="3:69" ht="15.75" customHeight="1">
      <c r="C819" s="4"/>
      <c r="D819" s="4"/>
      <c r="E819" s="38"/>
      <c r="F819" s="38"/>
      <c r="G819" s="4"/>
      <c r="H819" s="4"/>
      <c r="I819" s="4"/>
      <c r="J819" s="4"/>
      <c r="K819" s="4"/>
      <c r="L819" s="4"/>
      <c r="M819" s="4"/>
      <c r="N819" s="38"/>
      <c r="O819" s="4"/>
      <c r="P819" s="4"/>
      <c r="Q819" s="4"/>
      <c r="R819" s="4"/>
      <c r="S819" s="4"/>
      <c r="T819" s="38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38"/>
      <c r="AN819" s="4"/>
      <c r="AO819" s="4"/>
      <c r="AP819" s="4"/>
      <c r="AQ819" s="4"/>
      <c r="AR819" s="4"/>
      <c r="AS819" s="4"/>
      <c r="AT819" s="4"/>
      <c r="AU819" s="4"/>
      <c r="AV819" s="4"/>
      <c r="AW819" s="4"/>
      <c r="AX819" s="4"/>
      <c r="AY819" s="4"/>
      <c r="AZ819" s="4"/>
      <c r="BA819" s="4"/>
      <c r="BB819" s="4"/>
      <c r="BC819" s="4"/>
      <c r="BD819" s="4"/>
      <c r="BE819" s="4"/>
      <c r="BF819" s="4"/>
      <c r="BG819" s="4"/>
      <c r="BH819" s="4"/>
      <c r="BI819" s="4"/>
      <c r="BJ819" s="4"/>
      <c r="BK819" s="4"/>
      <c r="BL819" s="4"/>
      <c r="BM819" s="4"/>
      <c r="BN819" s="4"/>
      <c r="BO819" s="4"/>
      <c r="BP819" s="39"/>
      <c r="BQ819" s="39"/>
    </row>
    <row r="820" spans="3:69" ht="15.75" customHeight="1">
      <c r="C820" s="4"/>
      <c r="D820" s="4"/>
      <c r="E820" s="38"/>
      <c r="F820" s="38"/>
      <c r="G820" s="4"/>
      <c r="H820" s="4"/>
      <c r="I820" s="4"/>
      <c r="J820" s="4"/>
      <c r="K820" s="4"/>
      <c r="L820" s="4"/>
      <c r="M820" s="4"/>
      <c r="N820" s="38"/>
      <c r="O820" s="4"/>
      <c r="P820" s="4"/>
      <c r="Q820" s="4"/>
      <c r="R820" s="4"/>
      <c r="S820" s="4"/>
      <c r="T820" s="38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38"/>
      <c r="AN820" s="4"/>
      <c r="AO820" s="4"/>
      <c r="AP820" s="4"/>
      <c r="AQ820" s="4"/>
      <c r="AR820" s="4"/>
      <c r="AS820" s="4"/>
      <c r="AT820" s="4"/>
      <c r="AU820" s="4"/>
      <c r="AV820" s="4"/>
      <c r="AW820" s="4"/>
      <c r="AX820" s="4"/>
      <c r="AY820" s="4"/>
      <c r="AZ820" s="4"/>
      <c r="BA820" s="4"/>
      <c r="BB820" s="4"/>
      <c r="BC820" s="4"/>
      <c r="BD820" s="4"/>
      <c r="BE820" s="4"/>
      <c r="BF820" s="4"/>
      <c r="BG820" s="4"/>
      <c r="BH820" s="4"/>
      <c r="BI820" s="4"/>
      <c r="BJ820" s="4"/>
      <c r="BK820" s="4"/>
      <c r="BL820" s="4"/>
      <c r="BM820" s="4"/>
      <c r="BN820" s="4"/>
      <c r="BO820" s="4"/>
      <c r="BP820" s="39"/>
      <c r="BQ820" s="39"/>
    </row>
    <row r="821" spans="3:69" ht="15.75" customHeight="1">
      <c r="C821" s="4"/>
      <c r="D821" s="4"/>
      <c r="E821" s="38"/>
      <c r="F821" s="38"/>
      <c r="G821" s="4"/>
      <c r="H821" s="4"/>
      <c r="I821" s="4"/>
      <c r="J821" s="4"/>
      <c r="K821" s="4"/>
      <c r="L821" s="4"/>
      <c r="M821" s="4"/>
      <c r="N821" s="38"/>
      <c r="O821" s="4"/>
      <c r="P821" s="4"/>
      <c r="Q821" s="4"/>
      <c r="R821" s="4"/>
      <c r="S821" s="4"/>
      <c r="T821" s="38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38"/>
      <c r="AN821" s="4"/>
      <c r="AO821" s="4"/>
      <c r="AP821" s="4"/>
      <c r="AQ821" s="4"/>
      <c r="AR821" s="4"/>
      <c r="AS821" s="4"/>
      <c r="AT821" s="4"/>
      <c r="AU821" s="4"/>
      <c r="AV821" s="4"/>
      <c r="AW821" s="4"/>
      <c r="AX821" s="4"/>
      <c r="AY821" s="4"/>
      <c r="AZ821" s="4"/>
      <c r="BA821" s="4"/>
      <c r="BB821" s="4"/>
      <c r="BC821" s="4"/>
      <c r="BD821" s="4"/>
      <c r="BE821" s="4"/>
      <c r="BF821" s="4"/>
      <c r="BG821" s="4"/>
      <c r="BH821" s="4"/>
      <c r="BI821" s="4"/>
      <c r="BJ821" s="4"/>
      <c r="BK821" s="4"/>
      <c r="BL821" s="4"/>
      <c r="BM821" s="4"/>
      <c r="BN821" s="4"/>
      <c r="BO821" s="4"/>
      <c r="BP821" s="39"/>
      <c r="BQ821" s="39"/>
    </row>
    <row r="822" spans="3:69" ht="15.75" customHeight="1">
      <c r="C822" s="4"/>
      <c r="D822" s="4"/>
      <c r="E822" s="38"/>
      <c r="F822" s="38"/>
      <c r="G822" s="4"/>
      <c r="H822" s="4"/>
      <c r="I822" s="4"/>
      <c r="J822" s="4"/>
      <c r="K822" s="4"/>
      <c r="L822" s="4"/>
      <c r="M822" s="4"/>
      <c r="N822" s="38"/>
      <c r="O822" s="4"/>
      <c r="P822" s="4"/>
      <c r="Q822" s="4"/>
      <c r="R822" s="4"/>
      <c r="S822" s="4"/>
      <c r="T822" s="38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38"/>
      <c r="AN822" s="4"/>
      <c r="AO822" s="4"/>
      <c r="AP822" s="4"/>
      <c r="AQ822" s="4"/>
      <c r="AR822" s="4"/>
      <c r="AS822" s="4"/>
      <c r="AT822" s="4"/>
      <c r="AU822" s="4"/>
      <c r="AV822" s="4"/>
      <c r="AW822" s="4"/>
      <c r="AX822" s="4"/>
      <c r="AY822" s="4"/>
      <c r="AZ822" s="4"/>
      <c r="BA822" s="4"/>
      <c r="BB822" s="4"/>
      <c r="BC822" s="4"/>
      <c r="BD822" s="4"/>
      <c r="BE822" s="4"/>
      <c r="BF822" s="4"/>
      <c r="BG822" s="4"/>
      <c r="BH822" s="4"/>
      <c r="BI822" s="4"/>
      <c r="BJ822" s="4"/>
      <c r="BK822" s="4"/>
      <c r="BL822" s="4"/>
      <c r="BM822" s="4"/>
      <c r="BN822" s="4"/>
      <c r="BO822" s="4"/>
      <c r="BP822" s="39"/>
      <c r="BQ822" s="39"/>
    </row>
    <row r="823" spans="3:69" ht="15.75" customHeight="1">
      <c r="C823" s="4"/>
      <c r="D823" s="4"/>
      <c r="E823" s="38"/>
      <c r="F823" s="38"/>
      <c r="G823" s="4"/>
      <c r="H823" s="4"/>
      <c r="I823" s="4"/>
      <c r="J823" s="4"/>
      <c r="K823" s="4"/>
      <c r="L823" s="4"/>
      <c r="M823" s="4"/>
      <c r="N823" s="38"/>
      <c r="O823" s="4"/>
      <c r="P823" s="4"/>
      <c r="Q823" s="4"/>
      <c r="R823" s="4"/>
      <c r="S823" s="4"/>
      <c r="T823" s="38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38"/>
      <c r="AN823" s="4"/>
      <c r="AO823" s="4"/>
      <c r="AP823" s="4"/>
      <c r="AQ823" s="4"/>
      <c r="AR823" s="4"/>
      <c r="AS823" s="4"/>
      <c r="AT823" s="4"/>
      <c r="AU823" s="4"/>
      <c r="AV823" s="4"/>
      <c r="AW823" s="4"/>
      <c r="AX823" s="4"/>
      <c r="AY823" s="4"/>
      <c r="AZ823" s="4"/>
      <c r="BA823" s="4"/>
      <c r="BB823" s="4"/>
      <c r="BC823" s="4"/>
      <c r="BD823" s="4"/>
      <c r="BE823" s="4"/>
      <c r="BF823" s="4"/>
      <c r="BG823" s="4"/>
      <c r="BH823" s="4"/>
      <c r="BI823" s="4"/>
      <c r="BJ823" s="4"/>
      <c r="BK823" s="4"/>
      <c r="BL823" s="4"/>
      <c r="BM823" s="4"/>
      <c r="BN823" s="4"/>
      <c r="BO823" s="4"/>
      <c r="BP823" s="39"/>
      <c r="BQ823" s="39"/>
    </row>
    <row r="824" spans="3:69" ht="15.75" customHeight="1">
      <c r="C824" s="4"/>
      <c r="D824" s="4"/>
      <c r="E824" s="38"/>
      <c r="F824" s="38"/>
      <c r="G824" s="4"/>
      <c r="H824" s="4"/>
      <c r="I824" s="4"/>
      <c r="J824" s="4"/>
      <c r="K824" s="4"/>
      <c r="L824" s="4"/>
      <c r="M824" s="4"/>
      <c r="N824" s="38"/>
      <c r="O824" s="4"/>
      <c r="P824" s="4"/>
      <c r="Q824" s="4"/>
      <c r="R824" s="4"/>
      <c r="S824" s="4"/>
      <c r="T824" s="38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38"/>
      <c r="AN824" s="4"/>
      <c r="AO824" s="4"/>
      <c r="AP824" s="4"/>
      <c r="AQ824" s="4"/>
      <c r="AR824" s="4"/>
      <c r="AS824" s="4"/>
      <c r="AT824" s="4"/>
      <c r="AU824" s="4"/>
      <c r="AV824" s="4"/>
      <c r="AW824" s="4"/>
      <c r="AX824" s="4"/>
      <c r="AY824" s="4"/>
      <c r="AZ824" s="4"/>
      <c r="BA824" s="4"/>
      <c r="BB824" s="4"/>
      <c r="BC824" s="4"/>
      <c r="BD824" s="4"/>
      <c r="BE824" s="4"/>
      <c r="BF824" s="4"/>
      <c r="BG824" s="4"/>
      <c r="BH824" s="4"/>
      <c r="BI824" s="4"/>
      <c r="BJ824" s="4"/>
      <c r="BK824" s="4"/>
      <c r="BL824" s="4"/>
      <c r="BM824" s="4"/>
      <c r="BN824" s="4"/>
      <c r="BO824" s="4"/>
      <c r="BP824" s="39"/>
      <c r="BQ824" s="39"/>
    </row>
    <row r="825" spans="3:69" ht="15.75" customHeight="1">
      <c r="C825" s="4"/>
      <c r="D825" s="4"/>
      <c r="E825" s="38"/>
      <c r="F825" s="38"/>
      <c r="G825" s="4"/>
      <c r="H825" s="4"/>
      <c r="I825" s="4"/>
      <c r="J825" s="4"/>
      <c r="K825" s="4"/>
      <c r="L825" s="4"/>
      <c r="M825" s="4"/>
      <c r="N825" s="38"/>
      <c r="O825" s="4"/>
      <c r="P825" s="4"/>
      <c r="Q825" s="4"/>
      <c r="R825" s="4"/>
      <c r="S825" s="4"/>
      <c r="T825" s="38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38"/>
      <c r="AN825" s="4"/>
      <c r="AO825" s="4"/>
      <c r="AP825" s="4"/>
      <c r="AQ825" s="4"/>
      <c r="AR825" s="4"/>
      <c r="AS825" s="4"/>
      <c r="AT825" s="4"/>
      <c r="AU825" s="4"/>
      <c r="AV825" s="4"/>
      <c r="AW825" s="4"/>
      <c r="AX825" s="4"/>
      <c r="AY825" s="4"/>
      <c r="AZ825" s="4"/>
      <c r="BA825" s="4"/>
      <c r="BB825" s="4"/>
      <c r="BC825" s="4"/>
      <c r="BD825" s="4"/>
      <c r="BE825" s="4"/>
      <c r="BF825" s="4"/>
      <c r="BG825" s="4"/>
      <c r="BH825" s="4"/>
      <c r="BI825" s="4"/>
      <c r="BJ825" s="4"/>
      <c r="BK825" s="4"/>
      <c r="BL825" s="4"/>
      <c r="BM825" s="4"/>
      <c r="BN825" s="4"/>
      <c r="BO825" s="4"/>
      <c r="BP825" s="39"/>
      <c r="BQ825" s="39"/>
    </row>
    <row r="826" spans="3:69" ht="15.75" customHeight="1">
      <c r="C826" s="4"/>
      <c r="D826" s="4"/>
      <c r="E826" s="38"/>
      <c r="F826" s="38"/>
      <c r="G826" s="4"/>
      <c r="H826" s="4"/>
      <c r="I826" s="4"/>
      <c r="J826" s="4"/>
      <c r="K826" s="4"/>
      <c r="L826" s="4"/>
      <c r="M826" s="4"/>
      <c r="N826" s="38"/>
      <c r="O826" s="4"/>
      <c r="P826" s="4"/>
      <c r="Q826" s="4"/>
      <c r="R826" s="4"/>
      <c r="S826" s="4"/>
      <c r="T826" s="38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38"/>
      <c r="AN826" s="4"/>
      <c r="AO826" s="4"/>
      <c r="AP826" s="4"/>
      <c r="AQ826" s="4"/>
      <c r="AR826" s="4"/>
      <c r="AS826" s="4"/>
      <c r="AT826" s="4"/>
      <c r="AU826" s="4"/>
      <c r="AV826" s="4"/>
      <c r="AW826" s="4"/>
      <c r="AX826" s="4"/>
      <c r="AY826" s="4"/>
      <c r="AZ826" s="4"/>
      <c r="BA826" s="4"/>
      <c r="BB826" s="4"/>
      <c r="BC826" s="4"/>
      <c r="BD826" s="4"/>
      <c r="BE826" s="4"/>
      <c r="BF826" s="4"/>
      <c r="BG826" s="4"/>
      <c r="BH826" s="4"/>
      <c r="BI826" s="4"/>
      <c r="BJ826" s="4"/>
      <c r="BK826" s="4"/>
      <c r="BL826" s="4"/>
      <c r="BM826" s="4"/>
      <c r="BN826" s="4"/>
      <c r="BO826" s="4"/>
      <c r="BP826" s="39"/>
      <c r="BQ826" s="39"/>
    </row>
    <row r="827" spans="3:69" ht="15.75" customHeight="1">
      <c r="C827" s="4"/>
      <c r="D827" s="4"/>
      <c r="E827" s="38"/>
      <c r="F827" s="38"/>
      <c r="G827" s="4"/>
      <c r="H827" s="4"/>
      <c r="I827" s="4"/>
      <c r="J827" s="4"/>
      <c r="K827" s="4"/>
      <c r="L827" s="4"/>
      <c r="M827" s="4"/>
      <c r="N827" s="38"/>
      <c r="O827" s="4"/>
      <c r="P827" s="4"/>
      <c r="Q827" s="4"/>
      <c r="R827" s="4"/>
      <c r="S827" s="4"/>
      <c r="T827" s="38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38"/>
      <c r="AN827" s="4"/>
      <c r="AO827" s="4"/>
      <c r="AP827" s="4"/>
      <c r="AQ827" s="4"/>
      <c r="AR827" s="4"/>
      <c r="AS827" s="4"/>
      <c r="AT827" s="4"/>
      <c r="AU827" s="4"/>
      <c r="AV827" s="4"/>
      <c r="AW827" s="4"/>
      <c r="AX827" s="4"/>
      <c r="AY827" s="4"/>
      <c r="AZ827" s="4"/>
      <c r="BA827" s="4"/>
      <c r="BB827" s="4"/>
      <c r="BC827" s="4"/>
      <c r="BD827" s="4"/>
      <c r="BE827" s="4"/>
      <c r="BF827" s="4"/>
      <c r="BG827" s="4"/>
      <c r="BH827" s="4"/>
      <c r="BI827" s="4"/>
      <c r="BJ827" s="4"/>
      <c r="BK827" s="4"/>
      <c r="BL827" s="4"/>
      <c r="BM827" s="4"/>
      <c r="BN827" s="4"/>
      <c r="BO827" s="4"/>
      <c r="BP827" s="39"/>
      <c r="BQ827" s="39"/>
    </row>
    <row r="828" spans="3:69" ht="15.75" customHeight="1">
      <c r="C828" s="4"/>
      <c r="D828" s="4"/>
      <c r="E828" s="38"/>
      <c r="F828" s="38"/>
      <c r="G828" s="4"/>
      <c r="H828" s="4"/>
      <c r="I828" s="4"/>
      <c r="J828" s="4"/>
      <c r="K828" s="4"/>
      <c r="L828" s="4"/>
      <c r="M828" s="4"/>
      <c r="N828" s="38"/>
      <c r="O828" s="4"/>
      <c r="P828" s="4"/>
      <c r="Q828" s="4"/>
      <c r="R828" s="4"/>
      <c r="S828" s="4"/>
      <c r="T828" s="38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38"/>
      <c r="AN828" s="4"/>
      <c r="AO828" s="4"/>
      <c r="AP828" s="4"/>
      <c r="AQ828" s="4"/>
      <c r="AR828" s="4"/>
      <c r="AS828" s="4"/>
      <c r="AT828" s="4"/>
      <c r="AU828" s="4"/>
      <c r="AV828" s="4"/>
      <c r="AW828" s="4"/>
      <c r="AX828" s="4"/>
      <c r="AY828" s="4"/>
      <c r="AZ828" s="4"/>
      <c r="BA828" s="4"/>
      <c r="BB828" s="4"/>
      <c r="BC828" s="4"/>
      <c r="BD828" s="4"/>
      <c r="BE828" s="4"/>
      <c r="BF828" s="4"/>
      <c r="BG828" s="4"/>
      <c r="BH828" s="4"/>
      <c r="BI828" s="4"/>
      <c r="BJ828" s="4"/>
      <c r="BK828" s="4"/>
      <c r="BL828" s="4"/>
      <c r="BM828" s="4"/>
      <c r="BN828" s="4"/>
      <c r="BO828" s="4"/>
      <c r="BP828" s="39"/>
      <c r="BQ828" s="39"/>
    </row>
    <row r="829" spans="3:69" ht="15.75" customHeight="1">
      <c r="C829" s="4"/>
      <c r="D829" s="4"/>
      <c r="E829" s="38"/>
      <c r="F829" s="38"/>
      <c r="G829" s="4"/>
      <c r="H829" s="4"/>
      <c r="I829" s="4"/>
      <c r="J829" s="4"/>
      <c r="K829" s="4"/>
      <c r="L829" s="4"/>
      <c r="M829" s="4"/>
      <c r="N829" s="38"/>
      <c r="O829" s="4"/>
      <c r="P829" s="4"/>
      <c r="Q829" s="4"/>
      <c r="R829" s="4"/>
      <c r="S829" s="4"/>
      <c r="T829" s="38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38"/>
      <c r="AN829" s="4"/>
      <c r="AO829" s="4"/>
      <c r="AP829" s="4"/>
      <c r="AQ829" s="4"/>
      <c r="AR829" s="4"/>
      <c r="AS829" s="4"/>
      <c r="AT829" s="4"/>
      <c r="AU829" s="4"/>
      <c r="AV829" s="4"/>
      <c r="AW829" s="4"/>
      <c r="AX829" s="4"/>
      <c r="AY829" s="4"/>
      <c r="AZ829" s="4"/>
      <c r="BA829" s="4"/>
      <c r="BB829" s="4"/>
      <c r="BC829" s="4"/>
      <c r="BD829" s="4"/>
      <c r="BE829" s="4"/>
      <c r="BF829" s="4"/>
      <c r="BG829" s="4"/>
      <c r="BH829" s="4"/>
      <c r="BI829" s="4"/>
      <c r="BJ829" s="4"/>
      <c r="BK829" s="4"/>
      <c r="BL829" s="4"/>
      <c r="BM829" s="4"/>
      <c r="BN829" s="4"/>
      <c r="BO829" s="4"/>
      <c r="BP829" s="39"/>
      <c r="BQ829" s="39"/>
    </row>
    <row r="830" spans="3:69" ht="15.75" customHeight="1">
      <c r="C830" s="4"/>
      <c r="D830" s="4"/>
      <c r="E830" s="38"/>
      <c r="F830" s="38"/>
      <c r="G830" s="4"/>
      <c r="H830" s="4"/>
      <c r="I830" s="4"/>
      <c r="J830" s="4"/>
      <c r="K830" s="4"/>
      <c r="L830" s="4"/>
      <c r="M830" s="4"/>
      <c r="N830" s="38"/>
      <c r="O830" s="4"/>
      <c r="P830" s="4"/>
      <c r="Q830" s="4"/>
      <c r="R830" s="4"/>
      <c r="S830" s="4"/>
      <c r="T830" s="38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38"/>
      <c r="AN830" s="4"/>
      <c r="AO830" s="4"/>
      <c r="AP830" s="4"/>
      <c r="AQ830" s="4"/>
      <c r="AR830" s="4"/>
      <c r="AS830" s="4"/>
      <c r="AT830" s="4"/>
      <c r="AU830" s="4"/>
      <c r="AV830" s="4"/>
      <c r="AW830" s="4"/>
      <c r="AX830" s="4"/>
      <c r="AY830" s="4"/>
      <c r="AZ830" s="4"/>
      <c r="BA830" s="4"/>
      <c r="BB830" s="4"/>
      <c r="BC830" s="4"/>
      <c r="BD830" s="4"/>
      <c r="BE830" s="4"/>
      <c r="BF830" s="4"/>
      <c r="BG830" s="4"/>
      <c r="BH830" s="4"/>
      <c r="BI830" s="4"/>
      <c r="BJ830" s="4"/>
      <c r="BK830" s="4"/>
      <c r="BL830" s="4"/>
      <c r="BM830" s="4"/>
      <c r="BN830" s="4"/>
      <c r="BO830" s="4"/>
      <c r="BP830" s="39"/>
      <c r="BQ830" s="39"/>
    </row>
    <row r="831" spans="3:69" ht="15.75" customHeight="1">
      <c r="C831" s="4"/>
      <c r="D831" s="4"/>
      <c r="E831" s="38"/>
      <c r="F831" s="38"/>
      <c r="G831" s="4"/>
      <c r="H831" s="4"/>
      <c r="I831" s="4"/>
      <c r="J831" s="4"/>
      <c r="K831" s="4"/>
      <c r="L831" s="4"/>
      <c r="M831" s="4"/>
      <c r="N831" s="38"/>
      <c r="O831" s="4"/>
      <c r="P831" s="4"/>
      <c r="Q831" s="4"/>
      <c r="R831" s="4"/>
      <c r="S831" s="4"/>
      <c r="T831" s="38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38"/>
      <c r="AN831" s="4"/>
      <c r="AO831" s="4"/>
      <c r="AP831" s="4"/>
      <c r="AQ831" s="4"/>
      <c r="AR831" s="4"/>
      <c r="AS831" s="4"/>
      <c r="AT831" s="4"/>
      <c r="AU831" s="4"/>
      <c r="AV831" s="4"/>
      <c r="AW831" s="4"/>
      <c r="AX831" s="4"/>
      <c r="AY831" s="4"/>
      <c r="AZ831" s="4"/>
      <c r="BA831" s="4"/>
      <c r="BB831" s="4"/>
      <c r="BC831" s="4"/>
      <c r="BD831" s="4"/>
      <c r="BE831" s="4"/>
      <c r="BF831" s="4"/>
      <c r="BG831" s="4"/>
      <c r="BH831" s="4"/>
      <c r="BI831" s="4"/>
      <c r="BJ831" s="4"/>
      <c r="BK831" s="4"/>
      <c r="BL831" s="4"/>
      <c r="BM831" s="4"/>
      <c r="BN831" s="4"/>
      <c r="BO831" s="4"/>
      <c r="BP831" s="39"/>
      <c r="BQ831" s="39"/>
    </row>
    <row r="832" spans="3:69" ht="15.75" customHeight="1">
      <c r="C832" s="4"/>
      <c r="D832" s="4"/>
      <c r="E832" s="38"/>
      <c r="F832" s="38"/>
      <c r="G832" s="4"/>
      <c r="H832" s="4"/>
      <c r="I832" s="4"/>
      <c r="J832" s="4"/>
      <c r="K832" s="4"/>
      <c r="L832" s="4"/>
      <c r="M832" s="4"/>
      <c r="N832" s="38"/>
      <c r="O832" s="4"/>
      <c r="P832" s="4"/>
      <c r="Q832" s="4"/>
      <c r="R832" s="4"/>
      <c r="S832" s="4"/>
      <c r="T832" s="38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38"/>
      <c r="AN832" s="4"/>
      <c r="AO832" s="4"/>
      <c r="AP832" s="4"/>
      <c r="AQ832" s="4"/>
      <c r="AR832" s="4"/>
      <c r="AS832" s="4"/>
      <c r="AT832" s="4"/>
      <c r="AU832" s="4"/>
      <c r="AV832" s="4"/>
      <c r="AW832" s="4"/>
      <c r="AX832" s="4"/>
      <c r="AY832" s="4"/>
      <c r="AZ832" s="4"/>
      <c r="BA832" s="4"/>
      <c r="BB832" s="4"/>
      <c r="BC832" s="4"/>
      <c r="BD832" s="4"/>
      <c r="BE832" s="4"/>
      <c r="BF832" s="4"/>
      <c r="BG832" s="4"/>
      <c r="BH832" s="4"/>
      <c r="BI832" s="4"/>
      <c r="BJ832" s="4"/>
      <c r="BK832" s="4"/>
      <c r="BL832" s="4"/>
      <c r="BM832" s="4"/>
      <c r="BN832" s="4"/>
      <c r="BO832" s="4"/>
      <c r="BP832" s="39"/>
      <c r="BQ832" s="39"/>
    </row>
    <row r="833" spans="3:69" ht="15.75" customHeight="1">
      <c r="C833" s="4"/>
      <c r="D833" s="4"/>
      <c r="E833" s="38"/>
      <c r="F833" s="38"/>
      <c r="G833" s="4"/>
      <c r="H833" s="4"/>
      <c r="I833" s="4"/>
      <c r="J833" s="4"/>
      <c r="K833" s="4"/>
      <c r="L833" s="4"/>
      <c r="M833" s="4"/>
      <c r="N833" s="38"/>
      <c r="O833" s="4"/>
      <c r="P833" s="4"/>
      <c r="Q833" s="4"/>
      <c r="R833" s="4"/>
      <c r="S833" s="4"/>
      <c r="T833" s="38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38"/>
      <c r="AN833" s="4"/>
      <c r="AO833" s="4"/>
      <c r="AP833" s="4"/>
      <c r="AQ833" s="4"/>
      <c r="AR833" s="4"/>
      <c r="AS833" s="4"/>
      <c r="AT833" s="4"/>
      <c r="AU833" s="4"/>
      <c r="AV833" s="4"/>
      <c r="AW833" s="4"/>
      <c r="AX833" s="4"/>
      <c r="AY833" s="4"/>
      <c r="AZ833" s="4"/>
      <c r="BA833" s="4"/>
      <c r="BB833" s="4"/>
      <c r="BC833" s="4"/>
      <c r="BD833" s="4"/>
      <c r="BE833" s="4"/>
      <c r="BF833" s="4"/>
      <c r="BG833" s="4"/>
      <c r="BH833" s="4"/>
      <c r="BI833" s="4"/>
      <c r="BJ833" s="4"/>
      <c r="BK833" s="4"/>
      <c r="BL833" s="4"/>
      <c r="BM833" s="4"/>
      <c r="BN833" s="4"/>
      <c r="BO833" s="4"/>
      <c r="BP833" s="39"/>
      <c r="BQ833" s="39"/>
    </row>
    <row r="834" spans="3:69" ht="15.75" customHeight="1">
      <c r="C834" s="4"/>
      <c r="D834" s="4"/>
      <c r="E834" s="38"/>
      <c r="F834" s="38"/>
      <c r="G834" s="4"/>
      <c r="H834" s="4"/>
      <c r="I834" s="4"/>
      <c r="J834" s="4"/>
      <c r="K834" s="4"/>
      <c r="L834" s="4"/>
      <c r="M834" s="4"/>
      <c r="N834" s="38"/>
      <c r="O834" s="4"/>
      <c r="P834" s="4"/>
      <c r="Q834" s="4"/>
      <c r="R834" s="4"/>
      <c r="S834" s="4"/>
      <c r="T834" s="38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38"/>
      <c r="AN834" s="4"/>
      <c r="AO834" s="4"/>
      <c r="AP834" s="4"/>
      <c r="AQ834" s="4"/>
      <c r="AR834" s="4"/>
      <c r="AS834" s="4"/>
      <c r="AT834" s="4"/>
      <c r="AU834" s="4"/>
      <c r="AV834" s="4"/>
      <c r="AW834" s="4"/>
      <c r="AX834" s="4"/>
      <c r="AY834" s="4"/>
      <c r="AZ834" s="4"/>
      <c r="BA834" s="4"/>
      <c r="BB834" s="4"/>
      <c r="BC834" s="4"/>
      <c r="BD834" s="4"/>
      <c r="BE834" s="4"/>
      <c r="BF834" s="4"/>
      <c r="BG834" s="4"/>
      <c r="BH834" s="4"/>
      <c r="BI834" s="4"/>
      <c r="BJ834" s="4"/>
      <c r="BK834" s="4"/>
      <c r="BL834" s="4"/>
      <c r="BM834" s="4"/>
      <c r="BN834" s="4"/>
      <c r="BO834" s="4"/>
      <c r="BP834" s="39"/>
      <c r="BQ834" s="39"/>
    </row>
    <row r="835" spans="3:69" ht="15.75" customHeight="1">
      <c r="C835" s="4"/>
      <c r="D835" s="4"/>
      <c r="E835" s="38"/>
      <c r="F835" s="38"/>
      <c r="G835" s="4"/>
      <c r="H835" s="4"/>
      <c r="I835" s="4"/>
      <c r="J835" s="4"/>
      <c r="K835" s="4"/>
      <c r="L835" s="4"/>
      <c r="M835" s="4"/>
      <c r="N835" s="38"/>
      <c r="O835" s="4"/>
      <c r="P835" s="4"/>
      <c r="Q835" s="4"/>
      <c r="R835" s="4"/>
      <c r="S835" s="4"/>
      <c r="T835" s="38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38"/>
      <c r="AN835" s="4"/>
      <c r="AO835" s="4"/>
      <c r="AP835" s="4"/>
      <c r="AQ835" s="4"/>
      <c r="AR835" s="4"/>
      <c r="AS835" s="4"/>
      <c r="AT835" s="4"/>
      <c r="AU835" s="4"/>
      <c r="AV835" s="4"/>
      <c r="AW835" s="4"/>
      <c r="AX835" s="4"/>
      <c r="AY835" s="4"/>
      <c r="AZ835" s="4"/>
      <c r="BA835" s="4"/>
      <c r="BB835" s="4"/>
      <c r="BC835" s="4"/>
      <c r="BD835" s="4"/>
      <c r="BE835" s="4"/>
      <c r="BF835" s="4"/>
      <c r="BG835" s="4"/>
      <c r="BH835" s="4"/>
      <c r="BI835" s="4"/>
      <c r="BJ835" s="4"/>
      <c r="BK835" s="4"/>
      <c r="BL835" s="4"/>
      <c r="BM835" s="4"/>
      <c r="BN835" s="4"/>
      <c r="BO835" s="4"/>
      <c r="BP835" s="39"/>
      <c r="BQ835" s="39"/>
    </row>
    <row r="836" spans="3:69" ht="15.75" customHeight="1">
      <c r="C836" s="4"/>
      <c r="D836" s="4"/>
      <c r="E836" s="38"/>
      <c r="F836" s="38"/>
      <c r="G836" s="4"/>
      <c r="H836" s="4"/>
      <c r="I836" s="4"/>
      <c r="J836" s="4"/>
      <c r="K836" s="4"/>
      <c r="L836" s="4"/>
      <c r="M836" s="4"/>
      <c r="N836" s="38"/>
      <c r="O836" s="4"/>
      <c r="P836" s="4"/>
      <c r="Q836" s="4"/>
      <c r="R836" s="4"/>
      <c r="S836" s="4"/>
      <c r="T836" s="38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38"/>
      <c r="AN836" s="4"/>
      <c r="AO836" s="4"/>
      <c r="AP836" s="4"/>
      <c r="AQ836" s="4"/>
      <c r="AR836" s="4"/>
      <c r="AS836" s="4"/>
      <c r="AT836" s="4"/>
      <c r="AU836" s="4"/>
      <c r="AV836" s="4"/>
      <c r="AW836" s="4"/>
      <c r="AX836" s="4"/>
      <c r="AY836" s="4"/>
      <c r="AZ836" s="4"/>
      <c r="BA836" s="4"/>
      <c r="BB836" s="4"/>
      <c r="BC836" s="4"/>
      <c r="BD836" s="4"/>
      <c r="BE836" s="4"/>
      <c r="BF836" s="4"/>
      <c r="BG836" s="4"/>
      <c r="BH836" s="4"/>
      <c r="BI836" s="4"/>
      <c r="BJ836" s="4"/>
      <c r="BK836" s="4"/>
      <c r="BL836" s="4"/>
      <c r="BM836" s="4"/>
      <c r="BN836" s="4"/>
      <c r="BO836" s="4"/>
      <c r="BP836" s="39"/>
      <c r="BQ836" s="39"/>
    </row>
    <row r="837" spans="3:69" ht="15.75" customHeight="1">
      <c r="C837" s="4"/>
      <c r="D837" s="4"/>
      <c r="E837" s="38"/>
      <c r="F837" s="38"/>
      <c r="G837" s="4"/>
      <c r="H837" s="4"/>
      <c r="I837" s="4"/>
      <c r="J837" s="4"/>
      <c r="K837" s="4"/>
      <c r="L837" s="4"/>
      <c r="M837" s="4"/>
      <c r="N837" s="38"/>
      <c r="O837" s="4"/>
      <c r="P837" s="4"/>
      <c r="Q837" s="4"/>
      <c r="R837" s="4"/>
      <c r="S837" s="4"/>
      <c r="T837" s="38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38"/>
      <c r="AN837" s="4"/>
      <c r="AO837" s="4"/>
      <c r="AP837" s="4"/>
      <c r="AQ837" s="4"/>
      <c r="AR837" s="4"/>
      <c r="AS837" s="4"/>
      <c r="AT837" s="4"/>
      <c r="AU837" s="4"/>
      <c r="AV837" s="4"/>
      <c r="AW837" s="4"/>
      <c r="AX837" s="4"/>
      <c r="AY837" s="4"/>
      <c r="AZ837" s="4"/>
      <c r="BA837" s="4"/>
      <c r="BB837" s="4"/>
      <c r="BC837" s="4"/>
      <c r="BD837" s="4"/>
      <c r="BE837" s="4"/>
      <c r="BF837" s="4"/>
      <c r="BG837" s="4"/>
      <c r="BH837" s="4"/>
      <c r="BI837" s="4"/>
      <c r="BJ837" s="4"/>
      <c r="BK837" s="4"/>
      <c r="BL837" s="4"/>
      <c r="BM837" s="4"/>
      <c r="BN837" s="4"/>
      <c r="BO837" s="4"/>
      <c r="BP837" s="39"/>
      <c r="BQ837" s="39"/>
    </row>
    <row r="838" spans="3:69" ht="15.75" customHeight="1">
      <c r="C838" s="4"/>
      <c r="D838" s="4"/>
      <c r="E838" s="38"/>
      <c r="F838" s="38"/>
      <c r="G838" s="4"/>
      <c r="H838" s="4"/>
      <c r="I838" s="4"/>
      <c r="J838" s="4"/>
      <c r="K838" s="4"/>
      <c r="L838" s="4"/>
      <c r="M838" s="4"/>
      <c r="N838" s="38"/>
      <c r="O838" s="4"/>
      <c r="P838" s="4"/>
      <c r="Q838" s="4"/>
      <c r="R838" s="4"/>
      <c r="S838" s="4"/>
      <c r="T838" s="38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38"/>
      <c r="AN838" s="4"/>
      <c r="AO838" s="4"/>
      <c r="AP838" s="4"/>
      <c r="AQ838" s="4"/>
      <c r="AR838" s="4"/>
      <c r="AS838" s="4"/>
      <c r="AT838" s="4"/>
      <c r="AU838" s="4"/>
      <c r="AV838" s="4"/>
      <c r="AW838" s="4"/>
      <c r="AX838" s="4"/>
      <c r="AY838" s="4"/>
      <c r="AZ838" s="4"/>
      <c r="BA838" s="4"/>
      <c r="BB838" s="4"/>
      <c r="BC838" s="4"/>
      <c r="BD838" s="4"/>
      <c r="BE838" s="4"/>
      <c r="BF838" s="4"/>
      <c r="BG838" s="4"/>
      <c r="BH838" s="4"/>
      <c r="BI838" s="4"/>
      <c r="BJ838" s="4"/>
      <c r="BK838" s="4"/>
      <c r="BL838" s="4"/>
      <c r="BM838" s="4"/>
      <c r="BN838" s="4"/>
      <c r="BO838" s="4"/>
      <c r="BP838" s="39"/>
      <c r="BQ838" s="39"/>
    </row>
    <row r="839" spans="3:69" ht="15.75" customHeight="1">
      <c r="C839" s="4"/>
      <c r="D839" s="4"/>
      <c r="E839" s="38"/>
      <c r="F839" s="38"/>
      <c r="G839" s="4"/>
      <c r="H839" s="4"/>
      <c r="I839" s="4"/>
      <c r="J839" s="4"/>
      <c r="K839" s="4"/>
      <c r="L839" s="4"/>
      <c r="M839" s="4"/>
      <c r="N839" s="38"/>
      <c r="O839" s="4"/>
      <c r="P839" s="4"/>
      <c r="Q839" s="4"/>
      <c r="R839" s="4"/>
      <c r="S839" s="4"/>
      <c r="T839" s="38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  <c r="AM839" s="38"/>
      <c r="AN839" s="4"/>
      <c r="AO839" s="4"/>
      <c r="AP839" s="4"/>
      <c r="AQ839" s="4"/>
      <c r="AR839" s="4"/>
      <c r="AS839" s="4"/>
      <c r="AT839" s="4"/>
      <c r="AU839" s="4"/>
      <c r="AV839" s="4"/>
      <c r="AW839" s="4"/>
      <c r="AX839" s="4"/>
      <c r="AY839" s="4"/>
      <c r="AZ839" s="4"/>
      <c r="BA839" s="4"/>
      <c r="BB839" s="4"/>
      <c r="BC839" s="4"/>
      <c r="BD839" s="4"/>
      <c r="BE839" s="4"/>
      <c r="BF839" s="4"/>
      <c r="BG839" s="4"/>
      <c r="BH839" s="4"/>
      <c r="BI839" s="4"/>
      <c r="BJ839" s="4"/>
      <c r="BK839" s="4"/>
      <c r="BL839" s="4"/>
      <c r="BM839" s="4"/>
      <c r="BN839" s="4"/>
      <c r="BO839" s="4"/>
      <c r="BP839" s="39"/>
      <c r="BQ839" s="39"/>
    </row>
    <row r="840" spans="3:69" ht="15.75" customHeight="1">
      <c r="C840" s="4"/>
      <c r="D840" s="4"/>
      <c r="E840" s="38"/>
      <c r="F840" s="38"/>
      <c r="G840" s="4"/>
      <c r="H840" s="4"/>
      <c r="I840" s="4"/>
      <c r="J840" s="4"/>
      <c r="K840" s="4"/>
      <c r="L840" s="4"/>
      <c r="M840" s="4"/>
      <c r="N840" s="38"/>
      <c r="O840" s="4"/>
      <c r="P840" s="4"/>
      <c r="Q840" s="4"/>
      <c r="R840" s="4"/>
      <c r="S840" s="4"/>
      <c r="T840" s="38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38"/>
      <c r="AN840" s="4"/>
      <c r="AO840" s="4"/>
      <c r="AP840" s="4"/>
      <c r="AQ840" s="4"/>
      <c r="AR840" s="4"/>
      <c r="AS840" s="4"/>
      <c r="AT840" s="4"/>
      <c r="AU840" s="4"/>
      <c r="AV840" s="4"/>
      <c r="AW840" s="4"/>
      <c r="AX840" s="4"/>
      <c r="AY840" s="4"/>
      <c r="AZ840" s="4"/>
      <c r="BA840" s="4"/>
      <c r="BB840" s="4"/>
      <c r="BC840" s="4"/>
      <c r="BD840" s="4"/>
      <c r="BE840" s="4"/>
      <c r="BF840" s="4"/>
      <c r="BG840" s="4"/>
      <c r="BH840" s="4"/>
      <c r="BI840" s="4"/>
      <c r="BJ840" s="4"/>
      <c r="BK840" s="4"/>
      <c r="BL840" s="4"/>
      <c r="BM840" s="4"/>
      <c r="BN840" s="4"/>
      <c r="BO840" s="4"/>
      <c r="BP840" s="39"/>
      <c r="BQ840" s="39"/>
    </row>
    <row r="841" spans="3:69" ht="15.75" customHeight="1">
      <c r="C841" s="4"/>
      <c r="D841" s="4"/>
      <c r="E841" s="38"/>
      <c r="F841" s="38"/>
      <c r="G841" s="4"/>
      <c r="H841" s="4"/>
      <c r="I841" s="4"/>
      <c r="J841" s="4"/>
      <c r="K841" s="4"/>
      <c r="L841" s="4"/>
      <c r="M841" s="4"/>
      <c r="N841" s="38"/>
      <c r="O841" s="4"/>
      <c r="P841" s="4"/>
      <c r="Q841" s="4"/>
      <c r="R841" s="4"/>
      <c r="S841" s="4"/>
      <c r="T841" s="38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38"/>
      <c r="AN841" s="4"/>
      <c r="AO841" s="4"/>
      <c r="AP841" s="4"/>
      <c r="AQ841" s="4"/>
      <c r="AR841" s="4"/>
      <c r="AS841" s="4"/>
      <c r="AT841" s="4"/>
      <c r="AU841" s="4"/>
      <c r="AV841" s="4"/>
      <c r="AW841" s="4"/>
      <c r="AX841" s="4"/>
      <c r="AY841" s="4"/>
      <c r="AZ841" s="4"/>
      <c r="BA841" s="4"/>
      <c r="BB841" s="4"/>
      <c r="BC841" s="4"/>
      <c r="BD841" s="4"/>
      <c r="BE841" s="4"/>
      <c r="BF841" s="4"/>
      <c r="BG841" s="4"/>
      <c r="BH841" s="4"/>
      <c r="BI841" s="4"/>
      <c r="BJ841" s="4"/>
      <c r="BK841" s="4"/>
      <c r="BL841" s="4"/>
      <c r="BM841" s="4"/>
      <c r="BN841" s="4"/>
      <c r="BO841" s="4"/>
      <c r="BP841" s="39"/>
      <c r="BQ841" s="39"/>
    </row>
    <row r="842" spans="3:69" ht="15.75" customHeight="1">
      <c r="C842" s="4"/>
      <c r="D842" s="4"/>
      <c r="E842" s="38"/>
      <c r="F842" s="38"/>
      <c r="G842" s="4"/>
      <c r="H842" s="4"/>
      <c r="I842" s="4"/>
      <c r="J842" s="4"/>
      <c r="K842" s="4"/>
      <c r="L842" s="4"/>
      <c r="M842" s="4"/>
      <c r="N842" s="38"/>
      <c r="O842" s="4"/>
      <c r="P842" s="4"/>
      <c r="Q842" s="4"/>
      <c r="R842" s="4"/>
      <c r="S842" s="4"/>
      <c r="T842" s="38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  <c r="AM842" s="38"/>
      <c r="AN842" s="4"/>
      <c r="AO842" s="4"/>
      <c r="AP842" s="4"/>
      <c r="AQ842" s="4"/>
      <c r="AR842" s="4"/>
      <c r="AS842" s="4"/>
      <c r="AT842" s="4"/>
      <c r="AU842" s="4"/>
      <c r="AV842" s="4"/>
      <c r="AW842" s="4"/>
      <c r="AX842" s="4"/>
      <c r="AY842" s="4"/>
      <c r="AZ842" s="4"/>
      <c r="BA842" s="4"/>
      <c r="BB842" s="4"/>
      <c r="BC842" s="4"/>
      <c r="BD842" s="4"/>
      <c r="BE842" s="4"/>
      <c r="BF842" s="4"/>
      <c r="BG842" s="4"/>
      <c r="BH842" s="4"/>
      <c r="BI842" s="4"/>
      <c r="BJ842" s="4"/>
      <c r="BK842" s="4"/>
      <c r="BL842" s="4"/>
      <c r="BM842" s="4"/>
      <c r="BN842" s="4"/>
      <c r="BO842" s="4"/>
      <c r="BP842" s="39"/>
      <c r="BQ842" s="39"/>
    </row>
    <row r="843" spans="3:69" ht="15.75" customHeight="1">
      <c r="C843" s="4"/>
      <c r="D843" s="4"/>
      <c r="E843" s="38"/>
      <c r="F843" s="38"/>
      <c r="G843" s="4"/>
      <c r="H843" s="4"/>
      <c r="I843" s="4"/>
      <c r="J843" s="4"/>
      <c r="K843" s="4"/>
      <c r="L843" s="4"/>
      <c r="M843" s="4"/>
      <c r="N843" s="38"/>
      <c r="O843" s="4"/>
      <c r="P843" s="4"/>
      <c r="Q843" s="4"/>
      <c r="R843" s="4"/>
      <c r="S843" s="4"/>
      <c r="T843" s="38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  <c r="AM843" s="38"/>
      <c r="AN843" s="4"/>
      <c r="AO843" s="4"/>
      <c r="AP843" s="4"/>
      <c r="AQ843" s="4"/>
      <c r="AR843" s="4"/>
      <c r="AS843" s="4"/>
      <c r="AT843" s="4"/>
      <c r="AU843" s="4"/>
      <c r="AV843" s="4"/>
      <c r="AW843" s="4"/>
      <c r="AX843" s="4"/>
      <c r="AY843" s="4"/>
      <c r="AZ843" s="4"/>
      <c r="BA843" s="4"/>
      <c r="BB843" s="4"/>
      <c r="BC843" s="4"/>
      <c r="BD843" s="4"/>
      <c r="BE843" s="4"/>
      <c r="BF843" s="4"/>
      <c r="BG843" s="4"/>
      <c r="BH843" s="4"/>
      <c r="BI843" s="4"/>
      <c r="BJ843" s="4"/>
      <c r="BK843" s="4"/>
      <c r="BL843" s="4"/>
      <c r="BM843" s="4"/>
      <c r="BN843" s="4"/>
      <c r="BO843" s="4"/>
      <c r="BP843" s="39"/>
      <c r="BQ843" s="39"/>
    </row>
    <row r="844" spans="3:69" ht="15.75" customHeight="1">
      <c r="C844" s="4"/>
      <c r="D844" s="4"/>
      <c r="E844" s="38"/>
      <c r="F844" s="38"/>
      <c r="G844" s="4"/>
      <c r="H844" s="4"/>
      <c r="I844" s="4"/>
      <c r="J844" s="4"/>
      <c r="K844" s="4"/>
      <c r="L844" s="4"/>
      <c r="M844" s="4"/>
      <c r="N844" s="38"/>
      <c r="O844" s="4"/>
      <c r="P844" s="4"/>
      <c r="Q844" s="4"/>
      <c r="R844" s="4"/>
      <c r="S844" s="4"/>
      <c r="T844" s="38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  <c r="AM844" s="38"/>
      <c r="AN844" s="4"/>
      <c r="AO844" s="4"/>
      <c r="AP844" s="4"/>
      <c r="AQ844" s="4"/>
      <c r="AR844" s="4"/>
      <c r="AS844" s="4"/>
      <c r="AT844" s="4"/>
      <c r="AU844" s="4"/>
      <c r="AV844" s="4"/>
      <c r="AW844" s="4"/>
      <c r="AX844" s="4"/>
      <c r="AY844" s="4"/>
      <c r="AZ844" s="4"/>
      <c r="BA844" s="4"/>
      <c r="BB844" s="4"/>
      <c r="BC844" s="4"/>
      <c r="BD844" s="4"/>
      <c r="BE844" s="4"/>
      <c r="BF844" s="4"/>
      <c r="BG844" s="4"/>
      <c r="BH844" s="4"/>
      <c r="BI844" s="4"/>
      <c r="BJ844" s="4"/>
      <c r="BK844" s="4"/>
      <c r="BL844" s="4"/>
      <c r="BM844" s="4"/>
      <c r="BN844" s="4"/>
      <c r="BO844" s="4"/>
      <c r="BP844" s="39"/>
      <c r="BQ844" s="39"/>
    </row>
    <row r="845" spans="3:69" ht="15.75" customHeight="1">
      <c r="C845" s="4"/>
      <c r="D845" s="4"/>
      <c r="E845" s="38"/>
      <c r="F845" s="38"/>
      <c r="G845" s="4"/>
      <c r="H845" s="4"/>
      <c r="I845" s="4"/>
      <c r="J845" s="4"/>
      <c r="K845" s="4"/>
      <c r="L845" s="4"/>
      <c r="M845" s="4"/>
      <c r="N845" s="38"/>
      <c r="O845" s="4"/>
      <c r="P845" s="4"/>
      <c r="Q845" s="4"/>
      <c r="R845" s="4"/>
      <c r="S845" s="4"/>
      <c r="T845" s="38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  <c r="AM845" s="38"/>
      <c r="AN845" s="4"/>
      <c r="AO845" s="4"/>
      <c r="AP845" s="4"/>
      <c r="AQ845" s="4"/>
      <c r="AR845" s="4"/>
      <c r="AS845" s="4"/>
      <c r="AT845" s="4"/>
      <c r="AU845" s="4"/>
      <c r="AV845" s="4"/>
      <c r="AW845" s="4"/>
      <c r="AX845" s="4"/>
      <c r="AY845" s="4"/>
      <c r="AZ845" s="4"/>
      <c r="BA845" s="4"/>
      <c r="BB845" s="4"/>
      <c r="BC845" s="4"/>
      <c r="BD845" s="4"/>
      <c r="BE845" s="4"/>
      <c r="BF845" s="4"/>
      <c r="BG845" s="4"/>
      <c r="BH845" s="4"/>
      <c r="BI845" s="4"/>
      <c r="BJ845" s="4"/>
      <c r="BK845" s="4"/>
      <c r="BL845" s="4"/>
      <c r="BM845" s="4"/>
      <c r="BN845" s="4"/>
      <c r="BO845" s="4"/>
      <c r="BP845" s="39"/>
      <c r="BQ845" s="39"/>
    </row>
    <row r="846" spans="3:69" ht="15.75" customHeight="1">
      <c r="C846" s="4"/>
      <c r="D846" s="4"/>
      <c r="E846" s="38"/>
      <c r="F846" s="38"/>
      <c r="G846" s="4"/>
      <c r="H846" s="4"/>
      <c r="I846" s="4"/>
      <c r="J846" s="4"/>
      <c r="K846" s="4"/>
      <c r="L846" s="4"/>
      <c r="M846" s="4"/>
      <c r="N846" s="38"/>
      <c r="O846" s="4"/>
      <c r="P846" s="4"/>
      <c r="Q846" s="4"/>
      <c r="R846" s="4"/>
      <c r="S846" s="4"/>
      <c r="T846" s="38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  <c r="AM846" s="38"/>
      <c r="AN846" s="4"/>
      <c r="AO846" s="4"/>
      <c r="AP846" s="4"/>
      <c r="AQ846" s="4"/>
      <c r="AR846" s="4"/>
      <c r="AS846" s="4"/>
      <c r="AT846" s="4"/>
      <c r="AU846" s="4"/>
      <c r="AV846" s="4"/>
      <c r="AW846" s="4"/>
      <c r="AX846" s="4"/>
      <c r="AY846" s="4"/>
      <c r="AZ846" s="4"/>
      <c r="BA846" s="4"/>
      <c r="BB846" s="4"/>
      <c r="BC846" s="4"/>
      <c r="BD846" s="4"/>
      <c r="BE846" s="4"/>
      <c r="BF846" s="4"/>
      <c r="BG846" s="4"/>
      <c r="BH846" s="4"/>
      <c r="BI846" s="4"/>
      <c r="BJ846" s="4"/>
      <c r="BK846" s="4"/>
      <c r="BL846" s="4"/>
      <c r="BM846" s="4"/>
      <c r="BN846" s="4"/>
      <c r="BO846" s="4"/>
      <c r="BP846" s="39"/>
      <c r="BQ846" s="39"/>
    </row>
    <row r="847" spans="3:69" ht="15.75" customHeight="1">
      <c r="C847" s="4"/>
      <c r="D847" s="4"/>
      <c r="E847" s="38"/>
      <c r="F847" s="38"/>
      <c r="G847" s="4"/>
      <c r="H847" s="4"/>
      <c r="I847" s="4"/>
      <c r="J847" s="4"/>
      <c r="K847" s="4"/>
      <c r="L847" s="4"/>
      <c r="M847" s="4"/>
      <c r="N847" s="38"/>
      <c r="O847" s="4"/>
      <c r="P847" s="4"/>
      <c r="Q847" s="4"/>
      <c r="R847" s="4"/>
      <c r="S847" s="4"/>
      <c r="T847" s="38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  <c r="AM847" s="38"/>
      <c r="AN847" s="4"/>
      <c r="AO847" s="4"/>
      <c r="AP847" s="4"/>
      <c r="AQ847" s="4"/>
      <c r="AR847" s="4"/>
      <c r="AS847" s="4"/>
      <c r="AT847" s="4"/>
      <c r="AU847" s="4"/>
      <c r="AV847" s="4"/>
      <c r="AW847" s="4"/>
      <c r="AX847" s="4"/>
      <c r="AY847" s="4"/>
      <c r="AZ847" s="4"/>
      <c r="BA847" s="4"/>
      <c r="BB847" s="4"/>
      <c r="BC847" s="4"/>
      <c r="BD847" s="4"/>
      <c r="BE847" s="4"/>
      <c r="BF847" s="4"/>
      <c r="BG847" s="4"/>
      <c r="BH847" s="4"/>
      <c r="BI847" s="4"/>
      <c r="BJ847" s="4"/>
      <c r="BK847" s="4"/>
      <c r="BL847" s="4"/>
      <c r="BM847" s="4"/>
      <c r="BN847" s="4"/>
      <c r="BO847" s="4"/>
      <c r="BP847" s="39"/>
      <c r="BQ847" s="39"/>
    </row>
    <row r="848" spans="3:69" ht="15.75" customHeight="1">
      <c r="C848" s="4"/>
      <c r="D848" s="4"/>
      <c r="E848" s="38"/>
      <c r="F848" s="38"/>
      <c r="G848" s="4"/>
      <c r="H848" s="4"/>
      <c r="I848" s="4"/>
      <c r="J848" s="4"/>
      <c r="K848" s="4"/>
      <c r="L848" s="4"/>
      <c r="M848" s="4"/>
      <c r="N848" s="38"/>
      <c r="O848" s="4"/>
      <c r="P848" s="4"/>
      <c r="Q848" s="4"/>
      <c r="R848" s="4"/>
      <c r="S848" s="4"/>
      <c r="T848" s="38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  <c r="AM848" s="38"/>
      <c r="AN848" s="4"/>
      <c r="AO848" s="4"/>
      <c r="AP848" s="4"/>
      <c r="AQ848" s="4"/>
      <c r="AR848" s="4"/>
      <c r="AS848" s="4"/>
      <c r="AT848" s="4"/>
      <c r="AU848" s="4"/>
      <c r="AV848" s="4"/>
      <c r="AW848" s="4"/>
      <c r="AX848" s="4"/>
      <c r="AY848" s="4"/>
      <c r="AZ848" s="4"/>
      <c r="BA848" s="4"/>
      <c r="BB848" s="4"/>
      <c r="BC848" s="4"/>
      <c r="BD848" s="4"/>
      <c r="BE848" s="4"/>
      <c r="BF848" s="4"/>
      <c r="BG848" s="4"/>
      <c r="BH848" s="4"/>
      <c r="BI848" s="4"/>
      <c r="BJ848" s="4"/>
      <c r="BK848" s="4"/>
      <c r="BL848" s="4"/>
      <c r="BM848" s="4"/>
      <c r="BN848" s="4"/>
      <c r="BO848" s="4"/>
      <c r="BP848" s="39"/>
      <c r="BQ848" s="39"/>
    </row>
    <row r="849" spans="3:69" ht="15.75" customHeight="1">
      <c r="C849" s="4"/>
      <c r="D849" s="4"/>
      <c r="E849" s="38"/>
      <c r="F849" s="38"/>
      <c r="G849" s="4"/>
      <c r="H849" s="4"/>
      <c r="I849" s="4"/>
      <c r="J849" s="4"/>
      <c r="K849" s="4"/>
      <c r="L849" s="4"/>
      <c r="M849" s="4"/>
      <c r="N849" s="38"/>
      <c r="O849" s="4"/>
      <c r="P849" s="4"/>
      <c r="Q849" s="4"/>
      <c r="R849" s="4"/>
      <c r="S849" s="4"/>
      <c r="T849" s="38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  <c r="AM849" s="38"/>
      <c r="AN849" s="4"/>
      <c r="AO849" s="4"/>
      <c r="AP849" s="4"/>
      <c r="AQ849" s="4"/>
      <c r="AR849" s="4"/>
      <c r="AS849" s="4"/>
      <c r="AT849" s="4"/>
      <c r="AU849" s="4"/>
      <c r="AV849" s="4"/>
      <c r="AW849" s="4"/>
      <c r="AX849" s="4"/>
      <c r="AY849" s="4"/>
      <c r="AZ849" s="4"/>
      <c r="BA849" s="4"/>
      <c r="BB849" s="4"/>
      <c r="BC849" s="4"/>
      <c r="BD849" s="4"/>
      <c r="BE849" s="4"/>
      <c r="BF849" s="4"/>
      <c r="BG849" s="4"/>
      <c r="BH849" s="4"/>
      <c r="BI849" s="4"/>
      <c r="BJ849" s="4"/>
      <c r="BK849" s="4"/>
      <c r="BL849" s="4"/>
      <c r="BM849" s="4"/>
      <c r="BN849" s="4"/>
      <c r="BO849" s="4"/>
      <c r="BP849" s="39"/>
      <c r="BQ849" s="39"/>
    </row>
    <row r="850" spans="3:69" ht="15.75" customHeight="1">
      <c r="C850" s="4"/>
      <c r="D850" s="4"/>
      <c r="E850" s="38"/>
      <c r="F850" s="38"/>
      <c r="G850" s="4"/>
      <c r="H850" s="4"/>
      <c r="I850" s="4"/>
      <c r="J850" s="4"/>
      <c r="K850" s="4"/>
      <c r="L850" s="4"/>
      <c r="M850" s="4"/>
      <c r="N850" s="38"/>
      <c r="O850" s="4"/>
      <c r="P850" s="4"/>
      <c r="Q850" s="4"/>
      <c r="R850" s="4"/>
      <c r="S850" s="4"/>
      <c r="T850" s="38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38"/>
      <c r="AN850" s="4"/>
      <c r="AO850" s="4"/>
      <c r="AP850" s="4"/>
      <c r="AQ850" s="4"/>
      <c r="AR850" s="4"/>
      <c r="AS850" s="4"/>
      <c r="AT850" s="4"/>
      <c r="AU850" s="4"/>
      <c r="AV850" s="4"/>
      <c r="AW850" s="4"/>
      <c r="AX850" s="4"/>
      <c r="AY850" s="4"/>
      <c r="AZ850" s="4"/>
      <c r="BA850" s="4"/>
      <c r="BB850" s="4"/>
      <c r="BC850" s="4"/>
      <c r="BD850" s="4"/>
      <c r="BE850" s="4"/>
      <c r="BF850" s="4"/>
      <c r="BG850" s="4"/>
      <c r="BH850" s="4"/>
      <c r="BI850" s="4"/>
      <c r="BJ850" s="4"/>
      <c r="BK850" s="4"/>
      <c r="BL850" s="4"/>
      <c r="BM850" s="4"/>
      <c r="BN850" s="4"/>
      <c r="BO850" s="4"/>
      <c r="BP850" s="39"/>
      <c r="BQ850" s="39"/>
    </row>
    <row r="851" spans="3:69" ht="15.75" customHeight="1">
      <c r="C851" s="4"/>
      <c r="D851" s="4"/>
      <c r="E851" s="38"/>
      <c r="F851" s="38"/>
      <c r="G851" s="4"/>
      <c r="H851" s="4"/>
      <c r="I851" s="4"/>
      <c r="J851" s="4"/>
      <c r="K851" s="4"/>
      <c r="L851" s="4"/>
      <c r="M851" s="4"/>
      <c r="N851" s="38"/>
      <c r="O851" s="4"/>
      <c r="P851" s="4"/>
      <c r="Q851" s="4"/>
      <c r="R851" s="4"/>
      <c r="S851" s="4"/>
      <c r="T851" s="38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  <c r="AM851" s="38"/>
      <c r="AN851" s="4"/>
      <c r="AO851" s="4"/>
      <c r="AP851" s="4"/>
      <c r="AQ851" s="4"/>
      <c r="AR851" s="4"/>
      <c r="AS851" s="4"/>
      <c r="AT851" s="4"/>
      <c r="AU851" s="4"/>
      <c r="AV851" s="4"/>
      <c r="AW851" s="4"/>
      <c r="AX851" s="4"/>
      <c r="AY851" s="4"/>
      <c r="AZ851" s="4"/>
      <c r="BA851" s="4"/>
      <c r="BB851" s="4"/>
      <c r="BC851" s="4"/>
      <c r="BD851" s="4"/>
      <c r="BE851" s="4"/>
      <c r="BF851" s="4"/>
      <c r="BG851" s="4"/>
      <c r="BH851" s="4"/>
      <c r="BI851" s="4"/>
      <c r="BJ851" s="4"/>
      <c r="BK851" s="4"/>
      <c r="BL851" s="4"/>
      <c r="BM851" s="4"/>
      <c r="BN851" s="4"/>
      <c r="BO851" s="4"/>
      <c r="BP851" s="39"/>
      <c r="BQ851" s="39"/>
    </row>
    <row r="852" spans="3:69" ht="15.75" customHeight="1">
      <c r="C852" s="4"/>
      <c r="D852" s="4"/>
      <c r="E852" s="38"/>
      <c r="F852" s="38"/>
      <c r="G852" s="4"/>
      <c r="H852" s="4"/>
      <c r="I852" s="4"/>
      <c r="J852" s="4"/>
      <c r="K852" s="4"/>
      <c r="L852" s="4"/>
      <c r="M852" s="4"/>
      <c r="N852" s="38"/>
      <c r="O852" s="4"/>
      <c r="P852" s="4"/>
      <c r="Q852" s="4"/>
      <c r="R852" s="4"/>
      <c r="S852" s="4"/>
      <c r="T852" s="38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38"/>
      <c r="AN852" s="4"/>
      <c r="AO852" s="4"/>
      <c r="AP852" s="4"/>
      <c r="AQ852" s="4"/>
      <c r="AR852" s="4"/>
      <c r="AS852" s="4"/>
      <c r="AT852" s="4"/>
      <c r="AU852" s="4"/>
      <c r="AV852" s="4"/>
      <c r="AW852" s="4"/>
      <c r="AX852" s="4"/>
      <c r="AY852" s="4"/>
      <c r="AZ852" s="4"/>
      <c r="BA852" s="4"/>
      <c r="BB852" s="4"/>
      <c r="BC852" s="4"/>
      <c r="BD852" s="4"/>
      <c r="BE852" s="4"/>
      <c r="BF852" s="4"/>
      <c r="BG852" s="4"/>
      <c r="BH852" s="4"/>
      <c r="BI852" s="4"/>
      <c r="BJ852" s="4"/>
      <c r="BK852" s="4"/>
      <c r="BL852" s="4"/>
      <c r="BM852" s="4"/>
      <c r="BN852" s="4"/>
      <c r="BO852" s="4"/>
      <c r="BP852" s="39"/>
      <c r="BQ852" s="39"/>
    </row>
    <row r="853" spans="3:69" ht="15.75" customHeight="1">
      <c r="C853" s="4"/>
      <c r="D853" s="4"/>
      <c r="E853" s="38"/>
      <c r="F853" s="38"/>
      <c r="G853" s="4"/>
      <c r="H853" s="4"/>
      <c r="I853" s="4"/>
      <c r="J853" s="4"/>
      <c r="K853" s="4"/>
      <c r="L853" s="4"/>
      <c r="M853" s="4"/>
      <c r="N853" s="38"/>
      <c r="O853" s="4"/>
      <c r="P853" s="4"/>
      <c r="Q853" s="4"/>
      <c r="R853" s="4"/>
      <c r="S853" s="4"/>
      <c r="T853" s="38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  <c r="AM853" s="38"/>
      <c r="AN853" s="4"/>
      <c r="AO853" s="4"/>
      <c r="AP853" s="4"/>
      <c r="AQ853" s="4"/>
      <c r="AR853" s="4"/>
      <c r="AS853" s="4"/>
      <c r="AT853" s="4"/>
      <c r="AU853" s="4"/>
      <c r="AV853" s="4"/>
      <c r="AW853" s="4"/>
      <c r="AX853" s="4"/>
      <c r="AY853" s="4"/>
      <c r="AZ853" s="4"/>
      <c r="BA853" s="4"/>
      <c r="BB853" s="4"/>
      <c r="BC853" s="4"/>
      <c r="BD853" s="4"/>
      <c r="BE853" s="4"/>
      <c r="BF853" s="4"/>
      <c r="BG853" s="4"/>
      <c r="BH853" s="4"/>
      <c r="BI853" s="4"/>
      <c r="BJ853" s="4"/>
      <c r="BK853" s="4"/>
      <c r="BL853" s="4"/>
      <c r="BM853" s="4"/>
      <c r="BN853" s="4"/>
      <c r="BO853" s="4"/>
      <c r="BP853" s="39"/>
      <c r="BQ853" s="39"/>
    </row>
    <row r="854" spans="3:69" ht="15.75" customHeight="1">
      <c r="C854" s="4"/>
      <c r="D854" s="4"/>
      <c r="E854" s="38"/>
      <c r="F854" s="38"/>
      <c r="G854" s="4"/>
      <c r="H854" s="4"/>
      <c r="I854" s="4"/>
      <c r="J854" s="4"/>
      <c r="K854" s="4"/>
      <c r="L854" s="4"/>
      <c r="M854" s="4"/>
      <c r="N854" s="38"/>
      <c r="O854" s="4"/>
      <c r="P854" s="4"/>
      <c r="Q854" s="4"/>
      <c r="R854" s="4"/>
      <c r="S854" s="4"/>
      <c r="T854" s="38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38"/>
      <c r="AN854" s="4"/>
      <c r="AO854" s="4"/>
      <c r="AP854" s="4"/>
      <c r="AQ854" s="4"/>
      <c r="AR854" s="4"/>
      <c r="AS854" s="4"/>
      <c r="AT854" s="4"/>
      <c r="AU854" s="4"/>
      <c r="AV854" s="4"/>
      <c r="AW854" s="4"/>
      <c r="AX854" s="4"/>
      <c r="AY854" s="4"/>
      <c r="AZ854" s="4"/>
      <c r="BA854" s="4"/>
      <c r="BB854" s="4"/>
      <c r="BC854" s="4"/>
      <c r="BD854" s="4"/>
      <c r="BE854" s="4"/>
      <c r="BF854" s="4"/>
      <c r="BG854" s="4"/>
      <c r="BH854" s="4"/>
      <c r="BI854" s="4"/>
      <c r="BJ854" s="4"/>
      <c r="BK854" s="4"/>
      <c r="BL854" s="4"/>
      <c r="BM854" s="4"/>
      <c r="BN854" s="4"/>
      <c r="BO854" s="4"/>
      <c r="BP854" s="39"/>
      <c r="BQ854" s="39"/>
    </row>
    <row r="855" spans="3:69" ht="15.75" customHeight="1">
      <c r="C855" s="4"/>
      <c r="D855" s="4"/>
      <c r="E855" s="38"/>
      <c r="F855" s="38"/>
      <c r="G855" s="4"/>
      <c r="H855" s="4"/>
      <c r="I855" s="4"/>
      <c r="J855" s="4"/>
      <c r="K855" s="4"/>
      <c r="L855" s="4"/>
      <c r="M855" s="4"/>
      <c r="N855" s="38"/>
      <c r="O855" s="4"/>
      <c r="P855" s="4"/>
      <c r="Q855" s="4"/>
      <c r="R855" s="4"/>
      <c r="S855" s="4"/>
      <c r="T855" s="38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  <c r="AM855" s="38"/>
      <c r="AN855" s="4"/>
      <c r="AO855" s="4"/>
      <c r="AP855" s="4"/>
      <c r="AQ855" s="4"/>
      <c r="AR855" s="4"/>
      <c r="AS855" s="4"/>
      <c r="AT855" s="4"/>
      <c r="AU855" s="4"/>
      <c r="AV855" s="4"/>
      <c r="AW855" s="4"/>
      <c r="AX855" s="4"/>
      <c r="AY855" s="4"/>
      <c r="AZ855" s="4"/>
      <c r="BA855" s="4"/>
      <c r="BB855" s="4"/>
      <c r="BC855" s="4"/>
      <c r="BD855" s="4"/>
      <c r="BE855" s="4"/>
      <c r="BF855" s="4"/>
      <c r="BG855" s="4"/>
      <c r="BH855" s="4"/>
      <c r="BI855" s="4"/>
      <c r="BJ855" s="4"/>
      <c r="BK855" s="4"/>
      <c r="BL855" s="4"/>
      <c r="BM855" s="4"/>
      <c r="BN855" s="4"/>
      <c r="BO855" s="4"/>
      <c r="BP855" s="39"/>
      <c r="BQ855" s="39"/>
    </row>
    <row r="856" spans="3:69" ht="15.75" customHeight="1">
      <c r="C856" s="4"/>
      <c r="D856" s="4"/>
      <c r="E856" s="38"/>
      <c r="F856" s="38"/>
      <c r="G856" s="4"/>
      <c r="H856" s="4"/>
      <c r="I856" s="4"/>
      <c r="J856" s="4"/>
      <c r="K856" s="4"/>
      <c r="L856" s="4"/>
      <c r="M856" s="4"/>
      <c r="N856" s="38"/>
      <c r="O856" s="4"/>
      <c r="P856" s="4"/>
      <c r="Q856" s="4"/>
      <c r="R856" s="4"/>
      <c r="S856" s="4"/>
      <c r="T856" s="38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  <c r="AM856" s="38"/>
      <c r="AN856" s="4"/>
      <c r="AO856" s="4"/>
      <c r="AP856" s="4"/>
      <c r="AQ856" s="4"/>
      <c r="AR856" s="4"/>
      <c r="AS856" s="4"/>
      <c r="AT856" s="4"/>
      <c r="AU856" s="4"/>
      <c r="AV856" s="4"/>
      <c r="AW856" s="4"/>
      <c r="AX856" s="4"/>
      <c r="AY856" s="4"/>
      <c r="AZ856" s="4"/>
      <c r="BA856" s="4"/>
      <c r="BB856" s="4"/>
      <c r="BC856" s="4"/>
      <c r="BD856" s="4"/>
      <c r="BE856" s="4"/>
      <c r="BF856" s="4"/>
      <c r="BG856" s="4"/>
      <c r="BH856" s="4"/>
      <c r="BI856" s="4"/>
      <c r="BJ856" s="4"/>
      <c r="BK856" s="4"/>
      <c r="BL856" s="4"/>
      <c r="BM856" s="4"/>
      <c r="BN856" s="4"/>
      <c r="BO856" s="4"/>
      <c r="BP856" s="39"/>
      <c r="BQ856" s="39"/>
    </row>
    <row r="857" spans="3:69" ht="15.75" customHeight="1">
      <c r="C857" s="4"/>
      <c r="D857" s="4"/>
      <c r="E857" s="38"/>
      <c r="F857" s="38"/>
      <c r="G857" s="4"/>
      <c r="H857" s="4"/>
      <c r="I857" s="4"/>
      <c r="J857" s="4"/>
      <c r="K857" s="4"/>
      <c r="L857" s="4"/>
      <c r="M857" s="4"/>
      <c r="N857" s="38"/>
      <c r="O857" s="4"/>
      <c r="P857" s="4"/>
      <c r="Q857" s="4"/>
      <c r="R857" s="4"/>
      <c r="S857" s="4"/>
      <c r="T857" s="38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  <c r="AM857" s="38"/>
      <c r="AN857" s="4"/>
      <c r="AO857" s="4"/>
      <c r="AP857" s="4"/>
      <c r="AQ857" s="4"/>
      <c r="AR857" s="4"/>
      <c r="AS857" s="4"/>
      <c r="AT857" s="4"/>
      <c r="AU857" s="4"/>
      <c r="AV857" s="4"/>
      <c r="AW857" s="4"/>
      <c r="AX857" s="4"/>
      <c r="AY857" s="4"/>
      <c r="AZ857" s="4"/>
      <c r="BA857" s="4"/>
      <c r="BB857" s="4"/>
      <c r="BC857" s="4"/>
      <c r="BD857" s="4"/>
      <c r="BE857" s="4"/>
      <c r="BF857" s="4"/>
      <c r="BG857" s="4"/>
      <c r="BH857" s="4"/>
      <c r="BI857" s="4"/>
      <c r="BJ857" s="4"/>
      <c r="BK857" s="4"/>
      <c r="BL857" s="4"/>
      <c r="BM857" s="4"/>
      <c r="BN857" s="4"/>
      <c r="BO857" s="4"/>
      <c r="BP857" s="39"/>
      <c r="BQ857" s="39"/>
    </row>
    <row r="858" spans="3:69" ht="15.75" customHeight="1">
      <c r="C858" s="4"/>
      <c r="D858" s="4"/>
      <c r="E858" s="38"/>
      <c r="F858" s="38"/>
      <c r="G858" s="4"/>
      <c r="H858" s="4"/>
      <c r="I858" s="4"/>
      <c r="J858" s="4"/>
      <c r="K858" s="4"/>
      <c r="L858" s="4"/>
      <c r="M858" s="4"/>
      <c r="N858" s="38"/>
      <c r="O858" s="4"/>
      <c r="P858" s="4"/>
      <c r="Q858" s="4"/>
      <c r="R858" s="4"/>
      <c r="S858" s="4"/>
      <c r="T858" s="38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  <c r="AM858" s="38"/>
      <c r="AN858" s="4"/>
      <c r="AO858" s="4"/>
      <c r="AP858" s="4"/>
      <c r="AQ858" s="4"/>
      <c r="AR858" s="4"/>
      <c r="AS858" s="4"/>
      <c r="AT858" s="4"/>
      <c r="AU858" s="4"/>
      <c r="AV858" s="4"/>
      <c r="AW858" s="4"/>
      <c r="AX858" s="4"/>
      <c r="AY858" s="4"/>
      <c r="AZ858" s="4"/>
      <c r="BA858" s="4"/>
      <c r="BB858" s="4"/>
      <c r="BC858" s="4"/>
      <c r="BD858" s="4"/>
      <c r="BE858" s="4"/>
      <c r="BF858" s="4"/>
      <c r="BG858" s="4"/>
      <c r="BH858" s="4"/>
      <c r="BI858" s="4"/>
      <c r="BJ858" s="4"/>
      <c r="BK858" s="4"/>
      <c r="BL858" s="4"/>
      <c r="BM858" s="4"/>
      <c r="BN858" s="4"/>
      <c r="BO858" s="4"/>
      <c r="BP858" s="39"/>
      <c r="BQ858" s="39"/>
    </row>
    <row r="859" spans="3:69" ht="15.75" customHeight="1">
      <c r="C859" s="4"/>
      <c r="D859" s="4"/>
      <c r="E859" s="38"/>
      <c r="F859" s="38"/>
      <c r="G859" s="4"/>
      <c r="H859" s="4"/>
      <c r="I859" s="4"/>
      <c r="J859" s="4"/>
      <c r="K859" s="4"/>
      <c r="L859" s="4"/>
      <c r="M859" s="4"/>
      <c r="N859" s="38"/>
      <c r="O859" s="4"/>
      <c r="P859" s="4"/>
      <c r="Q859" s="4"/>
      <c r="R859" s="4"/>
      <c r="S859" s="4"/>
      <c r="T859" s="38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  <c r="AM859" s="38"/>
      <c r="AN859" s="4"/>
      <c r="AO859" s="4"/>
      <c r="AP859" s="4"/>
      <c r="AQ859" s="4"/>
      <c r="AR859" s="4"/>
      <c r="AS859" s="4"/>
      <c r="AT859" s="4"/>
      <c r="AU859" s="4"/>
      <c r="AV859" s="4"/>
      <c r="AW859" s="4"/>
      <c r="AX859" s="4"/>
      <c r="AY859" s="4"/>
      <c r="AZ859" s="4"/>
      <c r="BA859" s="4"/>
      <c r="BB859" s="4"/>
      <c r="BC859" s="4"/>
      <c r="BD859" s="4"/>
      <c r="BE859" s="4"/>
      <c r="BF859" s="4"/>
      <c r="BG859" s="4"/>
      <c r="BH859" s="4"/>
      <c r="BI859" s="4"/>
      <c r="BJ859" s="4"/>
      <c r="BK859" s="4"/>
      <c r="BL859" s="4"/>
      <c r="BM859" s="4"/>
      <c r="BN859" s="4"/>
      <c r="BO859" s="4"/>
      <c r="BP859" s="39"/>
      <c r="BQ859" s="39"/>
    </row>
    <row r="860" spans="3:69" ht="15.75" customHeight="1">
      <c r="C860" s="4"/>
      <c r="D860" s="4"/>
      <c r="E860" s="38"/>
      <c r="F860" s="38"/>
      <c r="G860" s="4"/>
      <c r="H860" s="4"/>
      <c r="I860" s="4"/>
      <c r="J860" s="4"/>
      <c r="K860" s="4"/>
      <c r="L860" s="4"/>
      <c r="M860" s="4"/>
      <c r="N860" s="38"/>
      <c r="O860" s="4"/>
      <c r="P860" s="4"/>
      <c r="Q860" s="4"/>
      <c r="R860" s="4"/>
      <c r="S860" s="4"/>
      <c r="T860" s="38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38"/>
      <c r="AN860" s="4"/>
      <c r="AO860" s="4"/>
      <c r="AP860" s="4"/>
      <c r="AQ860" s="4"/>
      <c r="AR860" s="4"/>
      <c r="AS860" s="4"/>
      <c r="AT860" s="4"/>
      <c r="AU860" s="4"/>
      <c r="AV860" s="4"/>
      <c r="AW860" s="4"/>
      <c r="AX860" s="4"/>
      <c r="AY860" s="4"/>
      <c r="AZ860" s="4"/>
      <c r="BA860" s="4"/>
      <c r="BB860" s="4"/>
      <c r="BC860" s="4"/>
      <c r="BD860" s="4"/>
      <c r="BE860" s="4"/>
      <c r="BF860" s="4"/>
      <c r="BG860" s="4"/>
      <c r="BH860" s="4"/>
      <c r="BI860" s="4"/>
      <c r="BJ860" s="4"/>
      <c r="BK860" s="4"/>
      <c r="BL860" s="4"/>
      <c r="BM860" s="4"/>
      <c r="BN860" s="4"/>
      <c r="BO860" s="4"/>
      <c r="BP860" s="39"/>
      <c r="BQ860" s="39"/>
    </row>
    <row r="861" spans="3:69" ht="15.75" customHeight="1">
      <c r="C861" s="4"/>
      <c r="D861" s="4"/>
      <c r="E861" s="38"/>
      <c r="F861" s="38"/>
      <c r="G861" s="4"/>
      <c r="H861" s="4"/>
      <c r="I861" s="4"/>
      <c r="J861" s="4"/>
      <c r="K861" s="4"/>
      <c r="L861" s="4"/>
      <c r="M861" s="4"/>
      <c r="N861" s="38"/>
      <c r="O861" s="4"/>
      <c r="P861" s="4"/>
      <c r="Q861" s="4"/>
      <c r="R861" s="4"/>
      <c r="S861" s="4"/>
      <c r="T861" s="38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  <c r="AM861" s="38"/>
      <c r="AN861" s="4"/>
      <c r="AO861" s="4"/>
      <c r="AP861" s="4"/>
      <c r="AQ861" s="4"/>
      <c r="AR861" s="4"/>
      <c r="AS861" s="4"/>
      <c r="AT861" s="4"/>
      <c r="AU861" s="4"/>
      <c r="AV861" s="4"/>
      <c r="AW861" s="4"/>
      <c r="AX861" s="4"/>
      <c r="AY861" s="4"/>
      <c r="AZ861" s="4"/>
      <c r="BA861" s="4"/>
      <c r="BB861" s="4"/>
      <c r="BC861" s="4"/>
      <c r="BD861" s="4"/>
      <c r="BE861" s="4"/>
      <c r="BF861" s="4"/>
      <c r="BG861" s="4"/>
      <c r="BH861" s="4"/>
      <c r="BI861" s="4"/>
      <c r="BJ861" s="4"/>
      <c r="BK861" s="4"/>
      <c r="BL861" s="4"/>
      <c r="BM861" s="4"/>
      <c r="BN861" s="4"/>
      <c r="BO861" s="4"/>
      <c r="BP861" s="39"/>
      <c r="BQ861" s="39"/>
    </row>
    <row r="862" spans="3:69" ht="15.75" customHeight="1">
      <c r="C862" s="4"/>
      <c r="D862" s="4"/>
      <c r="E862" s="38"/>
      <c r="F862" s="38"/>
      <c r="G862" s="4"/>
      <c r="H862" s="4"/>
      <c r="I862" s="4"/>
      <c r="J862" s="4"/>
      <c r="K862" s="4"/>
      <c r="L862" s="4"/>
      <c r="M862" s="4"/>
      <c r="N862" s="38"/>
      <c r="O862" s="4"/>
      <c r="P862" s="4"/>
      <c r="Q862" s="4"/>
      <c r="R862" s="4"/>
      <c r="S862" s="4"/>
      <c r="T862" s="38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  <c r="AM862" s="38"/>
      <c r="AN862" s="4"/>
      <c r="AO862" s="4"/>
      <c r="AP862" s="4"/>
      <c r="AQ862" s="4"/>
      <c r="AR862" s="4"/>
      <c r="AS862" s="4"/>
      <c r="AT862" s="4"/>
      <c r="AU862" s="4"/>
      <c r="AV862" s="4"/>
      <c r="AW862" s="4"/>
      <c r="AX862" s="4"/>
      <c r="AY862" s="4"/>
      <c r="AZ862" s="4"/>
      <c r="BA862" s="4"/>
      <c r="BB862" s="4"/>
      <c r="BC862" s="4"/>
      <c r="BD862" s="4"/>
      <c r="BE862" s="4"/>
      <c r="BF862" s="4"/>
      <c r="BG862" s="4"/>
      <c r="BH862" s="4"/>
      <c r="BI862" s="4"/>
      <c r="BJ862" s="4"/>
      <c r="BK862" s="4"/>
      <c r="BL862" s="4"/>
      <c r="BM862" s="4"/>
      <c r="BN862" s="4"/>
      <c r="BO862" s="4"/>
      <c r="BP862" s="39"/>
      <c r="BQ862" s="39"/>
    </row>
    <row r="863" spans="3:69" ht="15.75" customHeight="1">
      <c r="C863" s="4"/>
      <c r="D863" s="4"/>
      <c r="E863" s="38"/>
      <c r="F863" s="38"/>
      <c r="G863" s="4"/>
      <c r="H863" s="4"/>
      <c r="I863" s="4"/>
      <c r="J863" s="4"/>
      <c r="K863" s="4"/>
      <c r="L863" s="4"/>
      <c r="M863" s="4"/>
      <c r="N863" s="38"/>
      <c r="O863" s="4"/>
      <c r="P863" s="4"/>
      <c r="Q863" s="4"/>
      <c r="R863" s="4"/>
      <c r="S863" s="4"/>
      <c r="T863" s="38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  <c r="AM863" s="38"/>
      <c r="AN863" s="4"/>
      <c r="AO863" s="4"/>
      <c r="AP863" s="4"/>
      <c r="AQ863" s="4"/>
      <c r="AR863" s="4"/>
      <c r="AS863" s="4"/>
      <c r="AT863" s="4"/>
      <c r="AU863" s="4"/>
      <c r="AV863" s="4"/>
      <c r="AW863" s="4"/>
      <c r="AX863" s="4"/>
      <c r="AY863" s="4"/>
      <c r="AZ863" s="4"/>
      <c r="BA863" s="4"/>
      <c r="BB863" s="4"/>
      <c r="BC863" s="4"/>
      <c r="BD863" s="4"/>
      <c r="BE863" s="4"/>
      <c r="BF863" s="4"/>
      <c r="BG863" s="4"/>
      <c r="BH863" s="4"/>
      <c r="BI863" s="4"/>
      <c r="BJ863" s="4"/>
      <c r="BK863" s="4"/>
      <c r="BL863" s="4"/>
      <c r="BM863" s="4"/>
      <c r="BN863" s="4"/>
      <c r="BO863" s="4"/>
      <c r="BP863" s="39"/>
      <c r="BQ863" s="39"/>
    </row>
    <row r="864" spans="3:69" ht="15.75" customHeight="1">
      <c r="C864" s="4"/>
      <c r="D864" s="4"/>
      <c r="E864" s="38"/>
      <c r="F864" s="38"/>
      <c r="G864" s="4"/>
      <c r="H864" s="4"/>
      <c r="I864" s="4"/>
      <c r="J864" s="4"/>
      <c r="K864" s="4"/>
      <c r="L864" s="4"/>
      <c r="M864" s="4"/>
      <c r="N864" s="38"/>
      <c r="O864" s="4"/>
      <c r="P864" s="4"/>
      <c r="Q864" s="4"/>
      <c r="R864" s="4"/>
      <c r="S864" s="4"/>
      <c r="T864" s="38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38"/>
      <c r="AN864" s="4"/>
      <c r="AO864" s="4"/>
      <c r="AP864" s="4"/>
      <c r="AQ864" s="4"/>
      <c r="AR864" s="4"/>
      <c r="AS864" s="4"/>
      <c r="AT864" s="4"/>
      <c r="AU864" s="4"/>
      <c r="AV864" s="4"/>
      <c r="AW864" s="4"/>
      <c r="AX864" s="4"/>
      <c r="AY864" s="4"/>
      <c r="AZ864" s="4"/>
      <c r="BA864" s="4"/>
      <c r="BB864" s="4"/>
      <c r="BC864" s="4"/>
      <c r="BD864" s="4"/>
      <c r="BE864" s="4"/>
      <c r="BF864" s="4"/>
      <c r="BG864" s="4"/>
      <c r="BH864" s="4"/>
      <c r="BI864" s="4"/>
      <c r="BJ864" s="4"/>
      <c r="BK864" s="4"/>
      <c r="BL864" s="4"/>
      <c r="BM864" s="4"/>
      <c r="BN864" s="4"/>
      <c r="BO864" s="4"/>
      <c r="BP864" s="39"/>
      <c r="BQ864" s="39"/>
    </row>
    <row r="865" spans="3:69" ht="15.75" customHeight="1">
      <c r="C865" s="4"/>
      <c r="D865" s="4"/>
      <c r="E865" s="38"/>
      <c r="F865" s="38"/>
      <c r="G865" s="4"/>
      <c r="H865" s="4"/>
      <c r="I865" s="4"/>
      <c r="J865" s="4"/>
      <c r="K865" s="4"/>
      <c r="L865" s="4"/>
      <c r="M865" s="4"/>
      <c r="N865" s="38"/>
      <c r="O865" s="4"/>
      <c r="P865" s="4"/>
      <c r="Q865" s="4"/>
      <c r="R865" s="4"/>
      <c r="S865" s="4"/>
      <c r="T865" s="38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  <c r="AM865" s="38"/>
      <c r="AN865" s="4"/>
      <c r="AO865" s="4"/>
      <c r="AP865" s="4"/>
      <c r="AQ865" s="4"/>
      <c r="AR865" s="4"/>
      <c r="AS865" s="4"/>
      <c r="AT865" s="4"/>
      <c r="AU865" s="4"/>
      <c r="AV865" s="4"/>
      <c r="AW865" s="4"/>
      <c r="AX865" s="4"/>
      <c r="AY865" s="4"/>
      <c r="AZ865" s="4"/>
      <c r="BA865" s="4"/>
      <c r="BB865" s="4"/>
      <c r="BC865" s="4"/>
      <c r="BD865" s="4"/>
      <c r="BE865" s="4"/>
      <c r="BF865" s="4"/>
      <c r="BG865" s="4"/>
      <c r="BH865" s="4"/>
      <c r="BI865" s="4"/>
      <c r="BJ865" s="4"/>
      <c r="BK865" s="4"/>
      <c r="BL865" s="4"/>
      <c r="BM865" s="4"/>
      <c r="BN865" s="4"/>
      <c r="BO865" s="4"/>
      <c r="BP865" s="39"/>
      <c r="BQ865" s="39"/>
    </row>
    <row r="866" spans="3:69" ht="15.75" customHeight="1">
      <c r="C866" s="4"/>
      <c r="D866" s="4"/>
      <c r="E866" s="38"/>
      <c r="F866" s="38"/>
      <c r="G866" s="4"/>
      <c r="H866" s="4"/>
      <c r="I866" s="4"/>
      <c r="J866" s="4"/>
      <c r="K866" s="4"/>
      <c r="L866" s="4"/>
      <c r="M866" s="4"/>
      <c r="N866" s="38"/>
      <c r="O866" s="4"/>
      <c r="P866" s="4"/>
      <c r="Q866" s="4"/>
      <c r="R866" s="4"/>
      <c r="S866" s="4"/>
      <c r="T866" s="38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  <c r="AM866" s="38"/>
      <c r="AN866" s="4"/>
      <c r="AO866" s="4"/>
      <c r="AP866" s="4"/>
      <c r="AQ866" s="4"/>
      <c r="AR866" s="4"/>
      <c r="AS866" s="4"/>
      <c r="AT866" s="4"/>
      <c r="AU866" s="4"/>
      <c r="AV866" s="4"/>
      <c r="AW866" s="4"/>
      <c r="AX866" s="4"/>
      <c r="AY866" s="4"/>
      <c r="AZ866" s="4"/>
      <c r="BA866" s="4"/>
      <c r="BB866" s="4"/>
      <c r="BC866" s="4"/>
      <c r="BD866" s="4"/>
      <c r="BE866" s="4"/>
      <c r="BF866" s="4"/>
      <c r="BG866" s="4"/>
      <c r="BH866" s="4"/>
      <c r="BI866" s="4"/>
      <c r="BJ866" s="4"/>
      <c r="BK866" s="4"/>
      <c r="BL866" s="4"/>
      <c r="BM866" s="4"/>
      <c r="BN866" s="4"/>
      <c r="BO866" s="4"/>
      <c r="BP866" s="39"/>
      <c r="BQ866" s="39"/>
    </row>
    <row r="867" spans="3:69" ht="15.75" customHeight="1">
      <c r="C867" s="4"/>
      <c r="D867" s="4"/>
      <c r="E867" s="38"/>
      <c r="F867" s="38"/>
      <c r="G867" s="4"/>
      <c r="H867" s="4"/>
      <c r="I867" s="4"/>
      <c r="J867" s="4"/>
      <c r="K867" s="4"/>
      <c r="L867" s="4"/>
      <c r="M867" s="4"/>
      <c r="N867" s="38"/>
      <c r="O867" s="4"/>
      <c r="P867" s="4"/>
      <c r="Q867" s="4"/>
      <c r="R867" s="4"/>
      <c r="S867" s="4"/>
      <c r="T867" s="38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  <c r="AM867" s="38"/>
      <c r="AN867" s="4"/>
      <c r="AO867" s="4"/>
      <c r="AP867" s="4"/>
      <c r="AQ867" s="4"/>
      <c r="AR867" s="4"/>
      <c r="AS867" s="4"/>
      <c r="AT867" s="4"/>
      <c r="AU867" s="4"/>
      <c r="AV867" s="4"/>
      <c r="AW867" s="4"/>
      <c r="AX867" s="4"/>
      <c r="AY867" s="4"/>
      <c r="AZ867" s="4"/>
      <c r="BA867" s="4"/>
      <c r="BB867" s="4"/>
      <c r="BC867" s="4"/>
      <c r="BD867" s="4"/>
      <c r="BE867" s="4"/>
      <c r="BF867" s="4"/>
      <c r="BG867" s="4"/>
      <c r="BH867" s="4"/>
      <c r="BI867" s="4"/>
      <c r="BJ867" s="4"/>
      <c r="BK867" s="4"/>
      <c r="BL867" s="4"/>
      <c r="BM867" s="4"/>
      <c r="BN867" s="4"/>
      <c r="BO867" s="4"/>
      <c r="BP867" s="39"/>
      <c r="BQ867" s="39"/>
    </row>
    <row r="868" spans="3:69" ht="15.75" customHeight="1">
      <c r="C868" s="4"/>
      <c r="D868" s="4"/>
      <c r="E868" s="38"/>
      <c r="F868" s="38"/>
      <c r="G868" s="4"/>
      <c r="H868" s="4"/>
      <c r="I868" s="4"/>
      <c r="J868" s="4"/>
      <c r="K868" s="4"/>
      <c r="L868" s="4"/>
      <c r="M868" s="4"/>
      <c r="N868" s="38"/>
      <c r="O868" s="4"/>
      <c r="P868" s="4"/>
      <c r="Q868" s="4"/>
      <c r="R868" s="4"/>
      <c r="S868" s="4"/>
      <c r="T868" s="38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  <c r="AM868" s="38"/>
      <c r="AN868" s="4"/>
      <c r="AO868" s="4"/>
      <c r="AP868" s="4"/>
      <c r="AQ868" s="4"/>
      <c r="AR868" s="4"/>
      <c r="AS868" s="4"/>
      <c r="AT868" s="4"/>
      <c r="AU868" s="4"/>
      <c r="AV868" s="4"/>
      <c r="AW868" s="4"/>
      <c r="AX868" s="4"/>
      <c r="AY868" s="4"/>
      <c r="AZ868" s="4"/>
      <c r="BA868" s="4"/>
      <c r="BB868" s="4"/>
      <c r="BC868" s="4"/>
      <c r="BD868" s="4"/>
      <c r="BE868" s="4"/>
      <c r="BF868" s="4"/>
      <c r="BG868" s="4"/>
      <c r="BH868" s="4"/>
      <c r="BI868" s="4"/>
      <c r="BJ868" s="4"/>
      <c r="BK868" s="4"/>
      <c r="BL868" s="4"/>
      <c r="BM868" s="4"/>
      <c r="BN868" s="4"/>
      <c r="BO868" s="4"/>
      <c r="BP868" s="39"/>
      <c r="BQ868" s="39"/>
    </row>
    <row r="869" spans="3:69" ht="15.75" customHeight="1">
      <c r="C869" s="4"/>
      <c r="D869" s="4"/>
      <c r="E869" s="38"/>
      <c r="F869" s="38"/>
      <c r="G869" s="4"/>
      <c r="H869" s="4"/>
      <c r="I869" s="4"/>
      <c r="J869" s="4"/>
      <c r="K869" s="4"/>
      <c r="L869" s="4"/>
      <c r="M869" s="4"/>
      <c r="N869" s="38"/>
      <c r="O869" s="4"/>
      <c r="P869" s="4"/>
      <c r="Q869" s="4"/>
      <c r="R869" s="4"/>
      <c r="S869" s="4"/>
      <c r="T869" s="38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  <c r="AM869" s="38"/>
      <c r="AN869" s="4"/>
      <c r="AO869" s="4"/>
      <c r="AP869" s="4"/>
      <c r="AQ869" s="4"/>
      <c r="AR869" s="4"/>
      <c r="AS869" s="4"/>
      <c r="AT869" s="4"/>
      <c r="AU869" s="4"/>
      <c r="AV869" s="4"/>
      <c r="AW869" s="4"/>
      <c r="AX869" s="4"/>
      <c r="AY869" s="4"/>
      <c r="AZ869" s="4"/>
      <c r="BA869" s="4"/>
      <c r="BB869" s="4"/>
      <c r="BC869" s="4"/>
      <c r="BD869" s="4"/>
      <c r="BE869" s="4"/>
      <c r="BF869" s="4"/>
      <c r="BG869" s="4"/>
      <c r="BH869" s="4"/>
      <c r="BI869" s="4"/>
      <c r="BJ869" s="4"/>
      <c r="BK869" s="4"/>
      <c r="BL869" s="4"/>
      <c r="BM869" s="4"/>
      <c r="BN869" s="4"/>
      <c r="BO869" s="4"/>
      <c r="BP869" s="39"/>
      <c r="BQ869" s="39"/>
    </row>
    <row r="870" spans="3:69" ht="15.75" customHeight="1">
      <c r="C870" s="4"/>
      <c r="D870" s="4"/>
      <c r="E870" s="38"/>
      <c r="F870" s="38"/>
      <c r="G870" s="4"/>
      <c r="H870" s="4"/>
      <c r="I870" s="4"/>
      <c r="J870" s="4"/>
      <c r="K870" s="4"/>
      <c r="L870" s="4"/>
      <c r="M870" s="4"/>
      <c r="N870" s="38"/>
      <c r="O870" s="4"/>
      <c r="P870" s="4"/>
      <c r="Q870" s="4"/>
      <c r="R870" s="4"/>
      <c r="S870" s="4"/>
      <c r="T870" s="38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  <c r="AM870" s="38"/>
      <c r="AN870" s="4"/>
      <c r="AO870" s="4"/>
      <c r="AP870" s="4"/>
      <c r="AQ870" s="4"/>
      <c r="AR870" s="4"/>
      <c r="AS870" s="4"/>
      <c r="AT870" s="4"/>
      <c r="AU870" s="4"/>
      <c r="AV870" s="4"/>
      <c r="AW870" s="4"/>
      <c r="AX870" s="4"/>
      <c r="AY870" s="4"/>
      <c r="AZ870" s="4"/>
      <c r="BA870" s="4"/>
      <c r="BB870" s="4"/>
      <c r="BC870" s="4"/>
      <c r="BD870" s="4"/>
      <c r="BE870" s="4"/>
      <c r="BF870" s="4"/>
      <c r="BG870" s="4"/>
      <c r="BH870" s="4"/>
      <c r="BI870" s="4"/>
      <c r="BJ870" s="4"/>
      <c r="BK870" s="4"/>
      <c r="BL870" s="4"/>
      <c r="BM870" s="4"/>
      <c r="BN870" s="4"/>
      <c r="BO870" s="4"/>
      <c r="BP870" s="39"/>
      <c r="BQ870" s="39"/>
    </row>
    <row r="871" spans="3:69" ht="15.75" customHeight="1">
      <c r="C871" s="4"/>
      <c r="D871" s="4"/>
      <c r="E871" s="38"/>
      <c r="F871" s="38"/>
      <c r="G871" s="4"/>
      <c r="H871" s="4"/>
      <c r="I871" s="4"/>
      <c r="J871" s="4"/>
      <c r="K871" s="4"/>
      <c r="L871" s="4"/>
      <c r="M871" s="4"/>
      <c r="N871" s="38"/>
      <c r="O871" s="4"/>
      <c r="P871" s="4"/>
      <c r="Q871" s="4"/>
      <c r="R871" s="4"/>
      <c r="S871" s="4"/>
      <c r="T871" s="38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  <c r="AM871" s="38"/>
      <c r="AN871" s="4"/>
      <c r="AO871" s="4"/>
      <c r="AP871" s="4"/>
      <c r="AQ871" s="4"/>
      <c r="AR871" s="4"/>
      <c r="AS871" s="4"/>
      <c r="AT871" s="4"/>
      <c r="AU871" s="4"/>
      <c r="AV871" s="4"/>
      <c r="AW871" s="4"/>
      <c r="AX871" s="4"/>
      <c r="AY871" s="4"/>
      <c r="AZ871" s="4"/>
      <c r="BA871" s="4"/>
      <c r="BB871" s="4"/>
      <c r="BC871" s="4"/>
      <c r="BD871" s="4"/>
      <c r="BE871" s="4"/>
      <c r="BF871" s="4"/>
      <c r="BG871" s="4"/>
      <c r="BH871" s="4"/>
      <c r="BI871" s="4"/>
      <c r="BJ871" s="4"/>
      <c r="BK871" s="4"/>
      <c r="BL871" s="4"/>
      <c r="BM871" s="4"/>
      <c r="BN871" s="4"/>
      <c r="BO871" s="4"/>
      <c r="BP871" s="39"/>
      <c r="BQ871" s="39"/>
    </row>
    <row r="872" spans="3:69" ht="15.75" customHeight="1">
      <c r="C872" s="4"/>
      <c r="D872" s="4"/>
      <c r="E872" s="38"/>
      <c r="F872" s="38"/>
      <c r="G872" s="4"/>
      <c r="H872" s="4"/>
      <c r="I872" s="4"/>
      <c r="J872" s="4"/>
      <c r="K872" s="4"/>
      <c r="L872" s="4"/>
      <c r="M872" s="4"/>
      <c r="N872" s="38"/>
      <c r="O872" s="4"/>
      <c r="P872" s="4"/>
      <c r="Q872" s="4"/>
      <c r="R872" s="4"/>
      <c r="S872" s="4"/>
      <c r="T872" s="38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  <c r="AM872" s="38"/>
      <c r="AN872" s="4"/>
      <c r="AO872" s="4"/>
      <c r="AP872" s="4"/>
      <c r="AQ872" s="4"/>
      <c r="AR872" s="4"/>
      <c r="AS872" s="4"/>
      <c r="AT872" s="4"/>
      <c r="AU872" s="4"/>
      <c r="AV872" s="4"/>
      <c r="AW872" s="4"/>
      <c r="AX872" s="4"/>
      <c r="AY872" s="4"/>
      <c r="AZ872" s="4"/>
      <c r="BA872" s="4"/>
      <c r="BB872" s="4"/>
      <c r="BC872" s="4"/>
      <c r="BD872" s="4"/>
      <c r="BE872" s="4"/>
      <c r="BF872" s="4"/>
      <c r="BG872" s="4"/>
      <c r="BH872" s="4"/>
      <c r="BI872" s="4"/>
      <c r="BJ872" s="4"/>
      <c r="BK872" s="4"/>
      <c r="BL872" s="4"/>
      <c r="BM872" s="4"/>
      <c r="BN872" s="4"/>
      <c r="BO872" s="4"/>
      <c r="BP872" s="39"/>
      <c r="BQ872" s="39"/>
    </row>
    <row r="873" spans="3:69" ht="15.75" customHeight="1">
      <c r="C873" s="4"/>
      <c r="D873" s="4"/>
      <c r="E873" s="38"/>
      <c r="F873" s="38"/>
      <c r="G873" s="4"/>
      <c r="H873" s="4"/>
      <c r="I873" s="4"/>
      <c r="J873" s="4"/>
      <c r="K873" s="4"/>
      <c r="L873" s="4"/>
      <c r="M873" s="4"/>
      <c r="N873" s="38"/>
      <c r="O873" s="4"/>
      <c r="P873" s="4"/>
      <c r="Q873" s="4"/>
      <c r="R873" s="4"/>
      <c r="S873" s="4"/>
      <c r="T873" s="38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  <c r="AM873" s="38"/>
      <c r="AN873" s="4"/>
      <c r="AO873" s="4"/>
      <c r="AP873" s="4"/>
      <c r="AQ873" s="4"/>
      <c r="AR873" s="4"/>
      <c r="AS873" s="4"/>
      <c r="AT873" s="4"/>
      <c r="AU873" s="4"/>
      <c r="AV873" s="4"/>
      <c r="AW873" s="4"/>
      <c r="AX873" s="4"/>
      <c r="AY873" s="4"/>
      <c r="AZ873" s="4"/>
      <c r="BA873" s="4"/>
      <c r="BB873" s="4"/>
      <c r="BC873" s="4"/>
      <c r="BD873" s="4"/>
      <c r="BE873" s="4"/>
      <c r="BF873" s="4"/>
      <c r="BG873" s="4"/>
      <c r="BH873" s="4"/>
      <c r="BI873" s="4"/>
      <c r="BJ873" s="4"/>
      <c r="BK873" s="4"/>
      <c r="BL873" s="4"/>
      <c r="BM873" s="4"/>
      <c r="BN873" s="4"/>
      <c r="BO873" s="4"/>
      <c r="BP873" s="39"/>
      <c r="BQ873" s="39"/>
    </row>
    <row r="874" spans="3:69" ht="15.75" customHeight="1">
      <c r="C874" s="4"/>
      <c r="D874" s="4"/>
      <c r="E874" s="38"/>
      <c r="F874" s="38"/>
      <c r="G874" s="4"/>
      <c r="H874" s="4"/>
      <c r="I874" s="4"/>
      <c r="J874" s="4"/>
      <c r="K874" s="4"/>
      <c r="L874" s="4"/>
      <c r="M874" s="4"/>
      <c r="N874" s="38"/>
      <c r="O874" s="4"/>
      <c r="P874" s="4"/>
      <c r="Q874" s="4"/>
      <c r="R874" s="4"/>
      <c r="S874" s="4"/>
      <c r="T874" s="38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38"/>
      <c r="AN874" s="4"/>
      <c r="AO874" s="4"/>
      <c r="AP874" s="4"/>
      <c r="AQ874" s="4"/>
      <c r="AR874" s="4"/>
      <c r="AS874" s="4"/>
      <c r="AT874" s="4"/>
      <c r="AU874" s="4"/>
      <c r="AV874" s="4"/>
      <c r="AW874" s="4"/>
      <c r="AX874" s="4"/>
      <c r="AY874" s="4"/>
      <c r="AZ874" s="4"/>
      <c r="BA874" s="4"/>
      <c r="BB874" s="4"/>
      <c r="BC874" s="4"/>
      <c r="BD874" s="4"/>
      <c r="BE874" s="4"/>
      <c r="BF874" s="4"/>
      <c r="BG874" s="4"/>
      <c r="BH874" s="4"/>
      <c r="BI874" s="4"/>
      <c r="BJ874" s="4"/>
      <c r="BK874" s="4"/>
      <c r="BL874" s="4"/>
      <c r="BM874" s="4"/>
      <c r="BN874" s="4"/>
      <c r="BO874" s="4"/>
      <c r="BP874" s="39"/>
      <c r="BQ874" s="39"/>
    </row>
    <row r="875" spans="3:69" ht="15.75" customHeight="1">
      <c r="C875" s="4"/>
      <c r="D875" s="4"/>
      <c r="E875" s="38"/>
      <c r="F875" s="38"/>
      <c r="G875" s="4"/>
      <c r="H875" s="4"/>
      <c r="I875" s="4"/>
      <c r="J875" s="4"/>
      <c r="K875" s="4"/>
      <c r="L875" s="4"/>
      <c r="M875" s="4"/>
      <c r="N875" s="38"/>
      <c r="O875" s="4"/>
      <c r="P875" s="4"/>
      <c r="Q875" s="4"/>
      <c r="R875" s="4"/>
      <c r="S875" s="4"/>
      <c r="T875" s="38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  <c r="AM875" s="38"/>
      <c r="AN875" s="4"/>
      <c r="AO875" s="4"/>
      <c r="AP875" s="4"/>
      <c r="AQ875" s="4"/>
      <c r="AR875" s="4"/>
      <c r="AS875" s="4"/>
      <c r="AT875" s="4"/>
      <c r="AU875" s="4"/>
      <c r="AV875" s="4"/>
      <c r="AW875" s="4"/>
      <c r="AX875" s="4"/>
      <c r="AY875" s="4"/>
      <c r="AZ875" s="4"/>
      <c r="BA875" s="4"/>
      <c r="BB875" s="4"/>
      <c r="BC875" s="4"/>
      <c r="BD875" s="4"/>
      <c r="BE875" s="4"/>
      <c r="BF875" s="4"/>
      <c r="BG875" s="4"/>
      <c r="BH875" s="4"/>
      <c r="BI875" s="4"/>
      <c r="BJ875" s="4"/>
      <c r="BK875" s="4"/>
      <c r="BL875" s="4"/>
      <c r="BM875" s="4"/>
      <c r="BN875" s="4"/>
      <c r="BO875" s="4"/>
      <c r="BP875" s="39"/>
      <c r="BQ875" s="39"/>
    </row>
    <row r="876" spans="3:69" ht="15.75" customHeight="1">
      <c r="C876" s="4"/>
      <c r="D876" s="4"/>
      <c r="E876" s="38"/>
      <c r="F876" s="38"/>
      <c r="G876" s="4"/>
      <c r="H876" s="4"/>
      <c r="I876" s="4"/>
      <c r="J876" s="4"/>
      <c r="K876" s="4"/>
      <c r="L876" s="4"/>
      <c r="M876" s="4"/>
      <c r="N876" s="38"/>
      <c r="O876" s="4"/>
      <c r="P876" s="4"/>
      <c r="Q876" s="4"/>
      <c r="R876" s="4"/>
      <c r="S876" s="4"/>
      <c r="T876" s="38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  <c r="AM876" s="38"/>
      <c r="AN876" s="4"/>
      <c r="AO876" s="4"/>
      <c r="AP876" s="4"/>
      <c r="AQ876" s="4"/>
      <c r="AR876" s="4"/>
      <c r="AS876" s="4"/>
      <c r="AT876" s="4"/>
      <c r="AU876" s="4"/>
      <c r="AV876" s="4"/>
      <c r="AW876" s="4"/>
      <c r="AX876" s="4"/>
      <c r="AY876" s="4"/>
      <c r="AZ876" s="4"/>
      <c r="BA876" s="4"/>
      <c r="BB876" s="4"/>
      <c r="BC876" s="4"/>
      <c r="BD876" s="4"/>
      <c r="BE876" s="4"/>
      <c r="BF876" s="4"/>
      <c r="BG876" s="4"/>
      <c r="BH876" s="4"/>
      <c r="BI876" s="4"/>
      <c r="BJ876" s="4"/>
      <c r="BK876" s="4"/>
      <c r="BL876" s="4"/>
      <c r="BM876" s="4"/>
      <c r="BN876" s="4"/>
      <c r="BO876" s="4"/>
      <c r="BP876" s="39"/>
      <c r="BQ876" s="39"/>
    </row>
    <row r="877" spans="3:69" ht="15.75" customHeight="1">
      <c r="C877" s="4"/>
      <c r="D877" s="4"/>
      <c r="E877" s="38"/>
      <c r="F877" s="38"/>
      <c r="G877" s="4"/>
      <c r="H877" s="4"/>
      <c r="I877" s="4"/>
      <c r="J877" s="4"/>
      <c r="K877" s="4"/>
      <c r="L877" s="4"/>
      <c r="M877" s="4"/>
      <c r="N877" s="38"/>
      <c r="O877" s="4"/>
      <c r="P877" s="4"/>
      <c r="Q877" s="4"/>
      <c r="R877" s="4"/>
      <c r="S877" s="4"/>
      <c r="T877" s="38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  <c r="AM877" s="38"/>
      <c r="AN877" s="4"/>
      <c r="AO877" s="4"/>
      <c r="AP877" s="4"/>
      <c r="AQ877" s="4"/>
      <c r="AR877" s="4"/>
      <c r="AS877" s="4"/>
      <c r="AT877" s="4"/>
      <c r="AU877" s="4"/>
      <c r="AV877" s="4"/>
      <c r="AW877" s="4"/>
      <c r="AX877" s="4"/>
      <c r="AY877" s="4"/>
      <c r="AZ877" s="4"/>
      <c r="BA877" s="4"/>
      <c r="BB877" s="4"/>
      <c r="BC877" s="4"/>
      <c r="BD877" s="4"/>
      <c r="BE877" s="4"/>
      <c r="BF877" s="4"/>
      <c r="BG877" s="4"/>
      <c r="BH877" s="4"/>
      <c r="BI877" s="4"/>
      <c r="BJ877" s="4"/>
      <c r="BK877" s="4"/>
      <c r="BL877" s="4"/>
      <c r="BM877" s="4"/>
      <c r="BN877" s="4"/>
      <c r="BO877" s="4"/>
      <c r="BP877" s="39"/>
      <c r="BQ877" s="39"/>
    </row>
    <row r="878" spans="3:69" ht="15.75" customHeight="1">
      <c r="C878" s="4"/>
      <c r="D878" s="4"/>
      <c r="E878" s="38"/>
      <c r="F878" s="38"/>
      <c r="G878" s="4"/>
      <c r="H878" s="4"/>
      <c r="I878" s="4"/>
      <c r="J878" s="4"/>
      <c r="K878" s="4"/>
      <c r="L878" s="4"/>
      <c r="M878" s="4"/>
      <c r="N878" s="38"/>
      <c r="O878" s="4"/>
      <c r="P878" s="4"/>
      <c r="Q878" s="4"/>
      <c r="R878" s="4"/>
      <c r="S878" s="4"/>
      <c r="T878" s="38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  <c r="AM878" s="38"/>
      <c r="AN878" s="4"/>
      <c r="AO878" s="4"/>
      <c r="AP878" s="4"/>
      <c r="AQ878" s="4"/>
      <c r="AR878" s="4"/>
      <c r="AS878" s="4"/>
      <c r="AT878" s="4"/>
      <c r="AU878" s="4"/>
      <c r="AV878" s="4"/>
      <c r="AW878" s="4"/>
      <c r="AX878" s="4"/>
      <c r="AY878" s="4"/>
      <c r="AZ878" s="4"/>
      <c r="BA878" s="4"/>
      <c r="BB878" s="4"/>
      <c r="BC878" s="4"/>
      <c r="BD878" s="4"/>
      <c r="BE878" s="4"/>
      <c r="BF878" s="4"/>
      <c r="BG878" s="4"/>
      <c r="BH878" s="4"/>
      <c r="BI878" s="4"/>
      <c r="BJ878" s="4"/>
      <c r="BK878" s="4"/>
      <c r="BL878" s="4"/>
      <c r="BM878" s="4"/>
      <c r="BN878" s="4"/>
      <c r="BO878" s="4"/>
      <c r="BP878" s="39"/>
      <c r="BQ878" s="39"/>
    </row>
    <row r="879" spans="3:69" ht="15.75" customHeight="1">
      <c r="C879" s="4"/>
      <c r="D879" s="4"/>
      <c r="E879" s="38"/>
      <c r="F879" s="38"/>
      <c r="G879" s="4"/>
      <c r="H879" s="4"/>
      <c r="I879" s="4"/>
      <c r="J879" s="4"/>
      <c r="K879" s="4"/>
      <c r="L879" s="4"/>
      <c r="M879" s="4"/>
      <c r="N879" s="38"/>
      <c r="O879" s="4"/>
      <c r="P879" s="4"/>
      <c r="Q879" s="4"/>
      <c r="R879" s="4"/>
      <c r="S879" s="4"/>
      <c r="T879" s="38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  <c r="AM879" s="38"/>
      <c r="AN879" s="4"/>
      <c r="AO879" s="4"/>
      <c r="AP879" s="4"/>
      <c r="AQ879" s="4"/>
      <c r="AR879" s="4"/>
      <c r="AS879" s="4"/>
      <c r="AT879" s="4"/>
      <c r="AU879" s="4"/>
      <c r="AV879" s="4"/>
      <c r="AW879" s="4"/>
      <c r="AX879" s="4"/>
      <c r="AY879" s="4"/>
      <c r="AZ879" s="4"/>
      <c r="BA879" s="4"/>
      <c r="BB879" s="4"/>
      <c r="BC879" s="4"/>
      <c r="BD879" s="4"/>
      <c r="BE879" s="4"/>
      <c r="BF879" s="4"/>
      <c r="BG879" s="4"/>
      <c r="BH879" s="4"/>
      <c r="BI879" s="4"/>
      <c r="BJ879" s="4"/>
      <c r="BK879" s="4"/>
      <c r="BL879" s="4"/>
      <c r="BM879" s="4"/>
      <c r="BN879" s="4"/>
      <c r="BO879" s="4"/>
      <c r="BP879" s="39"/>
      <c r="BQ879" s="39"/>
    </row>
    <row r="880" spans="3:69" ht="15.75" customHeight="1">
      <c r="C880" s="4"/>
      <c r="D880" s="4"/>
      <c r="E880" s="38"/>
      <c r="F880" s="38"/>
      <c r="G880" s="4"/>
      <c r="H880" s="4"/>
      <c r="I880" s="4"/>
      <c r="J880" s="4"/>
      <c r="K880" s="4"/>
      <c r="L880" s="4"/>
      <c r="M880" s="4"/>
      <c r="N880" s="38"/>
      <c r="O880" s="4"/>
      <c r="P880" s="4"/>
      <c r="Q880" s="4"/>
      <c r="R880" s="4"/>
      <c r="S880" s="4"/>
      <c r="T880" s="38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  <c r="AM880" s="38"/>
      <c r="AN880" s="4"/>
      <c r="AO880" s="4"/>
      <c r="AP880" s="4"/>
      <c r="AQ880" s="4"/>
      <c r="AR880" s="4"/>
      <c r="AS880" s="4"/>
      <c r="AT880" s="4"/>
      <c r="AU880" s="4"/>
      <c r="AV880" s="4"/>
      <c r="AW880" s="4"/>
      <c r="AX880" s="4"/>
      <c r="AY880" s="4"/>
      <c r="AZ880" s="4"/>
      <c r="BA880" s="4"/>
      <c r="BB880" s="4"/>
      <c r="BC880" s="4"/>
      <c r="BD880" s="4"/>
      <c r="BE880" s="4"/>
      <c r="BF880" s="4"/>
      <c r="BG880" s="4"/>
      <c r="BH880" s="4"/>
      <c r="BI880" s="4"/>
      <c r="BJ880" s="4"/>
      <c r="BK880" s="4"/>
      <c r="BL880" s="4"/>
      <c r="BM880" s="4"/>
      <c r="BN880" s="4"/>
      <c r="BO880" s="4"/>
      <c r="BP880" s="39"/>
      <c r="BQ880" s="39"/>
    </row>
    <row r="881" spans="3:69" ht="15.75" customHeight="1">
      <c r="C881" s="4"/>
      <c r="D881" s="4"/>
      <c r="E881" s="38"/>
      <c r="F881" s="38"/>
      <c r="G881" s="4"/>
      <c r="H881" s="4"/>
      <c r="I881" s="4"/>
      <c r="J881" s="4"/>
      <c r="K881" s="4"/>
      <c r="L881" s="4"/>
      <c r="M881" s="4"/>
      <c r="N881" s="38"/>
      <c r="O881" s="4"/>
      <c r="P881" s="4"/>
      <c r="Q881" s="4"/>
      <c r="R881" s="4"/>
      <c r="S881" s="4"/>
      <c r="T881" s="38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  <c r="AM881" s="38"/>
      <c r="AN881" s="4"/>
      <c r="AO881" s="4"/>
      <c r="AP881" s="4"/>
      <c r="AQ881" s="4"/>
      <c r="AR881" s="4"/>
      <c r="AS881" s="4"/>
      <c r="AT881" s="4"/>
      <c r="AU881" s="4"/>
      <c r="AV881" s="4"/>
      <c r="AW881" s="4"/>
      <c r="AX881" s="4"/>
      <c r="AY881" s="4"/>
      <c r="AZ881" s="4"/>
      <c r="BA881" s="4"/>
      <c r="BB881" s="4"/>
      <c r="BC881" s="4"/>
      <c r="BD881" s="4"/>
      <c r="BE881" s="4"/>
      <c r="BF881" s="4"/>
      <c r="BG881" s="4"/>
      <c r="BH881" s="4"/>
      <c r="BI881" s="4"/>
      <c r="BJ881" s="4"/>
      <c r="BK881" s="4"/>
      <c r="BL881" s="4"/>
      <c r="BM881" s="4"/>
      <c r="BN881" s="4"/>
      <c r="BO881" s="4"/>
      <c r="BP881" s="39"/>
      <c r="BQ881" s="39"/>
    </row>
    <row r="882" spans="3:69" ht="15.75" customHeight="1">
      <c r="C882" s="4"/>
      <c r="D882" s="4"/>
      <c r="E882" s="38"/>
      <c r="F882" s="38"/>
      <c r="G882" s="4"/>
      <c r="H882" s="4"/>
      <c r="I882" s="4"/>
      <c r="J882" s="4"/>
      <c r="K882" s="4"/>
      <c r="L882" s="4"/>
      <c r="M882" s="4"/>
      <c r="N882" s="38"/>
      <c r="O882" s="4"/>
      <c r="P882" s="4"/>
      <c r="Q882" s="4"/>
      <c r="R882" s="4"/>
      <c r="S882" s="4"/>
      <c r="T882" s="38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  <c r="AM882" s="38"/>
      <c r="AN882" s="4"/>
      <c r="AO882" s="4"/>
      <c r="AP882" s="4"/>
      <c r="AQ882" s="4"/>
      <c r="AR882" s="4"/>
      <c r="AS882" s="4"/>
      <c r="AT882" s="4"/>
      <c r="AU882" s="4"/>
      <c r="AV882" s="4"/>
      <c r="AW882" s="4"/>
      <c r="AX882" s="4"/>
      <c r="AY882" s="4"/>
      <c r="AZ882" s="4"/>
      <c r="BA882" s="4"/>
      <c r="BB882" s="4"/>
      <c r="BC882" s="4"/>
      <c r="BD882" s="4"/>
      <c r="BE882" s="4"/>
      <c r="BF882" s="4"/>
      <c r="BG882" s="4"/>
      <c r="BH882" s="4"/>
      <c r="BI882" s="4"/>
      <c r="BJ882" s="4"/>
      <c r="BK882" s="4"/>
      <c r="BL882" s="4"/>
      <c r="BM882" s="4"/>
      <c r="BN882" s="4"/>
      <c r="BO882" s="4"/>
      <c r="BP882" s="39"/>
      <c r="BQ882" s="39"/>
    </row>
    <row r="883" spans="3:69" ht="15.75" customHeight="1">
      <c r="C883" s="4"/>
      <c r="D883" s="4"/>
      <c r="E883" s="38"/>
      <c r="F883" s="38"/>
      <c r="G883" s="4"/>
      <c r="H883" s="4"/>
      <c r="I883" s="4"/>
      <c r="J883" s="4"/>
      <c r="K883" s="4"/>
      <c r="L883" s="4"/>
      <c r="M883" s="4"/>
      <c r="N883" s="38"/>
      <c r="O883" s="4"/>
      <c r="P883" s="4"/>
      <c r="Q883" s="4"/>
      <c r="R883" s="4"/>
      <c r="S883" s="4"/>
      <c r="T883" s="38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  <c r="AM883" s="38"/>
      <c r="AN883" s="4"/>
      <c r="AO883" s="4"/>
      <c r="AP883" s="4"/>
      <c r="AQ883" s="4"/>
      <c r="AR883" s="4"/>
      <c r="AS883" s="4"/>
      <c r="AT883" s="4"/>
      <c r="AU883" s="4"/>
      <c r="AV883" s="4"/>
      <c r="AW883" s="4"/>
      <c r="AX883" s="4"/>
      <c r="AY883" s="4"/>
      <c r="AZ883" s="4"/>
      <c r="BA883" s="4"/>
      <c r="BB883" s="4"/>
      <c r="BC883" s="4"/>
      <c r="BD883" s="4"/>
      <c r="BE883" s="4"/>
      <c r="BF883" s="4"/>
      <c r="BG883" s="4"/>
      <c r="BH883" s="4"/>
      <c r="BI883" s="4"/>
      <c r="BJ883" s="4"/>
      <c r="BK883" s="4"/>
      <c r="BL883" s="4"/>
      <c r="BM883" s="4"/>
      <c r="BN883" s="4"/>
      <c r="BO883" s="4"/>
      <c r="BP883" s="39"/>
      <c r="BQ883" s="39"/>
    </row>
    <row r="884" spans="3:69" ht="15.75" customHeight="1">
      <c r="C884" s="4"/>
      <c r="D884" s="4"/>
      <c r="E884" s="38"/>
      <c r="F884" s="38"/>
      <c r="G884" s="4"/>
      <c r="H884" s="4"/>
      <c r="I884" s="4"/>
      <c r="J884" s="4"/>
      <c r="K884" s="4"/>
      <c r="L884" s="4"/>
      <c r="M884" s="4"/>
      <c r="N884" s="38"/>
      <c r="O884" s="4"/>
      <c r="P884" s="4"/>
      <c r="Q884" s="4"/>
      <c r="R884" s="4"/>
      <c r="S884" s="4"/>
      <c r="T884" s="38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  <c r="AM884" s="38"/>
      <c r="AN884" s="4"/>
      <c r="AO884" s="4"/>
      <c r="AP884" s="4"/>
      <c r="AQ884" s="4"/>
      <c r="AR884" s="4"/>
      <c r="AS884" s="4"/>
      <c r="AT884" s="4"/>
      <c r="AU884" s="4"/>
      <c r="AV884" s="4"/>
      <c r="AW884" s="4"/>
      <c r="AX884" s="4"/>
      <c r="AY884" s="4"/>
      <c r="AZ884" s="4"/>
      <c r="BA884" s="4"/>
      <c r="BB884" s="4"/>
      <c r="BC884" s="4"/>
      <c r="BD884" s="4"/>
      <c r="BE884" s="4"/>
      <c r="BF884" s="4"/>
      <c r="BG884" s="4"/>
      <c r="BH884" s="4"/>
      <c r="BI884" s="4"/>
      <c r="BJ884" s="4"/>
      <c r="BK884" s="4"/>
      <c r="BL884" s="4"/>
      <c r="BM884" s="4"/>
      <c r="BN884" s="4"/>
      <c r="BO884" s="4"/>
      <c r="BP884" s="39"/>
      <c r="BQ884" s="39"/>
    </row>
    <row r="885" spans="3:69" ht="15.75" customHeight="1">
      <c r="C885" s="4"/>
      <c r="D885" s="4"/>
      <c r="E885" s="38"/>
      <c r="F885" s="38"/>
      <c r="G885" s="4"/>
      <c r="H885" s="4"/>
      <c r="I885" s="4"/>
      <c r="J885" s="4"/>
      <c r="K885" s="4"/>
      <c r="L885" s="4"/>
      <c r="M885" s="4"/>
      <c r="N885" s="38"/>
      <c r="O885" s="4"/>
      <c r="P885" s="4"/>
      <c r="Q885" s="4"/>
      <c r="R885" s="4"/>
      <c r="S885" s="4"/>
      <c r="T885" s="38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  <c r="AM885" s="38"/>
      <c r="AN885" s="4"/>
      <c r="AO885" s="4"/>
      <c r="AP885" s="4"/>
      <c r="AQ885" s="4"/>
      <c r="AR885" s="4"/>
      <c r="AS885" s="4"/>
      <c r="AT885" s="4"/>
      <c r="AU885" s="4"/>
      <c r="AV885" s="4"/>
      <c r="AW885" s="4"/>
      <c r="AX885" s="4"/>
      <c r="AY885" s="4"/>
      <c r="AZ885" s="4"/>
      <c r="BA885" s="4"/>
      <c r="BB885" s="4"/>
      <c r="BC885" s="4"/>
      <c r="BD885" s="4"/>
      <c r="BE885" s="4"/>
      <c r="BF885" s="4"/>
      <c r="BG885" s="4"/>
      <c r="BH885" s="4"/>
      <c r="BI885" s="4"/>
      <c r="BJ885" s="4"/>
      <c r="BK885" s="4"/>
      <c r="BL885" s="4"/>
      <c r="BM885" s="4"/>
      <c r="BN885" s="4"/>
      <c r="BO885" s="4"/>
      <c r="BP885" s="39"/>
      <c r="BQ885" s="39"/>
    </row>
    <row r="886" spans="3:69" ht="15.75" customHeight="1">
      <c r="C886" s="4"/>
      <c r="D886" s="4"/>
      <c r="E886" s="38"/>
      <c r="F886" s="38"/>
      <c r="G886" s="4"/>
      <c r="H886" s="4"/>
      <c r="I886" s="4"/>
      <c r="J886" s="4"/>
      <c r="K886" s="4"/>
      <c r="L886" s="4"/>
      <c r="M886" s="4"/>
      <c r="N886" s="38"/>
      <c r="O886" s="4"/>
      <c r="P886" s="4"/>
      <c r="Q886" s="4"/>
      <c r="R886" s="4"/>
      <c r="S886" s="4"/>
      <c r="T886" s="38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  <c r="AM886" s="38"/>
      <c r="AN886" s="4"/>
      <c r="AO886" s="4"/>
      <c r="AP886" s="4"/>
      <c r="AQ886" s="4"/>
      <c r="AR886" s="4"/>
      <c r="AS886" s="4"/>
      <c r="AT886" s="4"/>
      <c r="AU886" s="4"/>
      <c r="AV886" s="4"/>
      <c r="AW886" s="4"/>
      <c r="AX886" s="4"/>
      <c r="AY886" s="4"/>
      <c r="AZ886" s="4"/>
      <c r="BA886" s="4"/>
      <c r="BB886" s="4"/>
      <c r="BC886" s="4"/>
      <c r="BD886" s="4"/>
      <c r="BE886" s="4"/>
      <c r="BF886" s="4"/>
      <c r="BG886" s="4"/>
      <c r="BH886" s="4"/>
      <c r="BI886" s="4"/>
      <c r="BJ886" s="4"/>
      <c r="BK886" s="4"/>
      <c r="BL886" s="4"/>
      <c r="BM886" s="4"/>
      <c r="BN886" s="4"/>
      <c r="BO886" s="4"/>
      <c r="BP886" s="39"/>
      <c r="BQ886" s="39"/>
    </row>
    <row r="887" spans="3:69" ht="15.75" customHeight="1">
      <c r="C887" s="4"/>
      <c r="D887" s="4"/>
      <c r="E887" s="38"/>
      <c r="F887" s="38"/>
      <c r="G887" s="4"/>
      <c r="H887" s="4"/>
      <c r="I887" s="4"/>
      <c r="J887" s="4"/>
      <c r="K887" s="4"/>
      <c r="L887" s="4"/>
      <c r="M887" s="4"/>
      <c r="N887" s="38"/>
      <c r="O887" s="4"/>
      <c r="P887" s="4"/>
      <c r="Q887" s="4"/>
      <c r="R887" s="4"/>
      <c r="S887" s="4"/>
      <c r="T887" s="38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/>
      <c r="AM887" s="38"/>
      <c r="AN887" s="4"/>
      <c r="AO887" s="4"/>
      <c r="AP887" s="4"/>
      <c r="AQ887" s="4"/>
      <c r="AR887" s="4"/>
      <c r="AS887" s="4"/>
      <c r="AT887" s="4"/>
      <c r="AU887" s="4"/>
      <c r="AV887" s="4"/>
      <c r="AW887" s="4"/>
      <c r="AX887" s="4"/>
      <c r="AY887" s="4"/>
      <c r="AZ887" s="4"/>
      <c r="BA887" s="4"/>
      <c r="BB887" s="4"/>
      <c r="BC887" s="4"/>
      <c r="BD887" s="4"/>
      <c r="BE887" s="4"/>
      <c r="BF887" s="4"/>
      <c r="BG887" s="4"/>
      <c r="BH887" s="4"/>
      <c r="BI887" s="4"/>
      <c r="BJ887" s="4"/>
      <c r="BK887" s="4"/>
      <c r="BL887" s="4"/>
      <c r="BM887" s="4"/>
      <c r="BN887" s="4"/>
      <c r="BO887" s="4"/>
      <c r="BP887" s="39"/>
      <c r="BQ887" s="39"/>
    </row>
    <row r="888" spans="3:69" ht="15.75" customHeight="1">
      <c r="C888" s="4"/>
      <c r="D888" s="4"/>
      <c r="E888" s="38"/>
      <c r="F888" s="38"/>
      <c r="G888" s="4"/>
      <c r="H888" s="4"/>
      <c r="I888" s="4"/>
      <c r="J888" s="4"/>
      <c r="K888" s="4"/>
      <c r="L888" s="4"/>
      <c r="M888" s="4"/>
      <c r="N888" s="38"/>
      <c r="O888" s="4"/>
      <c r="P888" s="4"/>
      <c r="Q888" s="4"/>
      <c r="R888" s="4"/>
      <c r="S888" s="4"/>
      <c r="T888" s="38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/>
      <c r="AM888" s="38"/>
      <c r="AN888" s="4"/>
      <c r="AO888" s="4"/>
      <c r="AP888" s="4"/>
      <c r="AQ888" s="4"/>
      <c r="AR888" s="4"/>
      <c r="AS888" s="4"/>
      <c r="AT888" s="4"/>
      <c r="AU888" s="4"/>
      <c r="AV888" s="4"/>
      <c r="AW888" s="4"/>
      <c r="AX888" s="4"/>
      <c r="AY888" s="4"/>
      <c r="AZ888" s="4"/>
      <c r="BA888" s="4"/>
      <c r="BB888" s="4"/>
      <c r="BC888" s="4"/>
      <c r="BD888" s="4"/>
      <c r="BE888" s="4"/>
      <c r="BF888" s="4"/>
      <c r="BG888" s="4"/>
      <c r="BH888" s="4"/>
      <c r="BI888" s="4"/>
      <c r="BJ888" s="4"/>
      <c r="BK888" s="4"/>
      <c r="BL888" s="4"/>
      <c r="BM888" s="4"/>
      <c r="BN888" s="4"/>
      <c r="BO888" s="4"/>
      <c r="BP888" s="39"/>
      <c r="BQ888" s="39"/>
    </row>
    <row r="889" spans="3:69" ht="15.75" customHeight="1">
      <c r="C889" s="4"/>
      <c r="D889" s="4"/>
      <c r="E889" s="38"/>
      <c r="F889" s="38"/>
      <c r="G889" s="4"/>
      <c r="H889" s="4"/>
      <c r="I889" s="4"/>
      <c r="J889" s="4"/>
      <c r="K889" s="4"/>
      <c r="L889" s="4"/>
      <c r="M889" s="4"/>
      <c r="N889" s="38"/>
      <c r="O889" s="4"/>
      <c r="P889" s="4"/>
      <c r="Q889" s="4"/>
      <c r="R889" s="4"/>
      <c r="S889" s="4"/>
      <c r="T889" s="38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  <c r="AM889" s="38"/>
      <c r="AN889" s="4"/>
      <c r="AO889" s="4"/>
      <c r="AP889" s="4"/>
      <c r="AQ889" s="4"/>
      <c r="AR889" s="4"/>
      <c r="AS889" s="4"/>
      <c r="AT889" s="4"/>
      <c r="AU889" s="4"/>
      <c r="AV889" s="4"/>
      <c r="AW889" s="4"/>
      <c r="AX889" s="4"/>
      <c r="AY889" s="4"/>
      <c r="AZ889" s="4"/>
      <c r="BA889" s="4"/>
      <c r="BB889" s="4"/>
      <c r="BC889" s="4"/>
      <c r="BD889" s="4"/>
      <c r="BE889" s="4"/>
      <c r="BF889" s="4"/>
      <c r="BG889" s="4"/>
      <c r="BH889" s="4"/>
      <c r="BI889" s="4"/>
      <c r="BJ889" s="4"/>
      <c r="BK889" s="4"/>
      <c r="BL889" s="4"/>
      <c r="BM889" s="4"/>
      <c r="BN889" s="4"/>
      <c r="BO889" s="4"/>
      <c r="BP889" s="39"/>
      <c r="BQ889" s="39"/>
    </row>
    <row r="890" spans="3:69" ht="15.75" customHeight="1">
      <c r="C890" s="4"/>
      <c r="D890" s="4"/>
      <c r="E890" s="38"/>
      <c r="F890" s="38"/>
      <c r="G890" s="4"/>
      <c r="H890" s="4"/>
      <c r="I890" s="4"/>
      <c r="J890" s="4"/>
      <c r="K890" s="4"/>
      <c r="L890" s="4"/>
      <c r="M890" s="4"/>
      <c r="N890" s="38"/>
      <c r="O890" s="4"/>
      <c r="P890" s="4"/>
      <c r="Q890" s="4"/>
      <c r="R890" s="4"/>
      <c r="S890" s="4"/>
      <c r="T890" s="38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  <c r="AM890" s="38"/>
      <c r="AN890" s="4"/>
      <c r="AO890" s="4"/>
      <c r="AP890" s="4"/>
      <c r="AQ890" s="4"/>
      <c r="AR890" s="4"/>
      <c r="AS890" s="4"/>
      <c r="AT890" s="4"/>
      <c r="AU890" s="4"/>
      <c r="AV890" s="4"/>
      <c r="AW890" s="4"/>
      <c r="AX890" s="4"/>
      <c r="AY890" s="4"/>
      <c r="AZ890" s="4"/>
      <c r="BA890" s="4"/>
      <c r="BB890" s="4"/>
      <c r="BC890" s="4"/>
      <c r="BD890" s="4"/>
      <c r="BE890" s="4"/>
      <c r="BF890" s="4"/>
      <c r="BG890" s="4"/>
      <c r="BH890" s="4"/>
      <c r="BI890" s="4"/>
      <c r="BJ890" s="4"/>
      <c r="BK890" s="4"/>
      <c r="BL890" s="4"/>
      <c r="BM890" s="4"/>
      <c r="BN890" s="4"/>
      <c r="BO890" s="4"/>
      <c r="BP890" s="39"/>
      <c r="BQ890" s="39"/>
    </row>
    <row r="891" spans="3:69" ht="15.75" customHeight="1">
      <c r="C891" s="4"/>
      <c r="D891" s="4"/>
      <c r="E891" s="38"/>
      <c r="F891" s="38"/>
      <c r="G891" s="4"/>
      <c r="H891" s="4"/>
      <c r="I891" s="4"/>
      <c r="J891" s="4"/>
      <c r="K891" s="4"/>
      <c r="L891" s="4"/>
      <c r="M891" s="4"/>
      <c r="N891" s="38"/>
      <c r="O891" s="4"/>
      <c r="P891" s="4"/>
      <c r="Q891" s="4"/>
      <c r="R891" s="4"/>
      <c r="S891" s="4"/>
      <c r="T891" s="38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  <c r="AM891" s="38"/>
      <c r="AN891" s="4"/>
      <c r="AO891" s="4"/>
      <c r="AP891" s="4"/>
      <c r="AQ891" s="4"/>
      <c r="AR891" s="4"/>
      <c r="AS891" s="4"/>
      <c r="AT891" s="4"/>
      <c r="AU891" s="4"/>
      <c r="AV891" s="4"/>
      <c r="AW891" s="4"/>
      <c r="AX891" s="4"/>
      <c r="AY891" s="4"/>
      <c r="AZ891" s="4"/>
      <c r="BA891" s="4"/>
      <c r="BB891" s="4"/>
      <c r="BC891" s="4"/>
      <c r="BD891" s="4"/>
      <c r="BE891" s="4"/>
      <c r="BF891" s="4"/>
      <c r="BG891" s="4"/>
      <c r="BH891" s="4"/>
      <c r="BI891" s="4"/>
      <c r="BJ891" s="4"/>
      <c r="BK891" s="4"/>
      <c r="BL891" s="4"/>
      <c r="BM891" s="4"/>
      <c r="BN891" s="4"/>
      <c r="BO891" s="4"/>
      <c r="BP891" s="39"/>
      <c r="BQ891" s="39"/>
    </row>
    <row r="892" spans="3:69" ht="15.75" customHeight="1">
      <c r="C892" s="4"/>
      <c r="D892" s="4"/>
      <c r="E892" s="38"/>
      <c r="F892" s="38"/>
      <c r="G892" s="4"/>
      <c r="H892" s="4"/>
      <c r="I892" s="4"/>
      <c r="J892" s="4"/>
      <c r="K892" s="4"/>
      <c r="L892" s="4"/>
      <c r="M892" s="4"/>
      <c r="N892" s="38"/>
      <c r="O892" s="4"/>
      <c r="P892" s="4"/>
      <c r="Q892" s="4"/>
      <c r="R892" s="4"/>
      <c r="S892" s="4"/>
      <c r="T892" s="38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  <c r="AM892" s="38"/>
      <c r="AN892" s="4"/>
      <c r="AO892" s="4"/>
      <c r="AP892" s="4"/>
      <c r="AQ892" s="4"/>
      <c r="AR892" s="4"/>
      <c r="AS892" s="4"/>
      <c r="AT892" s="4"/>
      <c r="AU892" s="4"/>
      <c r="AV892" s="4"/>
      <c r="AW892" s="4"/>
      <c r="AX892" s="4"/>
      <c r="AY892" s="4"/>
      <c r="AZ892" s="4"/>
      <c r="BA892" s="4"/>
      <c r="BB892" s="4"/>
      <c r="BC892" s="4"/>
      <c r="BD892" s="4"/>
      <c r="BE892" s="4"/>
      <c r="BF892" s="4"/>
      <c r="BG892" s="4"/>
      <c r="BH892" s="4"/>
      <c r="BI892" s="4"/>
      <c r="BJ892" s="4"/>
      <c r="BK892" s="4"/>
      <c r="BL892" s="4"/>
      <c r="BM892" s="4"/>
      <c r="BN892" s="4"/>
      <c r="BO892" s="4"/>
      <c r="BP892" s="39"/>
      <c r="BQ892" s="39"/>
    </row>
    <row r="893" spans="3:69" ht="15.75" customHeight="1">
      <c r="C893" s="4"/>
      <c r="D893" s="4"/>
      <c r="E893" s="38"/>
      <c r="F893" s="38"/>
      <c r="G893" s="4"/>
      <c r="H893" s="4"/>
      <c r="I893" s="4"/>
      <c r="J893" s="4"/>
      <c r="K893" s="4"/>
      <c r="L893" s="4"/>
      <c r="M893" s="4"/>
      <c r="N893" s="38"/>
      <c r="O893" s="4"/>
      <c r="P893" s="4"/>
      <c r="Q893" s="4"/>
      <c r="R893" s="4"/>
      <c r="S893" s="4"/>
      <c r="T893" s="38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  <c r="AM893" s="38"/>
      <c r="AN893" s="4"/>
      <c r="AO893" s="4"/>
      <c r="AP893" s="4"/>
      <c r="AQ893" s="4"/>
      <c r="AR893" s="4"/>
      <c r="AS893" s="4"/>
      <c r="AT893" s="4"/>
      <c r="AU893" s="4"/>
      <c r="AV893" s="4"/>
      <c r="AW893" s="4"/>
      <c r="AX893" s="4"/>
      <c r="AY893" s="4"/>
      <c r="AZ893" s="4"/>
      <c r="BA893" s="4"/>
      <c r="BB893" s="4"/>
      <c r="BC893" s="4"/>
      <c r="BD893" s="4"/>
      <c r="BE893" s="4"/>
      <c r="BF893" s="4"/>
      <c r="BG893" s="4"/>
      <c r="BH893" s="4"/>
      <c r="BI893" s="4"/>
      <c r="BJ893" s="4"/>
      <c r="BK893" s="4"/>
      <c r="BL893" s="4"/>
      <c r="BM893" s="4"/>
      <c r="BN893" s="4"/>
      <c r="BO893" s="4"/>
      <c r="BP893" s="39"/>
      <c r="BQ893" s="39"/>
    </row>
    <row r="894" spans="3:69" ht="15.75" customHeight="1">
      <c r="C894" s="4"/>
      <c r="D894" s="4"/>
      <c r="E894" s="38"/>
      <c r="F894" s="38"/>
      <c r="G894" s="4"/>
      <c r="H894" s="4"/>
      <c r="I894" s="4"/>
      <c r="J894" s="4"/>
      <c r="K894" s="4"/>
      <c r="L894" s="4"/>
      <c r="M894" s="4"/>
      <c r="N894" s="38"/>
      <c r="O894" s="4"/>
      <c r="P894" s="4"/>
      <c r="Q894" s="4"/>
      <c r="R894" s="4"/>
      <c r="S894" s="4"/>
      <c r="T894" s="38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  <c r="AM894" s="38"/>
      <c r="AN894" s="4"/>
      <c r="AO894" s="4"/>
      <c r="AP894" s="4"/>
      <c r="AQ894" s="4"/>
      <c r="AR894" s="4"/>
      <c r="AS894" s="4"/>
      <c r="AT894" s="4"/>
      <c r="AU894" s="4"/>
      <c r="AV894" s="4"/>
      <c r="AW894" s="4"/>
      <c r="AX894" s="4"/>
      <c r="AY894" s="4"/>
      <c r="AZ894" s="4"/>
      <c r="BA894" s="4"/>
      <c r="BB894" s="4"/>
      <c r="BC894" s="4"/>
      <c r="BD894" s="4"/>
      <c r="BE894" s="4"/>
      <c r="BF894" s="4"/>
      <c r="BG894" s="4"/>
      <c r="BH894" s="4"/>
      <c r="BI894" s="4"/>
      <c r="BJ894" s="4"/>
      <c r="BK894" s="4"/>
      <c r="BL894" s="4"/>
      <c r="BM894" s="4"/>
      <c r="BN894" s="4"/>
      <c r="BO894" s="4"/>
      <c r="BP894" s="39"/>
      <c r="BQ894" s="39"/>
    </row>
    <row r="895" spans="3:69" ht="15.75" customHeight="1">
      <c r="C895" s="4"/>
      <c r="D895" s="4"/>
      <c r="E895" s="38"/>
      <c r="F895" s="38"/>
      <c r="G895" s="4"/>
      <c r="H895" s="4"/>
      <c r="I895" s="4"/>
      <c r="J895" s="4"/>
      <c r="K895" s="4"/>
      <c r="L895" s="4"/>
      <c r="M895" s="4"/>
      <c r="N895" s="38"/>
      <c r="O895" s="4"/>
      <c r="P895" s="4"/>
      <c r="Q895" s="4"/>
      <c r="R895" s="4"/>
      <c r="S895" s="4"/>
      <c r="T895" s="38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  <c r="AM895" s="38"/>
      <c r="AN895" s="4"/>
      <c r="AO895" s="4"/>
      <c r="AP895" s="4"/>
      <c r="AQ895" s="4"/>
      <c r="AR895" s="4"/>
      <c r="AS895" s="4"/>
      <c r="AT895" s="4"/>
      <c r="AU895" s="4"/>
      <c r="AV895" s="4"/>
      <c r="AW895" s="4"/>
      <c r="AX895" s="4"/>
      <c r="AY895" s="4"/>
      <c r="AZ895" s="4"/>
      <c r="BA895" s="4"/>
      <c r="BB895" s="4"/>
      <c r="BC895" s="4"/>
      <c r="BD895" s="4"/>
      <c r="BE895" s="4"/>
      <c r="BF895" s="4"/>
      <c r="BG895" s="4"/>
      <c r="BH895" s="4"/>
      <c r="BI895" s="4"/>
      <c r="BJ895" s="4"/>
      <c r="BK895" s="4"/>
      <c r="BL895" s="4"/>
      <c r="BM895" s="4"/>
      <c r="BN895" s="4"/>
      <c r="BO895" s="4"/>
      <c r="BP895" s="39"/>
      <c r="BQ895" s="39"/>
    </row>
    <row r="896" spans="3:69" ht="15.75" customHeight="1">
      <c r="C896" s="4"/>
      <c r="D896" s="4"/>
      <c r="E896" s="38"/>
      <c r="F896" s="38"/>
      <c r="G896" s="4"/>
      <c r="H896" s="4"/>
      <c r="I896" s="4"/>
      <c r="J896" s="4"/>
      <c r="K896" s="4"/>
      <c r="L896" s="4"/>
      <c r="M896" s="4"/>
      <c r="N896" s="38"/>
      <c r="O896" s="4"/>
      <c r="P896" s="4"/>
      <c r="Q896" s="4"/>
      <c r="R896" s="4"/>
      <c r="S896" s="4"/>
      <c r="T896" s="38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  <c r="AM896" s="38"/>
      <c r="AN896" s="4"/>
      <c r="AO896" s="4"/>
      <c r="AP896" s="4"/>
      <c r="AQ896" s="4"/>
      <c r="AR896" s="4"/>
      <c r="AS896" s="4"/>
      <c r="AT896" s="4"/>
      <c r="AU896" s="4"/>
      <c r="AV896" s="4"/>
      <c r="AW896" s="4"/>
      <c r="AX896" s="4"/>
      <c r="AY896" s="4"/>
      <c r="AZ896" s="4"/>
      <c r="BA896" s="4"/>
      <c r="BB896" s="4"/>
      <c r="BC896" s="4"/>
      <c r="BD896" s="4"/>
      <c r="BE896" s="4"/>
      <c r="BF896" s="4"/>
      <c r="BG896" s="4"/>
      <c r="BH896" s="4"/>
      <c r="BI896" s="4"/>
      <c r="BJ896" s="4"/>
      <c r="BK896" s="4"/>
      <c r="BL896" s="4"/>
      <c r="BM896" s="4"/>
      <c r="BN896" s="4"/>
      <c r="BO896" s="4"/>
      <c r="BP896" s="39"/>
      <c r="BQ896" s="39"/>
    </row>
    <row r="897" spans="3:69" ht="15.75" customHeight="1">
      <c r="C897" s="4"/>
      <c r="D897" s="4"/>
      <c r="E897" s="38"/>
      <c r="F897" s="38"/>
      <c r="G897" s="4"/>
      <c r="H897" s="4"/>
      <c r="I897" s="4"/>
      <c r="J897" s="4"/>
      <c r="K897" s="4"/>
      <c r="L897" s="4"/>
      <c r="M897" s="4"/>
      <c r="N897" s="38"/>
      <c r="O897" s="4"/>
      <c r="P897" s="4"/>
      <c r="Q897" s="4"/>
      <c r="R897" s="4"/>
      <c r="S897" s="4"/>
      <c r="T897" s="38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/>
      <c r="AM897" s="38"/>
      <c r="AN897" s="4"/>
      <c r="AO897" s="4"/>
      <c r="AP897" s="4"/>
      <c r="AQ897" s="4"/>
      <c r="AR897" s="4"/>
      <c r="AS897" s="4"/>
      <c r="AT897" s="4"/>
      <c r="AU897" s="4"/>
      <c r="AV897" s="4"/>
      <c r="AW897" s="4"/>
      <c r="AX897" s="4"/>
      <c r="AY897" s="4"/>
      <c r="AZ897" s="4"/>
      <c r="BA897" s="4"/>
      <c r="BB897" s="4"/>
      <c r="BC897" s="4"/>
      <c r="BD897" s="4"/>
      <c r="BE897" s="4"/>
      <c r="BF897" s="4"/>
      <c r="BG897" s="4"/>
      <c r="BH897" s="4"/>
      <c r="BI897" s="4"/>
      <c r="BJ897" s="4"/>
      <c r="BK897" s="4"/>
      <c r="BL897" s="4"/>
      <c r="BM897" s="4"/>
      <c r="BN897" s="4"/>
      <c r="BO897" s="4"/>
      <c r="BP897" s="39"/>
      <c r="BQ897" s="39"/>
    </row>
    <row r="898" spans="3:69" ht="15.75" customHeight="1">
      <c r="C898" s="4"/>
      <c r="D898" s="4"/>
      <c r="E898" s="38"/>
      <c r="F898" s="38"/>
      <c r="G898" s="4"/>
      <c r="H898" s="4"/>
      <c r="I898" s="4"/>
      <c r="J898" s="4"/>
      <c r="K898" s="4"/>
      <c r="L898" s="4"/>
      <c r="M898" s="4"/>
      <c r="N898" s="38"/>
      <c r="O898" s="4"/>
      <c r="P898" s="4"/>
      <c r="Q898" s="4"/>
      <c r="R898" s="4"/>
      <c r="S898" s="4"/>
      <c r="T898" s="38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  <c r="AM898" s="38"/>
      <c r="AN898" s="4"/>
      <c r="AO898" s="4"/>
      <c r="AP898" s="4"/>
      <c r="AQ898" s="4"/>
      <c r="AR898" s="4"/>
      <c r="AS898" s="4"/>
      <c r="AT898" s="4"/>
      <c r="AU898" s="4"/>
      <c r="AV898" s="4"/>
      <c r="AW898" s="4"/>
      <c r="AX898" s="4"/>
      <c r="AY898" s="4"/>
      <c r="AZ898" s="4"/>
      <c r="BA898" s="4"/>
      <c r="BB898" s="4"/>
      <c r="BC898" s="4"/>
      <c r="BD898" s="4"/>
      <c r="BE898" s="4"/>
      <c r="BF898" s="4"/>
      <c r="BG898" s="4"/>
      <c r="BH898" s="4"/>
      <c r="BI898" s="4"/>
      <c r="BJ898" s="4"/>
      <c r="BK898" s="4"/>
      <c r="BL898" s="4"/>
      <c r="BM898" s="4"/>
      <c r="BN898" s="4"/>
      <c r="BO898" s="4"/>
      <c r="BP898" s="39"/>
      <c r="BQ898" s="39"/>
    </row>
    <row r="899" spans="3:69" ht="15.75" customHeight="1">
      <c r="C899" s="4"/>
      <c r="D899" s="4"/>
      <c r="E899" s="38"/>
      <c r="F899" s="38"/>
      <c r="G899" s="4"/>
      <c r="H899" s="4"/>
      <c r="I899" s="4"/>
      <c r="J899" s="4"/>
      <c r="K899" s="4"/>
      <c r="L899" s="4"/>
      <c r="M899" s="4"/>
      <c r="N899" s="38"/>
      <c r="O899" s="4"/>
      <c r="P899" s="4"/>
      <c r="Q899" s="4"/>
      <c r="R899" s="4"/>
      <c r="S899" s="4"/>
      <c r="T899" s="38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  <c r="AM899" s="38"/>
      <c r="AN899" s="4"/>
      <c r="AO899" s="4"/>
      <c r="AP899" s="4"/>
      <c r="AQ899" s="4"/>
      <c r="AR899" s="4"/>
      <c r="AS899" s="4"/>
      <c r="AT899" s="4"/>
      <c r="AU899" s="4"/>
      <c r="AV899" s="4"/>
      <c r="AW899" s="4"/>
      <c r="AX899" s="4"/>
      <c r="AY899" s="4"/>
      <c r="AZ899" s="4"/>
      <c r="BA899" s="4"/>
      <c r="BB899" s="4"/>
      <c r="BC899" s="4"/>
      <c r="BD899" s="4"/>
      <c r="BE899" s="4"/>
      <c r="BF899" s="4"/>
      <c r="BG899" s="4"/>
      <c r="BH899" s="4"/>
      <c r="BI899" s="4"/>
      <c r="BJ899" s="4"/>
      <c r="BK899" s="4"/>
      <c r="BL899" s="4"/>
      <c r="BM899" s="4"/>
      <c r="BN899" s="4"/>
      <c r="BO899" s="4"/>
      <c r="BP899" s="39"/>
      <c r="BQ899" s="39"/>
    </row>
    <row r="900" spans="3:69" ht="15.75" customHeight="1">
      <c r="C900" s="4"/>
      <c r="D900" s="4"/>
      <c r="E900" s="38"/>
      <c r="F900" s="38"/>
      <c r="G900" s="4"/>
      <c r="H900" s="4"/>
      <c r="I900" s="4"/>
      <c r="J900" s="4"/>
      <c r="K900" s="4"/>
      <c r="L900" s="4"/>
      <c r="M900" s="4"/>
      <c r="N900" s="38"/>
      <c r="O900" s="4"/>
      <c r="P900" s="4"/>
      <c r="Q900" s="4"/>
      <c r="R900" s="4"/>
      <c r="S900" s="4"/>
      <c r="T900" s="38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  <c r="AM900" s="38"/>
      <c r="AN900" s="4"/>
      <c r="AO900" s="4"/>
      <c r="AP900" s="4"/>
      <c r="AQ900" s="4"/>
      <c r="AR900" s="4"/>
      <c r="AS900" s="4"/>
      <c r="AT900" s="4"/>
      <c r="AU900" s="4"/>
      <c r="AV900" s="4"/>
      <c r="AW900" s="4"/>
      <c r="AX900" s="4"/>
      <c r="AY900" s="4"/>
      <c r="AZ900" s="4"/>
      <c r="BA900" s="4"/>
      <c r="BB900" s="4"/>
      <c r="BC900" s="4"/>
      <c r="BD900" s="4"/>
      <c r="BE900" s="4"/>
      <c r="BF900" s="4"/>
      <c r="BG900" s="4"/>
      <c r="BH900" s="4"/>
      <c r="BI900" s="4"/>
      <c r="BJ900" s="4"/>
      <c r="BK900" s="4"/>
      <c r="BL900" s="4"/>
      <c r="BM900" s="4"/>
      <c r="BN900" s="4"/>
      <c r="BO900" s="4"/>
      <c r="BP900" s="39"/>
      <c r="BQ900" s="39"/>
    </row>
    <row r="901" spans="3:69" ht="15.75" customHeight="1">
      <c r="C901" s="4"/>
      <c r="D901" s="4"/>
      <c r="E901" s="38"/>
      <c r="F901" s="38"/>
      <c r="G901" s="4"/>
      <c r="H901" s="4"/>
      <c r="I901" s="4"/>
      <c r="J901" s="4"/>
      <c r="K901" s="4"/>
      <c r="L901" s="4"/>
      <c r="M901" s="4"/>
      <c r="N901" s="38"/>
      <c r="O901" s="4"/>
      <c r="P901" s="4"/>
      <c r="Q901" s="4"/>
      <c r="R901" s="4"/>
      <c r="S901" s="4"/>
      <c r="T901" s="38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4"/>
      <c r="AM901" s="38"/>
      <c r="AN901" s="4"/>
      <c r="AO901" s="4"/>
      <c r="AP901" s="4"/>
      <c r="AQ901" s="4"/>
      <c r="AR901" s="4"/>
      <c r="AS901" s="4"/>
      <c r="AT901" s="4"/>
      <c r="AU901" s="4"/>
      <c r="AV901" s="4"/>
      <c r="AW901" s="4"/>
      <c r="AX901" s="4"/>
      <c r="AY901" s="4"/>
      <c r="AZ901" s="4"/>
      <c r="BA901" s="4"/>
      <c r="BB901" s="4"/>
      <c r="BC901" s="4"/>
      <c r="BD901" s="4"/>
      <c r="BE901" s="4"/>
      <c r="BF901" s="4"/>
      <c r="BG901" s="4"/>
      <c r="BH901" s="4"/>
      <c r="BI901" s="4"/>
      <c r="BJ901" s="4"/>
      <c r="BK901" s="4"/>
      <c r="BL901" s="4"/>
      <c r="BM901" s="4"/>
      <c r="BN901" s="4"/>
      <c r="BO901" s="4"/>
      <c r="BP901" s="39"/>
      <c r="BQ901" s="39"/>
    </row>
    <row r="902" spans="3:69" ht="15.75" customHeight="1">
      <c r="C902" s="4"/>
      <c r="D902" s="4"/>
      <c r="E902" s="38"/>
      <c r="F902" s="38"/>
      <c r="G902" s="4"/>
      <c r="H902" s="4"/>
      <c r="I902" s="4"/>
      <c r="J902" s="4"/>
      <c r="K902" s="4"/>
      <c r="L902" s="4"/>
      <c r="M902" s="4"/>
      <c r="N902" s="38"/>
      <c r="O902" s="4"/>
      <c r="P902" s="4"/>
      <c r="Q902" s="4"/>
      <c r="R902" s="4"/>
      <c r="S902" s="4"/>
      <c r="T902" s="38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  <c r="AM902" s="38"/>
      <c r="AN902" s="4"/>
      <c r="AO902" s="4"/>
      <c r="AP902" s="4"/>
      <c r="AQ902" s="4"/>
      <c r="AR902" s="4"/>
      <c r="AS902" s="4"/>
      <c r="AT902" s="4"/>
      <c r="AU902" s="4"/>
      <c r="AV902" s="4"/>
      <c r="AW902" s="4"/>
      <c r="AX902" s="4"/>
      <c r="AY902" s="4"/>
      <c r="AZ902" s="4"/>
      <c r="BA902" s="4"/>
      <c r="BB902" s="4"/>
      <c r="BC902" s="4"/>
      <c r="BD902" s="4"/>
      <c r="BE902" s="4"/>
      <c r="BF902" s="4"/>
      <c r="BG902" s="4"/>
      <c r="BH902" s="4"/>
      <c r="BI902" s="4"/>
      <c r="BJ902" s="4"/>
      <c r="BK902" s="4"/>
      <c r="BL902" s="4"/>
      <c r="BM902" s="4"/>
      <c r="BN902" s="4"/>
      <c r="BO902" s="4"/>
      <c r="BP902" s="39"/>
      <c r="BQ902" s="39"/>
    </row>
    <row r="903" spans="3:69" ht="15.75" customHeight="1">
      <c r="C903" s="4"/>
      <c r="D903" s="4"/>
      <c r="E903" s="38"/>
      <c r="F903" s="38"/>
      <c r="G903" s="4"/>
      <c r="H903" s="4"/>
      <c r="I903" s="4"/>
      <c r="J903" s="4"/>
      <c r="K903" s="4"/>
      <c r="L903" s="4"/>
      <c r="M903" s="4"/>
      <c r="N903" s="38"/>
      <c r="O903" s="4"/>
      <c r="P903" s="4"/>
      <c r="Q903" s="4"/>
      <c r="R903" s="4"/>
      <c r="S903" s="4"/>
      <c r="T903" s="38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4"/>
      <c r="AM903" s="38"/>
      <c r="AN903" s="4"/>
      <c r="AO903" s="4"/>
      <c r="AP903" s="4"/>
      <c r="AQ903" s="4"/>
      <c r="AR903" s="4"/>
      <c r="AS903" s="4"/>
      <c r="AT903" s="4"/>
      <c r="AU903" s="4"/>
      <c r="AV903" s="4"/>
      <c r="AW903" s="4"/>
      <c r="AX903" s="4"/>
      <c r="AY903" s="4"/>
      <c r="AZ903" s="4"/>
      <c r="BA903" s="4"/>
      <c r="BB903" s="4"/>
      <c r="BC903" s="4"/>
      <c r="BD903" s="4"/>
      <c r="BE903" s="4"/>
      <c r="BF903" s="4"/>
      <c r="BG903" s="4"/>
      <c r="BH903" s="4"/>
      <c r="BI903" s="4"/>
      <c r="BJ903" s="4"/>
      <c r="BK903" s="4"/>
      <c r="BL903" s="4"/>
      <c r="BM903" s="4"/>
      <c r="BN903" s="4"/>
      <c r="BO903" s="4"/>
      <c r="BP903" s="39"/>
      <c r="BQ903" s="39"/>
    </row>
    <row r="904" spans="3:69" ht="15.75" customHeight="1">
      <c r="C904" s="4"/>
      <c r="D904" s="4"/>
      <c r="E904" s="38"/>
      <c r="F904" s="38"/>
      <c r="G904" s="4"/>
      <c r="H904" s="4"/>
      <c r="I904" s="4"/>
      <c r="J904" s="4"/>
      <c r="K904" s="4"/>
      <c r="L904" s="4"/>
      <c r="M904" s="4"/>
      <c r="N904" s="38"/>
      <c r="O904" s="4"/>
      <c r="P904" s="4"/>
      <c r="Q904" s="4"/>
      <c r="R904" s="4"/>
      <c r="S904" s="4"/>
      <c r="T904" s="38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  <c r="AM904" s="38"/>
      <c r="AN904" s="4"/>
      <c r="AO904" s="4"/>
      <c r="AP904" s="4"/>
      <c r="AQ904" s="4"/>
      <c r="AR904" s="4"/>
      <c r="AS904" s="4"/>
      <c r="AT904" s="4"/>
      <c r="AU904" s="4"/>
      <c r="AV904" s="4"/>
      <c r="AW904" s="4"/>
      <c r="AX904" s="4"/>
      <c r="AY904" s="4"/>
      <c r="AZ904" s="4"/>
      <c r="BA904" s="4"/>
      <c r="BB904" s="4"/>
      <c r="BC904" s="4"/>
      <c r="BD904" s="4"/>
      <c r="BE904" s="4"/>
      <c r="BF904" s="4"/>
      <c r="BG904" s="4"/>
      <c r="BH904" s="4"/>
      <c r="BI904" s="4"/>
      <c r="BJ904" s="4"/>
      <c r="BK904" s="4"/>
      <c r="BL904" s="4"/>
      <c r="BM904" s="4"/>
      <c r="BN904" s="4"/>
      <c r="BO904" s="4"/>
      <c r="BP904" s="39"/>
      <c r="BQ904" s="39"/>
    </row>
    <row r="905" spans="3:69" ht="15.75" customHeight="1">
      <c r="C905" s="4"/>
      <c r="D905" s="4"/>
      <c r="E905" s="38"/>
      <c r="F905" s="38"/>
      <c r="G905" s="4"/>
      <c r="H905" s="4"/>
      <c r="I905" s="4"/>
      <c r="J905" s="4"/>
      <c r="K905" s="4"/>
      <c r="L905" s="4"/>
      <c r="M905" s="4"/>
      <c r="N905" s="38"/>
      <c r="O905" s="4"/>
      <c r="P905" s="4"/>
      <c r="Q905" s="4"/>
      <c r="R905" s="4"/>
      <c r="S905" s="4"/>
      <c r="T905" s="38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4"/>
      <c r="AM905" s="38"/>
      <c r="AN905" s="4"/>
      <c r="AO905" s="4"/>
      <c r="AP905" s="4"/>
      <c r="AQ905" s="4"/>
      <c r="AR905" s="4"/>
      <c r="AS905" s="4"/>
      <c r="AT905" s="4"/>
      <c r="AU905" s="4"/>
      <c r="AV905" s="4"/>
      <c r="AW905" s="4"/>
      <c r="AX905" s="4"/>
      <c r="AY905" s="4"/>
      <c r="AZ905" s="4"/>
      <c r="BA905" s="4"/>
      <c r="BB905" s="4"/>
      <c r="BC905" s="4"/>
      <c r="BD905" s="4"/>
      <c r="BE905" s="4"/>
      <c r="BF905" s="4"/>
      <c r="BG905" s="4"/>
      <c r="BH905" s="4"/>
      <c r="BI905" s="4"/>
      <c r="BJ905" s="4"/>
      <c r="BK905" s="4"/>
      <c r="BL905" s="4"/>
      <c r="BM905" s="4"/>
      <c r="BN905" s="4"/>
      <c r="BO905" s="4"/>
      <c r="BP905" s="39"/>
      <c r="BQ905" s="39"/>
    </row>
    <row r="906" spans="3:69" ht="15.75" customHeight="1">
      <c r="C906" s="4"/>
      <c r="D906" s="4"/>
      <c r="E906" s="38"/>
      <c r="F906" s="38"/>
      <c r="G906" s="4"/>
      <c r="H906" s="4"/>
      <c r="I906" s="4"/>
      <c r="J906" s="4"/>
      <c r="K906" s="4"/>
      <c r="L906" s="4"/>
      <c r="M906" s="4"/>
      <c r="N906" s="38"/>
      <c r="O906" s="4"/>
      <c r="P906" s="4"/>
      <c r="Q906" s="4"/>
      <c r="R906" s="4"/>
      <c r="S906" s="4"/>
      <c r="T906" s="38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/>
      <c r="AM906" s="38"/>
      <c r="AN906" s="4"/>
      <c r="AO906" s="4"/>
      <c r="AP906" s="4"/>
      <c r="AQ906" s="4"/>
      <c r="AR906" s="4"/>
      <c r="AS906" s="4"/>
      <c r="AT906" s="4"/>
      <c r="AU906" s="4"/>
      <c r="AV906" s="4"/>
      <c r="AW906" s="4"/>
      <c r="AX906" s="4"/>
      <c r="AY906" s="4"/>
      <c r="AZ906" s="4"/>
      <c r="BA906" s="4"/>
      <c r="BB906" s="4"/>
      <c r="BC906" s="4"/>
      <c r="BD906" s="4"/>
      <c r="BE906" s="4"/>
      <c r="BF906" s="4"/>
      <c r="BG906" s="4"/>
      <c r="BH906" s="4"/>
      <c r="BI906" s="4"/>
      <c r="BJ906" s="4"/>
      <c r="BK906" s="4"/>
      <c r="BL906" s="4"/>
      <c r="BM906" s="4"/>
      <c r="BN906" s="4"/>
      <c r="BO906" s="4"/>
      <c r="BP906" s="39"/>
      <c r="BQ906" s="39"/>
    </row>
    <row r="907" spans="3:69" ht="15.75" customHeight="1">
      <c r="C907" s="4"/>
      <c r="D907" s="4"/>
      <c r="E907" s="38"/>
      <c r="F907" s="38"/>
      <c r="G907" s="4"/>
      <c r="H907" s="4"/>
      <c r="I907" s="4"/>
      <c r="J907" s="4"/>
      <c r="K907" s="4"/>
      <c r="L907" s="4"/>
      <c r="M907" s="4"/>
      <c r="N907" s="38"/>
      <c r="O907" s="4"/>
      <c r="P907" s="4"/>
      <c r="Q907" s="4"/>
      <c r="R907" s="4"/>
      <c r="S907" s="4"/>
      <c r="T907" s="38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  <c r="AM907" s="38"/>
      <c r="AN907" s="4"/>
      <c r="AO907" s="4"/>
      <c r="AP907" s="4"/>
      <c r="AQ907" s="4"/>
      <c r="AR907" s="4"/>
      <c r="AS907" s="4"/>
      <c r="AT907" s="4"/>
      <c r="AU907" s="4"/>
      <c r="AV907" s="4"/>
      <c r="AW907" s="4"/>
      <c r="AX907" s="4"/>
      <c r="AY907" s="4"/>
      <c r="AZ907" s="4"/>
      <c r="BA907" s="4"/>
      <c r="BB907" s="4"/>
      <c r="BC907" s="4"/>
      <c r="BD907" s="4"/>
      <c r="BE907" s="4"/>
      <c r="BF907" s="4"/>
      <c r="BG907" s="4"/>
      <c r="BH907" s="4"/>
      <c r="BI907" s="4"/>
      <c r="BJ907" s="4"/>
      <c r="BK907" s="4"/>
      <c r="BL907" s="4"/>
      <c r="BM907" s="4"/>
      <c r="BN907" s="4"/>
      <c r="BO907" s="4"/>
      <c r="BP907" s="39"/>
      <c r="BQ907" s="39"/>
    </row>
    <row r="908" spans="3:69" ht="15.75" customHeight="1">
      <c r="C908" s="4"/>
      <c r="D908" s="4"/>
      <c r="E908" s="38"/>
      <c r="F908" s="38"/>
      <c r="G908" s="4"/>
      <c r="H908" s="4"/>
      <c r="I908" s="4"/>
      <c r="J908" s="4"/>
      <c r="K908" s="4"/>
      <c r="L908" s="4"/>
      <c r="M908" s="4"/>
      <c r="N908" s="38"/>
      <c r="O908" s="4"/>
      <c r="P908" s="4"/>
      <c r="Q908" s="4"/>
      <c r="R908" s="4"/>
      <c r="S908" s="4"/>
      <c r="T908" s="38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  <c r="AM908" s="38"/>
      <c r="AN908" s="4"/>
      <c r="AO908" s="4"/>
      <c r="AP908" s="4"/>
      <c r="AQ908" s="4"/>
      <c r="AR908" s="4"/>
      <c r="AS908" s="4"/>
      <c r="AT908" s="4"/>
      <c r="AU908" s="4"/>
      <c r="AV908" s="4"/>
      <c r="AW908" s="4"/>
      <c r="AX908" s="4"/>
      <c r="AY908" s="4"/>
      <c r="AZ908" s="4"/>
      <c r="BA908" s="4"/>
      <c r="BB908" s="4"/>
      <c r="BC908" s="4"/>
      <c r="BD908" s="4"/>
      <c r="BE908" s="4"/>
      <c r="BF908" s="4"/>
      <c r="BG908" s="4"/>
      <c r="BH908" s="4"/>
      <c r="BI908" s="4"/>
      <c r="BJ908" s="4"/>
      <c r="BK908" s="4"/>
      <c r="BL908" s="4"/>
      <c r="BM908" s="4"/>
      <c r="BN908" s="4"/>
      <c r="BO908" s="4"/>
      <c r="BP908" s="39"/>
      <c r="BQ908" s="39"/>
    </row>
    <row r="909" spans="3:69" ht="15.75" customHeight="1">
      <c r="C909" s="4"/>
      <c r="D909" s="4"/>
      <c r="E909" s="38"/>
      <c r="F909" s="38"/>
      <c r="G909" s="4"/>
      <c r="H909" s="4"/>
      <c r="I909" s="4"/>
      <c r="J909" s="4"/>
      <c r="K909" s="4"/>
      <c r="L909" s="4"/>
      <c r="M909" s="4"/>
      <c r="N909" s="38"/>
      <c r="O909" s="4"/>
      <c r="P909" s="4"/>
      <c r="Q909" s="4"/>
      <c r="R909" s="4"/>
      <c r="S909" s="4"/>
      <c r="T909" s="38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  <c r="AM909" s="38"/>
      <c r="AN909" s="4"/>
      <c r="AO909" s="4"/>
      <c r="AP909" s="4"/>
      <c r="AQ909" s="4"/>
      <c r="AR909" s="4"/>
      <c r="AS909" s="4"/>
      <c r="AT909" s="4"/>
      <c r="AU909" s="4"/>
      <c r="AV909" s="4"/>
      <c r="AW909" s="4"/>
      <c r="AX909" s="4"/>
      <c r="AY909" s="4"/>
      <c r="AZ909" s="4"/>
      <c r="BA909" s="4"/>
      <c r="BB909" s="4"/>
      <c r="BC909" s="4"/>
      <c r="BD909" s="4"/>
      <c r="BE909" s="4"/>
      <c r="BF909" s="4"/>
      <c r="BG909" s="4"/>
      <c r="BH909" s="4"/>
      <c r="BI909" s="4"/>
      <c r="BJ909" s="4"/>
      <c r="BK909" s="4"/>
      <c r="BL909" s="4"/>
      <c r="BM909" s="4"/>
      <c r="BN909" s="4"/>
      <c r="BO909" s="4"/>
      <c r="BP909" s="39"/>
      <c r="BQ909" s="39"/>
    </row>
    <row r="910" spans="3:69" ht="15.75" customHeight="1">
      <c r="C910" s="4"/>
      <c r="D910" s="4"/>
      <c r="E910" s="38"/>
      <c r="F910" s="38"/>
      <c r="G910" s="4"/>
      <c r="H910" s="4"/>
      <c r="I910" s="4"/>
      <c r="J910" s="4"/>
      <c r="K910" s="4"/>
      <c r="L910" s="4"/>
      <c r="M910" s="4"/>
      <c r="N910" s="38"/>
      <c r="O910" s="4"/>
      <c r="P910" s="4"/>
      <c r="Q910" s="4"/>
      <c r="R910" s="4"/>
      <c r="S910" s="4"/>
      <c r="T910" s="38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  <c r="AM910" s="38"/>
      <c r="AN910" s="4"/>
      <c r="AO910" s="4"/>
      <c r="AP910" s="4"/>
      <c r="AQ910" s="4"/>
      <c r="AR910" s="4"/>
      <c r="AS910" s="4"/>
      <c r="AT910" s="4"/>
      <c r="AU910" s="4"/>
      <c r="AV910" s="4"/>
      <c r="AW910" s="4"/>
      <c r="AX910" s="4"/>
      <c r="AY910" s="4"/>
      <c r="AZ910" s="4"/>
      <c r="BA910" s="4"/>
      <c r="BB910" s="4"/>
      <c r="BC910" s="4"/>
      <c r="BD910" s="4"/>
      <c r="BE910" s="4"/>
      <c r="BF910" s="4"/>
      <c r="BG910" s="4"/>
      <c r="BH910" s="4"/>
      <c r="BI910" s="4"/>
      <c r="BJ910" s="4"/>
      <c r="BK910" s="4"/>
      <c r="BL910" s="4"/>
      <c r="BM910" s="4"/>
      <c r="BN910" s="4"/>
      <c r="BO910" s="4"/>
      <c r="BP910" s="39"/>
      <c r="BQ910" s="39"/>
    </row>
    <row r="911" spans="3:69" ht="15.75" customHeight="1">
      <c r="C911" s="4"/>
      <c r="D911" s="4"/>
      <c r="E911" s="38"/>
      <c r="F911" s="38"/>
      <c r="G911" s="4"/>
      <c r="H911" s="4"/>
      <c r="I911" s="4"/>
      <c r="J911" s="4"/>
      <c r="K911" s="4"/>
      <c r="L911" s="4"/>
      <c r="M911" s="4"/>
      <c r="N911" s="38"/>
      <c r="O911" s="4"/>
      <c r="P911" s="4"/>
      <c r="Q911" s="4"/>
      <c r="R911" s="4"/>
      <c r="S911" s="4"/>
      <c r="T911" s="38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  <c r="AM911" s="38"/>
      <c r="AN911" s="4"/>
      <c r="AO911" s="4"/>
      <c r="AP911" s="4"/>
      <c r="AQ911" s="4"/>
      <c r="AR911" s="4"/>
      <c r="AS911" s="4"/>
      <c r="AT911" s="4"/>
      <c r="AU911" s="4"/>
      <c r="AV911" s="4"/>
      <c r="AW911" s="4"/>
      <c r="AX911" s="4"/>
      <c r="AY911" s="4"/>
      <c r="AZ911" s="4"/>
      <c r="BA911" s="4"/>
      <c r="BB911" s="4"/>
      <c r="BC911" s="4"/>
      <c r="BD911" s="4"/>
      <c r="BE911" s="4"/>
      <c r="BF911" s="4"/>
      <c r="BG911" s="4"/>
      <c r="BH911" s="4"/>
      <c r="BI911" s="4"/>
      <c r="BJ911" s="4"/>
      <c r="BK911" s="4"/>
      <c r="BL911" s="4"/>
      <c r="BM911" s="4"/>
      <c r="BN911" s="4"/>
      <c r="BO911" s="4"/>
      <c r="BP911" s="39"/>
      <c r="BQ911" s="39"/>
    </row>
    <row r="912" spans="3:69" ht="15.75" customHeight="1">
      <c r="C912" s="4"/>
      <c r="D912" s="4"/>
      <c r="E912" s="38"/>
      <c r="F912" s="38"/>
      <c r="G912" s="4"/>
      <c r="H912" s="4"/>
      <c r="I912" s="4"/>
      <c r="J912" s="4"/>
      <c r="K912" s="4"/>
      <c r="L912" s="4"/>
      <c r="M912" s="4"/>
      <c r="N912" s="38"/>
      <c r="O912" s="4"/>
      <c r="P912" s="4"/>
      <c r="Q912" s="4"/>
      <c r="R912" s="4"/>
      <c r="S912" s="4"/>
      <c r="T912" s="38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  <c r="AM912" s="38"/>
      <c r="AN912" s="4"/>
      <c r="AO912" s="4"/>
      <c r="AP912" s="4"/>
      <c r="AQ912" s="4"/>
      <c r="AR912" s="4"/>
      <c r="AS912" s="4"/>
      <c r="AT912" s="4"/>
      <c r="AU912" s="4"/>
      <c r="AV912" s="4"/>
      <c r="AW912" s="4"/>
      <c r="AX912" s="4"/>
      <c r="AY912" s="4"/>
      <c r="AZ912" s="4"/>
      <c r="BA912" s="4"/>
      <c r="BB912" s="4"/>
      <c r="BC912" s="4"/>
      <c r="BD912" s="4"/>
      <c r="BE912" s="4"/>
      <c r="BF912" s="4"/>
      <c r="BG912" s="4"/>
      <c r="BH912" s="4"/>
      <c r="BI912" s="4"/>
      <c r="BJ912" s="4"/>
      <c r="BK912" s="4"/>
      <c r="BL912" s="4"/>
      <c r="BM912" s="4"/>
      <c r="BN912" s="4"/>
      <c r="BO912" s="4"/>
      <c r="BP912" s="39"/>
      <c r="BQ912" s="39"/>
    </row>
    <row r="913" spans="3:69" ht="15.75" customHeight="1">
      <c r="C913" s="4"/>
      <c r="D913" s="4"/>
      <c r="E913" s="38"/>
      <c r="F913" s="38"/>
      <c r="G913" s="4"/>
      <c r="H913" s="4"/>
      <c r="I913" s="4"/>
      <c r="J913" s="4"/>
      <c r="K913" s="4"/>
      <c r="L913" s="4"/>
      <c r="M913" s="4"/>
      <c r="N913" s="38"/>
      <c r="O913" s="4"/>
      <c r="P913" s="4"/>
      <c r="Q913" s="4"/>
      <c r="R913" s="4"/>
      <c r="S913" s="4"/>
      <c r="T913" s="38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  <c r="AM913" s="38"/>
      <c r="AN913" s="4"/>
      <c r="AO913" s="4"/>
      <c r="AP913" s="4"/>
      <c r="AQ913" s="4"/>
      <c r="AR913" s="4"/>
      <c r="AS913" s="4"/>
      <c r="AT913" s="4"/>
      <c r="AU913" s="4"/>
      <c r="AV913" s="4"/>
      <c r="AW913" s="4"/>
      <c r="AX913" s="4"/>
      <c r="AY913" s="4"/>
      <c r="AZ913" s="4"/>
      <c r="BA913" s="4"/>
      <c r="BB913" s="4"/>
      <c r="BC913" s="4"/>
      <c r="BD913" s="4"/>
      <c r="BE913" s="4"/>
      <c r="BF913" s="4"/>
      <c r="BG913" s="4"/>
      <c r="BH913" s="4"/>
      <c r="BI913" s="4"/>
      <c r="BJ913" s="4"/>
      <c r="BK913" s="4"/>
      <c r="BL913" s="4"/>
      <c r="BM913" s="4"/>
      <c r="BN913" s="4"/>
      <c r="BO913" s="4"/>
      <c r="BP913" s="39"/>
      <c r="BQ913" s="39"/>
    </row>
    <row r="914" spans="3:69" ht="15.75" customHeight="1">
      <c r="C914" s="4"/>
      <c r="D914" s="4"/>
      <c r="E914" s="38"/>
      <c r="F914" s="38"/>
      <c r="G914" s="4"/>
      <c r="H914" s="4"/>
      <c r="I914" s="4"/>
      <c r="J914" s="4"/>
      <c r="K914" s="4"/>
      <c r="L914" s="4"/>
      <c r="M914" s="4"/>
      <c r="N914" s="38"/>
      <c r="O914" s="4"/>
      <c r="P914" s="4"/>
      <c r="Q914" s="4"/>
      <c r="R914" s="4"/>
      <c r="S914" s="4"/>
      <c r="T914" s="38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  <c r="AM914" s="38"/>
      <c r="AN914" s="4"/>
      <c r="AO914" s="4"/>
      <c r="AP914" s="4"/>
      <c r="AQ914" s="4"/>
      <c r="AR914" s="4"/>
      <c r="AS914" s="4"/>
      <c r="AT914" s="4"/>
      <c r="AU914" s="4"/>
      <c r="AV914" s="4"/>
      <c r="AW914" s="4"/>
      <c r="AX914" s="4"/>
      <c r="AY914" s="4"/>
      <c r="AZ914" s="4"/>
      <c r="BA914" s="4"/>
      <c r="BB914" s="4"/>
      <c r="BC914" s="4"/>
      <c r="BD914" s="4"/>
      <c r="BE914" s="4"/>
      <c r="BF914" s="4"/>
      <c r="BG914" s="4"/>
      <c r="BH914" s="4"/>
      <c r="BI914" s="4"/>
      <c r="BJ914" s="4"/>
      <c r="BK914" s="4"/>
      <c r="BL914" s="4"/>
      <c r="BM914" s="4"/>
      <c r="BN914" s="4"/>
      <c r="BO914" s="4"/>
      <c r="BP914" s="39"/>
      <c r="BQ914" s="39"/>
    </row>
    <row r="915" spans="3:69" ht="15.75" customHeight="1">
      <c r="C915" s="4"/>
      <c r="D915" s="4"/>
      <c r="E915" s="38"/>
      <c r="F915" s="38"/>
      <c r="G915" s="4"/>
      <c r="H915" s="4"/>
      <c r="I915" s="4"/>
      <c r="J915" s="4"/>
      <c r="K915" s="4"/>
      <c r="L915" s="4"/>
      <c r="M915" s="4"/>
      <c r="N915" s="38"/>
      <c r="O915" s="4"/>
      <c r="P915" s="4"/>
      <c r="Q915" s="4"/>
      <c r="R915" s="4"/>
      <c r="S915" s="4"/>
      <c r="T915" s="38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  <c r="AM915" s="38"/>
      <c r="AN915" s="4"/>
      <c r="AO915" s="4"/>
      <c r="AP915" s="4"/>
      <c r="AQ915" s="4"/>
      <c r="AR915" s="4"/>
      <c r="AS915" s="4"/>
      <c r="AT915" s="4"/>
      <c r="AU915" s="4"/>
      <c r="AV915" s="4"/>
      <c r="AW915" s="4"/>
      <c r="AX915" s="4"/>
      <c r="AY915" s="4"/>
      <c r="AZ915" s="4"/>
      <c r="BA915" s="4"/>
      <c r="BB915" s="4"/>
      <c r="BC915" s="4"/>
      <c r="BD915" s="4"/>
      <c r="BE915" s="4"/>
      <c r="BF915" s="4"/>
      <c r="BG915" s="4"/>
      <c r="BH915" s="4"/>
      <c r="BI915" s="4"/>
      <c r="BJ915" s="4"/>
      <c r="BK915" s="4"/>
      <c r="BL915" s="4"/>
      <c r="BM915" s="4"/>
      <c r="BN915" s="4"/>
      <c r="BO915" s="4"/>
      <c r="BP915" s="39"/>
      <c r="BQ915" s="39"/>
    </row>
    <row r="916" spans="3:69" ht="15.75" customHeight="1">
      <c r="C916" s="4"/>
      <c r="D916" s="4"/>
      <c r="E916" s="38"/>
      <c r="F916" s="38"/>
      <c r="G916" s="4"/>
      <c r="H916" s="4"/>
      <c r="I916" s="4"/>
      <c r="J916" s="4"/>
      <c r="K916" s="4"/>
      <c r="L916" s="4"/>
      <c r="M916" s="4"/>
      <c r="N916" s="38"/>
      <c r="O916" s="4"/>
      <c r="P916" s="4"/>
      <c r="Q916" s="4"/>
      <c r="R916" s="4"/>
      <c r="S916" s="4"/>
      <c r="T916" s="38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  <c r="AM916" s="38"/>
      <c r="AN916" s="4"/>
      <c r="AO916" s="4"/>
      <c r="AP916" s="4"/>
      <c r="AQ916" s="4"/>
      <c r="AR916" s="4"/>
      <c r="AS916" s="4"/>
      <c r="AT916" s="4"/>
      <c r="AU916" s="4"/>
      <c r="AV916" s="4"/>
      <c r="AW916" s="4"/>
      <c r="AX916" s="4"/>
      <c r="AY916" s="4"/>
      <c r="AZ916" s="4"/>
      <c r="BA916" s="4"/>
      <c r="BB916" s="4"/>
      <c r="BC916" s="4"/>
      <c r="BD916" s="4"/>
      <c r="BE916" s="4"/>
      <c r="BF916" s="4"/>
      <c r="BG916" s="4"/>
      <c r="BH916" s="4"/>
      <c r="BI916" s="4"/>
      <c r="BJ916" s="4"/>
      <c r="BK916" s="4"/>
      <c r="BL916" s="4"/>
      <c r="BM916" s="4"/>
      <c r="BN916" s="4"/>
      <c r="BO916" s="4"/>
      <c r="BP916" s="39"/>
      <c r="BQ916" s="39"/>
    </row>
    <row r="917" spans="3:69" ht="15.75" customHeight="1">
      <c r="C917" s="4"/>
      <c r="D917" s="4"/>
      <c r="E917" s="38"/>
      <c r="F917" s="38"/>
      <c r="G917" s="4"/>
      <c r="H917" s="4"/>
      <c r="I917" s="4"/>
      <c r="J917" s="4"/>
      <c r="K917" s="4"/>
      <c r="L917" s="4"/>
      <c r="M917" s="4"/>
      <c r="N917" s="38"/>
      <c r="O917" s="4"/>
      <c r="P917" s="4"/>
      <c r="Q917" s="4"/>
      <c r="R917" s="4"/>
      <c r="S917" s="4"/>
      <c r="T917" s="38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  <c r="AM917" s="38"/>
      <c r="AN917" s="4"/>
      <c r="AO917" s="4"/>
      <c r="AP917" s="4"/>
      <c r="AQ917" s="4"/>
      <c r="AR917" s="4"/>
      <c r="AS917" s="4"/>
      <c r="AT917" s="4"/>
      <c r="AU917" s="4"/>
      <c r="AV917" s="4"/>
      <c r="AW917" s="4"/>
      <c r="AX917" s="4"/>
      <c r="AY917" s="4"/>
      <c r="AZ917" s="4"/>
      <c r="BA917" s="4"/>
      <c r="BB917" s="4"/>
      <c r="BC917" s="4"/>
      <c r="BD917" s="4"/>
      <c r="BE917" s="4"/>
      <c r="BF917" s="4"/>
      <c r="BG917" s="4"/>
      <c r="BH917" s="4"/>
      <c r="BI917" s="4"/>
      <c r="BJ917" s="4"/>
      <c r="BK917" s="4"/>
      <c r="BL917" s="4"/>
      <c r="BM917" s="4"/>
      <c r="BN917" s="4"/>
      <c r="BO917" s="4"/>
      <c r="BP917" s="39"/>
      <c r="BQ917" s="39"/>
    </row>
    <row r="918" spans="3:69" ht="15.75" customHeight="1">
      <c r="C918" s="4"/>
      <c r="D918" s="4"/>
      <c r="E918" s="38"/>
      <c r="F918" s="38"/>
      <c r="G918" s="4"/>
      <c r="H918" s="4"/>
      <c r="I918" s="4"/>
      <c r="J918" s="4"/>
      <c r="K918" s="4"/>
      <c r="L918" s="4"/>
      <c r="M918" s="4"/>
      <c r="N918" s="38"/>
      <c r="O918" s="4"/>
      <c r="P918" s="4"/>
      <c r="Q918" s="4"/>
      <c r="R918" s="4"/>
      <c r="S918" s="4"/>
      <c r="T918" s="38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  <c r="AM918" s="38"/>
      <c r="AN918" s="4"/>
      <c r="AO918" s="4"/>
      <c r="AP918" s="4"/>
      <c r="AQ918" s="4"/>
      <c r="AR918" s="4"/>
      <c r="AS918" s="4"/>
      <c r="AT918" s="4"/>
      <c r="AU918" s="4"/>
      <c r="AV918" s="4"/>
      <c r="AW918" s="4"/>
      <c r="AX918" s="4"/>
      <c r="AY918" s="4"/>
      <c r="AZ918" s="4"/>
      <c r="BA918" s="4"/>
      <c r="BB918" s="4"/>
      <c r="BC918" s="4"/>
      <c r="BD918" s="4"/>
      <c r="BE918" s="4"/>
      <c r="BF918" s="4"/>
      <c r="BG918" s="4"/>
      <c r="BH918" s="4"/>
      <c r="BI918" s="4"/>
      <c r="BJ918" s="4"/>
      <c r="BK918" s="4"/>
      <c r="BL918" s="4"/>
      <c r="BM918" s="4"/>
      <c r="BN918" s="4"/>
      <c r="BO918" s="4"/>
      <c r="BP918" s="39"/>
      <c r="BQ918" s="39"/>
    </row>
    <row r="919" spans="3:69" ht="15.75" customHeight="1">
      <c r="C919" s="4"/>
      <c r="D919" s="4"/>
      <c r="E919" s="38"/>
      <c r="F919" s="38"/>
      <c r="G919" s="4"/>
      <c r="H919" s="4"/>
      <c r="I919" s="4"/>
      <c r="J919" s="4"/>
      <c r="K919" s="4"/>
      <c r="L919" s="4"/>
      <c r="M919" s="4"/>
      <c r="N919" s="38"/>
      <c r="O919" s="4"/>
      <c r="P919" s="4"/>
      <c r="Q919" s="4"/>
      <c r="R919" s="4"/>
      <c r="S919" s="4"/>
      <c r="T919" s="38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  <c r="AM919" s="38"/>
      <c r="AN919" s="4"/>
      <c r="AO919" s="4"/>
      <c r="AP919" s="4"/>
      <c r="AQ919" s="4"/>
      <c r="AR919" s="4"/>
      <c r="AS919" s="4"/>
      <c r="AT919" s="4"/>
      <c r="AU919" s="4"/>
      <c r="AV919" s="4"/>
      <c r="AW919" s="4"/>
      <c r="AX919" s="4"/>
      <c r="AY919" s="4"/>
      <c r="AZ919" s="4"/>
      <c r="BA919" s="4"/>
      <c r="BB919" s="4"/>
      <c r="BC919" s="4"/>
      <c r="BD919" s="4"/>
      <c r="BE919" s="4"/>
      <c r="BF919" s="4"/>
      <c r="BG919" s="4"/>
      <c r="BH919" s="4"/>
      <c r="BI919" s="4"/>
      <c r="BJ919" s="4"/>
      <c r="BK919" s="4"/>
      <c r="BL919" s="4"/>
      <c r="BM919" s="4"/>
      <c r="BN919" s="4"/>
      <c r="BO919" s="4"/>
      <c r="BP919" s="39"/>
      <c r="BQ919" s="39"/>
    </row>
    <row r="920" spans="3:69" ht="15.75" customHeight="1">
      <c r="C920" s="4"/>
      <c r="D920" s="4"/>
      <c r="E920" s="38"/>
      <c r="F920" s="38"/>
      <c r="G920" s="4"/>
      <c r="H920" s="4"/>
      <c r="I920" s="4"/>
      <c r="J920" s="4"/>
      <c r="K920" s="4"/>
      <c r="L920" s="4"/>
      <c r="M920" s="4"/>
      <c r="N920" s="38"/>
      <c r="O920" s="4"/>
      <c r="P920" s="4"/>
      <c r="Q920" s="4"/>
      <c r="R920" s="4"/>
      <c r="S920" s="4"/>
      <c r="T920" s="38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  <c r="AM920" s="38"/>
      <c r="AN920" s="4"/>
      <c r="AO920" s="4"/>
      <c r="AP920" s="4"/>
      <c r="AQ920" s="4"/>
      <c r="AR920" s="4"/>
      <c r="AS920" s="4"/>
      <c r="AT920" s="4"/>
      <c r="AU920" s="4"/>
      <c r="AV920" s="4"/>
      <c r="AW920" s="4"/>
      <c r="AX920" s="4"/>
      <c r="AY920" s="4"/>
      <c r="AZ920" s="4"/>
      <c r="BA920" s="4"/>
      <c r="BB920" s="4"/>
      <c r="BC920" s="4"/>
      <c r="BD920" s="4"/>
      <c r="BE920" s="4"/>
      <c r="BF920" s="4"/>
      <c r="BG920" s="4"/>
      <c r="BH920" s="4"/>
      <c r="BI920" s="4"/>
      <c r="BJ920" s="4"/>
      <c r="BK920" s="4"/>
      <c r="BL920" s="4"/>
      <c r="BM920" s="4"/>
      <c r="BN920" s="4"/>
      <c r="BO920" s="4"/>
      <c r="BP920" s="39"/>
      <c r="BQ920" s="39"/>
    </row>
    <row r="921" spans="3:69" ht="15.75" customHeight="1">
      <c r="C921" s="4"/>
      <c r="D921" s="4"/>
      <c r="E921" s="38"/>
      <c r="F921" s="38"/>
      <c r="G921" s="4"/>
      <c r="H921" s="4"/>
      <c r="I921" s="4"/>
      <c r="J921" s="4"/>
      <c r="K921" s="4"/>
      <c r="L921" s="4"/>
      <c r="M921" s="4"/>
      <c r="N921" s="38"/>
      <c r="O921" s="4"/>
      <c r="P921" s="4"/>
      <c r="Q921" s="4"/>
      <c r="R921" s="4"/>
      <c r="S921" s="4"/>
      <c r="T921" s="38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/>
      <c r="AM921" s="38"/>
      <c r="AN921" s="4"/>
      <c r="AO921" s="4"/>
      <c r="AP921" s="4"/>
      <c r="AQ921" s="4"/>
      <c r="AR921" s="4"/>
      <c r="AS921" s="4"/>
      <c r="AT921" s="4"/>
      <c r="AU921" s="4"/>
      <c r="AV921" s="4"/>
      <c r="AW921" s="4"/>
      <c r="AX921" s="4"/>
      <c r="AY921" s="4"/>
      <c r="AZ921" s="4"/>
      <c r="BA921" s="4"/>
      <c r="BB921" s="4"/>
      <c r="BC921" s="4"/>
      <c r="BD921" s="4"/>
      <c r="BE921" s="4"/>
      <c r="BF921" s="4"/>
      <c r="BG921" s="4"/>
      <c r="BH921" s="4"/>
      <c r="BI921" s="4"/>
      <c r="BJ921" s="4"/>
      <c r="BK921" s="4"/>
      <c r="BL921" s="4"/>
      <c r="BM921" s="4"/>
      <c r="BN921" s="4"/>
      <c r="BO921" s="4"/>
      <c r="BP921" s="39"/>
      <c r="BQ921" s="39"/>
    </row>
    <row r="922" spans="3:69" ht="15.75" customHeight="1">
      <c r="C922" s="4"/>
      <c r="D922" s="4"/>
      <c r="E922" s="38"/>
      <c r="F922" s="38"/>
      <c r="G922" s="4"/>
      <c r="H922" s="4"/>
      <c r="I922" s="4"/>
      <c r="J922" s="4"/>
      <c r="K922" s="4"/>
      <c r="L922" s="4"/>
      <c r="M922" s="4"/>
      <c r="N922" s="38"/>
      <c r="O922" s="4"/>
      <c r="P922" s="4"/>
      <c r="Q922" s="4"/>
      <c r="R922" s="4"/>
      <c r="S922" s="4"/>
      <c r="T922" s="38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  <c r="AM922" s="38"/>
      <c r="AN922" s="4"/>
      <c r="AO922" s="4"/>
      <c r="AP922" s="4"/>
      <c r="AQ922" s="4"/>
      <c r="AR922" s="4"/>
      <c r="AS922" s="4"/>
      <c r="AT922" s="4"/>
      <c r="AU922" s="4"/>
      <c r="AV922" s="4"/>
      <c r="AW922" s="4"/>
      <c r="AX922" s="4"/>
      <c r="AY922" s="4"/>
      <c r="AZ922" s="4"/>
      <c r="BA922" s="4"/>
      <c r="BB922" s="4"/>
      <c r="BC922" s="4"/>
      <c r="BD922" s="4"/>
      <c r="BE922" s="4"/>
      <c r="BF922" s="4"/>
      <c r="BG922" s="4"/>
      <c r="BH922" s="4"/>
      <c r="BI922" s="4"/>
      <c r="BJ922" s="4"/>
      <c r="BK922" s="4"/>
      <c r="BL922" s="4"/>
      <c r="BM922" s="4"/>
      <c r="BN922" s="4"/>
      <c r="BO922" s="4"/>
      <c r="BP922" s="39"/>
      <c r="BQ922" s="39"/>
    </row>
    <row r="923" spans="3:69" ht="15.75" customHeight="1">
      <c r="C923" s="4"/>
      <c r="D923" s="4"/>
      <c r="E923" s="38"/>
      <c r="F923" s="38"/>
      <c r="G923" s="4"/>
      <c r="H923" s="4"/>
      <c r="I923" s="4"/>
      <c r="J923" s="4"/>
      <c r="K923" s="4"/>
      <c r="L923" s="4"/>
      <c r="M923" s="4"/>
      <c r="N923" s="38"/>
      <c r="O923" s="4"/>
      <c r="P923" s="4"/>
      <c r="Q923" s="4"/>
      <c r="R923" s="4"/>
      <c r="S923" s="4"/>
      <c r="T923" s="38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  <c r="AM923" s="38"/>
      <c r="AN923" s="4"/>
      <c r="AO923" s="4"/>
      <c r="AP923" s="4"/>
      <c r="AQ923" s="4"/>
      <c r="AR923" s="4"/>
      <c r="AS923" s="4"/>
      <c r="AT923" s="4"/>
      <c r="AU923" s="4"/>
      <c r="AV923" s="4"/>
      <c r="AW923" s="4"/>
      <c r="AX923" s="4"/>
      <c r="AY923" s="4"/>
      <c r="AZ923" s="4"/>
      <c r="BA923" s="4"/>
      <c r="BB923" s="4"/>
      <c r="BC923" s="4"/>
      <c r="BD923" s="4"/>
      <c r="BE923" s="4"/>
      <c r="BF923" s="4"/>
      <c r="BG923" s="4"/>
      <c r="BH923" s="4"/>
      <c r="BI923" s="4"/>
      <c r="BJ923" s="4"/>
      <c r="BK923" s="4"/>
      <c r="BL923" s="4"/>
      <c r="BM923" s="4"/>
      <c r="BN923" s="4"/>
      <c r="BO923" s="4"/>
      <c r="BP923" s="39"/>
      <c r="BQ923" s="39"/>
    </row>
    <row r="924" spans="3:69" ht="15.75" customHeight="1">
      <c r="C924" s="4"/>
      <c r="D924" s="4"/>
      <c r="E924" s="38"/>
      <c r="F924" s="38"/>
      <c r="G924" s="4"/>
      <c r="H924" s="4"/>
      <c r="I924" s="4"/>
      <c r="J924" s="4"/>
      <c r="K924" s="4"/>
      <c r="L924" s="4"/>
      <c r="M924" s="4"/>
      <c r="N924" s="38"/>
      <c r="O924" s="4"/>
      <c r="P924" s="4"/>
      <c r="Q924" s="4"/>
      <c r="R924" s="4"/>
      <c r="S924" s="4"/>
      <c r="T924" s="38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  <c r="AM924" s="38"/>
      <c r="AN924" s="4"/>
      <c r="AO924" s="4"/>
      <c r="AP924" s="4"/>
      <c r="AQ924" s="4"/>
      <c r="AR924" s="4"/>
      <c r="AS924" s="4"/>
      <c r="AT924" s="4"/>
      <c r="AU924" s="4"/>
      <c r="AV924" s="4"/>
      <c r="AW924" s="4"/>
      <c r="AX924" s="4"/>
      <c r="AY924" s="4"/>
      <c r="AZ924" s="4"/>
      <c r="BA924" s="4"/>
      <c r="BB924" s="4"/>
      <c r="BC924" s="4"/>
      <c r="BD924" s="4"/>
      <c r="BE924" s="4"/>
      <c r="BF924" s="4"/>
      <c r="BG924" s="4"/>
      <c r="BH924" s="4"/>
      <c r="BI924" s="4"/>
      <c r="BJ924" s="4"/>
      <c r="BK924" s="4"/>
      <c r="BL924" s="4"/>
      <c r="BM924" s="4"/>
      <c r="BN924" s="4"/>
      <c r="BO924" s="4"/>
      <c r="BP924" s="39"/>
      <c r="BQ924" s="39"/>
    </row>
    <row r="925" spans="3:69" ht="15.75" customHeight="1">
      <c r="C925" s="4"/>
      <c r="D925" s="4"/>
      <c r="E925" s="38"/>
      <c r="F925" s="38"/>
      <c r="G925" s="4"/>
      <c r="H925" s="4"/>
      <c r="I925" s="4"/>
      <c r="J925" s="4"/>
      <c r="K925" s="4"/>
      <c r="L925" s="4"/>
      <c r="M925" s="4"/>
      <c r="N925" s="38"/>
      <c r="O925" s="4"/>
      <c r="P925" s="4"/>
      <c r="Q925" s="4"/>
      <c r="R925" s="4"/>
      <c r="S925" s="4"/>
      <c r="T925" s="38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  <c r="AM925" s="38"/>
      <c r="AN925" s="4"/>
      <c r="AO925" s="4"/>
      <c r="AP925" s="4"/>
      <c r="AQ925" s="4"/>
      <c r="AR925" s="4"/>
      <c r="AS925" s="4"/>
      <c r="AT925" s="4"/>
      <c r="AU925" s="4"/>
      <c r="AV925" s="4"/>
      <c r="AW925" s="4"/>
      <c r="AX925" s="4"/>
      <c r="AY925" s="4"/>
      <c r="AZ925" s="4"/>
      <c r="BA925" s="4"/>
      <c r="BB925" s="4"/>
      <c r="BC925" s="4"/>
      <c r="BD925" s="4"/>
      <c r="BE925" s="4"/>
      <c r="BF925" s="4"/>
      <c r="BG925" s="4"/>
      <c r="BH925" s="4"/>
      <c r="BI925" s="4"/>
      <c r="BJ925" s="4"/>
      <c r="BK925" s="4"/>
      <c r="BL925" s="4"/>
      <c r="BM925" s="4"/>
      <c r="BN925" s="4"/>
      <c r="BO925" s="4"/>
      <c r="BP925" s="39"/>
      <c r="BQ925" s="39"/>
    </row>
    <row r="926" spans="3:69" ht="15.75" customHeight="1">
      <c r="C926" s="4"/>
      <c r="D926" s="4"/>
      <c r="E926" s="38"/>
      <c r="F926" s="38"/>
      <c r="G926" s="4"/>
      <c r="H926" s="4"/>
      <c r="I926" s="4"/>
      <c r="J926" s="4"/>
      <c r="K926" s="4"/>
      <c r="L926" s="4"/>
      <c r="M926" s="4"/>
      <c r="N926" s="38"/>
      <c r="O926" s="4"/>
      <c r="P926" s="4"/>
      <c r="Q926" s="4"/>
      <c r="R926" s="4"/>
      <c r="S926" s="4"/>
      <c r="T926" s="38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  <c r="AM926" s="38"/>
      <c r="AN926" s="4"/>
      <c r="AO926" s="4"/>
      <c r="AP926" s="4"/>
      <c r="AQ926" s="4"/>
      <c r="AR926" s="4"/>
      <c r="AS926" s="4"/>
      <c r="AT926" s="4"/>
      <c r="AU926" s="4"/>
      <c r="AV926" s="4"/>
      <c r="AW926" s="4"/>
      <c r="AX926" s="4"/>
      <c r="AY926" s="4"/>
      <c r="AZ926" s="4"/>
      <c r="BA926" s="4"/>
      <c r="BB926" s="4"/>
      <c r="BC926" s="4"/>
      <c r="BD926" s="4"/>
      <c r="BE926" s="4"/>
      <c r="BF926" s="4"/>
      <c r="BG926" s="4"/>
      <c r="BH926" s="4"/>
      <c r="BI926" s="4"/>
      <c r="BJ926" s="4"/>
      <c r="BK926" s="4"/>
      <c r="BL926" s="4"/>
      <c r="BM926" s="4"/>
      <c r="BN926" s="4"/>
      <c r="BO926" s="4"/>
      <c r="BP926" s="39"/>
      <c r="BQ926" s="39"/>
    </row>
    <row r="927" spans="3:69" ht="15.75" customHeight="1">
      <c r="C927" s="4"/>
      <c r="D927" s="4"/>
      <c r="E927" s="38"/>
      <c r="F927" s="38"/>
      <c r="G927" s="4"/>
      <c r="H927" s="4"/>
      <c r="I927" s="4"/>
      <c r="J927" s="4"/>
      <c r="K927" s="4"/>
      <c r="L927" s="4"/>
      <c r="M927" s="4"/>
      <c r="N927" s="38"/>
      <c r="O927" s="4"/>
      <c r="P927" s="4"/>
      <c r="Q927" s="4"/>
      <c r="R927" s="4"/>
      <c r="S927" s="4"/>
      <c r="T927" s="38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/>
      <c r="AM927" s="38"/>
      <c r="AN927" s="4"/>
      <c r="AO927" s="4"/>
      <c r="AP927" s="4"/>
      <c r="AQ927" s="4"/>
      <c r="AR927" s="4"/>
      <c r="AS927" s="4"/>
      <c r="AT927" s="4"/>
      <c r="AU927" s="4"/>
      <c r="AV927" s="4"/>
      <c r="AW927" s="4"/>
      <c r="AX927" s="4"/>
      <c r="AY927" s="4"/>
      <c r="AZ927" s="4"/>
      <c r="BA927" s="4"/>
      <c r="BB927" s="4"/>
      <c r="BC927" s="4"/>
      <c r="BD927" s="4"/>
      <c r="BE927" s="4"/>
      <c r="BF927" s="4"/>
      <c r="BG927" s="4"/>
      <c r="BH927" s="4"/>
      <c r="BI927" s="4"/>
      <c r="BJ927" s="4"/>
      <c r="BK927" s="4"/>
      <c r="BL927" s="4"/>
      <c r="BM927" s="4"/>
      <c r="BN927" s="4"/>
      <c r="BO927" s="4"/>
      <c r="BP927" s="39"/>
      <c r="BQ927" s="39"/>
    </row>
    <row r="928" spans="3:69" ht="15.75" customHeight="1">
      <c r="C928" s="4"/>
      <c r="D928" s="4"/>
      <c r="E928" s="38"/>
      <c r="F928" s="38"/>
      <c r="G928" s="4"/>
      <c r="H928" s="4"/>
      <c r="I928" s="4"/>
      <c r="J928" s="4"/>
      <c r="K928" s="4"/>
      <c r="L928" s="4"/>
      <c r="M928" s="4"/>
      <c r="N928" s="38"/>
      <c r="O928" s="4"/>
      <c r="P928" s="4"/>
      <c r="Q928" s="4"/>
      <c r="R928" s="4"/>
      <c r="S928" s="4"/>
      <c r="T928" s="38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  <c r="AM928" s="38"/>
      <c r="AN928" s="4"/>
      <c r="AO928" s="4"/>
      <c r="AP928" s="4"/>
      <c r="AQ928" s="4"/>
      <c r="AR928" s="4"/>
      <c r="AS928" s="4"/>
      <c r="AT928" s="4"/>
      <c r="AU928" s="4"/>
      <c r="AV928" s="4"/>
      <c r="AW928" s="4"/>
      <c r="AX928" s="4"/>
      <c r="AY928" s="4"/>
      <c r="AZ928" s="4"/>
      <c r="BA928" s="4"/>
      <c r="BB928" s="4"/>
      <c r="BC928" s="4"/>
      <c r="BD928" s="4"/>
      <c r="BE928" s="4"/>
      <c r="BF928" s="4"/>
      <c r="BG928" s="4"/>
      <c r="BH928" s="4"/>
      <c r="BI928" s="4"/>
      <c r="BJ928" s="4"/>
      <c r="BK928" s="4"/>
      <c r="BL928" s="4"/>
      <c r="BM928" s="4"/>
      <c r="BN928" s="4"/>
      <c r="BO928" s="4"/>
      <c r="BP928" s="39"/>
      <c r="BQ928" s="39"/>
    </row>
    <row r="929" spans="3:69" ht="15.75" customHeight="1">
      <c r="C929" s="4"/>
      <c r="D929" s="4"/>
      <c r="E929" s="38"/>
      <c r="F929" s="38"/>
      <c r="G929" s="4"/>
      <c r="H929" s="4"/>
      <c r="I929" s="4"/>
      <c r="J929" s="4"/>
      <c r="K929" s="4"/>
      <c r="L929" s="4"/>
      <c r="M929" s="4"/>
      <c r="N929" s="38"/>
      <c r="O929" s="4"/>
      <c r="P929" s="4"/>
      <c r="Q929" s="4"/>
      <c r="R929" s="4"/>
      <c r="S929" s="4"/>
      <c r="T929" s="38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  <c r="AM929" s="38"/>
      <c r="AN929" s="4"/>
      <c r="AO929" s="4"/>
      <c r="AP929" s="4"/>
      <c r="AQ929" s="4"/>
      <c r="AR929" s="4"/>
      <c r="AS929" s="4"/>
      <c r="AT929" s="4"/>
      <c r="AU929" s="4"/>
      <c r="AV929" s="4"/>
      <c r="AW929" s="4"/>
      <c r="AX929" s="4"/>
      <c r="AY929" s="4"/>
      <c r="AZ929" s="4"/>
      <c r="BA929" s="4"/>
      <c r="BB929" s="4"/>
      <c r="BC929" s="4"/>
      <c r="BD929" s="4"/>
      <c r="BE929" s="4"/>
      <c r="BF929" s="4"/>
      <c r="BG929" s="4"/>
      <c r="BH929" s="4"/>
      <c r="BI929" s="4"/>
      <c r="BJ929" s="4"/>
      <c r="BK929" s="4"/>
      <c r="BL929" s="4"/>
      <c r="BM929" s="4"/>
      <c r="BN929" s="4"/>
      <c r="BO929" s="4"/>
      <c r="BP929" s="39"/>
      <c r="BQ929" s="39"/>
    </row>
    <row r="930" spans="3:69" ht="15.75" customHeight="1">
      <c r="C930" s="4"/>
      <c r="D930" s="4"/>
      <c r="E930" s="38"/>
      <c r="F930" s="38"/>
      <c r="G930" s="4"/>
      <c r="H930" s="4"/>
      <c r="I930" s="4"/>
      <c r="J930" s="4"/>
      <c r="K930" s="4"/>
      <c r="L930" s="4"/>
      <c r="M930" s="4"/>
      <c r="N930" s="38"/>
      <c r="O930" s="4"/>
      <c r="P930" s="4"/>
      <c r="Q930" s="4"/>
      <c r="R930" s="4"/>
      <c r="S930" s="4"/>
      <c r="T930" s="38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4"/>
      <c r="AM930" s="38"/>
      <c r="AN930" s="4"/>
      <c r="AO930" s="4"/>
      <c r="AP930" s="4"/>
      <c r="AQ930" s="4"/>
      <c r="AR930" s="4"/>
      <c r="AS930" s="4"/>
      <c r="AT930" s="4"/>
      <c r="AU930" s="4"/>
      <c r="AV930" s="4"/>
      <c r="AW930" s="4"/>
      <c r="AX930" s="4"/>
      <c r="AY930" s="4"/>
      <c r="AZ930" s="4"/>
      <c r="BA930" s="4"/>
      <c r="BB930" s="4"/>
      <c r="BC930" s="4"/>
      <c r="BD930" s="4"/>
      <c r="BE930" s="4"/>
      <c r="BF930" s="4"/>
      <c r="BG930" s="4"/>
      <c r="BH930" s="4"/>
      <c r="BI930" s="4"/>
      <c r="BJ930" s="4"/>
      <c r="BK930" s="4"/>
      <c r="BL930" s="4"/>
      <c r="BM930" s="4"/>
      <c r="BN930" s="4"/>
      <c r="BO930" s="4"/>
      <c r="BP930" s="39"/>
      <c r="BQ930" s="39"/>
    </row>
    <row r="931" spans="3:69" ht="15.75" customHeight="1">
      <c r="C931" s="4"/>
      <c r="D931" s="4"/>
      <c r="E931" s="38"/>
      <c r="F931" s="38"/>
      <c r="G931" s="4"/>
      <c r="H931" s="4"/>
      <c r="I931" s="4"/>
      <c r="J931" s="4"/>
      <c r="K931" s="4"/>
      <c r="L931" s="4"/>
      <c r="M931" s="4"/>
      <c r="N931" s="38"/>
      <c r="O931" s="4"/>
      <c r="P931" s="4"/>
      <c r="Q931" s="4"/>
      <c r="R931" s="4"/>
      <c r="S931" s="4"/>
      <c r="T931" s="38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/>
      <c r="AM931" s="38"/>
      <c r="AN931" s="4"/>
      <c r="AO931" s="4"/>
      <c r="AP931" s="4"/>
      <c r="AQ931" s="4"/>
      <c r="AR931" s="4"/>
      <c r="AS931" s="4"/>
      <c r="AT931" s="4"/>
      <c r="AU931" s="4"/>
      <c r="AV931" s="4"/>
      <c r="AW931" s="4"/>
      <c r="AX931" s="4"/>
      <c r="AY931" s="4"/>
      <c r="AZ931" s="4"/>
      <c r="BA931" s="4"/>
      <c r="BB931" s="4"/>
      <c r="BC931" s="4"/>
      <c r="BD931" s="4"/>
      <c r="BE931" s="4"/>
      <c r="BF931" s="4"/>
      <c r="BG931" s="4"/>
      <c r="BH931" s="4"/>
      <c r="BI931" s="4"/>
      <c r="BJ931" s="4"/>
      <c r="BK931" s="4"/>
      <c r="BL931" s="4"/>
      <c r="BM931" s="4"/>
      <c r="BN931" s="4"/>
      <c r="BO931" s="4"/>
      <c r="BP931" s="39"/>
      <c r="BQ931" s="39"/>
    </row>
    <row r="932" spans="3:69" ht="15.75" customHeight="1">
      <c r="C932" s="4"/>
      <c r="D932" s="4"/>
      <c r="E932" s="38"/>
      <c r="F932" s="38"/>
      <c r="G932" s="4"/>
      <c r="H932" s="4"/>
      <c r="I932" s="4"/>
      <c r="J932" s="4"/>
      <c r="K932" s="4"/>
      <c r="L932" s="4"/>
      <c r="M932" s="4"/>
      <c r="N932" s="38"/>
      <c r="O932" s="4"/>
      <c r="P932" s="4"/>
      <c r="Q932" s="4"/>
      <c r="R932" s="4"/>
      <c r="S932" s="4"/>
      <c r="T932" s="38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  <c r="AM932" s="38"/>
      <c r="AN932" s="4"/>
      <c r="AO932" s="4"/>
      <c r="AP932" s="4"/>
      <c r="AQ932" s="4"/>
      <c r="AR932" s="4"/>
      <c r="AS932" s="4"/>
      <c r="AT932" s="4"/>
      <c r="AU932" s="4"/>
      <c r="AV932" s="4"/>
      <c r="AW932" s="4"/>
      <c r="AX932" s="4"/>
      <c r="AY932" s="4"/>
      <c r="AZ932" s="4"/>
      <c r="BA932" s="4"/>
      <c r="BB932" s="4"/>
      <c r="BC932" s="4"/>
      <c r="BD932" s="4"/>
      <c r="BE932" s="4"/>
      <c r="BF932" s="4"/>
      <c r="BG932" s="4"/>
      <c r="BH932" s="4"/>
      <c r="BI932" s="4"/>
      <c r="BJ932" s="4"/>
      <c r="BK932" s="4"/>
      <c r="BL932" s="4"/>
      <c r="BM932" s="4"/>
      <c r="BN932" s="4"/>
      <c r="BO932" s="4"/>
      <c r="BP932" s="39"/>
      <c r="BQ932" s="39"/>
    </row>
    <row r="933" spans="3:69" ht="15.75" customHeight="1">
      <c r="C933" s="4"/>
      <c r="D933" s="4"/>
      <c r="E933" s="38"/>
      <c r="F933" s="38"/>
      <c r="G933" s="4"/>
      <c r="H933" s="4"/>
      <c r="I933" s="4"/>
      <c r="J933" s="4"/>
      <c r="K933" s="4"/>
      <c r="L933" s="4"/>
      <c r="M933" s="4"/>
      <c r="N933" s="38"/>
      <c r="O933" s="4"/>
      <c r="P933" s="4"/>
      <c r="Q933" s="4"/>
      <c r="R933" s="4"/>
      <c r="S933" s="4"/>
      <c r="T933" s="38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/>
      <c r="AM933" s="38"/>
      <c r="AN933" s="4"/>
      <c r="AO933" s="4"/>
      <c r="AP933" s="4"/>
      <c r="AQ933" s="4"/>
      <c r="AR933" s="4"/>
      <c r="AS933" s="4"/>
      <c r="AT933" s="4"/>
      <c r="AU933" s="4"/>
      <c r="AV933" s="4"/>
      <c r="AW933" s="4"/>
      <c r="AX933" s="4"/>
      <c r="AY933" s="4"/>
      <c r="AZ933" s="4"/>
      <c r="BA933" s="4"/>
      <c r="BB933" s="4"/>
      <c r="BC933" s="4"/>
      <c r="BD933" s="4"/>
      <c r="BE933" s="4"/>
      <c r="BF933" s="4"/>
      <c r="BG933" s="4"/>
      <c r="BH933" s="4"/>
      <c r="BI933" s="4"/>
      <c r="BJ933" s="4"/>
      <c r="BK933" s="4"/>
      <c r="BL933" s="4"/>
      <c r="BM933" s="4"/>
      <c r="BN933" s="4"/>
      <c r="BO933" s="4"/>
      <c r="BP933" s="39"/>
      <c r="BQ933" s="39"/>
    </row>
    <row r="934" spans="3:69" ht="15.75" customHeight="1">
      <c r="C934" s="4"/>
      <c r="D934" s="4"/>
      <c r="E934" s="38"/>
      <c r="F934" s="38"/>
      <c r="G934" s="4"/>
      <c r="H934" s="4"/>
      <c r="I934" s="4"/>
      <c r="J934" s="4"/>
      <c r="K934" s="4"/>
      <c r="L934" s="4"/>
      <c r="M934" s="4"/>
      <c r="N934" s="38"/>
      <c r="O934" s="4"/>
      <c r="P934" s="4"/>
      <c r="Q934" s="4"/>
      <c r="R934" s="4"/>
      <c r="S934" s="4"/>
      <c r="T934" s="38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/>
      <c r="AM934" s="38"/>
      <c r="AN934" s="4"/>
      <c r="AO934" s="4"/>
      <c r="AP934" s="4"/>
      <c r="AQ934" s="4"/>
      <c r="AR934" s="4"/>
      <c r="AS934" s="4"/>
      <c r="AT934" s="4"/>
      <c r="AU934" s="4"/>
      <c r="AV934" s="4"/>
      <c r="AW934" s="4"/>
      <c r="AX934" s="4"/>
      <c r="AY934" s="4"/>
      <c r="AZ934" s="4"/>
      <c r="BA934" s="4"/>
      <c r="BB934" s="4"/>
      <c r="BC934" s="4"/>
      <c r="BD934" s="4"/>
      <c r="BE934" s="4"/>
      <c r="BF934" s="4"/>
      <c r="BG934" s="4"/>
      <c r="BH934" s="4"/>
      <c r="BI934" s="4"/>
      <c r="BJ934" s="4"/>
      <c r="BK934" s="4"/>
      <c r="BL934" s="4"/>
      <c r="BM934" s="4"/>
      <c r="BN934" s="4"/>
      <c r="BO934" s="4"/>
      <c r="BP934" s="39"/>
      <c r="BQ934" s="39"/>
    </row>
    <row r="935" spans="3:69" ht="15.75" customHeight="1">
      <c r="C935" s="4"/>
      <c r="D935" s="4"/>
      <c r="E935" s="38"/>
      <c r="F935" s="38"/>
      <c r="G935" s="4"/>
      <c r="H935" s="4"/>
      <c r="I935" s="4"/>
      <c r="J935" s="4"/>
      <c r="K935" s="4"/>
      <c r="L935" s="4"/>
      <c r="M935" s="4"/>
      <c r="N935" s="38"/>
      <c r="O935" s="4"/>
      <c r="P935" s="4"/>
      <c r="Q935" s="4"/>
      <c r="R935" s="4"/>
      <c r="S935" s="4"/>
      <c r="T935" s="38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4"/>
      <c r="AM935" s="38"/>
      <c r="AN935" s="4"/>
      <c r="AO935" s="4"/>
      <c r="AP935" s="4"/>
      <c r="AQ935" s="4"/>
      <c r="AR935" s="4"/>
      <c r="AS935" s="4"/>
      <c r="AT935" s="4"/>
      <c r="AU935" s="4"/>
      <c r="AV935" s="4"/>
      <c r="AW935" s="4"/>
      <c r="AX935" s="4"/>
      <c r="AY935" s="4"/>
      <c r="AZ935" s="4"/>
      <c r="BA935" s="4"/>
      <c r="BB935" s="4"/>
      <c r="BC935" s="4"/>
      <c r="BD935" s="4"/>
      <c r="BE935" s="4"/>
      <c r="BF935" s="4"/>
      <c r="BG935" s="4"/>
      <c r="BH935" s="4"/>
      <c r="BI935" s="4"/>
      <c r="BJ935" s="4"/>
      <c r="BK935" s="4"/>
      <c r="BL935" s="4"/>
      <c r="BM935" s="4"/>
      <c r="BN935" s="4"/>
      <c r="BO935" s="4"/>
      <c r="BP935" s="39"/>
      <c r="BQ935" s="39"/>
    </row>
    <row r="936" spans="3:69" ht="15.75" customHeight="1">
      <c r="C936" s="4"/>
      <c r="D936" s="4"/>
      <c r="E936" s="38"/>
      <c r="F936" s="38"/>
      <c r="G936" s="4"/>
      <c r="H936" s="4"/>
      <c r="I936" s="4"/>
      <c r="J936" s="4"/>
      <c r="K936" s="4"/>
      <c r="L936" s="4"/>
      <c r="M936" s="4"/>
      <c r="N936" s="38"/>
      <c r="O936" s="4"/>
      <c r="P936" s="4"/>
      <c r="Q936" s="4"/>
      <c r="R936" s="4"/>
      <c r="S936" s="4"/>
      <c r="T936" s="38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  <c r="AL936" s="4"/>
      <c r="AM936" s="38"/>
      <c r="AN936" s="4"/>
      <c r="AO936" s="4"/>
      <c r="AP936" s="4"/>
      <c r="AQ936" s="4"/>
      <c r="AR936" s="4"/>
      <c r="AS936" s="4"/>
      <c r="AT936" s="4"/>
      <c r="AU936" s="4"/>
      <c r="AV936" s="4"/>
      <c r="AW936" s="4"/>
      <c r="AX936" s="4"/>
      <c r="AY936" s="4"/>
      <c r="AZ936" s="4"/>
      <c r="BA936" s="4"/>
      <c r="BB936" s="4"/>
      <c r="BC936" s="4"/>
      <c r="BD936" s="4"/>
      <c r="BE936" s="4"/>
      <c r="BF936" s="4"/>
      <c r="BG936" s="4"/>
      <c r="BH936" s="4"/>
      <c r="BI936" s="4"/>
      <c r="BJ936" s="4"/>
      <c r="BK936" s="4"/>
      <c r="BL936" s="4"/>
      <c r="BM936" s="4"/>
      <c r="BN936" s="4"/>
      <c r="BO936" s="4"/>
      <c r="BP936" s="39"/>
      <c r="BQ936" s="39"/>
    </row>
    <row r="937" spans="3:69" ht="15.75" customHeight="1">
      <c r="C937" s="4"/>
      <c r="D937" s="4"/>
      <c r="E937" s="38"/>
      <c r="F937" s="38"/>
      <c r="G937" s="4"/>
      <c r="H937" s="4"/>
      <c r="I937" s="4"/>
      <c r="J937" s="4"/>
      <c r="K937" s="4"/>
      <c r="L937" s="4"/>
      <c r="M937" s="4"/>
      <c r="N937" s="38"/>
      <c r="O937" s="4"/>
      <c r="P937" s="4"/>
      <c r="Q937" s="4"/>
      <c r="R937" s="4"/>
      <c r="S937" s="4"/>
      <c r="T937" s="38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  <c r="AM937" s="38"/>
      <c r="AN937" s="4"/>
      <c r="AO937" s="4"/>
      <c r="AP937" s="4"/>
      <c r="AQ937" s="4"/>
      <c r="AR937" s="4"/>
      <c r="AS937" s="4"/>
      <c r="AT937" s="4"/>
      <c r="AU937" s="4"/>
      <c r="AV937" s="4"/>
      <c r="AW937" s="4"/>
      <c r="AX937" s="4"/>
      <c r="AY937" s="4"/>
      <c r="AZ937" s="4"/>
      <c r="BA937" s="4"/>
      <c r="BB937" s="4"/>
      <c r="BC937" s="4"/>
      <c r="BD937" s="4"/>
      <c r="BE937" s="4"/>
      <c r="BF937" s="4"/>
      <c r="BG937" s="4"/>
      <c r="BH937" s="4"/>
      <c r="BI937" s="4"/>
      <c r="BJ937" s="4"/>
      <c r="BK937" s="4"/>
      <c r="BL937" s="4"/>
      <c r="BM937" s="4"/>
      <c r="BN937" s="4"/>
      <c r="BO937" s="4"/>
      <c r="BP937" s="39"/>
      <c r="BQ937" s="39"/>
    </row>
    <row r="938" spans="3:69" ht="15.75" customHeight="1">
      <c r="C938" s="4"/>
      <c r="D938" s="4"/>
      <c r="E938" s="38"/>
      <c r="F938" s="38"/>
      <c r="G938" s="4"/>
      <c r="H938" s="4"/>
      <c r="I938" s="4"/>
      <c r="J938" s="4"/>
      <c r="K938" s="4"/>
      <c r="L938" s="4"/>
      <c r="M938" s="4"/>
      <c r="N938" s="38"/>
      <c r="O938" s="4"/>
      <c r="P938" s="4"/>
      <c r="Q938" s="4"/>
      <c r="R938" s="4"/>
      <c r="S938" s="4"/>
      <c r="T938" s="38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  <c r="AL938" s="4"/>
      <c r="AM938" s="38"/>
      <c r="AN938" s="4"/>
      <c r="AO938" s="4"/>
      <c r="AP938" s="4"/>
      <c r="AQ938" s="4"/>
      <c r="AR938" s="4"/>
      <c r="AS938" s="4"/>
      <c r="AT938" s="4"/>
      <c r="AU938" s="4"/>
      <c r="AV938" s="4"/>
      <c r="AW938" s="4"/>
      <c r="AX938" s="4"/>
      <c r="AY938" s="4"/>
      <c r="AZ938" s="4"/>
      <c r="BA938" s="4"/>
      <c r="BB938" s="4"/>
      <c r="BC938" s="4"/>
      <c r="BD938" s="4"/>
      <c r="BE938" s="4"/>
      <c r="BF938" s="4"/>
      <c r="BG938" s="4"/>
      <c r="BH938" s="4"/>
      <c r="BI938" s="4"/>
      <c r="BJ938" s="4"/>
      <c r="BK938" s="4"/>
      <c r="BL938" s="4"/>
      <c r="BM938" s="4"/>
      <c r="BN938" s="4"/>
      <c r="BO938" s="4"/>
      <c r="BP938" s="39"/>
      <c r="BQ938" s="39"/>
    </row>
    <row r="939" spans="3:69" ht="15.75" customHeight="1">
      <c r="C939" s="4"/>
      <c r="D939" s="4"/>
      <c r="E939" s="38"/>
      <c r="F939" s="38"/>
      <c r="G939" s="4"/>
      <c r="H939" s="4"/>
      <c r="I939" s="4"/>
      <c r="J939" s="4"/>
      <c r="K939" s="4"/>
      <c r="L939" s="4"/>
      <c r="M939" s="4"/>
      <c r="N939" s="38"/>
      <c r="O939" s="4"/>
      <c r="P939" s="4"/>
      <c r="Q939" s="4"/>
      <c r="R939" s="4"/>
      <c r="S939" s="4"/>
      <c r="T939" s="38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  <c r="AL939" s="4"/>
      <c r="AM939" s="38"/>
      <c r="AN939" s="4"/>
      <c r="AO939" s="4"/>
      <c r="AP939" s="4"/>
      <c r="AQ939" s="4"/>
      <c r="AR939" s="4"/>
      <c r="AS939" s="4"/>
      <c r="AT939" s="4"/>
      <c r="AU939" s="4"/>
      <c r="AV939" s="4"/>
      <c r="AW939" s="4"/>
      <c r="AX939" s="4"/>
      <c r="AY939" s="4"/>
      <c r="AZ939" s="4"/>
      <c r="BA939" s="4"/>
      <c r="BB939" s="4"/>
      <c r="BC939" s="4"/>
      <c r="BD939" s="4"/>
      <c r="BE939" s="4"/>
      <c r="BF939" s="4"/>
      <c r="BG939" s="4"/>
      <c r="BH939" s="4"/>
      <c r="BI939" s="4"/>
      <c r="BJ939" s="4"/>
      <c r="BK939" s="4"/>
      <c r="BL939" s="4"/>
      <c r="BM939" s="4"/>
      <c r="BN939" s="4"/>
      <c r="BO939" s="4"/>
      <c r="BP939" s="39"/>
      <c r="BQ939" s="39"/>
    </row>
    <row r="940" spans="3:69" ht="15.75" customHeight="1">
      <c r="C940" s="4"/>
      <c r="D940" s="4"/>
      <c r="E940" s="38"/>
      <c r="F940" s="38"/>
      <c r="G940" s="4"/>
      <c r="H940" s="4"/>
      <c r="I940" s="4"/>
      <c r="J940" s="4"/>
      <c r="K940" s="4"/>
      <c r="L940" s="4"/>
      <c r="M940" s="4"/>
      <c r="N940" s="38"/>
      <c r="O940" s="4"/>
      <c r="P940" s="4"/>
      <c r="Q940" s="4"/>
      <c r="R940" s="4"/>
      <c r="S940" s="4"/>
      <c r="T940" s="38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  <c r="AL940" s="4"/>
      <c r="AM940" s="38"/>
      <c r="AN940" s="4"/>
      <c r="AO940" s="4"/>
      <c r="AP940" s="4"/>
      <c r="AQ940" s="4"/>
      <c r="AR940" s="4"/>
      <c r="AS940" s="4"/>
      <c r="AT940" s="4"/>
      <c r="AU940" s="4"/>
      <c r="AV940" s="4"/>
      <c r="AW940" s="4"/>
      <c r="AX940" s="4"/>
      <c r="AY940" s="4"/>
      <c r="AZ940" s="4"/>
      <c r="BA940" s="4"/>
      <c r="BB940" s="4"/>
      <c r="BC940" s="4"/>
      <c r="BD940" s="4"/>
      <c r="BE940" s="4"/>
      <c r="BF940" s="4"/>
      <c r="BG940" s="4"/>
      <c r="BH940" s="4"/>
      <c r="BI940" s="4"/>
      <c r="BJ940" s="4"/>
      <c r="BK940" s="4"/>
      <c r="BL940" s="4"/>
      <c r="BM940" s="4"/>
      <c r="BN940" s="4"/>
      <c r="BO940" s="4"/>
      <c r="BP940" s="39"/>
      <c r="BQ940" s="39"/>
    </row>
    <row r="941" spans="3:69" ht="15.75" customHeight="1">
      <c r="C941" s="4"/>
      <c r="D941" s="4"/>
      <c r="E941" s="38"/>
      <c r="F941" s="38"/>
      <c r="G941" s="4"/>
      <c r="H941" s="4"/>
      <c r="I941" s="4"/>
      <c r="J941" s="4"/>
      <c r="K941" s="4"/>
      <c r="L941" s="4"/>
      <c r="M941" s="4"/>
      <c r="N941" s="38"/>
      <c r="O941" s="4"/>
      <c r="P941" s="4"/>
      <c r="Q941" s="4"/>
      <c r="R941" s="4"/>
      <c r="S941" s="4"/>
      <c r="T941" s="38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  <c r="AL941" s="4"/>
      <c r="AM941" s="38"/>
      <c r="AN941" s="4"/>
      <c r="AO941" s="4"/>
      <c r="AP941" s="4"/>
      <c r="AQ941" s="4"/>
      <c r="AR941" s="4"/>
      <c r="AS941" s="4"/>
      <c r="AT941" s="4"/>
      <c r="AU941" s="4"/>
      <c r="AV941" s="4"/>
      <c r="AW941" s="4"/>
      <c r="AX941" s="4"/>
      <c r="AY941" s="4"/>
      <c r="AZ941" s="4"/>
      <c r="BA941" s="4"/>
      <c r="BB941" s="4"/>
      <c r="BC941" s="4"/>
      <c r="BD941" s="4"/>
      <c r="BE941" s="4"/>
      <c r="BF941" s="4"/>
      <c r="BG941" s="4"/>
      <c r="BH941" s="4"/>
      <c r="BI941" s="4"/>
      <c r="BJ941" s="4"/>
      <c r="BK941" s="4"/>
      <c r="BL941" s="4"/>
      <c r="BM941" s="4"/>
      <c r="BN941" s="4"/>
      <c r="BO941" s="4"/>
      <c r="BP941" s="39"/>
      <c r="BQ941" s="39"/>
    </row>
    <row r="942" spans="3:69" ht="15.75" customHeight="1">
      <c r="C942" s="4"/>
      <c r="D942" s="4"/>
      <c r="E942" s="38"/>
      <c r="F942" s="38"/>
      <c r="G942" s="4"/>
      <c r="H942" s="4"/>
      <c r="I942" s="4"/>
      <c r="J942" s="4"/>
      <c r="K942" s="4"/>
      <c r="L942" s="4"/>
      <c r="M942" s="4"/>
      <c r="N942" s="38"/>
      <c r="O942" s="4"/>
      <c r="P942" s="4"/>
      <c r="Q942" s="4"/>
      <c r="R942" s="4"/>
      <c r="S942" s="4"/>
      <c r="T942" s="38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  <c r="AL942" s="4"/>
      <c r="AM942" s="38"/>
      <c r="AN942" s="4"/>
      <c r="AO942" s="4"/>
      <c r="AP942" s="4"/>
      <c r="AQ942" s="4"/>
      <c r="AR942" s="4"/>
      <c r="AS942" s="4"/>
      <c r="AT942" s="4"/>
      <c r="AU942" s="4"/>
      <c r="AV942" s="4"/>
      <c r="AW942" s="4"/>
      <c r="AX942" s="4"/>
      <c r="AY942" s="4"/>
      <c r="AZ942" s="4"/>
      <c r="BA942" s="4"/>
      <c r="BB942" s="4"/>
      <c r="BC942" s="4"/>
      <c r="BD942" s="4"/>
      <c r="BE942" s="4"/>
      <c r="BF942" s="4"/>
      <c r="BG942" s="4"/>
      <c r="BH942" s="4"/>
      <c r="BI942" s="4"/>
      <c r="BJ942" s="4"/>
      <c r="BK942" s="4"/>
      <c r="BL942" s="4"/>
      <c r="BM942" s="4"/>
      <c r="BN942" s="4"/>
      <c r="BO942" s="4"/>
      <c r="BP942" s="39"/>
      <c r="BQ942" s="39"/>
    </row>
    <row r="943" spans="3:69" ht="15.75" customHeight="1">
      <c r="C943" s="4"/>
      <c r="D943" s="4"/>
      <c r="E943" s="38"/>
      <c r="F943" s="38"/>
      <c r="G943" s="4"/>
      <c r="H943" s="4"/>
      <c r="I943" s="4"/>
      <c r="J943" s="4"/>
      <c r="K943" s="4"/>
      <c r="L943" s="4"/>
      <c r="M943" s="4"/>
      <c r="N943" s="38"/>
      <c r="O943" s="4"/>
      <c r="P943" s="4"/>
      <c r="Q943" s="4"/>
      <c r="R943" s="4"/>
      <c r="S943" s="4"/>
      <c r="T943" s="38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  <c r="AL943" s="4"/>
      <c r="AM943" s="38"/>
      <c r="AN943" s="4"/>
      <c r="AO943" s="4"/>
      <c r="AP943" s="4"/>
      <c r="AQ943" s="4"/>
      <c r="AR943" s="4"/>
      <c r="AS943" s="4"/>
      <c r="AT943" s="4"/>
      <c r="AU943" s="4"/>
      <c r="AV943" s="4"/>
      <c r="AW943" s="4"/>
      <c r="AX943" s="4"/>
      <c r="AY943" s="4"/>
      <c r="AZ943" s="4"/>
      <c r="BA943" s="4"/>
      <c r="BB943" s="4"/>
      <c r="BC943" s="4"/>
      <c r="BD943" s="4"/>
      <c r="BE943" s="4"/>
      <c r="BF943" s="4"/>
      <c r="BG943" s="4"/>
      <c r="BH943" s="4"/>
      <c r="BI943" s="4"/>
      <c r="BJ943" s="4"/>
      <c r="BK943" s="4"/>
      <c r="BL943" s="4"/>
      <c r="BM943" s="4"/>
      <c r="BN943" s="4"/>
      <c r="BO943" s="4"/>
      <c r="BP943" s="39"/>
      <c r="BQ943" s="39"/>
    </row>
    <row r="944" spans="3:69" ht="15.75" customHeight="1">
      <c r="C944" s="4"/>
      <c r="D944" s="4"/>
      <c r="E944" s="38"/>
      <c r="F944" s="38"/>
      <c r="G944" s="4"/>
      <c r="H944" s="4"/>
      <c r="I944" s="4"/>
      <c r="J944" s="4"/>
      <c r="K944" s="4"/>
      <c r="L944" s="4"/>
      <c r="M944" s="4"/>
      <c r="N944" s="38"/>
      <c r="O944" s="4"/>
      <c r="P944" s="4"/>
      <c r="Q944" s="4"/>
      <c r="R944" s="4"/>
      <c r="S944" s="4"/>
      <c r="T944" s="38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  <c r="AL944" s="4"/>
      <c r="AM944" s="38"/>
      <c r="AN944" s="4"/>
      <c r="AO944" s="4"/>
      <c r="AP944" s="4"/>
      <c r="AQ944" s="4"/>
      <c r="AR944" s="4"/>
      <c r="AS944" s="4"/>
      <c r="AT944" s="4"/>
      <c r="AU944" s="4"/>
      <c r="AV944" s="4"/>
      <c r="AW944" s="4"/>
      <c r="AX944" s="4"/>
      <c r="AY944" s="4"/>
      <c r="AZ944" s="4"/>
      <c r="BA944" s="4"/>
      <c r="BB944" s="4"/>
      <c r="BC944" s="4"/>
      <c r="BD944" s="4"/>
      <c r="BE944" s="4"/>
      <c r="BF944" s="4"/>
      <c r="BG944" s="4"/>
      <c r="BH944" s="4"/>
      <c r="BI944" s="4"/>
      <c r="BJ944" s="4"/>
      <c r="BK944" s="4"/>
      <c r="BL944" s="4"/>
      <c r="BM944" s="4"/>
      <c r="BN944" s="4"/>
      <c r="BO944" s="4"/>
      <c r="BP944" s="39"/>
      <c r="BQ944" s="39"/>
    </row>
    <row r="945" spans="3:69" ht="15.75" customHeight="1">
      <c r="C945" s="4"/>
      <c r="D945" s="4"/>
      <c r="E945" s="38"/>
      <c r="F945" s="38"/>
      <c r="G945" s="4"/>
      <c r="H945" s="4"/>
      <c r="I945" s="4"/>
      <c r="J945" s="4"/>
      <c r="K945" s="4"/>
      <c r="L945" s="4"/>
      <c r="M945" s="4"/>
      <c r="N945" s="38"/>
      <c r="O945" s="4"/>
      <c r="P945" s="4"/>
      <c r="Q945" s="4"/>
      <c r="R945" s="4"/>
      <c r="S945" s="4"/>
      <c r="T945" s="38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  <c r="AL945" s="4"/>
      <c r="AM945" s="38"/>
      <c r="AN945" s="4"/>
      <c r="AO945" s="4"/>
      <c r="AP945" s="4"/>
      <c r="AQ945" s="4"/>
      <c r="AR945" s="4"/>
      <c r="AS945" s="4"/>
      <c r="AT945" s="4"/>
      <c r="AU945" s="4"/>
      <c r="AV945" s="4"/>
      <c r="AW945" s="4"/>
      <c r="AX945" s="4"/>
      <c r="AY945" s="4"/>
      <c r="AZ945" s="4"/>
      <c r="BA945" s="4"/>
      <c r="BB945" s="4"/>
      <c r="BC945" s="4"/>
      <c r="BD945" s="4"/>
      <c r="BE945" s="4"/>
      <c r="BF945" s="4"/>
      <c r="BG945" s="4"/>
      <c r="BH945" s="4"/>
      <c r="BI945" s="4"/>
      <c r="BJ945" s="4"/>
      <c r="BK945" s="4"/>
      <c r="BL945" s="4"/>
      <c r="BM945" s="4"/>
      <c r="BN945" s="4"/>
      <c r="BO945" s="4"/>
      <c r="BP945" s="39"/>
      <c r="BQ945" s="39"/>
    </row>
    <row r="946" spans="3:69" ht="15.75" customHeight="1">
      <c r="C946" s="4"/>
      <c r="D946" s="4"/>
      <c r="E946" s="38"/>
      <c r="F946" s="38"/>
      <c r="G946" s="4"/>
      <c r="H946" s="4"/>
      <c r="I946" s="4"/>
      <c r="J946" s="4"/>
      <c r="K946" s="4"/>
      <c r="L946" s="4"/>
      <c r="M946" s="4"/>
      <c r="N946" s="38"/>
      <c r="O946" s="4"/>
      <c r="P946" s="4"/>
      <c r="Q946" s="4"/>
      <c r="R946" s="4"/>
      <c r="S946" s="4"/>
      <c r="T946" s="38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  <c r="AL946" s="4"/>
      <c r="AM946" s="38"/>
      <c r="AN946" s="4"/>
      <c r="AO946" s="4"/>
      <c r="AP946" s="4"/>
      <c r="AQ946" s="4"/>
      <c r="AR946" s="4"/>
      <c r="AS946" s="4"/>
      <c r="AT946" s="4"/>
      <c r="AU946" s="4"/>
      <c r="AV946" s="4"/>
      <c r="AW946" s="4"/>
      <c r="AX946" s="4"/>
      <c r="AY946" s="4"/>
      <c r="AZ946" s="4"/>
      <c r="BA946" s="4"/>
      <c r="BB946" s="4"/>
      <c r="BC946" s="4"/>
      <c r="BD946" s="4"/>
      <c r="BE946" s="4"/>
      <c r="BF946" s="4"/>
      <c r="BG946" s="4"/>
      <c r="BH946" s="4"/>
      <c r="BI946" s="4"/>
      <c r="BJ946" s="4"/>
      <c r="BK946" s="4"/>
      <c r="BL946" s="4"/>
      <c r="BM946" s="4"/>
      <c r="BN946" s="4"/>
      <c r="BO946" s="4"/>
      <c r="BP946" s="39"/>
      <c r="BQ946" s="39"/>
    </row>
    <row r="947" spans="3:69" ht="15.75" customHeight="1">
      <c r="C947" s="4"/>
      <c r="D947" s="4"/>
      <c r="E947" s="38"/>
      <c r="F947" s="38"/>
      <c r="G947" s="4"/>
      <c r="H947" s="4"/>
      <c r="I947" s="4"/>
      <c r="J947" s="4"/>
      <c r="K947" s="4"/>
      <c r="L947" s="4"/>
      <c r="M947" s="4"/>
      <c r="N947" s="38"/>
      <c r="O947" s="4"/>
      <c r="P947" s="4"/>
      <c r="Q947" s="4"/>
      <c r="R947" s="4"/>
      <c r="S947" s="4"/>
      <c r="T947" s="38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  <c r="AL947" s="4"/>
      <c r="AM947" s="38"/>
      <c r="AN947" s="4"/>
      <c r="AO947" s="4"/>
      <c r="AP947" s="4"/>
      <c r="AQ947" s="4"/>
      <c r="AR947" s="4"/>
      <c r="AS947" s="4"/>
      <c r="AT947" s="4"/>
      <c r="AU947" s="4"/>
      <c r="AV947" s="4"/>
      <c r="AW947" s="4"/>
      <c r="AX947" s="4"/>
      <c r="AY947" s="4"/>
      <c r="AZ947" s="4"/>
      <c r="BA947" s="4"/>
      <c r="BB947" s="4"/>
      <c r="BC947" s="4"/>
      <c r="BD947" s="4"/>
      <c r="BE947" s="4"/>
      <c r="BF947" s="4"/>
      <c r="BG947" s="4"/>
      <c r="BH947" s="4"/>
      <c r="BI947" s="4"/>
      <c r="BJ947" s="4"/>
      <c r="BK947" s="4"/>
      <c r="BL947" s="4"/>
      <c r="BM947" s="4"/>
      <c r="BN947" s="4"/>
      <c r="BO947" s="4"/>
      <c r="BP947" s="39"/>
      <c r="BQ947" s="39"/>
    </row>
    <row r="948" spans="3:69" ht="15.75" customHeight="1">
      <c r="C948" s="4"/>
      <c r="D948" s="4"/>
      <c r="E948" s="38"/>
      <c r="F948" s="38"/>
      <c r="G948" s="4"/>
      <c r="H948" s="4"/>
      <c r="I948" s="4"/>
      <c r="J948" s="4"/>
      <c r="K948" s="4"/>
      <c r="L948" s="4"/>
      <c r="M948" s="4"/>
      <c r="N948" s="38"/>
      <c r="O948" s="4"/>
      <c r="P948" s="4"/>
      <c r="Q948" s="4"/>
      <c r="R948" s="4"/>
      <c r="S948" s="4"/>
      <c r="T948" s="38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  <c r="AL948" s="4"/>
      <c r="AM948" s="38"/>
      <c r="AN948" s="4"/>
      <c r="AO948" s="4"/>
      <c r="AP948" s="4"/>
      <c r="AQ948" s="4"/>
      <c r="AR948" s="4"/>
      <c r="AS948" s="4"/>
      <c r="AT948" s="4"/>
      <c r="AU948" s="4"/>
      <c r="AV948" s="4"/>
      <c r="AW948" s="4"/>
      <c r="AX948" s="4"/>
      <c r="AY948" s="4"/>
      <c r="AZ948" s="4"/>
      <c r="BA948" s="4"/>
      <c r="BB948" s="4"/>
      <c r="BC948" s="4"/>
      <c r="BD948" s="4"/>
      <c r="BE948" s="4"/>
      <c r="BF948" s="4"/>
      <c r="BG948" s="4"/>
      <c r="BH948" s="4"/>
      <c r="BI948" s="4"/>
      <c r="BJ948" s="4"/>
      <c r="BK948" s="4"/>
      <c r="BL948" s="4"/>
      <c r="BM948" s="4"/>
      <c r="BN948" s="4"/>
      <c r="BO948" s="4"/>
      <c r="BP948" s="39"/>
      <c r="BQ948" s="39"/>
    </row>
    <row r="949" spans="3:69" ht="15.75" customHeight="1">
      <c r="C949" s="4"/>
      <c r="D949" s="4"/>
      <c r="E949" s="38"/>
      <c r="F949" s="38"/>
      <c r="G949" s="4"/>
      <c r="H949" s="4"/>
      <c r="I949" s="4"/>
      <c r="J949" s="4"/>
      <c r="K949" s="4"/>
      <c r="L949" s="4"/>
      <c r="M949" s="4"/>
      <c r="N949" s="38"/>
      <c r="O949" s="4"/>
      <c r="P949" s="4"/>
      <c r="Q949" s="4"/>
      <c r="R949" s="4"/>
      <c r="S949" s="4"/>
      <c r="T949" s="38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  <c r="AL949" s="4"/>
      <c r="AM949" s="38"/>
      <c r="AN949" s="4"/>
      <c r="AO949" s="4"/>
      <c r="AP949" s="4"/>
      <c r="AQ949" s="4"/>
      <c r="AR949" s="4"/>
      <c r="AS949" s="4"/>
      <c r="AT949" s="4"/>
      <c r="AU949" s="4"/>
      <c r="AV949" s="4"/>
      <c r="AW949" s="4"/>
      <c r="AX949" s="4"/>
      <c r="AY949" s="4"/>
      <c r="AZ949" s="4"/>
      <c r="BA949" s="4"/>
      <c r="BB949" s="4"/>
      <c r="BC949" s="4"/>
      <c r="BD949" s="4"/>
      <c r="BE949" s="4"/>
      <c r="BF949" s="4"/>
      <c r="BG949" s="4"/>
      <c r="BH949" s="4"/>
      <c r="BI949" s="4"/>
      <c r="BJ949" s="4"/>
      <c r="BK949" s="4"/>
      <c r="BL949" s="4"/>
      <c r="BM949" s="4"/>
      <c r="BN949" s="4"/>
      <c r="BO949" s="4"/>
      <c r="BP949" s="39"/>
      <c r="BQ949" s="39"/>
    </row>
    <row r="950" spans="3:69" ht="15.75" customHeight="1">
      <c r="C950" s="4"/>
      <c r="D950" s="4"/>
      <c r="E950" s="38"/>
      <c r="F950" s="38"/>
      <c r="G950" s="4"/>
      <c r="H950" s="4"/>
      <c r="I950" s="4"/>
      <c r="J950" s="4"/>
      <c r="K950" s="4"/>
      <c r="L950" s="4"/>
      <c r="M950" s="4"/>
      <c r="N950" s="38"/>
      <c r="O950" s="4"/>
      <c r="P950" s="4"/>
      <c r="Q950" s="4"/>
      <c r="R950" s="4"/>
      <c r="S950" s="4"/>
      <c r="T950" s="38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  <c r="AL950" s="4"/>
      <c r="AM950" s="38"/>
      <c r="AN950" s="4"/>
      <c r="AO950" s="4"/>
      <c r="AP950" s="4"/>
      <c r="AQ950" s="4"/>
      <c r="AR950" s="4"/>
      <c r="AS950" s="4"/>
      <c r="AT950" s="4"/>
      <c r="AU950" s="4"/>
      <c r="AV950" s="4"/>
      <c r="AW950" s="4"/>
      <c r="AX950" s="4"/>
      <c r="AY950" s="4"/>
      <c r="AZ950" s="4"/>
      <c r="BA950" s="4"/>
      <c r="BB950" s="4"/>
      <c r="BC950" s="4"/>
      <c r="BD950" s="4"/>
      <c r="BE950" s="4"/>
      <c r="BF950" s="4"/>
      <c r="BG950" s="4"/>
      <c r="BH950" s="4"/>
      <c r="BI950" s="4"/>
      <c r="BJ950" s="4"/>
      <c r="BK950" s="4"/>
      <c r="BL950" s="4"/>
      <c r="BM950" s="4"/>
      <c r="BN950" s="4"/>
      <c r="BO950" s="4"/>
      <c r="BP950" s="39"/>
      <c r="BQ950" s="39"/>
    </row>
    <row r="951" spans="3:69" ht="15.75" customHeight="1">
      <c r="C951" s="4"/>
      <c r="D951" s="4"/>
      <c r="E951" s="38"/>
      <c r="F951" s="38"/>
      <c r="G951" s="4"/>
      <c r="H951" s="4"/>
      <c r="I951" s="4"/>
      <c r="J951" s="4"/>
      <c r="K951" s="4"/>
      <c r="L951" s="4"/>
      <c r="M951" s="4"/>
      <c r="N951" s="38"/>
      <c r="O951" s="4"/>
      <c r="P951" s="4"/>
      <c r="Q951" s="4"/>
      <c r="R951" s="4"/>
      <c r="S951" s="4"/>
      <c r="T951" s="38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/>
      <c r="AM951" s="38"/>
      <c r="AN951" s="4"/>
      <c r="AO951" s="4"/>
      <c r="AP951" s="4"/>
      <c r="AQ951" s="4"/>
      <c r="AR951" s="4"/>
      <c r="AS951" s="4"/>
      <c r="AT951" s="4"/>
      <c r="AU951" s="4"/>
      <c r="AV951" s="4"/>
      <c r="AW951" s="4"/>
      <c r="AX951" s="4"/>
      <c r="AY951" s="4"/>
      <c r="AZ951" s="4"/>
      <c r="BA951" s="4"/>
      <c r="BB951" s="4"/>
      <c r="BC951" s="4"/>
      <c r="BD951" s="4"/>
      <c r="BE951" s="4"/>
      <c r="BF951" s="4"/>
      <c r="BG951" s="4"/>
      <c r="BH951" s="4"/>
      <c r="BI951" s="4"/>
      <c r="BJ951" s="4"/>
      <c r="BK951" s="4"/>
      <c r="BL951" s="4"/>
      <c r="BM951" s="4"/>
      <c r="BN951" s="4"/>
      <c r="BO951" s="4"/>
      <c r="BP951" s="39"/>
      <c r="BQ951" s="39"/>
    </row>
    <row r="952" spans="3:69" ht="15.75" customHeight="1">
      <c r="C952" s="4"/>
      <c r="D952" s="4"/>
      <c r="E952" s="38"/>
      <c r="F952" s="38"/>
      <c r="G952" s="4"/>
      <c r="H952" s="4"/>
      <c r="I952" s="4"/>
      <c r="J952" s="4"/>
      <c r="K952" s="4"/>
      <c r="L952" s="4"/>
      <c r="M952" s="4"/>
      <c r="N952" s="38"/>
      <c r="O952" s="4"/>
      <c r="P952" s="4"/>
      <c r="Q952" s="4"/>
      <c r="R952" s="4"/>
      <c r="S952" s="4"/>
      <c r="T952" s="38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  <c r="AL952" s="4"/>
      <c r="AM952" s="38"/>
      <c r="AN952" s="4"/>
      <c r="AO952" s="4"/>
      <c r="AP952" s="4"/>
      <c r="AQ952" s="4"/>
      <c r="AR952" s="4"/>
      <c r="AS952" s="4"/>
      <c r="AT952" s="4"/>
      <c r="AU952" s="4"/>
      <c r="AV952" s="4"/>
      <c r="AW952" s="4"/>
      <c r="AX952" s="4"/>
      <c r="AY952" s="4"/>
      <c r="AZ952" s="4"/>
      <c r="BA952" s="4"/>
      <c r="BB952" s="4"/>
      <c r="BC952" s="4"/>
      <c r="BD952" s="4"/>
      <c r="BE952" s="4"/>
      <c r="BF952" s="4"/>
      <c r="BG952" s="4"/>
      <c r="BH952" s="4"/>
      <c r="BI952" s="4"/>
      <c r="BJ952" s="4"/>
      <c r="BK952" s="4"/>
      <c r="BL952" s="4"/>
      <c r="BM952" s="4"/>
      <c r="BN952" s="4"/>
      <c r="BO952" s="4"/>
      <c r="BP952" s="39"/>
      <c r="BQ952" s="39"/>
    </row>
    <row r="953" spans="3:69" ht="15.75" customHeight="1">
      <c r="C953" s="4"/>
      <c r="D953" s="4"/>
      <c r="E953" s="38"/>
      <c r="F953" s="38"/>
      <c r="G953" s="4"/>
      <c r="H953" s="4"/>
      <c r="I953" s="4"/>
      <c r="J953" s="4"/>
      <c r="K953" s="4"/>
      <c r="L953" s="4"/>
      <c r="M953" s="4"/>
      <c r="N953" s="38"/>
      <c r="O953" s="4"/>
      <c r="P953" s="4"/>
      <c r="Q953" s="4"/>
      <c r="R953" s="4"/>
      <c r="S953" s="4"/>
      <c r="T953" s="38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  <c r="AL953" s="4"/>
      <c r="AM953" s="38"/>
      <c r="AN953" s="4"/>
      <c r="AO953" s="4"/>
      <c r="AP953" s="4"/>
      <c r="AQ953" s="4"/>
      <c r="AR953" s="4"/>
      <c r="AS953" s="4"/>
      <c r="AT953" s="4"/>
      <c r="AU953" s="4"/>
      <c r="AV953" s="4"/>
      <c r="AW953" s="4"/>
      <c r="AX953" s="4"/>
      <c r="AY953" s="4"/>
      <c r="AZ953" s="4"/>
      <c r="BA953" s="4"/>
      <c r="BB953" s="4"/>
      <c r="BC953" s="4"/>
      <c r="BD953" s="4"/>
      <c r="BE953" s="4"/>
      <c r="BF953" s="4"/>
      <c r="BG953" s="4"/>
      <c r="BH953" s="4"/>
      <c r="BI953" s="4"/>
      <c r="BJ953" s="4"/>
      <c r="BK953" s="4"/>
      <c r="BL953" s="4"/>
      <c r="BM953" s="4"/>
      <c r="BN953" s="4"/>
      <c r="BO953" s="4"/>
      <c r="BP953" s="39"/>
      <c r="BQ953" s="39"/>
    </row>
    <row r="954" spans="3:69" ht="15.75" customHeight="1">
      <c r="C954" s="4"/>
      <c r="D954" s="4"/>
      <c r="E954" s="38"/>
      <c r="F954" s="38"/>
      <c r="G954" s="4"/>
      <c r="H954" s="4"/>
      <c r="I954" s="4"/>
      <c r="J954" s="4"/>
      <c r="K954" s="4"/>
      <c r="L954" s="4"/>
      <c r="M954" s="4"/>
      <c r="N954" s="38"/>
      <c r="O954" s="4"/>
      <c r="P954" s="4"/>
      <c r="Q954" s="4"/>
      <c r="R954" s="4"/>
      <c r="S954" s="4"/>
      <c r="T954" s="38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  <c r="AL954" s="4"/>
      <c r="AM954" s="38"/>
      <c r="AN954" s="4"/>
      <c r="AO954" s="4"/>
      <c r="AP954" s="4"/>
      <c r="AQ954" s="4"/>
      <c r="AR954" s="4"/>
      <c r="AS954" s="4"/>
      <c r="AT954" s="4"/>
      <c r="AU954" s="4"/>
      <c r="AV954" s="4"/>
      <c r="AW954" s="4"/>
      <c r="AX954" s="4"/>
      <c r="AY954" s="4"/>
      <c r="AZ954" s="4"/>
      <c r="BA954" s="4"/>
      <c r="BB954" s="4"/>
      <c r="BC954" s="4"/>
      <c r="BD954" s="4"/>
      <c r="BE954" s="4"/>
      <c r="BF954" s="4"/>
      <c r="BG954" s="4"/>
      <c r="BH954" s="4"/>
      <c r="BI954" s="4"/>
      <c r="BJ954" s="4"/>
      <c r="BK954" s="4"/>
      <c r="BL954" s="4"/>
      <c r="BM954" s="4"/>
      <c r="BN954" s="4"/>
      <c r="BO954" s="4"/>
      <c r="BP954" s="39"/>
      <c r="BQ954" s="39"/>
    </row>
    <row r="955" spans="3:69" ht="15.75" customHeight="1">
      <c r="C955" s="4"/>
      <c r="D955" s="4"/>
      <c r="E955" s="38"/>
      <c r="F955" s="38"/>
      <c r="G955" s="4"/>
      <c r="H955" s="4"/>
      <c r="I955" s="4"/>
      <c r="J955" s="4"/>
      <c r="K955" s="4"/>
      <c r="L955" s="4"/>
      <c r="M955" s="4"/>
      <c r="N955" s="38"/>
      <c r="O955" s="4"/>
      <c r="P955" s="4"/>
      <c r="Q955" s="4"/>
      <c r="R955" s="4"/>
      <c r="S955" s="4"/>
      <c r="T955" s="38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  <c r="AL955" s="4"/>
      <c r="AM955" s="38"/>
      <c r="AN955" s="4"/>
      <c r="AO955" s="4"/>
      <c r="AP955" s="4"/>
      <c r="AQ955" s="4"/>
      <c r="AR955" s="4"/>
      <c r="AS955" s="4"/>
      <c r="AT955" s="4"/>
      <c r="AU955" s="4"/>
      <c r="AV955" s="4"/>
      <c r="AW955" s="4"/>
      <c r="AX955" s="4"/>
      <c r="AY955" s="4"/>
      <c r="AZ955" s="4"/>
      <c r="BA955" s="4"/>
      <c r="BB955" s="4"/>
      <c r="BC955" s="4"/>
      <c r="BD955" s="4"/>
      <c r="BE955" s="4"/>
      <c r="BF955" s="4"/>
      <c r="BG955" s="4"/>
      <c r="BH955" s="4"/>
      <c r="BI955" s="4"/>
      <c r="BJ955" s="4"/>
      <c r="BK955" s="4"/>
      <c r="BL955" s="4"/>
      <c r="BM955" s="4"/>
      <c r="BN955" s="4"/>
      <c r="BO955" s="4"/>
      <c r="BP955" s="39"/>
      <c r="BQ955" s="39"/>
    </row>
    <row r="956" spans="3:69" ht="15.75" customHeight="1">
      <c r="C956" s="4"/>
      <c r="D956" s="4"/>
      <c r="E956" s="38"/>
      <c r="F956" s="38"/>
      <c r="G956" s="4"/>
      <c r="H956" s="4"/>
      <c r="I956" s="4"/>
      <c r="J956" s="4"/>
      <c r="K956" s="4"/>
      <c r="L956" s="4"/>
      <c r="M956" s="4"/>
      <c r="N956" s="38"/>
      <c r="O956" s="4"/>
      <c r="P956" s="4"/>
      <c r="Q956" s="4"/>
      <c r="R956" s="4"/>
      <c r="S956" s="4"/>
      <c r="T956" s="38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  <c r="AL956" s="4"/>
      <c r="AM956" s="38"/>
      <c r="AN956" s="4"/>
      <c r="AO956" s="4"/>
      <c r="AP956" s="4"/>
      <c r="AQ956" s="4"/>
      <c r="AR956" s="4"/>
      <c r="AS956" s="4"/>
      <c r="AT956" s="4"/>
      <c r="AU956" s="4"/>
      <c r="AV956" s="4"/>
      <c r="AW956" s="4"/>
      <c r="AX956" s="4"/>
      <c r="AY956" s="4"/>
      <c r="AZ956" s="4"/>
      <c r="BA956" s="4"/>
      <c r="BB956" s="4"/>
      <c r="BC956" s="4"/>
      <c r="BD956" s="4"/>
      <c r="BE956" s="4"/>
      <c r="BF956" s="4"/>
      <c r="BG956" s="4"/>
      <c r="BH956" s="4"/>
      <c r="BI956" s="4"/>
      <c r="BJ956" s="4"/>
      <c r="BK956" s="4"/>
      <c r="BL956" s="4"/>
      <c r="BM956" s="4"/>
      <c r="BN956" s="4"/>
      <c r="BO956" s="4"/>
      <c r="BP956" s="39"/>
      <c r="BQ956" s="39"/>
    </row>
    <row r="957" spans="3:69" ht="15.75" customHeight="1">
      <c r="C957" s="4"/>
      <c r="D957" s="4"/>
      <c r="E957" s="38"/>
      <c r="F957" s="38"/>
      <c r="G957" s="4"/>
      <c r="H957" s="4"/>
      <c r="I957" s="4"/>
      <c r="J957" s="4"/>
      <c r="K957" s="4"/>
      <c r="L957" s="4"/>
      <c r="M957" s="4"/>
      <c r="N957" s="38"/>
      <c r="O957" s="4"/>
      <c r="P957" s="4"/>
      <c r="Q957" s="4"/>
      <c r="R957" s="4"/>
      <c r="S957" s="4"/>
      <c r="T957" s="38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  <c r="AL957" s="4"/>
      <c r="AM957" s="38"/>
      <c r="AN957" s="4"/>
      <c r="AO957" s="4"/>
      <c r="AP957" s="4"/>
      <c r="AQ957" s="4"/>
      <c r="AR957" s="4"/>
      <c r="AS957" s="4"/>
      <c r="AT957" s="4"/>
      <c r="AU957" s="4"/>
      <c r="AV957" s="4"/>
      <c r="AW957" s="4"/>
      <c r="AX957" s="4"/>
      <c r="AY957" s="4"/>
      <c r="AZ957" s="4"/>
      <c r="BA957" s="4"/>
      <c r="BB957" s="4"/>
      <c r="BC957" s="4"/>
      <c r="BD957" s="4"/>
      <c r="BE957" s="4"/>
      <c r="BF957" s="4"/>
      <c r="BG957" s="4"/>
      <c r="BH957" s="4"/>
      <c r="BI957" s="4"/>
      <c r="BJ957" s="4"/>
      <c r="BK957" s="4"/>
      <c r="BL957" s="4"/>
      <c r="BM957" s="4"/>
      <c r="BN957" s="4"/>
      <c r="BO957" s="4"/>
      <c r="BP957" s="39"/>
      <c r="BQ957" s="39"/>
    </row>
    <row r="958" spans="3:69" ht="15.75" customHeight="1">
      <c r="C958" s="4"/>
      <c r="D958" s="4"/>
      <c r="E958" s="38"/>
      <c r="F958" s="38"/>
      <c r="G958" s="4"/>
      <c r="H958" s="4"/>
      <c r="I958" s="4"/>
      <c r="J958" s="4"/>
      <c r="K958" s="4"/>
      <c r="L958" s="4"/>
      <c r="M958" s="4"/>
      <c r="N958" s="38"/>
      <c r="O958" s="4"/>
      <c r="P958" s="4"/>
      <c r="Q958" s="4"/>
      <c r="R958" s="4"/>
      <c r="S958" s="4"/>
      <c r="T958" s="38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  <c r="AL958" s="4"/>
      <c r="AM958" s="38"/>
      <c r="AN958" s="4"/>
      <c r="AO958" s="4"/>
      <c r="AP958" s="4"/>
      <c r="AQ958" s="4"/>
      <c r="AR958" s="4"/>
      <c r="AS958" s="4"/>
      <c r="AT958" s="4"/>
      <c r="AU958" s="4"/>
      <c r="AV958" s="4"/>
      <c r="AW958" s="4"/>
      <c r="AX958" s="4"/>
      <c r="AY958" s="4"/>
      <c r="AZ958" s="4"/>
      <c r="BA958" s="4"/>
      <c r="BB958" s="4"/>
      <c r="BC958" s="4"/>
      <c r="BD958" s="4"/>
      <c r="BE958" s="4"/>
      <c r="BF958" s="4"/>
      <c r="BG958" s="4"/>
      <c r="BH958" s="4"/>
      <c r="BI958" s="4"/>
      <c r="BJ958" s="4"/>
      <c r="BK958" s="4"/>
      <c r="BL958" s="4"/>
      <c r="BM958" s="4"/>
      <c r="BN958" s="4"/>
      <c r="BO958" s="4"/>
      <c r="BP958" s="39"/>
      <c r="BQ958" s="39"/>
    </row>
    <row r="959" spans="3:69" ht="15.75" customHeight="1">
      <c r="C959" s="4"/>
      <c r="D959" s="4"/>
      <c r="E959" s="38"/>
      <c r="F959" s="38"/>
      <c r="G959" s="4"/>
      <c r="H959" s="4"/>
      <c r="I959" s="4"/>
      <c r="J959" s="4"/>
      <c r="K959" s="4"/>
      <c r="L959" s="4"/>
      <c r="M959" s="4"/>
      <c r="N959" s="38"/>
      <c r="O959" s="4"/>
      <c r="P959" s="4"/>
      <c r="Q959" s="4"/>
      <c r="R959" s="4"/>
      <c r="S959" s="4"/>
      <c r="T959" s="38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  <c r="AL959" s="4"/>
      <c r="AM959" s="38"/>
      <c r="AN959" s="4"/>
      <c r="AO959" s="4"/>
      <c r="AP959" s="4"/>
      <c r="AQ959" s="4"/>
      <c r="AR959" s="4"/>
      <c r="AS959" s="4"/>
      <c r="AT959" s="4"/>
      <c r="AU959" s="4"/>
      <c r="AV959" s="4"/>
      <c r="AW959" s="4"/>
      <c r="AX959" s="4"/>
      <c r="AY959" s="4"/>
      <c r="AZ959" s="4"/>
      <c r="BA959" s="4"/>
      <c r="BB959" s="4"/>
      <c r="BC959" s="4"/>
      <c r="BD959" s="4"/>
      <c r="BE959" s="4"/>
      <c r="BF959" s="4"/>
      <c r="BG959" s="4"/>
      <c r="BH959" s="4"/>
      <c r="BI959" s="4"/>
      <c r="BJ959" s="4"/>
      <c r="BK959" s="4"/>
      <c r="BL959" s="4"/>
      <c r="BM959" s="4"/>
      <c r="BN959" s="4"/>
      <c r="BO959" s="4"/>
      <c r="BP959" s="39"/>
      <c r="BQ959" s="39"/>
    </row>
    <row r="960" spans="3:69" ht="15.75" customHeight="1">
      <c r="C960" s="4"/>
      <c r="D960" s="4"/>
      <c r="E960" s="38"/>
      <c r="F960" s="38"/>
      <c r="G960" s="4"/>
      <c r="H960" s="4"/>
      <c r="I960" s="4"/>
      <c r="J960" s="4"/>
      <c r="K960" s="4"/>
      <c r="L960" s="4"/>
      <c r="M960" s="4"/>
      <c r="N960" s="38"/>
      <c r="O960" s="4"/>
      <c r="P960" s="4"/>
      <c r="Q960" s="4"/>
      <c r="R960" s="4"/>
      <c r="S960" s="4"/>
      <c r="T960" s="38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  <c r="AL960" s="4"/>
      <c r="AM960" s="38"/>
      <c r="AN960" s="4"/>
      <c r="AO960" s="4"/>
      <c r="AP960" s="4"/>
      <c r="AQ960" s="4"/>
      <c r="AR960" s="4"/>
      <c r="AS960" s="4"/>
      <c r="AT960" s="4"/>
      <c r="AU960" s="4"/>
      <c r="AV960" s="4"/>
      <c r="AW960" s="4"/>
      <c r="AX960" s="4"/>
      <c r="AY960" s="4"/>
      <c r="AZ960" s="4"/>
      <c r="BA960" s="4"/>
      <c r="BB960" s="4"/>
      <c r="BC960" s="4"/>
      <c r="BD960" s="4"/>
      <c r="BE960" s="4"/>
      <c r="BF960" s="4"/>
      <c r="BG960" s="4"/>
      <c r="BH960" s="4"/>
      <c r="BI960" s="4"/>
      <c r="BJ960" s="4"/>
      <c r="BK960" s="4"/>
      <c r="BL960" s="4"/>
      <c r="BM960" s="4"/>
      <c r="BN960" s="4"/>
      <c r="BO960" s="4"/>
      <c r="BP960" s="39"/>
      <c r="BQ960" s="39"/>
    </row>
    <row r="961" spans="3:69" ht="15.75" customHeight="1">
      <c r="C961" s="4"/>
      <c r="D961" s="4"/>
      <c r="E961" s="38"/>
      <c r="F961" s="38"/>
      <c r="G961" s="4"/>
      <c r="H961" s="4"/>
      <c r="I961" s="4"/>
      <c r="J961" s="4"/>
      <c r="K961" s="4"/>
      <c r="L961" s="4"/>
      <c r="M961" s="4"/>
      <c r="N961" s="38"/>
      <c r="O961" s="4"/>
      <c r="P961" s="4"/>
      <c r="Q961" s="4"/>
      <c r="R961" s="4"/>
      <c r="S961" s="4"/>
      <c r="T961" s="38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  <c r="AL961" s="4"/>
      <c r="AM961" s="38"/>
      <c r="AN961" s="4"/>
      <c r="AO961" s="4"/>
      <c r="AP961" s="4"/>
      <c r="AQ961" s="4"/>
      <c r="AR961" s="4"/>
      <c r="AS961" s="4"/>
      <c r="AT961" s="4"/>
      <c r="AU961" s="4"/>
      <c r="AV961" s="4"/>
      <c r="AW961" s="4"/>
      <c r="AX961" s="4"/>
      <c r="AY961" s="4"/>
      <c r="AZ961" s="4"/>
      <c r="BA961" s="4"/>
      <c r="BB961" s="4"/>
      <c r="BC961" s="4"/>
      <c r="BD961" s="4"/>
      <c r="BE961" s="4"/>
      <c r="BF961" s="4"/>
      <c r="BG961" s="4"/>
      <c r="BH961" s="4"/>
      <c r="BI961" s="4"/>
      <c r="BJ961" s="4"/>
      <c r="BK961" s="4"/>
      <c r="BL961" s="4"/>
      <c r="BM961" s="4"/>
      <c r="BN961" s="4"/>
      <c r="BO961" s="4"/>
      <c r="BP961" s="39"/>
      <c r="BQ961" s="39"/>
    </row>
    <row r="962" spans="3:69" ht="15.75" customHeight="1">
      <c r="C962" s="4"/>
      <c r="D962" s="4"/>
      <c r="E962" s="38"/>
      <c r="F962" s="38"/>
      <c r="G962" s="4"/>
      <c r="H962" s="4"/>
      <c r="I962" s="4"/>
      <c r="J962" s="4"/>
      <c r="K962" s="4"/>
      <c r="L962" s="4"/>
      <c r="M962" s="4"/>
      <c r="N962" s="38"/>
      <c r="O962" s="4"/>
      <c r="P962" s="4"/>
      <c r="Q962" s="4"/>
      <c r="R962" s="4"/>
      <c r="S962" s="4"/>
      <c r="T962" s="38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  <c r="AL962" s="4"/>
      <c r="AM962" s="38"/>
      <c r="AN962" s="4"/>
      <c r="AO962" s="4"/>
      <c r="AP962" s="4"/>
      <c r="AQ962" s="4"/>
      <c r="AR962" s="4"/>
      <c r="AS962" s="4"/>
      <c r="AT962" s="4"/>
      <c r="AU962" s="4"/>
      <c r="AV962" s="4"/>
      <c r="AW962" s="4"/>
      <c r="AX962" s="4"/>
      <c r="AY962" s="4"/>
      <c r="AZ962" s="4"/>
      <c r="BA962" s="4"/>
      <c r="BB962" s="4"/>
      <c r="BC962" s="4"/>
      <c r="BD962" s="4"/>
      <c r="BE962" s="4"/>
      <c r="BF962" s="4"/>
      <c r="BG962" s="4"/>
      <c r="BH962" s="4"/>
      <c r="BI962" s="4"/>
      <c r="BJ962" s="4"/>
      <c r="BK962" s="4"/>
      <c r="BL962" s="4"/>
      <c r="BM962" s="4"/>
      <c r="BN962" s="4"/>
      <c r="BO962" s="4"/>
      <c r="BP962" s="39"/>
      <c r="BQ962" s="39"/>
    </row>
    <row r="963" spans="3:69" ht="15.75" customHeight="1">
      <c r="C963" s="4"/>
      <c r="D963" s="4"/>
      <c r="E963" s="38"/>
      <c r="F963" s="38"/>
      <c r="G963" s="4"/>
      <c r="H963" s="4"/>
      <c r="I963" s="4"/>
      <c r="J963" s="4"/>
      <c r="K963" s="4"/>
      <c r="L963" s="4"/>
      <c r="M963" s="4"/>
      <c r="N963" s="38"/>
      <c r="O963" s="4"/>
      <c r="P963" s="4"/>
      <c r="Q963" s="4"/>
      <c r="R963" s="4"/>
      <c r="S963" s="4"/>
      <c r="T963" s="38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  <c r="AL963" s="4"/>
      <c r="AM963" s="38"/>
      <c r="AN963" s="4"/>
      <c r="AO963" s="4"/>
      <c r="AP963" s="4"/>
      <c r="AQ963" s="4"/>
      <c r="AR963" s="4"/>
      <c r="AS963" s="4"/>
      <c r="AT963" s="4"/>
      <c r="AU963" s="4"/>
      <c r="AV963" s="4"/>
      <c r="AW963" s="4"/>
      <c r="AX963" s="4"/>
      <c r="AY963" s="4"/>
      <c r="AZ963" s="4"/>
      <c r="BA963" s="4"/>
      <c r="BB963" s="4"/>
      <c r="BC963" s="4"/>
      <c r="BD963" s="4"/>
      <c r="BE963" s="4"/>
      <c r="BF963" s="4"/>
      <c r="BG963" s="4"/>
      <c r="BH963" s="4"/>
      <c r="BI963" s="4"/>
      <c r="BJ963" s="4"/>
      <c r="BK963" s="4"/>
      <c r="BL963" s="4"/>
      <c r="BM963" s="4"/>
      <c r="BN963" s="4"/>
      <c r="BO963" s="4"/>
      <c r="BP963" s="39"/>
      <c r="BQ963" s="39"/>
    </row>
    <row r="964" spans="3:69" ht="15.75" customHeight="1">
      <c r="C964" s="4"/>
      <c r="D964" s="4"/>
      <c r="E964" s="38"/>
      <c r="F964" s="38"/>
      <c r="G964" s="4"/>
      <c r="H964" s="4"/>
      <c r="I964" s="4"/>
      <c r="J964" s="4"/>
      <c r="K964" s="4"/>
      <c r="L964" s="4"/>
      <c r="M964" s="4"/>
      <c r="N964" s="38"/>
      <c r="O964" s="4"/>
      <c r="P964" s="4"/>
      <c r="Q964" s="4"/>
      <c r="R964" s="4"/>
      <c r="S964" s="4"/>
      <c r="T964" s="38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/>
      <c r="AL964" s="4"/>
      <c r="AM964" s="38"/>
      <c r="AN964" s="4"/>
      <c r="AO964" s="4"/>
      <c r="AP964" s="4"/>
      <c r="AQ964" s="4"/>
      <c r="AR964" s="4"/>
      <c r="AS964" s="4"/>
      <c r="AT964" s="4"/>
      <c r="AU964" s="4"/>
      <c r="AV964" s="4"/>
      <c r="AW964" s="4"/>
      <c r="AX964" s="4"/>
      <c r="AY964" s="4"/>
      <c r="AZ964" s="4"/>
      <c r="BA964" s="4"/>
      <c r="BB964" s="4"/>
      <c r="BC964" s="4"/>
      <c r="BD964" s="4"/>
      <c r="BE964" s="4"/>
      <c r="BF964" s="4"/>
      <c r="BG964" s="4"/>
      <c r="BH964" s="4"/>
      <c r="BI964" s="4"/>
      <c r="BJ964" s="4"/>
      <c r="BK964" s="4"/>
      <c r="BL964" s="4"/>
      <c r="BM964" s="4"/>
      <c r="BN964" s="4"/>
      <c r="BO964" s="4"/>
      <c r="BP964" s="39"/>
      <c r="BQ964" s="39"/>
    </row>
    <row r="965" spans="3:69" ht="15.75" customHeight="1">
      <c r="C965" s="4"/>
      <c r="D965" s="4"/>
      <c r="E965" s="38"/>
      <c r="F965" s="38"/>
      <c r="G965" s="4"/>
      <c r="H965" s="4"/>
      <c r="I965" s="4"/>
      <c r="J965" s="4"/>
      <c r="K965" s="4"/>
      <c r="L965" s="4"/>
      <c r="M965" s="4"/>
      <c r="N965" s="38"/>
      <c r="O965" s="4"/>
      <c r="P965" s="4"/>
      <c r="Q965" s="4"/>
      <c r="R965" s="4"/>
      <c r="S965" s="4"/>
      <c r="T965" s="38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4"/>
      <c r="AL965" s="4"/>
      <c r="AM965" s="38"/>
      <c r="AN965" s="4"/>
      <c r="AO965" s="4"/>
      <c r="AP965" s="4"/>
      <c r="AQ965" s="4"/>
      <c r="AR965" s="4"/>
      <c r="AS965" s="4"/>
      <c r="AT965" s="4"/>
      <c r="AU965" s="4"/>
      <c r="AV965" s="4"/>
      <c r="AW965" s="4"/>
      <c r="AX965" s="4"/>
      <c r="AY965" s="4"/>
      <c r="AZ965" s="4"/>
      <c r="BA965" s="4"/>
      <c r="BB965" s="4"/>
      <c r="BC965" s="4"/>
      <c r="BD965" s="4"/>
      <c r="BE965" s="4"/>
      <c r="BF965" s="4"/>
      <c r="BG965" s="4"/>
      <c r="BH965" s="4"/>
      <c r="BI965" s="4"/>
      <c r="BJ965" s="4"/>
      <c r="BK965" s="4"/>
      <c r="BL965" s="4"/>
      <c r="BM965" s="4"/>
      <c r="BN965" s="4"/>
      <c r="BO965" s="4"/>
      <c r="BP965" s="39"/>
      <c r="BQ965" s="39"/>
    </row>
    <row r="966" spans="3:69" ht="15.75" customHeight="1">
      <c r="C966" s="4"/>
      <c r="D966" s="4"/>
      <c r="E966" s="38"/>
      <c r="F966" s="38"/>
      <c r="G966" s="4"/>
      <c r="H966" s="4"/>
      <c r="I966" s="4"/>
      <c r="J966" s="4"/>
      <c r="K966" s="4"/>
      <c r="L966" s="4"/>
      <c r="M966" s="4"/>
      <c r="N966" s="38"/>
      <c r="O966" s="4"/>
      <c r="P966" s="4"/>
      <c r="Q966" s="4"/>
      <c r="R966" s="4"/>
      <c r="S966" s="4"/>
      <c r="T966" s="38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  <c r="AL966" s="4"/>
      <c r="AM966" s="38"/>
      <c r="AN966" s="4"/>
      <c r="AO966" s="4"/>
      <c r="AP966" s="4"/>
      <c r="AQ966" s="4"/>
      <c r="AR966" s="4"/>
      <c r="AS966" s="4"/>
      <c r="AT966" s="4"/>
      <c r="AU966" s="4"/>
      <c r="AV966" s="4"/>
      <c r="AW966" s="4"/>
      <c r="AX966" s="4"/>
      <c r="AY966" s="4"/>
      <c r="AZ966" s="4"/>
      <c r="BA966" s="4"/>
      <c r="BB966" s="4"/>
      <c r="BC966" s="4"/>
      <c r="BD966" s="4"/>
      <c r="BE966" s="4"/>
      <c r="BF966" s="4"/>
      <c r="BG966" s="4"/>
      <c r="BH966" s="4"/>
      <c r="BI966" s="4"/>
      <c r="BJ966" s="4"/>
      <c r="BK966" s="4"/>
      <c r="BL966" s="4"/>
      <c r="BM966" s="4"/>
      <c r="BN966" s="4"/>
      <c r="BO966" s="4"/>
      <c r="BP966" s="39"/>
      <c r="BQ966" s="39"/>
    </row>
    <row r="967" spans="3:69" ht="15.75" customHeight="1">
      <c r="C967" s="4"/>
      <c r="D967" s="4"/>
      <c r="E967" s="38"/>
      <c r="F967" s="38"/>
      <c r="G967" s="4"/>
      <c r="H967" s="4"/>
      <c r="I967" s="4"/>
      <c r="J967" s="4"/>
      <c r="K967" s="4"/>
      <c r="L967" s="4"/>
      <c r="M967" s="4"/>
      <c r="N967" s="38"/>
      <c r="O967" s="4"/>
      <c r="P967" s="4"/>
      <c r="Q967" s="4"/>
      <c r="R967" s="4"/>
      <c r="S967" s="4"/>
      <c r="T967" s="38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  <c r="AK967" s="4"/>
      <c r="AL967" s="4"/>
      <c r="AM967" s="38"/>
      <c r="AN967" s="4"/>
      <c r="AO967" s="4"/>
      <c r="AP967" s="4"/>
      <c r="AQ967" s="4"/>
      <c r="AR967" s="4"/>
      <c r="AS967" s="4"/>
      <c r="AT967" s="4"/>
      <c r="AU967" s="4"/>
      <c r="AV967" s="4"/>
      <c r="AW967" s="4"/>
      <c r="AX967" s="4"/>
      <c r="AY967" s="4"/>
      <c r="AZ967" s="4"/>
      <c r="BA967" s="4"/>
      <c r="BB967" s="4"/>
      <c r="BC967" s="4"/>
      <c r="BD967" s="4"/>
      <c r="BE967" s="4"/>
      <c r="BF967" s="4"/>
      <c r="BG967" s="4"/>
      <c r="BH967" s="4"/>
      <c r="BI967" s="4"/>
      <c r="BJ967" s="4"/>
      <c r="BK967" s="4"/>
      <c r="BL967" s="4"/>
      <c r="BM967" s="4"/>
      <c r="BN967" s="4"/>
      <c r="BO967" s="4"/>
      <c r="BP967" s="39"/>
      <c r="BQ967" s="39"/>
    </row>
    <row r="968" spans="3:69" ht="15.75" customHeight="1">
      <c r="C968" s="4"/>
      <c r="D968" s="4"/>
      <c r="E968" s="38"/>
      <c r="F968" s="38"/>
      <c r="G968" s="4"/>
      <c r="H968" s="4"/>
      <c r="I968" s="4"/>
      <c r="J968" s="4"/>
      <c r="K968" s="4"/>
      <c r="L968" s="4"/>
      <c r="M968" s="4"/>
      <c r="N968" s="38"/>
      <c r="O968" s="4"/>
      <c r="P968" s="4"/>
      <c r="Q968" s="4"/>
      <c r="R968" s="4"/>
      <c r="S968" s="4"/>
      <c r="T968" s="38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  <c r="AL968" s="4"/>
      <c r="AM968" s="38"/>
      <c r="AN968" s="4"/>
      <c r="AO968" s="4"/>
      <c r="AP968" s="4"/>
      <c r="AQ968" s="4"/>
      <c r="AR968" s="4"/>
      <c r="AS968" s="4"/>
      <c r="AT968" s="4"/>
      <c r="AU968" s="4"/>
      <c r="AV968" s="4"/>
      <c r="AW968" s="4"/>
      <c r="AX968" s="4"/>
      <c r="AY968" s="4"/>
      <c r="AZ968" s="4"/>
      <c r="BA968" s="4"/>
      <c r="BB968" s="4"/>
      <c r="BC968" s="4"/>
      <c r="BD968" s="4"/>
      <c r="BE968" s="4"/>
      <c r="BF968" s="4"/>
      <c r="BG968" s="4"/>
      <c r="BH968" s="4"/>
      <c r="BI968" s="4"/>
      <c r="BJ968" s="4"/>
      <c r="BK968" s="4"/>
      <c r="BL968" s="4"/>
      <c r="BM968" s="4"/>
      <c r="BN968" s="4"/>
      <c r="BO968" s="4"/>
      <c r="BP968" s="39"/>
      <c r="BQ968" s="39"/>
    </row>
    <row r="969" spans="3:69" ht="15.75" customHeight="1">
      <c r="C969" s="4"/>
      <c r="D969" s="4"/>
      <c r="E969" s="38"/>
      <c r="F969" s="38"/>
      <c r="G969" s="4"/>
      <c r="H969" s="4"/>
      <c r="I969" s="4"/>
      <c r="J969" s="4"/>
      <c r="K969" s="4"/>
      <c r="L969" s="4"/>
      <c r="M969" s="4"/>
      <c r="N969" s="38"/>
      <c r="O969" s="4"/>
      <c r="P969" s="4"/>
      <c r="Q969" s="4"/>
      <c r="R969" s="4"/>
      <c r="S969" s="4"/>
      <c r="T969" s="38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4"/>
      <c r="AL969" s="4"/>
      <c r="AM969" s="38"/>
      <c r="AN969" s="4"/>
      <c r="AO969" s="4"/>
      <c r="AP969" s="4"/>
      <c r="AQ969" s="4"/>
      <c r="AR969" s="4"/>
      <c r="AS969" s="4"/>
      <c r="AT969" s="4"/>
      <c r="AU969" s="4"/>
      <c r="AV969" s="4"/>
      <c r="AW969" s="4"/>
      <c r="AX969" s="4"/>
      <c r="AY969" s="4"/>
      <c r="AZ969" s="4"/>
      <c r="BA969" s="4"/>
      <c r="BB969" s="4"/>
      <c r="BC969" s="4"/>
      <c r="BD969" s="4"/>
      <c r="BE969" s="4"/>
      <c r="BF969" s="4"/>
      <c r="BG969" s="4"/>
      <c r="BH969" s="4"/>
      <c r="BI969" s="4"/>
      <c r="BJ969" s="4"/>
      <c r="BK969" s="4"/>
      <c r="BL969" s="4"/>
      <c r="BM969" s="4"/>
      <c r="BN969" s="4"/>
      <c r="BO969" s="4"/>
      <c r="BP969" s="39"/>
      <c r="BQ969" s="39"/>
    </row>
    <row r="970" spans="3:69" ht="15.75" customHeight="1">
      <c r="C970" s="4"/>
      <c r="D970" s="4"/>
      <c r="E970" s="38"/>
      <c r="F970" s="38"/>
      <c r="G970" s="4"/>
      <c r="H970" s="4"/>
      <c r="I970" s="4"/>
      <c r="J970" s="4"/>
      <c r="K970" s="4"/>
      <c r="L970" s="4"/>
      <c r="M970" s="4"/>
      <c r="N970" s="38"/>
      <c r="O970" s="4"/>
      <c r="P970" s="4"/>
      <c r="Q970" s="4"/>
      <c r="R970" s="4"/>
      <c r="S970" s="4"/>
      <c r="T970" s="38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4"/>
      <c r="AL970" s="4"/>
      <c r="AM970" s="38"/>
      <c r="AN970" s="4"/>
      <c r="AO970" s="4"/>
      <c r="AP970" s="4"/>
      <c r="AQ970" s="4"/>
      <c r="AR970" s="4"/>
      <c r="AS970" s="4"/>
      <c r="AT970" s="4"/>
      <c r="AU970" s="4"/>
      <c r="AV970" s="4"/>
      <c r="AW970" s="4"/>
      <c r="AX970" s="4"/>
      <c r="AY970" s="4"/>
      <c r="AZ970" s="4"/>
      <c r="BA970" s="4"/>
      <c r="BB970" s="4"/>
      <c r="BC970" s="4"/>
      <c r="BD970" s="4"/>
      <c r="BE970" s="4"/>
      <c r="BF970" s="4"/>
      <c r="BG970" s="4"/>
      <c r="BH970" s="4"/>
      <c r="BI970" s="4"/>
      <c r="BJ970" s="4"/>
      <c r="BK970" s="4"/>
      <c r="BL970" s="4"/>
      <c r="BM970" s="4"/>
      <c r="BN970" s="4"/>
      <c r="BO970" s="4"/>
      <c r="BP970" s="39"/>
      <c r="BQ970" s="39"/>
    </row>
    <row r="971" spans="3:69" ht="15.75" customHeight="1">
      <c r="C971" s="4"/>
      <c r="D971" s="4"/>
      <c r="E971" s="38"/>
      <c r="F971" s="38"/>
      <c r="G971" s="4"/>
      <c r="H971" s="4"/>
      <c r="I971" s="4"/>
      <c r="J971" s="4"/>
      <c r="K971" s="4"/>
      <c r="L971" s="4"/>
      <c r="M971" s="4"/>
      <c r="N971" s="38"/>
      <c r="O971" s="4"/>
      <c r="P971" s="4"/>
      <c r="Q971" s="4"/>
      <c r="R971" s="4"/>
      <c r="S971" s="4"/>
      <c r="T971" s="38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4"/>
      <c r="AL971" s="4"/>
      <c r="AM971" s="38"/>
      <c r="AN971" s="4"/>
      <c r="AO971" s="4"/>
      <c r="AP971" s="4"/>
      <c r="AQ971" s="4"/>
      <c r="AR971" s="4"/>
      <c r="AS971" s="4"/>
      <c r="AT971" s="4"/>
      <c r="AU971" s="4"/>
      <c r="AV971" s="4"/>
      <c r="AW971" s="4"/>
      <c r="AX971" s="4"/>
      <c r="AY971" s="4"/>
      <c r="AZ971" s="4"/>
      <c r="BA971" s="4"/>
      <c r="BB971" s="4"/>
      <c r="BC971" s="4"/>
      <c r="BD971" s="4"/>
      <c r="BE971" s="4"/>
      <c r="BF971" s="4"/>
      <c r="BG971" s="4"/>
      <c r="BH971" s="4"/>
      <c r="BI971" s="4"/>
      <c r="BJ971" s="4"/>
      <c r="BK971" s="4"/>
      <c r="BL971" s="4"/>
      <c r="BM971" s="4"/>
      <c r="BN971" s="4"/>
      <c r="BO971" s="4"/>
      <c r="BP971" s="39"/>
      <c r="BQ971" s="39"/>
    </row>
    <row r="972" spans="3:69" ht="15.75" customHeight="1">
      <c r="C972" s="4"/>
      <c r="D972" s="4"/>
      <c r="E972" s="38"/>
      <c r="F972" s="38"/>
      <c r="G972" s="4"/>
      <c r="H972" s="4"/>
      <c r="I972" s="4"/>
      <c r="J972" s="4"/>
      <c r="K972" s="4"/>
      <c r="L972" s="4"/>
      <c r="M972" s="4"/>
      <c r="N972" s="38"/>
      <c r="O972" s="4"/>
      <c r="P972" s="4"/>
      <c r="Q972" s="4"/>
      <c r="R972" s="4"/>
      <c r="S972" s="4"/>
      <c r="T972" s="38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  <c r="AK972" s="4"/>
      <c r="AL972" s="4"/>
      <c r="AM972" s="38"/>
      <c r="AN972" s="4"/>
      <c r="AO972" s="4"/>
      <c r="AP972" s="4"/>
      <c r="AQ972" s="4"/>
      <c r="AR972" s="4"/>
      <c r="AS972" s="4"/>
      <c r="AT972" s="4"/>
      <c r="AU972" s="4"/>
      <c r="AV972" s="4"/>
      <c r="AW972" s="4"/>
      <c r="AX972" s="4"/>
      <c r="AY972" s="4"/>
      <c r="AZ972" s="4"/>
      <c r="BA972" s="4"/>
      <c r="BB972" s="4"/>
      <c r="BC972" s="4"/>
      <c r="BD972" s="4"/>
      <c r="BE972" s="4"/>
      <c r="BF972" s="4"/>
      <c r="BG972" s="4"/>
      <c r="BH972" s="4"/>
      <c r="BI972" s="4"/>
      <c r="BJ972" s="4"/>
      <c r="BK972" s="4"/>
      <c r="BL972" s="4"/>
      <c r="BM972" s="4"/>
      <c r="BN972" s="4"/>
      <c r="BO972" s="4"/>
      <c r="BP972" s="39"/>
      <c r="BQ972" s="39"/>
    </row>
    <row r="973" spans="3:69" ht="15.75" customHeight="1">
      <c r="C973" s="4"/>
      <c r="D973" s="4"/>
      <c r="E973" s="38"/>
      <c r="F973" s="38"/>
      <c r="G973" s="4"/>
      <c r="H973" s="4"/>
      <c r="I973" s="4"/>
      <c r="J973" s="4"/>
      <c r="K973" s="4"/>
      <c r="L973" s="4"/>
      <c r="M973" s="4"/>
      <c r="N973" s="38"/>
      <c r="O973" s="4"/>
      <c r="P973" s="4"/>
      <c r="Q973" s="4"/>
      <c r="R973" s="4"/>
      <c r="S973" s="4"/>
      <c r="T973" s="38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4"/>
      <c r="AL973" s="4"/>
      <c r="AM973" s="38"/>
      <c r="AN973" s="4"/>
      <c r="AO973" s="4"/>
      <c r="AP973" s="4"/>
      <c r="AQ973" s="4"/>
      <c r="AR973" s="4"/>
      <c r="AS973" s="4"/>
      <c r="AT973" s="4"/>
      <c r="AU973" s="4"/>
      <c r="AV973" s="4"/>
      <c r="AW973" s="4"/>
      <c r="AX973" s="4"/>
      <c r="AY973" s="4"/>
      <c r="AZ973" s="4"/>
      <c r="BA973" s="4"/>
      <c r="BB973" s="4"/>
      <c r="BC973" s="4"/>
      <c r="BD973" s="4"/>
      <c r="BE973" s="4"/>
      <c r="BF973" s="4"/>
      <c r="BG973" s="4"/>
      <c r="BH973" s="4"/>
      <c r="BI973" s="4"/>
      <c r="BJ973" s="4"/>
      <c r="BK973" s="4"/>
      <c r="BL973" s="4"/>
      <c r="BM973" s="4"/>
      <c r="BN973" s="4"/>
      <c r="BO973" s="4"/>
      <c r="BP973" s="39"/>
      <c r="BQ973" s="39"/>
    </row>
    <row r="974" spans="3:69" ht="15.75" customHeight="1">
      <c r="C974" s="4"/>
      <c r="D974" s="4"/>
      <c r="E974" s="38"/>
      <c r="F974" s="38"/>
      <c r="G974" s="4"/>
      <c r="H974" s="4"/>
      <c r="I974" s="4"/>
      <c r="J974" s="4"/>
      <c r="K974" s="4"/>
      <c r="L974" s="4"/>
      <c r="M974" s="4"/>
      <c r="N974" s="38"/>
      <c r="O974" s="4"/>
      <c r="P974" s="4"/>
      <c r="Q974" s="4"/>
      <c r="R974" s="4"/>
      <c r="S974" s="4"/>
      <c r="T974" s="38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  <c r="AK974" s="4"/>
      <c r="AL974" s="4"/>
      <c r="AM974" s="38"/>
      <c r="AN974" s="4"/>
      <c r="AO974" s="4"/>
      <c r="AP974" s="4"/>
      <c r="AQ974" s="4"/>
      <c r="AR974" s="4"/>
      <c r="AS974" s="4"/>
      <c r="AT974" s="4"/>
      <c r="AU974" s="4"/>
      <c r="AV974" s="4"/>
      <c r="AW974" s="4"/>
      <c r="AX974" s="4"/>
      <c r="AY974" s="4"/>
      <c r="AZ974" s="4"/>
      <c r="BA974" s="4"/>
      <c r="BB974" s="4"/>
      <c r="BC974" s="4"/>
      <c r="BD974" s="4"/>
      <c r="BE974" s="4"/>
      <c r="BF974" s="4"/>
      <c r="BG974" s="4"/>
      <c r="BH974" s="4"/>
      <c r="BI974" s="4"/>
      <c r="BJ974" s="4"/>
      <c r="BK974" s="4"/>
      <c r="BL974" s="4"/>
      <c r="BM974" s="4"/>
      <c r="BN974" s="4"/>
      <c r="BO974" s="4"/>
      <c r="BP974" s="39"/>
      <c r="BQ974" s="39"/>
    </row>
    <row r="975" spans="3:69" ht="15.75" customHeight="1">
      <c r="C975" s="4"/>
      <c r="D975" s="4"/>
      <c r="E975" s="38"/>
      <c r="F975" s="38"/>
      <c r="G975" s="4"/>
      <c r="H975" s="4"/>
      <c r="I975" s="4"/>
      <c r="J975" s="4"/>
      <c r="K975" s="4"/>
      <c r="L975" s="4"/>
      <c r="M975" s="4"/>
      <c r="N975" s="38"/>
      <c r="O975" s="4"/>
      <c r="P975" s="4"/>
      <c r="Q975" s="4"/>
      <c r="R975" s="4"/>
      <c r="S975" s="4"/>
      <c r="T975" s="38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4"/>
      <c r="AL975" s="4"/>
      <c r="AM975" s="38"/>
      <c r="AN975" s="4"/>
      <c r="AO975" s="4"/>
      <c r="AP975" s="4"/>
      <c r="AQ975" s="4"/>
      <c r="AR975" s="4"/>
      <c r="AS975" s="4"/>
      <c r="AT975" s="4"/>
      <c r="AU975" s="4"/>
      <c r="AV975" s="4"/>
      <c r="AW975" s="4"/>
      <c r="AX975" s="4"/>
      <c r="AY975" s="4"/>
      <c r="AZ975" s="4"/>
      <c r="BA975" s="4"/>
      <c r="BB975" s="4"/>
      <c r="BC975" s="4"/>
      <c r="BD975" s="4"/>
      <c r="BE975" s="4"/>
      <c r="BF975" s="4"/>
      <c r="BG975" s="4"/>
      <c r="BH975" s="4"/>
      <c r="BI975" s="4"/>
      <c r="BJ975" s="4"/>
      <c r="BK975" s="4"/>
      <c r="BL975" s="4"/>
      <c r="BM975" s="4"/>
      <c r="BN975" s="4"/>
      <c r="BO975" s="4"/>
      <c r="BP975" s="39"/>
      <c r="BQ975" s="39"/>
    </row>
    <row r="976" spans="3:69" ht="15.75" customHeight="1">
      <c r="C976" s="4"/>
      <c r="D976" s="4"/>
      <c r="E976" s="38"/>
      <c r="F976" s="38"/>
      <c r="G976" s="4"/>
      <c r="H976" s="4"/>
      <c r="I976" s="4"/>
      <c r="J976" s="4"/>
      <c r="K976" s="4"/>
      <c r="L976" s="4"/>
      <c r="M976" s="4"/>
      <c r="N976" s="38"/>
      <c r="O976" s="4"/>
      <c r="P976" s="4"/>
      <c r="Q976" s="4"/>
      <c r="R976" s="4"/>
      <c r="S976" s="4"/>
      <c r="T976" s="38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  <c r="AL976" s="4"/>
      <c r="AM976" s="38"/>
      <c r="AN976" s="4"/>
      <c r="AO976" s="4"/>
      <c r="AP976" s="4"/>
      <c r="AQ976" s="4"/>
      <c r="AR976" s="4"/>
      <c r="AS976" s="4"/>
      <c r="AT976" s="4"/>
      <c r="AU976" s="4"/>
      <c r="AV976" s="4"/>
      <c r="AW976" s="4"/>
      <c r="AX976" s="4"/>
      <c r="AY976" s="4"/>
      <c r="AZ976" s="4"/>
      <c r="BA976" s="4"/>
      <c r="BB976" s="4"/>
      <c r="BC976" s="4"/>
      <c r="BD976" s="4"/>
      <c r="BE976" s="4"/>
      <c r="BF976" s="4"/>
      <c r="BG976" s="4"/>
      <c r="BH976" s="4"/>
      <c r="BI976" s="4"/>
      <c r="BJ976" s="4"/>
      <c r="BK976" s="4"/>
      <c r="BL976" s="4"/>
      <c r="BM976" s="4"/>
      <c r="BN976" s="4"/>
      <c r="BO976" s="4"/>
      <c r="BP976" s="39"/>
      <c r="BQ976" s="39"/>
    </row>
    <row r="977" spans="3:69" ht="15.75" customHeight="1">
      <c r="C977" s="4"/>
      <c r="D977" s="4"/>
      <c r="E977" s="38"/>
      <c r="F977" s="38"/>
      <c r="G977" s="4"/>
      <c r="H977" s="4"/>
      <c r="I977" s="4"/>
      <c r="J977" s="4"/>
      <c r="K977" s="4"/>
      <c r="L977" s="4"/>
      <c r="M977" s="4"/>
      <c r="N977" s="38"/>
      <c r="O977" s="4"/>
      <c r="P977" s="4"/>
      <c r="Q977" s="4"/>
      <c r="R977" s="4"/>
      <c r="S977" s="4"/>
      <c r="T977" s="38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  <c r="AK977" s="4"/>
      <c r="AL977" s="4"/>
      <c r="AM977" s="38"/>
      <c r="AN977" s="4"/>
      <c r="AO977" s="4"/>
      <c r="AP977" s="4"/>
      <c r="AQ977" s="4"/>
      <c r="AR977" s="4"/>
      <c r="AS977" s="4"/>
      <c r="AT977" s="4"/>
      <c r="AU977" s="4"/>
      <c r="AV977" s="4"/>
      <c r="AW977" s="4"/>
      <c r="AX977" s="4"/>
      <c r="AY977" s="4"/>
      <c r="AZ977" s="4"/>
      <c r="BA977" s="4"/>
      <c r="BB977" s="4"/>
      <c r="BC977" s="4"/>
      <c r="BD977" s="4"/>
      <c r="BE977" s="4"/>
      <c r="BF977" s="4"/>
      <c r="BG977" s="4"/>
      <c r="BH977" s="4"/>
      <c r="BI977" s="4"/>
      <c r="BJ977" s="4"/>
      <c r="BK977" s="4"/>
      <c r="BL977" s="4"/>
      <c r="BM977" s="4"/>
      <c r="BN977" s="4"/>
      <c r="BO977" s="4"/>
      <c r="BP977" s="39"/>
      <c r="BQ977" s="39"/>
    </row>
    <row r="978" spans="3:69" ht="15.75" customHeight="1">
      <c r="C978" s="4"/>
      <c r="D978" s="4"/>
      <c r="E978" s="38"/>
      <c r="F978" s="38"/>
      <c r="G978" s="4"/>
      <c r="H978" s="4"/>
      <c r="I978" s="4"/>
      <c r="J978" s="4"/>
      <c r="K978" s="4"/>
      <c r="L978" s="4"/>
      <c r="M978" s="4"/>
      <c r="N978" s="38"/>
      <c r="O978" s="4"/>
      <c r="P978" s="4"/>
      <c r="Q978" s="4"/>
      <c r="R978" s="4"/>
      <c r="S978" s="4"/>
      <c r="T978" s="38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  <c r="AK978" s="4"/>
      <c r="AL978" s="4"/>
      <c r="AM978" s="38"/>
      <c r="AN978" s="4"/>
      <c r="AO978" s="4"/>
      <c r="AP978" s="4"/>
      <c r="AQ978" s="4"/>
      <c r="AR978" s="4"/>
      <c r="AS978" s="4"/>
      <c r="AT978" s="4"/>
      <c r="AU978" s="4"/>
      <c r="AV978" s="4"/>
      <c r="AW978" s="4"/>
      <c r="AX978" s="4"/>
      <c r="AY978" s="4"/>
      <c r="AZ978" s="4"/>
      <c r="BA978" s="4"/>
      <c r="BB978" s="4"/>
      <c r="BC978" s="4"/>
      <c r="BD978" s="4"/>
      <c r="BE978" s="4"/>
      <c r="BF978" s="4"/>
      <c r="BG978" s="4"/>
      <c r="BH978" s="4"/>
      <c r="BI978" s="4"/>
      <c r="BJ978" s="4"/>
      <c r="BK978" s="4"/>
      <c r="BL978" s="4"/>
      <c r="BM978" s="4"/>
      <c r="BN978" s="4"/>
      <c r="BO978" s="4"/>
      <c r="BP978" s="39"/>
      <c r="BQ978" s="39"/>
    </row>
    <row r="979" spans="3:69" ht="15.75" customHeight="1">
      <c r="C979" s="4"/>
      <c r="D979" s="4"/>
      <c r="E979" s="38"/>
      <c r="F979" s="38"/>
      <c r="G979" s="4"/>
      <c r="H979" s="4"/>
      <c r="I979" s="4"/>
      <c r="J979" s="4"/>
      <c r="K979" s="4"/>
      <c r="L979" s="4"/>
      <c r="M979" s="4"/>
      <c r="N979" s="38"/>
      <c r="O979" s="4"/>
      <c r="P979" s="4"/>
      <c r="Q979" s="4"/>
      <c r="R979" s="4"/>
      <c r="S979" s="4"/>
      <c r="T979" s="38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  <c r="AK979" s="4"/>
      <c r="AL979" s="4"/>
      <c r="AM979" s="38"/>
      <c r="AN979" s="4"/>
      <c r="AO979" s="4"/>
      <c r="AP979" s="4"/>
      <c r="AQ979" s="4"/>
      <c r="AR979" s="4"/>
      <c r="AS979" s="4"/>
      <c r="AT979" s="4"/>
      <c r="AU979" s="4"/>
      <c r="AV979" s="4"/>
      <c r="AW979" s="4"/>
      <c r="AX979" s="4"/>
      <c r="AY979" s="4"/>
      <c r="AZ979" s="4"/>
      <c r="BA979" s="4"/>
      <c r="BB979" s="4"/>
      <c r="BC979" s="4"/>
      <c r="BD979" s="4"/>
      <c r="BE979" s="4"/>
      <c r="BF979" s="4"/>
      <c r="BG979" s="4"/>
      <c r="BH979" s="4"/>
      <c r="BI979" s="4"/>
      <c r="BJ979" s="4"/>
      <c r="BK979" s="4"/>
      <c r="BL979" s="4"/>
      <c r="BM979" s="4"/>
      <c r="BN979" s="4"/>
      <c r="BO979" s="4"/>
      <c r="BP979" s="39"/>
      <c r="BQ979" s="39"/>
    </row>
    <row r="980" spans="3:69" ht="15.75" customHeight="1">
      <c r="C980" s="4"/>
      <c r="D980" s="4"/>
      <c r="E980" s="38"/>
      <c r="F980" s="38"/>
      <c r="G980" s="4"/>
      <c r="H980" s="4"/>
      <c r="I980" s="4"/>
      <c r="J980" s="4"/>
      <c r="K980" s="4"/>
      <c r="L980" s="4"/>
      <c r="M980" s="4"/>
      <c r="N980" s="38"/>
      <c r="O980" s="4"/>
      <c r="P980" s="4"/>
      <c r="Q980" s="4"/>
      <c r="R980" s="4"/>
      <c r="S980" s="4"/>
      <c r="T980" s="38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  <c r="AK980" s="4"/>
      <c r="AL980" s="4"/>
      <c r="AM980" s="38"/>
      <c r="AN980" s="4"/>
      <c r="AO980" s="4"/>
      <c r="AP980" s="4"/>
      <c r="AQ980" s="4"/>
      <c r="AR980" s="4"/>
      <c r="AS980" s="4"/>
      <c r="AT980" s="4"/>
      <c r="AU980" s="4"/>
      <c r="AV980" s="4"/>
      <c r="AW980" s="4"/>
      <c r="AX980" s="4"/>
      <c r="AY980" s="4"/>
      <c r="AZ980" s="4"/>
      <c r="BA980" s="4"/>
      <c r="BB980" s="4"/>
      <c r="BC980" s="4"/>
      <c r="BD980" s="4"/>
      <c r="BE980" s="4"/>
      <c r="BF980" s="4"/>
      <c r="BG980" s="4"/>
      <c r="BH980" s="4"/>
      <c r="BI980" s="4"/>
      <c r="BJ980" s="4"/>
      <c r="BK980" s="4"/>
      <c r="BL980" s="4"/>
      <c r="BM980" s="4"/>
      <c r="BN980" s="4"/>
      <c r="BO980" s="4"/>
      <c r="BP980" s="39"/>
      <c r="BQ980" s="39"/>
    </row>
    <row r="981" spans="3:69" ht="15.75" customHeight="1">
      <c r="C981" s="4"/>
      <c r="D981" s="4"/>
      <c r="E981" s="38"/>
      <c r="F981" s="38"/>
      <c r="G981" s="4"/>
      <c r="H981" s="4"/>
      <c r="I981" s="4"/>
      <c r="J981" s="4"/>
      <c r="K981" s="4"/>
      <c r="L981" s="4"/>
      <c r="M981" s="4"/>
      <c r="N981" s="38"/>
      <c r="O981" s="4"/>
      <c r="P981" s="4"/>
      <c r="Q981" s="4"/>
      <c r="R981" s="4"/>
      <c r="S981" s="4"/>
      <c r="T981" s="38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  <c r="AK981" s="4"/>
      <c r="AL981" s="4"/>
      <c r="AM981" s="38"/>
      <c r="AN981" s="4"/>
      <c r="AO981" s="4"/>
      <c r="AP981" s="4"/>
      <c r="AQ981" s="4"/>
      <c r="AR981" s="4"/>
      <c r="AS981" s="4"/>
      <c r="AT981" s="4"/>
      <c r="AU981" s="4"/>
      <c r="AV981" s="4"/>
      <c r="AW981" s="4"/>
      <c r="AX981" s="4"/>
      <c r="AY981" s="4"/>
      <c r="AZ981" s="4"/>
      <c r="BA981" s="4"/>
      <c r="BB981" s="4"/>
      <c r="BC981" s="4"/>
      <c r="BD981" s="4"/>
      <c r="BE981" s="4"/>
      <c r="BF981" s="4"/>
      <c r="BG981" s="4"/>
      <c r="BH981" s="4"/>
      <c r="BI981" s="4"/>
      <c r="BJ981" s="4"/>
      <c r="BK981" s="4"/>
      <c r="BL981" s="4"/>
      <c r="BM981" s="4"/>
      <c r="BN981" s="4"/>
      <c r="BO981" s="4"/>
      <c r="BP981" s="39"/>
      <c r="BQ981" s="39"/>
    </row>
    <row r="982" spans="3:69" ht="15.75" customHeight="1">
      <c r="C982" s="4"/>
      <c r="D982" s="4"/>
      <c r="E982" s="38"/>
      <c r="F982" s="38"/>
      <c r="G982" s="4"/>
      <c r="H982" s="4"/>
      <c r="I982" s="4"/>
      <c r="J982" s="4"/>
      <c r="K982" s="4"/>
      <c r="L982" s="4"/>
      <c r="M982" s="4"/>
      <c r="N982" s="38"/>
      <c r="O982" s="4"/>
      <c r="P982" s="4"/>
      <c r="Q982" s="4"/>
      <c r="R982" s="4"/>
      <c r="S982" s="4"/>
      <c r="T982" s="38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  <c r="AK982" s="4"/>
      <c r="AL982" s="4"/>
      <c r="AM982" s="38"/>
      <c r="AN982" s="4"/>
      <c r="AO982" s="4"/>
      <c r="AP982" s="4"/>
      <c r="AQ982" s="4"/>
      <c r="AR982" s="4"/>
      <c r="AS982" s="4"/>
      <c r="AT982" s="4"/>
      <c r="AU982" s="4"/>
      <c r="AV982" s="4"/>
      <c r="AW982" s="4"/>
      <c r="AX982" s="4"/>
      <c r="AY982" s="4"/>
      <c r="AZ982" s="4"/>
      <c r="BA982" s="4"/>
      <c r="BB982" s="4"/>
      <c r="BC982" s="4"/>
      <c r="BD982" s="4"/>
      <c r="BE982" s="4"/>
      <c r="BF982" s="4"/>
      <c r="BG982" s="4"/>
      <c r="BH982" s="4"/>
      <c r="BI982" s="4"/>
      <c r="BJ982" s="4"/>
      <c r="BK982" s="4"/>
      <c r="BL982" s="4"/>
      <c r="BM982" s="4"/>
      <c r="BN982" s="4"/>
      <c r="BO982" s="4"/>
      <c r="BP982" s="39"/>
      <c r="BQ982" s="39"/>
    </row>
    <row r="983" spans="3:69" ht="15.75" customHeight="1">
      <c r="C983" s="4"/>
      <c r="D983" s="4"/>
      <c r="E983" s="38"/>
      <c r="F983" s="38"/>
      <c r="G983" s="4"/>
      <c r="H983" s="4"/>
      <c r="I983" s="4"/>
      <c r="J983" s="4"/>
      <c r="K983" s="4"/>
      <c r="L983" s="4"/>
      <c r="M983" s="4"/>
      <c r="N983" s="38"/>
      <c r="O983" s="4"/>
      <c r="P983" s="4"/>
      <c r="Q983" s="4"/>
      <c r="R983" s="4"/>
      <c r="S983" s="4"/>
      <c r="T983" s="38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  <c r="AK983" s="4"/>
      <c r="AL983" s="4"/>
      <c r="AM983" s="38"/>
      <c r="AN983" s="4"/>
      <c r="AO983" s="4"/>
      <c r="AP983" s="4"/>
      <c r="AQ983" s="4"/>
      <c r="AR983" s="4"/>
      <c r="AS983" s="4"/>
      <c r="AT983" s="4"/>
      <c r="AU983" s="4"/>
      <c r="AV983" s="4"/>
      <c r="AW983" s="4"/>
      <c r="AX983" s="4"/>
      <c r="AY983" s="4"/>
      <c r="AZ983" s="4"/>
      <c r="BA983" s="4"/>
      <c r="BB983" s="4"/>
      <c r="BC983" s="4"/>
      <c r="BD983" s="4"/>
      <c r="BE983" s="4"/>
      <c r="BF983" s="4"/>
      <c r="BG983" s="4"/>
      <c r="BH983" s="4"/>
      <c r="BI983" s="4"/>
      <c r="BJ983" s="4"/>
      <c r="BK983" s="4"/>
      <c r="BL983" s="4"/>
      <c r="BM983" s="4"/>
      <c r="BN983" s="4"/>
      <c r="BO983" s="4"/>
      <c r="BP983" s="39"/>
      <c r="BQ983" s="39"/>
    </row>
    <row r="984" spans="3:69" ht="15.75" customHeight="1">
      <c r="C984" s="4"/>
      <c r="D984" s="4"/>
      <c r="E984" s="38"/>
      <c r="F984" s="38"/>
      <c r="G984" s="4"/>
      <c r="H984" s="4"/>
      <c r="I984" s="4"/>
      <c r="J984" s="4"/>
      <c r="K984" s="4"/>
      <c r="L984" s="4"/>
      <c r="M984" s="4"/>
      <c r="N984" s="38"/>
      <c r="O984" s="4"/>
      <c r="P984" s="4"/>
      <c r="Q984" s="4"/>
      <c r="R984" s="4"/>
      <c r="S984" s="4"/>
      <c r="T984" s="38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4"/>
      <c r="AL984" s="4"/>
      <c r="AM984" s="38"/>
      <c r="AN984" s="4"/>
      <c r="AO984" s="4"/>
      <c r="AP984" s="4"/>
      <c r="AQ984" s="4"/>
      <c r="AR984" s="4"/>
      <c r="AS984" s="4"/>
      <c r="AT984" s="4"/>
      <c r="AU984" s="4"/>
      <c r="AV984" s="4"/>
      <c r="AW984" s="4"/>
      <c r="AX984" s="4"/>
      <c r="AY984" s="4"/>
      <c r="AZ984" s="4"/>
      <c r="BA984" s="4"/>
      <c r="BB984" s="4"/>
      <c r="BC984" s="4"/>
      <c r="BD984" s="4"/>
      <c r="BE984" s="4"/>
      <c r="BF984" s="4"/>
      <c r="BG984" s="4"/>
      <c r="BH984" s="4"/>
      <c r="BI984" s="4"/>
      <c r="BJ984" s="4"/>
      <c r="BK984" s="4"/>
      <c r="BL984" s="4"/>
      <c r="BM984" s="4"/>
      <c r="BN984" s="4"/>
      <c r="BO984" s="4"/>
      <c r="BP984" s="39"/>
      <c r="BQ984" s="39"/>
    </row>
    <row r="985" spans="3:69" ht="15.75" customHeight="1">
      <c r="C985" s="4"/>
      <c r="D985" s="4"/>
      <c r="E985" s="38"/>
      <c r="F985" s="38"/>
      <c r="G985" s="4"/>
      <c r="H985" s="4"/>
      <c r="I985" s="4"/>
      <c r="J985" s="4"/>
      <c r="K985" s="4"/>
      <c r="L985" s="4"/>
      <c r="M985" s="4"/>
      <c r="N985" s="38"/>
      <c r="O985" s="4"/>
      <c r="P985" s="4"/>
      <c r="Q985" s="4"/>
      <c r="R985" s="4"/>
      <c r="S985" s="4"/>
      <c r="T985" s="38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  <c r="AK985" s="4"/>
      <c r="AL985" s="4"/>
      <c r="AM985" s="38"/>
      <c r="AN985" s="4"/>
      <c r="AO985" s="4"/>
      <c r="AP985" s="4"/>
      <c r="AQ985" s="4"/>
      <c r="AR985" s="4"/>
      <c r="AS985" s="4"/>
      <c r="AT985" s="4"/>
      <c r="AU985" s="4"/>
      <c r="AV985" s="4"/>
      <c r="AW985" s="4"/>
      <c r="AX985" s="4"/>
      <c r="AY985" s="4"/>
      <c r="AZ985" s="4"/>
      <c r="BA985" s="4"/>
      <c r="BB985" s="4"/>
      <c r="BC985" s="4"/>
      <c r="BD985" s="4"/>
      <c r="BE985" s="4"/>
      <c r="BF985" s="4"/>
      <c r="BG985" s="4"/>
      <c r="BH985" s="4"/>
      <c r="BI985" s="4"/>
      <c r="BJ985" s="4"/>
      <c r="BK985" s="4"/>
      <c r="BL985" s="4"/>
      <c r="BM985" s="4"/>
      <c r="BN985" s="4"/>
      <c r="BO985" s="4"/>
      <c r="BP985" s="39"/>
      <c r="BQ985" s="39"/>
    </row>
    <row r="986" spans="3:69" ht="15.75" customHeight="1">
      <c r="C986" s="4"/>
      <c r="D986" s="4"/>
      <c r="E986" s="38"/>
      <c r="F986" s="38"/>
      <c r="G986" s="4"/>
      <c r="H986" s="4"/>
      <c r="I986" s="4"/>
      <c r="J986" s="4"/>
      <c r="K986" s="4"/>
      <c r="L986" s="4"/>
      <c r="M986" s="4"/>
      <c r="N986" s="38"/>
      <c r="O986" s="4"/>
      <c r="P986" s="4"/>
      <c r="Q986" s="4"/>
      <c r="R986" s="4"/>
      <c r="S986" s="4"/>
      <c r="T986" s="38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  <c r="AK986" s="4"/>
      <c r="AL986" s="4"/>
      <c r="AM986" s="38"/>
      <c r="AN986" s="4"/>
      <c r="AO986" s="4"/>
      <c r="AP986" s="4"/>
      <c r="AQ986" s="4"/>
      <c r="AR986" s="4"/>
      <c r="AS986" s="4"/>
      <c r="AT986" s="4"/>
      <c r="AU986" s="4"/>
      <c r="AV986" s="4"/>
      <c r="AW986" s="4"/>
      <c r="AX986" s="4"/>
      <c r="AY986" s="4"/>
      <c r="AZ986" s="4"/>
      <c r="BA986" s="4"/>
      <c r="BB986" s="4"/>
      <c r="BC986" s="4"/>
      <c r="BD986" s="4"/>
      <c r="BE986" s="4"/>
      <c r="BF986" s="4"/>
      <c r="BG986" s="4"/>
      <c r="BH986" s="4"/>
      <c r="BI986" s="4"/>
      <c r="BJ986" s="4"/>
      <c r="BK986" s="4"/>
      <c r="BL986" s="4"/>
      <c r="BM986" s="4"/>
      <c r="BN986" s="4"/>
      <c r="BO986" s="4"/>
      <c r="BP986" s="39"/>
      <c r="BQ986" s="39"/>
    </row>
    <row r="987" spans="3:69" ht="15.75" customHeight="1">
      <c r="C987" s="4"/>
      <c r="D987" s="4"/>
      <c r="E987" s="38"/>
      <c r="F987" s="38"/>
      <c r="G987" s="4"/>
      <c r="H987" s="4"/>
      <c r="I987" s="4"/>
      <c r="J987" s="4"/>
      <c r="K987" s="4"/>
      <c r="L987" s="4"/>
      <c r="M987" s="4"/>
      <c r="N987" s="38"/>
      <c r="O987" s="4"/>
      <c r="P987" s="4"/>
      <c r="Q987" s="4"/>
      <c r="R987" s="4"/>
      <c r="S987" s="4"/>
      <c r="T987" s="38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  <c r="AK987" s="4"/>
      <c r="AL987" s="4"/>
      <c r="AM987" s="38"/>
      <c r="AN987" s="4"/>
      <c r="AO987" s="4"/>
      <c r="AP987" s="4"/>
      <c r="AQ987" s="4"/>
      <c r="AR987" s="4"/>
      <c r="AS987" s="4"/>
      <c r="AT987" s="4"/>
      <c r="AU987" s="4"/>
      <c r="AV987" s="4"/>
      <c r="AW987" s="4"/>
      <c r="AX987" s="4"/>
      <c r="AY987" s="4"/>
      <c r="AZ987" s="4"/>
      <c r="BA987" s="4"/>
      <c r="BB987" s="4"/>
      <c r="BC987" s="4"/>
      <c r="BD987" s="4"/>
      <c r="BE987" s="4"/>
      <c r="BF987" s="4"/>
      <c r="BG987" s="4"/>
      <c r="BH987" s="4"/>
      <c r="BI987" s="4"/>
      <c r="BJ987" s="4"/>
      <c r="BK987" s="4"/>
      <c r="BL987" s="4"/>
      <c r="BM987" s="4"/>
      <c r="BN987" s="4"/>
      <c r="BO987" s="4"/>
      <c r="BP987" s="39"/>
      <c r="BQ987" s="39"/>
    </row>
    <row r="988" spans="3:69" ht="15.75" customHeight="1">
      <c r="C988" s="4"/>
      <c r="D988" s="4"/>
      <c r="E988" s="38"/>
      <c r="F988" s="38"/>
      <c r="G988" s="4"/>
      <c r="H988" s="4"/>
      <c r="I988" s="4"/>
      <c r="J988" s="4"/>
      <c r="K988" s="4"/>
      <c r="L988" s="4"/>
      <c r="M988" s="4"/>
      <c r="N988" s="38"/>
      <c r="O988" s="4"/>
      <c r="P988" s="4"/>
      <c r="Q988" s="4"/>
      <c r="R988" s="4"/>
      <c r="S988" s="4"/>
      <c r="T988" s="38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  <c r="AK988" s="4"/>
      <c r="AL988" s="4"/>
      <c r="AM988" s="38"/>
      <c r="AN988" s="4"/>
      <c r="AO988" s="4"/>
      <c r="AP988" s="4"/>
      <c r="AQ988" s="4"/>
      <c r="AR988" s="4"/>
      <c r="AS988" s="4"/>
      <c r="AT988" s="4"/>
      <c r="AU988" s="4"/>
      <c r="AV988" s="4"/>
      <c r="AW988" s="4"/>
      <c r="AX988" s="4"/>
      <c r="AY988" s="4"/>
      <c r="AZ988" s="4"/>
      <c r="BA988" s="4"/>
      <c r="BB988" s="4"/>
      <c r="BC988" s="4"/>
      <c r="BD988" s="4"/>
      <c r="BE988" s="4"/>
      <c r="BF988" s="4"/>
      <c r="BG988" s="4"/>
      <c r="BH988" s="4"/>
      <c r="BI988" s="4"/>
      <c r="BJ988" s="4"/>
      <c r="BK988" s="4"/>
      <c r="BL988" s="4"/>
      <c r="BM988" s="4"/>
      <c r="BN988" s="4"/>
      <c r="BO988" s="4"/>
      <c r="BP988" s="39"/>
      <c r="BQ988" s="39"/>
    </row>
    <row r="989" spans="3:69" ht="15.75" customHeight="1">
      <c r="C989" s="4"/>
      <c r="D989" s="4"/>
      <c r="E989" s="38"/>
      <c r="F989" s="38"/>
      <c r="G989" s="4"/>
      <c r="H989" s="4"/>
      <c r="I989" s="4"/>
      <c r="J989" s="4"/>
      <c r="K989" s="4"/>
      <c r="L989" s="4"/>
      <c r="M989" s="4"/>
      <c r="N989" s="38"/>
      <c r="O989" s="4"/>
      <c r="P989" s="4"/>
      <c r="Q989" s="4"/>
      <c r="R989" s="4"/>
      <c r="S989" s="4"/>
      <c r="T989" s="38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  <c r="AK989" s="4"/>
      <c r="AL989" s="4"/>
      <c r="AM989" s="38"/>
      <c r="AN989" s="4"/>
      <c r="AO989" s="4"/>
      <c r="AP989" s="4"/>
      <c r="AQ989" s="4"/>
      <c r="AR989" s="4"/>
      <c r="AS989" s="4"/>
      <c r="AT989" s="4"/>
      <c r="AU989" s="4"/>
      <c r="AV989" s="4"/>
      <c r="AW989" s="4"/>
      <c r="AX989" s="4"/>
      <c r="AY989" s="4"/>
      <c r="AZ989" s="4"/>
      <c r="BA989" s="4"/>
      <c r="BB989" s="4"/>
      <c r="BC989" s="4"/>
      <c r="BD989" s="4"/>
      <c r="BE989" s="4"/>
      <c r="BF989" s="4"/>
      <c r="BG989" s="4"/>
      <c r="BH989" s="4"/>
      <c r="BI989" s="4"/>
      <c r="BJ989" s="4"/>
      <c r="BK989" s="4"/>
      <c r="BL989" s="4"/>
      <c r="BM989" s="4"/>
      <c r="BN989" s="4"/>
      <c r="BO989" s="4"/>
      <c r="BP989" s="39"/>
      <c r="BQ989" s="39"/>
    </row>
    <row r="990" spans="3:69" ht="15.75" customHeight="1">
      <c r="C990" s="4"/>
      <c r="D990" s="4"/>
      <c r="E990" s="38"/>
      <c r="F990" s="38"/>
      <c r="G990" s="4"/>
      <c r="H990" s="4"/>
      <c r="I990" s="4"/>
      <c r="J990" s="4"/>
      <c r="K990" s="4"/>
      <c r="L990" s="4"/>
      <c r="M990" s="4"/>
      <c r="N990" s="38"/>
      <c r="O990" s="4"/>
      <c r="P990" s="4"/>
      <c r="Q990" s="4"/>
      <c r="R990" s="4"/>
      <c r="S990" s="4"/>
      <c r="T990" s="38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  <c r="AK990" s="4"/>
      <c r="AL990" s="4"/>
      <c r="AM990" s="38"/>
      <c r="AN990" s="4"/>
      <c r="AO990" s="4"/>
      <c r="AP990" s="4"/>
      <c r="AQ990" s="4"/>
      <c r="AR990" s="4"/>
      <c r="AS990" s="4"/>
      <c r="AT990" s="4"/>
      <c r="AU990" s="4"/>
      <c r="AV990" s="4"/>
      <c r="AW990" s="4"/>
      <c r="AX990" s="4"/>
      <c r="AY990" s="4"/>
      <c r="AZ990" s="4"/>
      <c r="BA990" s="4"/>
      <c r="BB990" s="4"/>
      <c r="BC990" s="4"/>
      <c r="BD990" s="4"/>
      <c r="BE990" s="4"/>
      <c r="BF990" s="4"/>
      <c r="BG990" s="4"/>
      <c r="BH990" s="4"/>
      <c r="BI990" s="4"/>
      <c r="BJ990" s="4"/>
      <c r="BK990" s="4"/>
      <c r="BL990" s="4"/>
      <c r="BM990" s="4"/>
      <c r="BN990" s="4"/>
      <c r="BO990" s="4"/>
      <c r="BP990" s="39"/>
      <c r="BQ990" s="39"/>
    </row>
    <row r="991" spans="3:69" ht="15.75" customHeight="1">
      <c r="C991" s="4"/>
      <c r="D991" s="4"/>
      <c r="E991" s="38"/>
      <c r="F991" s="38"/>
      <c r="G991" s="4"/>
      <c r="H991" s="4"/>
      <c r="I991" s="4"/>
      <c r="J991" s="4"/>
      <c r="K991" s="4"/>
      <c r="L991" s="4"/>
      <c r="M991" s="4"/>
      <c r="N991" s="38"/>
      <c r="O991" s="4"/>
      <c r="P991" s="4"/>
      <c r="Q991" s="4"/>
      <c r="R991" s="4"/>
      <c r="S991" s="4"/>
      <c r="T991" s="38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  <c r="AK991" s="4"/>
      <c r="AL991" s="4"/>
      <c r="AM991" s="38"/>
      <c r="AN991" s="4"/>
      <c r="AO991" s="4"/>
      <c r="AP991" s="4"/>
      <c r="AQ991" s="4"/>
      <c r="AR991" s="4"/>
      <c r="AS991" s="4"/>
      <c r="AT991" s="4"/>
      <c r="AU991" s="4"/>
      <c r="AV991" s="4"/>
      <c r="AW991" s="4"/>
      <c r="AX991" s="4"/>
      <c r="AY991" s="4"/>
      <c r="AZ991" s="4"/>
      <c r="BA991" s="4"/>
      <c r="BB991" s="4"/>
      <c r="BC991" s="4"/>
      <c r="BD991" s="4"/>
      <c r="BE991" s="4"/>
      <c r="BF991" s="4"/>
      <c r="BG991" s="4"/>
      <c r="BH991" s="4"/>
      <c r="BI991" s="4"/>
      <c r="BJ991" s="4"/>
      <c r="BK991" s="4"/>
      <c r="BL991" s="4"/>
      <c r="BM991" s="4"/>
      <c r="BN991" s="4"/>
      <c r="BO991" s="4"/>
      <c r="BP991" s="39"/>
      <c r="BQ991" s="39"/>
    </row>
    <row r="992" spans="3:69" ht="15.75" customHeight="1">
      <c r="C992" s="4"/>
      <c r="D992" s="4"/>
      <c r="E992" s="38"/>
      <c r="F992" s="38"/>
      <c r="G992" s="4"/>
      <c r="H992" s="4"/>
      <c r="I992" s="4"/>
      <c r="J992" s="4"/>
      <c r="K992" s="4"/>
      <c r="L992" s="4"/>
      <c r="M992" s="4"/>
      <c r="N992" s="38"/>
      <c r="O992" s="4"/>
      <c r="P992" s="4"/>
      <c r="Q992" s="4"/>
      <c r="R992" s="4"/>
      <c r="S992" s="4"/>
      <c r="T992" s="38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4"/>
      <c r="AL992" s="4"/>
      <c r="AM992" s="38"/>
      <c r="AN992" s="4"/>
      <c r="AO992" s="4"/>
      <c r="AP992" s="4"/>
      <c r="AQ992" s="4"/>
      <c r="AR992" s="4"/>
      <c r="AS992" s="4"/>
      <c r="AT992" s="4"/>
      <c r="AU992" s="4"/>
      <c r="AV992" s="4"/>
      <c r="AW992" s="4"/>
      <c r="AX992" s="4"/>
      <c r="AY992" s="4"/>
      <c r="AZ992" s="4"/>
      <c r="BA992" s="4"/>
      <c r="BB992" s="4"/>
      <c r="BC992" s="4"/>
      <c r="BD992" s="4"/>
      <c r="BE992" s="4"/>
      <c r="BF992" s="4"/>
      <c r="BG992" s="4"/>
      <c r="BH992" s="4"/>
      <c r="BI992" s="4"/>
      <c r="BJ992" s="4"/>
      <c r="BK992" s="4"/>
      <c r="BL992" s="4"/>
      <c r="BM992" s="4"/>
      <c r="BN992" s="4"/>
      <c r="BO992" s="4"/>
      <c r="BP992" s="39"/>
      <c r="BQ992" s="39"/>
    </row>
    <row r="993" spans="3:69" ht="15.75" customHeight="1">
      <c r="C993" s="4"/>
      <c r="D993" s="4"/>
      <c r="E993" s="38"/>
      <c r="F993" s="38"/>
      <c r="G993" s="4"/>
      <c r="H993" s="4"/>
      <c r="I993" s="4"/>
      <c r="J993" s="4"/>
      <c r="K993" s="4"/>
      <c r="L993" s="4"/>
      <c r="M993" s="4"/>
      <c r="N993" s="38"/>
      <c r="O993" s="4"/>
      <c r="P993" s="4"/>
      <c r="Q993" s="4"/>
      <c r="R993" s="4"/>
      <c r="S993" s="4"/>
      <c r="T993" s="38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4"/>
      <c r="AK993" s="4"/>
      <c r="AL993" s="4"/>
      <c r="AM993" s="38"/>
      <c r="AN993" s="4"/>
      <c r="AO993" s="4"/>
      <c r="AP993" s="4"/>
      <c r="AQ993" s="4"/>
      <c r="AR993" s="4"/>
      <c r="AS993" s="4"/>
      <c r="AT993" s="4"/>
      <c r="AU993" s="4"/>
      <c r="AV993" s="4"/>
      <c r="AW993" s="4"/>
      <c r="AX993" s="4"/>
      <c r="AY993" s="4"/>
      <c r="AZ993" s="4"/>
      <c r="BA993" s="4"/>
      <c r="BB993" s="4"/>
      <c r="BC993" s="4"/>
      <c r="BD993" s="4"/>
      <c r="BE993" s="4"/>
      <c r="BF993" s="4"/>
      <c r="BG993" s="4"/>
      <c r="BH993" s="4"/>
      <c r="BI993" s="4"/>
      <c r="BJ993" s="4"/>
      <c r="BK993" s="4"/>
      <c r="BL993" s="4"/>
      <c r="BM993" s="4"/>
      <c r="BN993" s="4"/>
      <c r="BO993" s="4"/>
      <c r="BP993" s="39"/>
      <c r="BQ993" s="39"/>
    </row>
    <row r="994" spans="3:69" ht="15.75" customHeight="1">
      <c r="C994" s="4"/>
      <c r="D994" s="4"/>
      <c r="E994" s="38"/>
      <c r="F994" s="38"/>
      <c r="G994" s="4"/>
      <c r="H994" s="4"/>
      <c r="I994" s="4"/>
      <c r="J994" s="4"/>
      <c r="K994" s="4"/>
      <c r="L994" s="4"/>
      <c r="M994" s="4"/>
      <c r="N994" s="38"/>
      <c r="O994" s="4"/>
      <c r="P994" s="4"/>
      <c r="Q994" s="4"/>
      <c r="R994" s="4"/>
      <c r="S994" s="4"/>
      <c r="T994" s="38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  <c r="AK994" s="4"/>
      <c r="AL994" s="4"/>
      <c r="AM994" s="38"/>
      <c r="AN994" s="4"/>
      <c r="AO994" s="4"/>
      <c r="AP994" s="4"/>
      <c r="AQ994" s="4"/>
      <c r="AR994" s="4"/>
      <c r="AS994" s="4"/>
      <c r="AT994" s="4"/>
      <c r="AU994" s="4"/>
      <c r="AV994" s="4"/>
      <c r="AW994" s="4"/>
      <c r="AX994" s="4"/>
      <c r="AY994" s="4"/>
      <c r="AZ994" s="4"/>
      <c r="BA994" s="4"/>
      <c r="BB994" s="4"/>
      <c r="BC994" s="4"/>
      <c r="BD994" s="4"/>
      <c r="BE994" s="4"/>
      <c r="BF994" s="4"/>
      <c r="BG994" s="4"/>
      <c r="BH994" s="4"/>
      <c r="BI994" s="4"/>
      <c r="BJ994" s="4"/>
      <c r="BK994" s="4"/>
      <c r="BL994" s="4"/>
      <c r="BM994" s="4"/>
      <c r="BN994" s="4"/>
      <c r="BO994" s="4"/>
      <c r="BP994" s="39"/>
      <c r="BQ994" s="39"/>
    </row>
    <row r="995" spans="3:69" ht="15.75" customHeight="1">
      <c r="C995" s="4"/>
      <c r="D995" s="4"/>
      <c r="E995" s="38"/>
      <c r="F995" s="38"/>
      <c r="G995" s="4"/>
      <c r="H995" s="4"/>
      <c r="I995" s="4"/>
      <c r="J995" s="4"/>
      <c r="K995" s="4"/>
      <c r="L995" s="4"/>
      <c r="M995" s="4"/>
      <c r="N995" s="38"/>
      <c r="O995" s="4"/>
      <c r="P995" s="4"/>
      <c r="Q995" s="4"/>
      <c r="R995" s="4"/>
      <c r="S995" s="4"/>
      <c r="T995" s="38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  <c r="AJ995" s="4"/>
      <c r="AK995" s="4"/>
      <c r="AL995" s="4"/>
      <c r="AM995" s="38"/>
      <c r="AN995" s="4"/>
      <c r="AO995" s="4"/>
      <c r="AP995" s="4"/>
      <c r="AQ995" s="4"/>
      <c r="AR995" s="4"/>
      <c r="AS995" s="4"/>
      <c r="AT995" s="4"/>
      <c r="AU995" s="4"/>
      <c r="AV995" s="4"/>
      <c r="AW995" s="4"/>
      <c r="AX995" s="4"/>
      <c r="AY995" s="4"/>
      <c r="AZ995" s="4"/>
      <c r="BA995" s="4"/>
      <c r="BB995" s="4"/>
      <c r="BC995" s="4"/>
      <c r="BD995" s="4"/>
      <c r="BE995" s="4"/>
      <c r="BF995" s="4"/>
      <c r="BG995" s="4"/>
      <c r="BH995" s="4"/>
      <c r="BI995" s="4"/>
      <c r="BJ995" s="4"/>
      <c r="BK995" s="4"/>
      <c r="BL995" s="4"/>
      <c r="BM995" s="4"/>
      <c r="BN995" s="4"/>
      <c r="BO995" s="4"/>
      <c r="BP995" s="39"/>
      <c r="BQ995" s="39"/>
    </row>
    <row r="996" spans="3:69" ht="15.75" customHeight="1">
      <c r="C996" s="4"/>
      <c r="D996" s="4"/>
      <c r="E996" s="38"/>
      <c r="F996" s="38"/>
      <c r="G996" s="4"/>
      <c r="H996" s="4"/>
      <c r="I996" s="4"/>
      <c r="J996" s="4"/>
      <c r="K996" s="4"/>
      <c r="L996" s="4"/>
      <c r="M996" s="4"/>
      <c r="N996" s="38"/>
      <c r="O996" s="4"/>
      <c r="P996" s="4"/>
      <c r="Q996" s="4"/>
      <c r="R996" s="4"/>
      <c r="S996" s="4"/>
      <c r="T996" s="38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  <c r="AJ996" s="4"/>
      <c r="AK996" s="4"/>
      <c r="AL996" s="4"/>
      <c r="AM996" s="38"/>
      <c r="AN996" s="4"/>
      <c r="AO996" s="4"/>
      <c r="AP996" s="4"/>
      <c r="AQ996" s="4"/>
      <c r="AR996" s="4"/>
      <c r="AS996" s="4"/>
      <c r="AT996" s="4"/>
      <c r="AU996" s="4"/>
      <c r="AV996" s="4"/>
      <c r="AW996" s="4"/>
      <c r="AX996" s="4"/>
      <c r="AY996" s="4"/>
      <c r="AZ996" s="4"/>
      <c r="BA996" s="4"/>
      <c r="BB996" s="4"/>
      <c r="BC996" s="4"/>
      <c r="BD996" s="4"/>
      <c r="BE996" s="4"/>
      <c r="BF996" s="4"/>
      <c r="BG996" s="4"/>
      <c r="BH996" s="4"/>
      <c r="BI996" s="4"/>
      <c r="BJ996" s="4"/>
      <c r="BK996" s="4"/>
      <c r="BL996" s="4"/>
      <c r="BM996" s="4"/>
      <c r="BN996" s="4"/>
      <c r="BO996" s="4"/>
      <c r="BP996" s="39"/>
      <c r="BQ996" s="39"/>
    </row>
    <row r="997" spans="3:69" ht="15.75" customHeight="1">
      <c r="C997" s="4"/>
      <c r="D997" s="4"/>
      <c r="E997" s="38"/>
      <c r="F997" s="38"/>
      <c r="G997" s="4"/>
      <c r="H997" s="4"/>
      <c r="I997" s="4"/>
      <c r="J997" s="4"/>
      <c r="K997" s="4"/>
      <c r="L997" s="4"/>
      <c r="M997" s="4"/>
      <c r="N997" s="38"/>
      <c r="O997" s="4"/>
      <c r="P997" s="4"/>
      <c r="Q997" s="4"/>
      <c r="R997" s="4"/>
      <c r="S997" s="4"/>
      <c r="T997" s="38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  <c r="AJ997" s="4"/>
      <c r="AK997" s="4"/>
      <c r="AL997" s="4"/>
      <c r="AM997" s="38"/>
      <c r="AN997" s="4"/>
      <c r="AO997" s="4"/>
      <c r="AP997" s="4"/>
      <c r="AQ997" s="4"/>
      <c r="AR997" s="4"/>
      <c r="AS997" s="4"/>
      <c r="AT997" s="4"/>
      <c r="AU997" s="4"/>
      <c r="AV997" s="4"/>
      <c r="AW997" s="4"/>
      <c r="AX997" s="4"/>
      <c r="AY997" s="4"/>
      <c r="AZ997" s="4"/>
      <c r="BA997" s="4"/>
      <c r="BB997" s="4"/>
      <c r="BC997" s="4"/>
      <c r="BD997" s="4"/>
      <c r="BE997" s="4"/>
      <c r="BF997" s="4"/>
      <c r="BG997" s="4"/>
      <c r="BH997" s="4"/>
      <c r="BI997" s="4"/>
      <c r="BJ997" s="4"/>
      <c r="BK997" s="4"/>
      <c r="BL997" s="4"/>
      <c r="BM997" s="4"/>
      <c r="BN997" s="4"/>
      <c r="BO997" s="4"/>
      <c r="BP997" s="39"/>
      <c r="BQ997" s="39"/>
    </row>
    <row r="998" spans="3:69" ht="15.75" customHeight="1">
      <c r="C998" s="4"/>
      <c r="D998" s="4"/>
      <c r="E998" s="38"/>
      <c r="F998" s="38"/>
      <c r="G998" s="4"/>
      <c r="H998" s="4"/>
      <c r="I998" s="4"/>
      <c r="J998" s="4"/>
      <c r="K998" s="4"/>
      <c r="L998" s="4"/>
      <c r="M998" s="4"/>
      <c r="N998" s="38"/>
      <c r="O998" s="4"/>
      <c r="P998" s="4"/>
      <c r="Q998" s="4"/>
      <c r="R998" s="4"/>
      <c r="S998" s="4"/>
      <c r="T998" s="38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  <c r="AJ998" s="4"/>
      <c r="AK998" s="4"/>
      <c r="AL998" s="4"/>
      <c r="AM998" s="38"/>
      <c r="AN998" s="4"/>
      <c r="AO998" s="4"/>
      <c r="AP998" s="4"/>
      <c r="AQ998" s="4"/>
      <c r="AR998" s="4"/>
      <c r="AS998" s="4"/>
      <c r="AT998" s="4"/>
      <c r="AU998" s="4"/>
      <c r="AV998" s="4"/>
      <c r="AW998" s="4"/>
      <c r="AX998" s="4"/>
      <c r="AY998" s="4"/>
      <c r="AZ998" s="4"/>
      <c r="BA998" s="4"/>
      <c r="BB998" s="4"/>
      <c r="BC998" s="4"/>
      <c r="BD998" s="4"/>
      <c r="BE998" s="4"/>
      <c r="BF998" s="4"/>
      <c r="BG998" s="4"/>
      <c r="BH998" s="4"/>
      <c r="BI998" s="4"/>
      <c r="BJ998" s="4"/>
      <c r="BK998" s="4"/>
      <c r="BL998" s="4"/>
      <c r="BM998" s="4"/>
      <c r="BN998" s="4"/>
      <c r="BO998" s="4"/>
      <c r="BP998" s="39"/>
      <c r="BQ998" s="39"/>
    </row>
    <row r="999" spans="3:69" ht="15.75" customHeight="1">
      <c r="C999" s="4"/>
      <c r="D999" s="4"/>
      <c r="E999" s="38"/>
      <c r="F999" s="38"/>
      <c r="G999" s="4"/>
      <c r="H999" s="4"/>
      <c r="I999" s="4"/>
      <c r="J999" s="4"/>
      <c r="K999" s="4"/>
      <c r="L999" s="4"/>
      <c r="M999" s="4"/>
      <c r="N999" s="38"/>
      <c r="O999" s="4"/>
      <c r="P999" s="4"/>
      <c r="Q999" s="4"/>
      <c r="R999" s="4"/>
      <c r="S999" s="4"/>
      <c r="T999" s="38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  <c r="AJ999" s="4"/>
      <c r="AK999" s="4"/>
      <c r="AL999" s="4"/>
      <c r="AM999" s="38"/>
      <c r="AN999" s="4"/>
      <c r="AO999" s="4"/>
      <c r="AP999" s="4"/>
      <c r="AQ999" s="4"/>
      <c r="AR999" s="4"/>
      <c r="AS999" s="4"/>
      <c r="AT999" s="4"/>
      <c r="AU999" s="4"/>
      <c r="AV999" s="4"/>
      <c r="AW999" s="4"/>
      <c r="AX999" s="4"/>
      <c r="AY999" s="4"/>
      <c r="AZ999" s="4"/>
      <c r="BA999" s="4"/>
      <c r="BB999" s="4"/>
      <c r="BC999" s="4"/>
      <c r="BD999" s="4"/>
      <c r="BE999" s="4"/>
      <c r="BF999" s="4"/>
      <c r="BG999" s="4"/>
      <c r="BH999" s="4"/>
      <c r="BI999" s="4"/>
      <c r="BJ999" s="4"/>
      <c r="BK999" s="4"/>
      <c r="BL999" s="4"/>
      <c r="BM999" s="4"/>
      <c r="BN999" s="4"/>
      <c r="BO999" s="4"/>
      <c r="BP999" s="39"/>
      <c r="BQ999" s="39"/>
    </row>
    <row r="1000" spans="3:69" ht="15.75" customHeight="1">
      <c r="C1000" s="4"/>
      <c r="D1000" s="4"/>
      <c r="E1000" s="38"/>
      <c r="F1000" s="38"/>
      <c r="G1000" s="4"/>
      <c r="H1000" s="4"/>
      <c r="I1000" s="4"/>
      <c r="J1000" s="4"/>
      <c r="K1000" s="4"/>
      <c r="L1000" s="4"/>
      <c r="M1000" s="4"/>
      <c r="N1000" s="38"/>
      <c r="O1000" s="4"/>
      <c r="P1000" s="4"/>
      <c r="Q1000" s="4"/>
      <c r="R1000" s="4"/>
      <c r="S1000" s="4"/>
      <c r="T1000" s="38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  <c r="AJ1000" s="4"/>
      <c r="AK1000" s="4"/>
      <c r="AL1000" s="4"/>
      <c r="AM1000" s="38"/>
      <c r="AN1000" s="4"/>
      <c r="AO1000" s="4"/>
      <c r="AP1000" s="4"/>
      <c r="AQ1000" s="4"/>
      <c r="AR1000" s="4"/>
      <c r="AS1000" s="4"/>
      <c r="AT1000" s="4"/>
      <c r="AU1000" s="4"/>
      <c r="AV1000" s="4"/>
      <c r="AW1000" s="4"/>
      <c r="AX1000" s="4"/>
      <c r="AY1000" s="4"/>
      <c r="AZ1000" s="4"/>
      <c r="BA1000" s="4"/>
      <c r="BB1000" s="4"/>
      <c r="BC1000" s="4"/>
      <c r="BD1000" s="4"/>
      <c r="BE1000" s="4"/>
      <c r="BF1000" s="4"/>
      <c r="BG1000" s="4"/>
      <c r="BH1000" s="4"/>
      <c r="BI1000" s="4"/>
      <c r="BJ1000" s="4"/>
      <c r="BK1000" s="4"/>
      <c r="BL1000" s="4"/>
      <c r="BM1000" s="4"/>
      <c r="BN1000" s="4"/>
      <c r="BO1000" s="4"/>
      <c r="BP1000" s="39"/>
      <c r="BQ1000" s="39"/>
    </row>
    <row r="1001" spans="3:69" ht="15.75" customHeight="1">
      <c r="C1001" s="4"/>
      <c r="D1001" s="4"/>
      <c r="E1001" s="38"/>
      <c r="F1001" s="38"/>
      <c r="G1001" s="4"/>
      <c r="H1001" s="4"/>
      <c r="I1001" s="4"/>
      <c r="J1001" s="4"/>
      <c r="K1001" s="4"/>
      <c r="L1001" s="4"/>
      <c r="M1001" s="4"/>
      <c r="N1001" s="38"/>
      <c r="O1001" s="4"/>
      <c r="P1001" s="4"/>
      <c r="Q1001" s="4"/>
      <c r="R1001" s="4"/>
      <c r="S1001" s="4"/>
      <c r="T1001" s="38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  <c r="AE1001" s="4"/>
      <c r="AF1001" s="4"/>
      <c r="AG1001" s="4"/>
      <c r="AH1001" s="4"/>
      <c r="AI1001" s="4"/>
      <c r="AJ1001" s="4"/>
      <c r="AK1001" s="4"/>
      <c r="AL1001" s="4"/>
      <c r="AM1001" s="38"/>
      <c r="AN1001" s="4"/>
      <c r="AO1001" s="4"/>
      <c r="AP1001" s="4"/>
      <c r="AQ1001" s="4"/>
      <c r="AR1001" s="4"/>
      <c r="AS1001" s="4"/>
      <c r="AT1001" s="4"/>
      <c r="AU1001" s="4"/>
      <c r="AV1001" s="4"/>
      <c r="AW1001" s="4"/>
      <c r="AX1001" s="4"/>
      <c r="AY1001" s="4"/>
      <c r="AZ1001" s="4"/>
      <c r="BA1001" s="4"/>
      <c r="BB1001" s="4"/>
      <c r="BC1001" s="4"/>
      <c r="BD1001" s="4"/>
      <c r="BE1001" s="4"/>
      <c r="BF1001" s="4"/>
      <c r="BG1001" s="4"/>
      <c r="BH1001" s="4"/>
      <c r="BI1001" s="4"/>
      <c r="BJ1001" s="4"/>
      <c r="BK1001" s="4"/>
      <c r="BL1001" s="4"/>
      <c r="BM1001" s="4"/>
      <c r="BN1001" s="4"/>
      <c r="BO1001" s="4"/>
      <c r="BP1001" s="39"/>
      <c r="BQ1001" s="39"/>
    </row>
    <row r="1002" spans="3:69" ht="15.75" customHeight="1">
      <c r="C1002" s="4"/>
      <c r="D1002" s="4"/>
      <c r="E1002" s="38"/>
      <c r="F1002" s="38"/>
      <c r="G1002" s="4"/>
      <c r="H1002" s="4"/>
      <c r="I1002" s="4"/>
      <c r="J1002" s="4"/>
      <c r="K1002" s="4"/>
      <c r="L1002" s="4"/>
      <c r="M1002" s="4"/>
      <c r="N1002" s="38"/>
      <c r="O1002" s="4"/>
      <c r="P1002" s="4"/>
      <c r="Q1002" s="4"/>
      <c r="R1002" s="4"/>
      <c r="S1002" s="4"/>
      <c r="T1002" s="38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  <c r="AE1002" s="4"/>
      <c r="AF1002" s="4"/>
      <c r="AG1002" s="4"/>
      <c r="AH1002" s="4"/>
      <c r="AI1002" s="4"/>
      <c r="AJ1002" s="4"/>
      <c r="AK1002" s="4"/>
      <c r="AL1002" s="4"/>
      <c r="AM1002" s="38"/>
      <c r="AN1002" s="4"/>
      <c r="AO1002" s="4"/>
      <c r="AP1002" s="4"/>
      <c r="AQ1002" s="4"/>
      <c r="AR1002" s="4"/>
      <c r="AS1002" s="4"/>
      <c r="AT1002" s="4"/>
      <c r="AU1002" s="4"/>
      <c r="AV1002" s="4"/>
      <c r="AW1002" s="4"/>
      <c r="AX1002" s="4"/>
      <c r="AY1002" s="4"/>
      <c r="AZ1002" s="4"/>
      <c r="BA1002" s="4"/>
      <c r="BB1002" s="4"/>
      <c r="BC1002" s="4"/>
      <c r="BD1002" s="4"/>
      <c r="BE1002" s="4"/>
      <c r="BF1002" s="4"/>
      <c r="BG1002" s="4"/>
      <c r="BH1002" s="4"/>
      <c r="BI1002" s="4"/>
      <c r="BJ1002" s="4"/>
      <c r="BK1002" s="4"/>
      <c r="BL1002" s="4"/>
      <c r="BM1002" s="4"/>
      <c r="BN1002" s="4"/>
      <c r="BO1002" s="4"/>
      <c r="BP1002" s="39"/>
      <c r="BQ1002" s="39"/>
    </row>
    <row r="1003" spans="3:69" ht="15.75" customHeight="1">
      <c r="C1003" s="4"/>
      <c r="D1003" s="4"/>
      <c r="E1003" s="38"/>
      <c r="F1003" s="38"/>
      <c r="G1003" s="4"/>
      <c r="H1003" s="4"/>
      <c r="I1003" s="4"/>
      <c r="J1003" s="4"/>
      <c r="K1003" s="4"/>
      <c r="L1003" s="4"/>
      <c r="M1003" s="4"/>
      <c r="N1003" s="38"/>
      <c r="O1003" s="4"/>
      <c r="P1003" s="4"/>
      <c r="Q1003" s="4"/>
      <c r="R1003" s="4"/>
      <c r="S1003" s="4"/>
      <c r="T1003" s="38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  <c r="AE1003" s="4"/>
      <c r="AF1003" s="4"/>
      <c r="AG1003" s="4"/>
      <c r="AH1003" s="4"/>
      <c r="AI1003" s="4"/>
      <c r="AJ1003" s="4"/>
      <c r="AK1003" s="4"/>
      <c r="AL1003" s="4"/>
      <c r="AM1003" s="38"/>
      <c r="AN1003" s="4"/>
      <c r="AO1003" s="4"/>
      <c r="AP1003" s="4"/>
      <c r="AQ1003" s="4"/>
      <c r="AR1003" s="4"/>
      <c r="AS1003" s="4"/>
      <c r="AT1003" s="4"/>
      <c r="AU1003" s="4"/>
      <c r="AV1003" s="4"/>
      <c r="AW1003" s="4"/>
      <c r="AX1003" s="4"/>
      <c r="AY1003" s="4"/>
      <c r="AZ1003" s="4"/>
      <c r="BA1003" s="4"/>
      <c r="BB1003" s="4"/>
      <c r="BC1003" s="4"/>
      <c r="BD1003" s="4"/>
      <c r="BE1003" s="4"/>
      <c r="BF1003" s="4"/>
      <c r="BG1003" s="4"/>
      <c r="BH1003" s="4"/>
      <c r="BI1003" s="4"/>
      <c r="BJ1003" s="4"/>
      <c r="BK1003" s="4"/>
      <c r="BL1003" s="4"/>
      <c r="BM1003" s="4"/>
      <c r="BN1003" s="4"/>
      <c r="BO1003" s="4"/>
      <c r="BP1003" s="39"/>
      <c r="BQ1003" s="39"/>
    </row>
    <row r="1004" spans="3:69" ht="15.75" customHeight="1">
      <c r="C1004" s="4"/>
      <c r="D1004" s="4"/>
      <c r="E1004" s="38"/>
      <c r="F1004" s="38"/>
      <c r="G1004" s="4"/>
      <c r="H1004" s="4"/>
      <c r="I1004" s="4"/>
      <c r="J1004" s="4"/>
      <c r="K1004" s="4"/>
      <c r="L1004" s="4"/>
      <c r="M1004" s="4"/>
      <c r="N1004" s="38"/>
      <c r="O1004" s="4"/>
      <c r="P1004" s="4"/>
      <c r="Q1004" s="4"/>
      <c r="R1004" s="4"/>
      <c r="S1004" s="4"/>
      <c r="T1004" s="38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  <c r="AE1004" s="4"/>
      <c r="AF1004" s="4"/>
      <c r="AG1004" s="4"/>
      <c r="AH1004" s="4"/>
      <c r="AI1004" s="4"/>
      <c r="AJ1004" s="4"/>
      <c r="AK1004" s="4"/>
      <c r="AL1004" s="4"/>
      <c r="AM1004" s="38"/>
      <c r="AN1004" s="4"/>
      <c r="AO1004" s="4"/>
      <c r="AP1004" s="4"/>
      <c r="AQ1004" s="4"/>
      <c r="AR1004" s="4"/>
      <c r="AS1004" s="4"/>
      <c r="AT1004" s="4"/>
      <c r="AU1004" s="4"/>
      <c r="AV1004" s="4"/>
      <c r="AW1004" s="4"/>
      <c r="AX1004" s="4"/>
      <c r="AY1004" s="4"/>
      <c r="AZ1004" s="4"/>
      <c r="BA1004" s="4"/>
      <c r="BB1004" s="4"/>
      <c r="BC1004" s="4"/>
      <c r="BD1004" s="4"/>
      <c r="BE1004" s="4"/>
      <c r="BF1004" s="4"/>
      <c r="BG1004" s="4"/>
      <c r="BH1004" s="4"/>
      <c r="BI1004" s="4"/>
      <c r="BJ1004" s="4"/>
      <c r="BK1004" s="4"/>
      <c r="BL1004" s="4"/>
      <c r="BM1004" s="4"/>
      <c r="BN1004" s="4"/>
      <c r="BO1004" s="4"/>
      <c r="BP1004" s="39"/>
      <c r="BQ1004" s="39"/>
    </row>
    <row r="1005" spans="3:69" ht="15.75" customHeight="1">
      <c r="C1005" s="4"/>
      <c r="D1005" s="4"/>
      <c r="E1005" s="38"/>
      <c r="F1005" s="38"/>
      <c r="G1005" s="4"/>
      <c r="H1005" s="4"/>
      <c r="I1005" s="4"/>
      <c r="J1005" s="4"/>
      <c r="K1005" s="4"/>
      <c r="L1005" s="4"/>
      <c r="M1005" s="4"/>
      <c r="N1005" s="38"/>
      <c r="O1005" s="4"/>
      <c r="P1005" s="4"/>
      <c r="Q1005" s="4"/>
      <c r="R1005" s="4"/>
      <c r="S1005" s="4"/>
      <c r="T1005" s="38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  <c r="AE1005" s="4"/>
      <c r="AF1005" s="4"/>
      <c r="AG1005" s="4"/>
      <c r="AH1005" s="4"/>
      <c r="AI1005" s="4"/>
      <c r="AJ1005" s="4"/>
      <c r="AK1005" s="4"/>
      <c r="AL1005" s="4"/>
      <c r="AM1005" s="38"/>
      <c r="AN1005" s="4"/>
      <c r="AO1005" s="4"/>
      <c r="AP1005" s="4"/>
      <c r="AQ1005" s="4"/>
      <c r="AR1005" s="4"/>
      <c r="AS1005" s="4"/>
      <c r="AT1005" s="4"/>
      <c r="AU1005" s="4"/>
      <c r="AV1005" s="4"/>
      <c r="AW1005" s="4"/>
      <c r="AX1005" s="4"/>
      <c r="AY1005" s="4"/>
      <c r="AZ1005" s="4"/>
      <c r="BA1005" s="4"/>
      <c r="BB1005" s="4"/>
      <c r="BC1005" s="4"/>
      <c r="BD1005" s="4"/>
      <c r="BE1005" s="4"/>
      <c r="BF1005" s="4"/>
      <c r="BG1005" s="4"/>
      <c r="BH1005" s="4"/>
      <c r="BI1005" s="4"/>
      <c r="BJ1005" s="4"/>
      <c r="BK1005" s="4"/>
      <c r="BL1005" s="4"/>
      <c r="BM1005" s="4"/>
      <c r="BN1005" s="4"/>
      <c r="BO1005" s="4"/>
      <c r="BP1005" s="39"/>
      <c r="BQ1005" s="39"/>
    </row>
    <row r="1006" spans="3:69" ht="15.75" customHeight="1">
      <c r="C1006" s="4"/>
      <c r="D1006" s="4"/>
      <c r="E1006" s="38"/>
      <c r="F1006" s="38"/>
      <c r="G1006" s="4"/>
      <c r="H1006" s="4"/>
      <c r="I1006" s="4"/>
      <c r="J1006" s="4"/>
      <c r="K1006" s="4"/>
      <c r="L1006" s="4"/>
      <c r="M1006" s="4"/>
      <c r="N1006" s="38"/>
      <c r="O1006" s="4"/>
      <c r="P1006" s="4"/>
      <c r="Q1006" s="4"/>
      <c r="R1006" s="4"/>
      <c r="S1006" s="4"/>
      <c r="T1006" s="38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  <c r="AE1006" s="4"/>
      <c r="AF1006" s="4"/>
      <c r="AG1006" s="4"/>
      <c r="AH1006" s="4"/>
      <c r="AI1006" s="4"/>
      <c r="AJ1006" s="4"/>
      <c r="AK1006" s="4"/>
      <c r="AL1006" s="4"/>
      <c r="AM1006" s="38"/>
      <c r="AN1006" s="4"/>
      <c r="AO1006" s="4"/>
      <c r="AP1006" s="4"/>
      <c r="AQ1006" s="4"/>
      <c r="AR1006" s="4"/>
      <c r="AS1006" s="4"/>
      <c r="AT1006" s="4"/>
      <c r="AU1006" s="4"/>
      <c r="AV1006" s="4"/>
      <c r="AW1006" s="4"/>
      <c r="AX1006" s="4"/>
      <c r="AY1006" s="4"/>
      <c r="AZ1006" s="4"/>
      <c r="BA1006" s="4"/>
      <c r="BB1006" s="4"/>
      <c r="BC1006" s="4"/>
      <c r="BD1006" s="4"/>
      <c r="BE1006" s="4"/>
      <c r="BF1006" s="4"/>
      <c r="BG1006" s="4"/>
      <c r="BH1006" s="4"/>
      <c r="BI1006" s="4"/>
      <c r="BJ1006" s="4"/>
      <c r="BK1006" s="4"/>
      <c r="BL1006" s="4"/>
      <c r="BM1006" s="4"/>
      <c r="BN1006" s="4"/>
      <c r="BO1006" s="4"/>
      <c r="BP1006" s="39"/>
      <c r="BQ1006" s="39"/>
    </row>
    <row r="1007" spans="3:69" ht="15.75" customHeight="1">
      <c r="C1007" s="4"/>
      <c r="D1007" s="4"/>
      <c r="E1007" s="38"/>
      <c r="F1007" s="38"/>
      <c r="G1007" s="4"/>
      <c r="H1007" s="4"/>
      <c r="I1007" s="4"/>
      <c r="J1007" s="4"/>
      <c r="K1007" s="4"/>
      <c r="L1007" s="4"/>
      <c r="M1007" s="4"/>
      <c r="N1007" s="38"/>
      <c r="O1007" s="4"/>
      <c r="P1007" s="4"/>
      <c r="Q1007" s="4"/>
      <c r="R1007" s="4"/>
      <c r="S1007" s="4"/>
      <c r="T1007" s="38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  <c r="AE1007" s="4"/>
      <c r="AF1007" s="4"/>
      <c r="AG1007" s="4"/>
      <c r="AH1007" s="4"/>
      <c r="AI1007" s="4"/>
      <c r="AJ1007" s="4"/>
      <c r="AK1007" s="4"/>
      <c r="AL1007" s="4"/>
      <c r="AM1007" s="38"/>
      <c r="AN1007" s="4"/>
      <c r="AO1007" s="4"/>
      <c r="AP1007" s="4"/>
      <c r="AQ1007" s="4"/>
      <c r="AR1007" s="4"/>
      <c r="AS1007" s="4"/>
      <c r="AT1007" s="4"/>
      <c r="AU1007" s="4"/>
      <c r="AV1007" s="4"/>
      <c r="AW1007" s="4"/>
      <c r="AX1007" s="4"/>
      <c r="AY1007" s="4"/>
      <c r="AZ1007" s="4"/>
      <c r="BA1007" s="4"/>
      <c r="BB1007" s="4"/>
      <c r="BC1007" s="4"/>
      <c r="BD1007" s="4"/>
      <c r="BE1007" s="4"/>
      <c r="BF1007" s="4"/>
      <c r="BG1007" s="4"/>
      <c r="BH1007" s="4"/>
      <c r="BI1007" s="4"/>
      <c r="BJ1007" s="4"/>
      <c r="BK1007" s="4"/>
      <c r="BL1007" s="4"/>
      <c r="BM1007" s="4"/>
      <c r="BN1007" s="4"/>
      <c r="BO1007" s="4"/>
      <c r="BP1007" s="39"/>
      <c r="BQ1007" s="39"/>
    </row>
    <row r="1008" spans="3:69" ht="15.75" customHeight="1">
      <c r="C1008" s="4"/>
      <c r="D1008" s="4"/>
      <c r="E1008" s="38"/>
      <c r="F1008" s="38"/>
      <c r="G1008" s="4"/>
      <c r="H1008" s="4"/>
      <c r="I1008" s="4"/>
      <c r="J1008" s="4"/>
      <c r="K1008" s="4"/>
      <c r="L1008" s="4"/>
      <c r="M1008" s="4"/>
      <c r="N1008" s="38"/>
      <c r="O1008" s="4"/>
      <c r="P1008" s="4"/>
      <c r="Q1008" s="4"/>
      <c r="R1008" s="4"/>
      <c r="S1008" s="4"/>
      <c r="T1008" s="38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  <c r="AE1008" s="4"/>
      <c r="AF1008" s="4"/>
      <c r="AG1008" s="4"/>
      <c r="AH1008" s="4"/>
      <c r="AI1008" s="4"/>
      <c r="AJ1008" s="4"/>
      <c r="AK1008" s="4"/>
      <c r="AL1008" s="4"/>
      <c r="AM1008" s="38"/>
      <c r="AN1008" s="4"/>
      <c r="AO1008" s="4"/>
      <c r="AP1008" s="4"/>
      <c r="AQ1008" s="4"/>
      <c r="AR1008" s="4"/>
      <c r="AS1008" s="4"/>
      <c r="AT1008" s="4"/>
      <c r="AU1008" s="4"/>
      <c r="AV1008" s="4"/>
      <c r="AW1008" s="4"/>
      <c r="AX1008" s="4"/>
      <c r="AY1008" s="4"/>
      <c r="AZ1008" s="4"/>
      <c r="BA1008" s="4"/>
      <c r="BB1008" s="4"/>
      <c r="BC1008" s="4"/>
      <c r="BD1008" s="4"/>
      <c r="BE1008" s="4"/>
      <c r="BF1008" s="4"/>
      <c r="BG1008" s="4"/>
      <c r="BH1008" s="4"/>
      <c r="BI1008" s="4"/>
      <c r="BJ1008" s="4"/>
      <c r="BK1008" s="4"/>
      <c r="BL1008" s="4"/>
      <c r="BM1008" s="4"/>
      <c r="BN1008" s="4"/>
      <c r="BO1008" s="4"/>
      <c r="BP1008" s="39"/>
      <c r="BQ1008" s="39"/>
    </row>
    <row r="1009" spans="3:69" ht="15.75" customHeight="1">
      <c r="C1009" s="4"/>
      <c r="D1009" s="4"/>
      <c r="E1009" s="38"/>
      <c r="F1009" s="38"/>
      <c r="G1009" s="4"/>
      <c r="H1009" s="4"/>
      <c r="I1009" s="4"/>
      <c r="J1009" s="4"/>
      <c r="K1009" s="4"/>
      <c r="L1009" s="4"/>
      <c r="M1009" s="4"/>
      <c r="N1009" s="38"/>
      <c r="O1009" s="4"/>
      <c r="P1009" s="4"/>
      <c r="Q1009" s="4"/>
      <c r="R1009" s="4"/>
      <c r="S1009" s="4"/>
      <c r="T1009" s="38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  <c r="AE1009" s="4"/>
      <c r="AF1009" s="4"/>
      <c r="AG1009" s="4"/>
      <c r="AH1009" s="4"/>
      <c r="AI1009" s="4"/>
      <c r="AJ1009" s="4"/>
      <c r="AK1009" s="4"/>
      <c r="AL1009" s="4"/>
      <c r="AM1009" s="38"/>
      <c r="AN1009" s="4"/>
      <c r="AO1009" s="4"/>
      <c r="AP1009" s="4"/>
      <c r="AQ1009" s="4"/>
      <c r="AR1009" s="4"/>
      <c r="AS1009" s="4"/>
      <c r="AT1009" s="4"/>
      <c r="AU1009" s="4"/>
      <c r="AV1009" s="4"/>
      <c r="AW1009" s="4"/>
      <c r="AX1009" s="4"/>
      <c r="AY1009" s="4"/>
      <c r="AZ1009" s="4"/>
      <c r="BA1009" s="4"/>
      <c r="BB1009" s="4"/>
      <c r="BC1009" s="4"/>
      <c r="BD1009" s="4"/>
      <c r="BE1009" s="4"/>
      <c r="BF1009" s="4"/>
      <c r="BG1009" s="4"/>
      <c r="BH1009" s="4"/>
      <c r="BI1009" s="4"/>
      <c r="BJ1009" s="4"/>
      <c r="BK1009" s="4"/>
      <c r="BL1009" s="4"/>
      <c r="BM1009" s="4"/>
      <c r="BN1009" s="4"/>
      <c r="BO1009" s="4"/>
      <c r="BP1009" s="39"/>
      <c r="BQ1009" s="39"/>
    </row>
    <row r="1010" spans="3:69" ht="15.75" customHeight="1">
      <c r="C1010" s="4"/>
      <c r="D1010" s="4"/>
      <c r="E1010" s="38"/>
      <c r="F1010" s="38"/>
      <c r="G1010" s="4"/>
      <c r="H1010" s="4"/>
      <c r="I1010" s="4"/>
      <c r="J1010" s="4"/>
      <c r="K1010" s="4"/>
      <c r="L1010" s="4"/>
      <c r="M1010" s="4"/>
      <c r="N1010" s="38"/>
      <c r="O1010" s="4"/>
      <c r="P1010" s="4"/>
      <c r="Q1010" s="4"/>
      <c r="R1010" s="4"/>
      <c r="S1010" s="4"/>
      <c r="T1010" s="38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  <c r="AE1010" s="4"/>
      <c r="AF1010" s="4"/>
      <c r="AG1010" s="4"/>
      <c r="AH1010" s="4"/>
      <c r="AI1010" s="4"/>
      <c r="AJ1010" s="4"/>
      <c r="AK1010" s="4"/>
      <c r="AL1010" s="4"/>
      <c r="AM1010" s="38"/>
      <c r="AN1010" s="4"/>
      <c r="AO1010" s="4"/>
      <c r="AP1010" s="4"/>
      <c r="AQ1010" s="4"/>
      <c r="AR1010" s="4"/>
      <c r="AS1010" s="4"/>
      <c r="AT1010" s="4"/>
      <c r="AU1010" s="4"/>
      <c r="AV1010" s="4"/>
      <c r="AW1010" s="4"/>
      <c r="AX1010" s="4"/>
      <c r="AY1010" s="4"/>
      <c r="AZ1010" s="4"/>
      <c r="BA1010" s="4"/>
      <c r="BB1010" s="4"/>
      <c r="BC1010" s="4"/>
      <c r="BD1010" s="4"/>
      <c r="BE1010" s="4"/>
      <c r="BF1010" s="4"/>
      <c r="BG1010" s="4"/>
      <c r="BH1010" s="4"/>
      <c r="BI1010" s="4"/>
      <c r="BJ1010" s="4"/>
      <c r="BK1010" s="4"/>
      <c r="BL1010" s="4"/>
      <c r="BM1010" s="4"/>
      <c r="BN1010" s="4"/>
      <c r="BO1010" s="4"/>
      <c r="BP1010" s="39"/>
      <c r="BQ1010" s="39"/>
    </row>
    <row r="1011" spans="3:69" ht="15.75" customHeight="1">
      <c r="C1011" s="4"/>
      <c r="D1011" s="4"/>
      <c r="E1011" s="38"/>
      <c r="F1011" s="38"/>
      <c r="G1011" s="4"/>
      <c r="H1011" s="4"/>
      <c r="I1011" s="4"/>
      <c r="J1011" s="4"/>
      <c r="K1011" s="4"/>
      <c r="L1011" s="4"/>
      <c r="M1011" s="4"/>
      <c r="N1011" s="38"/>
      <c r="O1011" s="4"/>
      <c r="P1011" s="4"/>
      <c r="Q1011" s="4"/>
      <c r="R1011" s="4"/>
      <c r="S1011" s="4"/>
      <c r="T1011" s="38"/>
      <c r="U1011" s="4"/>
      <c r="V1011" s="4"/>
      <c r="W1011" s="4"/>
      <c r="X1011" s="4"/>
      <c r="Y1011" s="4"/>
      <c r="Z1011" s="4"/>
      <c r="AA1011" s="4"/>
      <c r="AB1011" s="4"/>
      <c r="AC1011" s="4"/>
      <c r="AD1011" s="4"/>
      <c r="AE1011" s="4"/>
      <c r="AF1011" s="4"/>
      <c r="AG1011" s="4"/>
      <c r="AH1011" s="4"/>
      <c r="AI1011" s="4"/>
      <c r="AJ1011" s="4"/>
      <c r="AK1011" s="4"/>
      <c r="AL1011" s="4"/>
      <c r="AM1011" s="38"/>
      <c r="AN1011" s="4"/>
      <c r="AO1011" s="4"/>
      <c r="AP1011" s="4"/>
      <c r="AQ1011" s="4"/>
      <c r="AR1011" s="4"/>
      <c r="AS1011" s="4"/>
      <c r="AT1011" s="4"/>
      <c r="AU1011" s="4"/>
      <c r="AV1011" s="4"/>
      <c r="AW1011" s="4"/>
      <c r="AX1011" s="4"/>
      <c r="AY1011" s="4"/>
      <c r="AZ1011" s="4"/>
      <c r="BA1011" s="4"/>
      <c r="BB1011" s="4"/>
      <c r="BC1011" s="4"/>
      <c r="BD1011" s="4"/>
      <c r="BE1011" s="4"/>
      <c r="BF1011" s="4"/>
      <c r="BG1011" s="4"/>
      <c r="BH1011" s="4"/>
      <c r="BI1011" s="4"/>
      <c r="BJ1011" s="4"/>
      <c r="BK1011" s="4"/>
      <c r="BL1011" s="4"/>
      <c r="BM1011" s="4"/>
      <c r="BN1011" s="4"/>
      <c r="BO1011" s="4"/>
      <c r="BP1011" s="39"/>
      <c r="BQ1011" s="39"/>
    </row>
    <row r="1012" spans="3:69" ht="15.75" customHeight="1">
      <c r="C1012" s="4"/>
      <c r="D1012" s="4"/>
      <c r="E1012" s="38"/>
      <c r="F1012" s="38"/>
      <c r="G1012" s="4"/>
      <c r="H1012" s="4"/>
      <c r="I1012" s="4"/>
      <c r="J1012" s="4"/>
      <c r="K1012" s="4"/>
      <c r="L1012" s="4"/>
      <c r="M1012" s="4"/>
      <c r="N1012" s="38"/>
      <c r="O1012" s="4"/>
      <c r="P1012" s="4"/>
      <c r="Q1012" s="4"/>
      <c r="R1012" s="4"/>
      <c r="S1012" s="4"/>
      <c r="T1012" s="38"/>
      <c r="U1012" s="4"/>
      <c r="V1012" s="4"/>
      <c r="W1012" s="4"/>
      <c r="X1012" s="4"/>
      <c r="Y1012" s="4"/>
      <c r="Z1012" s="4"/>
      <c r="AA1012" s="4"/>
      <c r="AB1012" s="4"/>
      <c r="AC1012" s="4"/>
      <c r="AD1012" s="4"/>
      <c r="AE1012" s="4"/>
      <c r="AF1012" s="4"/>
      <c r="AG1012" s="4"/>
      <c r="AH1012" s="4"/>
      <c r="AI1012" s="4"/>
      <c r="AJ1012" s="4"/>
      <c r="AK1012" s="4"/>
      <c r="AL1012" s="4"/>
      <c r="AM1012" s="38"/>
      <c r="AN1012" s="4"/>
      <c r="AO1012" s="4"/>
      <c r="AP1012" s="4"/>
      <c r="AQ1012" s="4"/>
      <c r="AR1012" s="4"/>
      <c r="AS1012" s="4"/>
      <c r="AT1012" s="4"/>
      <c r="AU1012" s="4"/>
      <c r="AV1012" s="4"/>
      <c r="AW1012" s="4"/>
      <c r="AX1012" s="4"/>
      <c r="AY1012" s="4"/>
      <c r="AZ1012" s="4"/>
      <c r="BA1012" s="4"/>
      <c r="BB1012" s="4"/>
      <c r="BC1012" s="4"/>
      <c r="BD1012" s="4"/>
      <c r="BE1012" s="4"/>
      <c r="BF1012" s="4"/>
      <c r="BG1012" s="4"/>
      <c r="BH1012" s="4"/>
      <c r="BI1012" s="4"/>
      <c r="BJ1012" s="4"/>
      <c r="BK1012" s="4"/>
      <c r="BL1012" s="4"/>
      <c r="BM1012" s="4"/>
      <c r="BN1012" s="4"/>
      <c r="BO1012" s="4"/>
      <c r="BP1012" s="39"/>
      <c r="BQ1012" s="39"/>
    </row>
    <row r="1013" spans="3:69" ht="15.75" customHeight="1">
      <c r="C1013" s="4"/>
      <c r="D1013" s="4"/>
      <c r="E1013" s="38"/>
      <c r="F1013" s="38"/>
      <c r="G1013" s="4"/>
      <c r="H1013" s="4"/>
      <c r="I1013" s="4"/>
      <c r="J1013" s="4"/>
      <c r="K1013" s="4"/>
      <c r="L1013" s="4"/>
      <c r="M1013" s="4"/>
      <c r="N1013" s="38"/>
      <c r="O1013" s="4"/>
      <c r="P1013" s="4"/>
      <c r="Q1013" s="4"/>
      <c r="R1013" s="4"/>
      <c r="S1013" s="4"/>
      <c r="T1013" s="38"/>
      <c r="U1013" s="4"/>
      <c r="V1013" s="4"/>
      <c r="W1013" s="4"/>
      <c r="X1013" s="4"/>
      <c r="Y1013" s="4"/>
      <c r="Z1013" s="4"/>
      <c r="AA1013" s="4"/>
      <c r="AB1013" s="4"/>
      <c r="AC1013" s="4"/>
      <c r="AD1013" s="4"/>
      <c r="AE1013" s="4"/>
      <c r="AF1013" s="4"/>
      <c r="AG1013" s="4"/>
      <c r="AH1013" s="4"/>
      <c r="AI1013" s="4"/>
      <c r="AJ1013" s="4"/>
      <c r="AK1013" s="4"/>
      <c r="AL1013" s="4"/>
      <c r="AM1013" s="38"/>
      <c r="AN1013" s="4"/>
      <c r="AO1013" s="4"/>
      <c r="AP1013" s="4"/>
      <c r="AQ1013" s="4"/>
      <c r="AR1013" s="4"/>
      <c r="AS1013" s="4"/>
      <c r="AT1013" s="4"/>
      <c r="AU1013" s="4"/>
      <c r="AV1013" s="4"/>
      <c r="AW1013" s="4"/>
      <c r="AX1013" s="4"/>
      <c r="AY1013" s="4"/>
      <c r="AZ1013" s="4"/>
      <c r="BA1013" s="4"/>
      <c r="BB1013" s="4"/>
      <c r="BC1013" s="4"/>
      <c r="BD1013" s="4"/>
      <c r="BE1013" s="4"/>
      <c r="BF1013" s="4"/>
      <c r="BG1013" s="4"/>
      <c r="BH1013" s="4"/>
      <c r="BI1013" s="4"/>
      <c r="BJ1013" s="4"/>
      <c r="BK1013" s="4"/>
      <c r="BL1013" s="4"/>
      <c r="BM1013" s="4"/>
      <c r="BN1013" s="4"/>
      <c r="BO1013" s="4"/>
      <c r="BP1013" s="39"/>
      <c r="BQ1013" s="39"/>
    </row>
    <row r="1014" spans="3:69" ht="15.75" customHeight="1">
      <c r="C1014" s="4"/>
      <c r="D1014" s="4"/>
      <c r="E1014" s="38"/>
      <c r="F1014" s="38"/>
      <c r="G1014" s="4"/>
      <c r="H1014" s="4"/>
      <c r="I1014" s="4"/>
      <c r="J1014" s="4"/>
      <c r="K1014" s="4"/>
      <c r="L1014" s="4"/>
      <c r="M1014" s="4"/>
      <c r="N1014" s="38"/>
      <c r="O1014" s="4"/>
      <c r="P1014" s="4"/>
      <c r="Q1014" s="4"/>
      <c r="R1014" s="4"/>
      <c r="S1014" s="4"/>
      <c r="T1014" s="38"/>
      <c r="U1014" s="4"/>
      <c r="V1014" s="4"/>
      <c r="W1014" s="4"/>
      <c r="X1014" s="4"/>
      <c r="Y1014" s="4"/>
      <c r="Z1014" s="4"/>
      <c r="AA1014" s="4"/>
      <c r="AB1014" s="4"/>
      <c r="AC1014" s="4"/>
      <c r="AD1014" s="4"/>
      <c r="AE1014" s="4"/>
      <c r="AF1014" s="4"/>
      <c r="AG1014" s="4"/>
      <c r="AH1014" s="4"/>
      <c r="AI1014" s="4"/>
      <c r="AJ1014" s="4"/>
      <c r="AK1014" s="4"/>
      <c r="AL1014" s="4"/>
      <c r="AM1014" s="38"/>
      <c r="AN1014" s="4"/>
      <c r="AO1014" s="4"/>
      <c r="AP1014" s="4"/>
      <c r="AQ1014" s="4"/>
      <c r="AR1014" s="4"/>
      <c r="AS1014" s="4"/>
      <c r="AT1014" s="4"/>
      <c r="AU1014" s="4"/>
      <c r="AV1014" s="4"/>
      <c r="AW1014" s="4"/>
      <c r="AX1014" s="4"/>
      <c r="AY1014" s="4"/>
      <c r="AZ1014" s="4"/>
      <c r="BA1014" s="4"/>
      <c r="BB1014" s="4"/>
      <c r="BC1014" s="4"/>
      <c r="BD1014" s="4"/>
      <c r="BE1014" s="4"/>
      <c r="BF1014" s="4"/>
      <c r="BG1014" s="4"/>
      <c r="BH1014" s="4"/>
      <c r="BI1014" s="4"/>
      <c r="BJ1014" s="4"/>
      <c r="BK1014" s="4"/>
      <c r="BL1014" s="4"/>
      <c r="BM1014" s="4"/>
      <c r="BN1014" s="4"/>
      <c r="BO1014" s="4"/>
      <c r="BP1014" s="39"/>
      <c r="BQ1014" s="39"/>
    </row>
    <row r="1015" spans="3:69" ht="15.75" customHeight="1">
      <c r="C1015" s="4"/>
      <c r="D1015" s="4"/>
      <c r="E1015" s="38"/>
      <c r="F1015" s="38"/>
      <c r="G1015" s="4"/>
      <c r="H1015" s="4"/>
      <c r="I1015" s="4"/>
      <c r="J1015" s="4"/>
      <c r="K1015" s="4"/>
      <c r="L1015" s="4"/>
      <c r="M1015" s="4"/>
      <c r="N1015" s="38"/>
      <c r="O1015" s="4"/>
      <c r="P1015" s="4"/>
      <c r="Q1015" s="4"/>
      <c r="R1015" s="4"/>
      <c r="S1015" s="4"/>
      <c r="T1015" s="38"/>
      <c r="U1015" s="4"/>
      <c r="V1015" s="4"/>
      <c r="W1015" s="4"/>
      <c r="X1015" s="4"/>
      <c r="Y1015" s="4"/>
      <c r="Z1015" s="4"/>
      <c r="AA1015" s="4"/>
      <c r="AB1015" s="4"/>
      <c r="AC1015" s="4"/>
      <c r="AD1015" s="4"/>
      <c r="AE1015" s="4"/>
      <c r="AF1015" s="4"/>
      <c r="AG1015" s="4"/>
      <c r="AH1015" s="4"/>
      <c r="AI1015" s="4"/>
      <c r="AJ1015" s="4"/>
      <c r="AK1015" s="4"/>
      <c r="AL1015" s="4"/>
      <c r="AM1015" s="38"/>
      <c r="AN1015" s="4"/>
      <c r="AO1015" s="4"/>
      <c r="AP1015" s="4"/>
      <c r="AQ1015" s="4"/>
      <c r="AR1015" s="4"/>
      <c r="AS1015" s="4"/>
      <c r="AT1015" s="4"/>
      <c r="AU1015" s="4"/>
      <c r="AV1015" s="4"/>
      <c r="AW1015" s="4"/>
      <c r="AX1015" s="4"/>
      <c r="AY1015" s="4"/>
      <c r="AZ1015" s="4"/>
      <c r="BA1015" s="4"/>
      <c r="BB1015" s="4"/>
      <c r="BC1015" s="4"/>
      <c r="BD1015" s="4"/>
      <c r="BE1015" s="4"/>
      <c r="BF1015" s="4"/>
      <c r="BG1015" s="4"/>
      <c r="BH1015" s="4"/>
      <c r="BI1015" s="4"/>
      <c r="BJ1015" s="4"/>
      <c r="BK1015" s="4"/>
      <c r="BL1015" s="4"/>
      <c r="BM1015" s="4"/>
      <c r="BN1015" s="4"/>
      <c r="BO1015" s="4"/>
      <c r="BP1015" s="39"/>
      <c r="BQ1015" s="39"/>
    </row>
    <row r="1016" spans="3:69" ht="15.75" customHeight="1">
      <c r="C1016" s="4"/>
      <c r="D1016" s="4"/>
      <c r="E1016" s="38"/>
      <c r="F1016" s="38"/>
      <c r="G1016" s="4"/>
      <c r="H1016" s="4"/>
      <c r="I1016" s="4"/>
      <c r="J1016" s="4"/>
      <c r="K1016" s="4"/>
      <c r="L1016" s="4"/>
      <c r="M1016" s="4"/>
      <c r="N1016" s="38"/>
      <c r="O1016" s="4"/>
      <c r="P1016" s="4"/>
      <c r="Q1016" s="4"/>
      <c r="R1016" s="4"/>
      <c r="S1016" s="4"/>
      <c r="T1016" s="38"/>
      <c r="U1016" s="4"/>
      <c r="V1016" s="4"/>
      <c r="W1016" s="4"/>
      <c r="X1016" s="4"/>
      <c r="Y1016" s="4"/>
      <c r="Z1016" s="4"/>
      <c r="AA1016" s="4"/>
      <c r="AB1016" s="4"/>
      <c r="AC1016" s="4"/>
      <c r="AD1016" s="4"/>
      <c r="AE1016" s="4"/>
      <c r="AF1016" s="4"/>
      <c r="AG1016" s="4"/>
      <c r="AH1016" s="4"/>
      <c r="AI1016" s="4"/>
      <c r="AJ1016" s="4"/>
      <c r="AK1016" s="4"/>
      <c r="AL1016" s="4"/>
      <c r="AM1016" s="38"/>
      <c r="AN1016" s="4"/>
      <c r="AO1016" s="4"/>
      <c r="AP1016" s="4"/>
      <c r="AQ1016" s="4"/>
      <c r="AR1016" s="4"/>
      <c r="AS1016" s="4"/>
      <c r="AT1016" s="4"/>
      <c r="AU1016" s="4"/>
      <c r="AV1016" s="4"/>
      <c r="AW1016" s="4"/>
      <c r="AX1016" s="4"/>
      <c r="AY1016" s="4"/>
      <c r="AZ1016" s="4"/>
      <c r="BA1016" s="4"/>
      <c r="BB1016" s="4"/>
      <c r="BC1016" s="4"/>
      <c r="BD1016" s="4"/>
      <c r="BE1016" s="4"/>
      <c r="BF1016" s="4"/>
      <c r="BG1016" s="4"/>
      <c r="BH1016" s="4"/>
      <c r="BI1016" s="4"/>
      <c r="BJ1016" s="4"/>
      <c r="BK1016" s="4"/>
      <c r="BL1016" s="4"/>
      <c r="BM1016" s="4"/>
      <c r="BN1016" s="4"/>
      <c r="BO1016" s="4"/>
      <c r="BP1016" s="39"/>
      <c r="BQ1016" s="39"/>
    </row>
    <row r="1017" spans="3:69" ht="15.75" customHeight="1">
      <c r="C1017" s="4"/>
      <c r="D1017" s="4"/>
      <c r="E1017" s="38"/>
      <c r="F1017" s="38"/>
      <c r="G1017" s="4"/>
      <c r="H1017" s="4"/>
      <c r="I1017" s="4"/>
      <c r="J1017" s="4"/>
      <c r="K1017" s="4"/>
      <c r="L1017" s="4"/>
      <c r="M1017" s="4"/>
      <c r="N1017" s="38"/>
      <c r="O1017" s="4"/>
      <c r="P1017" s="4"/>
      <c r="Q1017" s="4"/>
      <c r="R1017" s="4"/>
      <c r="S1017" s="4"/>
      <c r="T1017" s="38"/>
      <c r="U1017" s="4"/>
      <c r="V1017" s="4"/>
      <c r="W1017" s="4"/>
      <c r="X1017" s="4"/>
      <c r="Y1017" s="4"/>
      <c r="Z1017" s="4"/>
      <c r="AA1017" s="4"/>
      <c r="AB1017" s="4"/>
      <c r="AC1017" s="4"/>
      <c r="AD1017" s="4"/>
      <c r="AE1017" s="4"/>
      <c r="AF1017" s="4"/>
      <c r="AG1017" s="4"/>
      <c r="AH1017" s="4"/>
      <c r="AI1017" s="4"/>
      <c r="AJ1017" s="4"/>
      <c r="AK1017" s="4"/>
      <c r="AL1017" s="4"/>
      <c r="AM1017" s="38"/>
      <c r="AN1017" s="4"/>
      <c r="AO1017" s="4"/>
      <c r="AP1017" s="4"/>
      <c r="AQ1017" s="4"/>
      <c r="AR1017" s="4"/>
      <c r="AS1017" s="4"/>
      <c r="AT1017" s="4"/>
      <c r="AU1017" s="4"/>
      <c r="AV1017" s="4"/>
      <c r="AW1017" s="4"/>
      <c r="AX1017" s="4"/>
      <c r="AY1017" s="4"/>
      <c r="AZ1017" s="4"/>
      <c r="BA1017" s="4"/>
      <c r="BB1017" s="4"/>
      <c r="BC1017" s="4"/>
      <c r="BD1017" s="4"/>
      <c r="BE1017" s="4"/>
      <c r="BF1017" s="4"/>
      <c r="BG1017" s="4"/>
      <c r="BH1017" s="4"/>
      <c r="BI1017" s="4"/>
      <c r="BJ1017" s="4"/>
      <c r="BK1017" s="4"/>
      <c r="BL1017" s="4"/>
      <c r="BM1017" s="4"/>
      <c r="BN1017" s="4"/>
      <c r="BO1017" s="4"/>
      <c r="BP1017" s="39"/>
      <c r="BQ1017" s="39"/>
    </row>
    <row r="1018" spans="3:69" ht="15.75" customHeight="1">
      <c r="C1018" s="4"/>
      <c r="D1018" s="4"/>
      <c r="E1018" s="38"/>
      <c r="F1018" s="38"/>
      <c r="G1018" s="4"/>
      <c r="H1018" s="4"/>
      <c r="I1018" s="4"/>
      <c r="J1018" s="4"/>
      <c r="K1018" s="4"/>
      <c r="L1018" s="4"/>
      <c r="M1018" s="4"/>
      <c r="N1018" s="38"/>
      <c r="O1018" s="4"/>
      <c r="P1018" s="4"/>
      <c r="Q1018" s="4"/>
      <c r="R1018" s="4"/>
      <c r="S1018" s="4"/>
      <c r="T1018" s="38"/>
      <c r="U1018" s="4"/>
      <c r="V1018" s="4"/>
      <c r="W1018" s="4"/>
      <c r="X1018" s="4"/>
      <c r="Y1018" s="4"/>
      <c r="Z1018" s="4"/>
      <c r="AA1018" s="4"/>
      <c r="AB1018" s="4"/>
      <c r="AC1018" s="4"/>
      <c r="AD1018" s="4"/>
      <c r="AE1018" s="4"/>
      <c r="AF1018" s="4"/>
      <c r="AG1018" s="4"/>
      <c r="AH1018" s="4"/>
      <c r="AI1018" s="4"/>
      <c r="AJ1018" s="4"/>
      <c r="AK1018" s="4"/>
      <c r="AL1018" s="4"/>
      <c r="AM1018" s="38"/>
      <c r="AN1018" s="4"/>
      <c r="AO1018" s="4"/>
      <c r="AP1018" s="4"/>
      <c r="AQ1018" s="4"/>
      <c r="AR1018" s="4"/>
      <c r="AS1018" s="4"/>
      <c r="AT1018" s="4"/>
      <c r="AU1018" s="4"/>
      <c r="AV1018" s="4"/>
      <c r="AW1018" s="4"/>
      <c r="AX1018" s="4"/>
      <c r="AY1018" s="4"/>
      <c r="AZ1018" s="4"/>
      <c r="BA1018" s="4"/>
      <c r="BB1018" s="4"/>
      <c r="BC1018" s="4"/>
      <c r="BD1018" s="4"/>
      <c r="BE1018" s="4"/>
      <c r="BF1018" s="4"/>
      <c r="BG1018" s="4"/>
      <c r="BH1018" s="4"/>
      <c r="BI1018" s="4"/>
      <c r="BJ1018" s="4"/>
      <c r="BK1018" s="4"/>
      <c r="BL1018" s="4"/>
      <c r="BM1018" s="4"/>
      <c r="BN1018" s="4"/>
      <c r="BO1018" s="4"/>
      <c r="BP1018" s="39"/>
      <c r="BQ1018" s="39"/>
    </row>
    <row r="1019" spans="3:69" ht="15.75" customHeight="1">
      <c r="C1019" s="4"/>
      <c r="D1019" s="4"/>
      <c r="E1019" s="38"/>
      <c r="F1019" s="38"/>
      <c r="G1019" s="4"/>
      <c r="H1019" s="4"/>
      <c r="I1019" s="4"/>
      <c r="J1019" s="4"/>
      <c r="K1019" s="4"/>
      <c r="L1019" s="4"/>
      <c r="M1019" s="4"/>
      <c r="N1019" s="38"/>
      <c r="O1019" s="4"/>
      <c r="P1019" s="4"/>
      <c r="Q1019" s="4"/>
      <c r="R1019" s="4"/>
      <c r="S1019" s="4"/>
      <c r="T1019" s="38"/>
      <c r="U1019" s="4"/>
      <c r="V1019" s="4"/>
      <c r="W1019" s="4"/>
      <c r="X1019" s="4"/>
      <c r="Y1019" s="4"/>
      <c r="Z1019" s="4"/>
      <c r="AA1019" s="4"/>
      <c r="AB1019" s="4"/>
      <c r="AC1019" s="4"/>
      <c r="AD1019" s="4"/>
      <c r="AE1019" s="4"/>
      <c r="AF1019" s="4"/>
      <c r="AG1019" s="4"/>
      <c r="AH1019" s="4"/>
      <c r="AI1019" s="4"/>
      <c r="AJ1019" s="4"/>
      <c r="AK1019" s="4"/>
      <c r="AL1019" s="4"/>
      <c r="AM1019" s="38"/>
      <c r="AN1019" s="4"/>
      <c r="AO1019" s="4"/>
      <c r="AP1019" s="4"/>
      <c r="AQ1019" s="4"/>
      <c r="AR1019" s="4"/>
      <c r="AS1019" s="4"/>
      <c r="AT1019" s="4"/>
      <c r="AU1019" s="4"/>
      <c r="AV1019" s="4"/>
      <c r="AW1019" s="4"/>
      <c r="AX1019" s="4"/>
      <c r="AY1019" s="4"/>
      <c r="AZ1019" s="4"/>
      <c r="BA1019" s="4"/>
      <c r="BB1019" s="4"/>
      <c r="BC1019" s="4"/>
      <c r="BD1019" s="4"/>
      <c r="BE1019" s="4"/>
      <c r="BF1019" s="4"/>
      <c r="BG1019" s="4"/>
      <c r="BH1019" s="4"/>
      <c r="BI1019" s="4"/>
      <c r="BJ1019" s="4"/>
      <c r="BK1019" s="4"/>
      <c r="BL1019" s="4"/>
      <c r="BM1019" s="4"/>
      <c r="BN1019" s="4"/>
      <c r="BO1019" s="4"/>
      <c r="BP1019" s="39"/>
      <c r="BQ1019" s="39"/>
    </row>
    <row r="1020" spans="3:69" ht="15.75" customHeight="1">
      <c r="C1020" s="4"/>
      <c r="D1020" s="4"/>
      <c r="E1020" s="38"/>
      <c r="F1020" s="38"/>
      <c r="G1020" s="4"/>
      <c r="H1020" s="4"/>
      <c r="I1020" s="4"/>
      <c r="J1020" s="4"/>
      <c r="K1020" s="4"/>
      <c r="L1020" s="4"/>
      <c r="M1020" s="4"/>
      <c r="N1020" s="38"/>
      <c r="O1020" s="4"/>
      <c r="P1020" s="4"/>
      <c r="Q1020" s="4"/>
      <c r="R1020" s="4"/>
      <c r="S1020" s="4"/>
      <c r="T1020" s="38"/>
      <c r="U1020" s="4"/>
      <c r="V1020" s="4"/>
      <c r="W1020" s="4"/>
      <c r="X1020" s="4"/>
      <c r="Y1020" s="4"/>
      <c r="Z1020" s="4"/>
      <c r="AA1020" s="4"/>
      <c r="AB1020" s="4"/>
      <c r="AC1020" s="4"/>
      <c r="AD1020" s="4"/>
      <c r="AE1020" s="4"/>
      <c r="AF1020" s="4"/>
      <c r="AG1020" s="4"/>
      <c r="AH1020" s="4"/>
      <c r="AI1020" s="4"/>
      <c r="AJ1020" s="4"/>
      <c r="AK1020" s="4"/>
      <c r="AL1020" s="4"/>
      <c r="AM1020" s="38"/>
      <c r="AN1020" s="4"/>
      <c r="AO1020" s="4"/>
      <c r="AP1020" s="4"/>
      <c r="AQ1020" s="4"/>
      <c r="AR1020" s="4"/>
      <c r="AS1020" s="4"/>
      <c r="AT1020" s="4"/>
      <c r="AU1020" s="4"/>
      <c r="AV1020" s="4"/>
      <c r="AW1020" s="4"/>
      <c r="AX1020" s="4"/>
      <c r="AY1020" s="4"/>
      <c r="AZ1020" s="4"/>
      <c r="BA1020" s="4"/>
      <c r="BB1020" s="4"/>
      <c r="BC1020" s="4"/>
      <c r="BD1020" s="4"/>
      <c r="BE1020" s="4"/>
      <c r="BF1020" s="4"/>
      <c r="BG1020" s="4"/>
      <c r="BH1020" s="4"/>
      <c r="BI1020" s="4"/>
      <c r="BJ1020" s="4"/>
      <c r="BK1020" s="4"/>
      <c r="BL1020" s="4"/>
      <c r="BM1020" s="4"/>
      <c r="BN1020" s="4"/>
      <c r="BO1020" s="4"/>
      <c r="BP1020" s="39"/>
      <c r="BQ1020" s="39"/>
    </row>
    <row r="1021" spans="3:69" ht="15.75" customHeight="1">
      <c r="C1021" s="4"/>
      <c r="D1021" s="4"/>
      <c r="E1021" s="38"/>
      <c r="F1021" s="38"/>
      <c r="G1021" s="4"/>
      <c r="H1021" s="4"/>
      <c r="I1021" s="4"/>
      <c r="J1021" s="4"/>
      <c r="K1021" s="4"/>
      <c r="L1021" s="4"/>
      <c r="M1021" s="4"/>
      <c r="N1021" s="38"/>
      <c r="O1021" s="4"/>
      <c r="P1021" s="4"/>
      <c r="Q1021" s="4"/>
      <c r="R1021" s="4"/>
      <c r="S1021" s="4"/>
      <c r="T1021" s="38"/>
      <c r="U1021" s="4"/>
      <c r="V1021" s="4"/>
      <c r="W1021" s="4"/>
      <c r="X1021" s="4"/>
      <c r="Y1021" s="4"/>
      <c r="Z1021" s="4"/>
      <c r="AA1021" s="4"/>
      <c r="AB1021" s="4"/>
      <c r="AC1021" s="4"/>
      <c r="AD1021" s="4"/>
      <c r="AE1021" s="4"/>
      <c r="AF1021" s="4"/>
      <c r="AG1021" s="4"/>
      <c r="AH1021" s="4"/>
      <c r="AI1021" s="4"/>
      <c r="AJ1021" s="4"/>
      <c r="AK1021" s="4"/>
      <c r="AL1021" s="4"/>
      <c r="AM1021" s="38"/>
      <c r="AN1021" s="4"/>
      <c r="AO1021" s="4"/>
      <c r="AP1021" s="4"/>
      <c r="AQ1021" s="4"/>
      <c r="AR1021" s="4"/>
      <c r="AS1021" s="4"/>
      <c r="AT1021" s="4"/>
      <c r="AU1021" s="4"/>
      <c r="AV1021" s="4"/>
      <c r="AW1021" s="4"/>
      <c r="AX1021" s="4"/>
      <c r="AY1021" s="4"/>
      <c r="AZ1021" s="4"/>
      <c r="BA1021" s="4"/>
      <c r="BB1021" s="4"/>
      <c r="BC1021" s="4"/>
      <c r="BD1021" s="4"/>
      <c r="BE1021" s="4"/>
      <c r="BF1021" s="4"/>
      <c r="BG1021" s="4"/>
      <c r="BH1021" s="4"/>
      <c r="BI1021" s="4"/>
      <c r="BJ1021" s="4"/>
      <c r="BK1021" s="4"/>
      <c r="BL1021" s="4"/>
      <c r="BM1021" s="4"/>
      <c r="BN1021" s="4"/>
      <c r="BO1021" s="4"/>
      <c r="BP1021" s="39"/>
      <c r="BQ1021" s="39"/>
    </row>
    <row r="1022" spans="3:69" ht="15.75" customHeight="1">
      <c r="C1022" s="4"/>
      <c r="D1022" s="4"/>
      <c r="E1022" s="38"/>
      <c r="F1022" s="38"/>
      <c r="G1022" s="4"/>
      <c r="H1022" s="4"/>
      <c r="I1022" s="4"/>
      <c r="J1022" s="4"/>
      <c r="K1022" s="4"/>
      <c r="L1022" s="4"/>
      <c r="M1022" s="4"/>
      <c r="N1022" s="38"/>
      <c r="O1022" s="4"/>
      <c r="P1022" s="4"/>
      <c r="Q1022" s="4"/>
      <c r="R1022" s="4"/>
      <c r="S1022" s="4"/>
      <c r="T1022" s="38"/>
      <c r="U1022" s="4"/>
      <c r="V1022" s="4"/>
      <c r="W1022" s="4"/>
      <c r="X1022" s="4"/>
      <c r="Y1022" s="4"/>
      <c r="Z1022" s="4"/>
      <c r="AA1022" s="4"/>
      <c r="AB1022" s="4"/>
      <c r="AC1022" s="4"/>
      <c r="AD1022" s="4"/>
      <c r="AE1022" s="4"/>
      <c r="AF1022" s="4"/>
      <c r="AG1022" s="4"/>
      <c r="AH1022" s="4"/>
      <c r="AI1022" s="4"/>
      <c r="AJ1022" s="4"/>
      <c r="AK1022" s="4"/>
      <c r="AL1022" s="4"/>
      <c r="AM1022" s="38"/>
      <c r="AN1022" s="4"/>
      <c r="AO1022" s="4"/>
      <c r="AP1022" s="4"/>
      <c r="AQ1022" s="4"/>
      <c r="AR1022" s="4"/>
      <c r="AS1022" s="4"/>
      <c r="AT1022" s="4"/>
      <c r="AU1022" s="4"/>
      <c r="AV1022" s="4"/>
      <c r="AW1022" s="4"/>
      <c r="AX1022" s="4"/>
      <c r="AY1022" s="4"/>
      <c r="AZ1022" s="4"/>
      <c r="BA1022" s="4"/>
      <c r="BB1022" s="4"/>
      <c r="BC1022" s="4"/>
      <c r="BD1022" s="4"/>
      <c r="BE1022" s="4"/>
      <c r="BF1022" s="4"/>
      <c r="BG1022" s="4"/>
      <c r="BH1022" s="4"/>
      <c r="BI1022" s="4"/>
      <c r="BJ1022" s="4"/>
      <c r="BK1022" s="4"/>
      <c r="BL1022" s="4"/>
      <c r="BM1022" s="4"/>
      <c r="BN1022" s="4"/>
      <c r="BO1022" s="4"/>
      <c r="BP1022" s="39"/>
      <c r="BQ1022" s="39"/>
    </row>
    <row r="1023" spans="3:69" ht="15.75" customHeight="1">
      <c r="C1023" s="4"/>
      <c r="D1023" s="4"/>
      <c r="E1023" s="38"/>
      <c r="F1023" s="38"/>
      <c r="G1023" s="4"/>
      <c r="H1023" s="4"/>
      <c r="I1023" s="4"/>
      <c r="J1023" s="4"/>
      <c r="K1023" s="4"/>
      <c r="L1023" s="4"/>
      <c r="M1023" s="4"/>
      <c r="N1023" s="38"/>
      <c r="O1023" s="4"/>
      <c r="P1023" s="4"/>
      <c r="Q1023" s="4"/>
      <c r="R1023" s="4"/>
      <c r="S1023" s="4"/>
      <c r="T1023" s="38"/>
      <c r="U1023" s="4"/>
      <c r="V1023" s="4"/>
      <c r="W1023" s="4"/>
      <c r="X1023" s="4"/>
      <c r="Y1023" s="4"/>
      <c r="Z1023" s="4"/>
      <c r="AA1023" s="4"/>
      <c r="AB1023" s="4"/>
      <c r="AC1023" s="4"/>
      <c r="AD1023" s="4"/>
      <c r="AE1023" s="4"/>
      <c r="AF1023" s="4"/>
      <c r="AG1023" s="4"/>
      <c r="AH1023" s="4"/>
      <c r="AI1023" s="4"/>
      <c r="AJ1023" s="4"/>
      <c r="AK1023" s="4"/>
      <c r="AL1023" s="4"/>
      <c r="AM1023" s="38"/>
      <c r="AN1023" s="4"/>
      <c r="AO1023" s="4"/>
      <c r="AP1023" s="4"/>
      <c r="AQ1023" s="4"/>
      <c r="AR1023" s="4"/>
      <c r="AS1023" s="4"/>
      <c r="AT1023" s="4"/>
      <c r="AU1023" s="4"/>
      <c r="AV1023" s="4"/>
      <c r="AW1023" s="4"/>
      <c r="AX1023" s="4"/>
      <c r="AY1023" s="4"/>
      <c r="AZ1023" s="4"/>
      <c r="BA1023" s="4"/>
      <c r="BB1023" s="4"/>
      <c r="BC1023" s="4"/>
      <c r="BD1023" s="4"/>
      <c r="BE1023" s="4"/>
      <c r="BF1023" s="4"/>
      <c r="BG1023" s="4"/>
      <c r="BH1023" s="4"/>
      <c r="BI1023" s="4"/>
      <c r="BJ1023" s="4"/>
      <c r="BK1023" s="4"/>
      <c r="BL1023" s="4"/>
      <c r="BM1023" s="4"/>
      <c r="BN1023" s="4"/>
      <c r="BO1023" s="4"/>
      <c r="BP1023" s="39"/>
      <c r="BQ1023" s="39"/>
    </row>
    <row r="1024" spans="3:69" ht="15.75" customHeight="1">
      <c r="C1024" s="4"/>
      <c r="D1024" s="4"/>
      <c r="E1024" s="38"/>
      <c r="F1024" s="38"/>
      <c r="G1024" s="4"/>
      <c r="H1024" s="4"/>
      <c r="I1024" s="4"/>
      <c r="J1024" s="4"/>
      <c r="K1024" s="4"/>
      <c r="L1024" s="4"/>
      <c r="M1024" s="4"/>
      <c r="N1024" s="38"/>
      <c r="O1024" s="4"/>
      <c r="P1024" s="4"/>
      <c r="Q1024" s="4"/>
      <c r="R1024" s="4"/>
      <c r="S1024" s="4"/>
      <c r="T1024" s="38"/>
      <c r="U1024" s="4"/>
      <c r="V1024" s="4"/>
      <c r="W1024" s="4"/>
      <c r="X1024" s="4"/>
      <c r="Y1024" s="4"/>
      <c r="Z1024" s="4"/>
      <c r="AA1024" s="4"/>
      <c r="AB1024" s="4"/>
      <c r="AC1024" s="4"/>
      <c r="AD1024" s="4"/>
      <c r="AE1024" s="4"/>
      <c r="AF1024" s="4"/>
      <c r="AG1024" s="4"/>
      <c r="AH1024" s="4"/>
      <c r="AI1024" s="4"/>
      <c r="AJ1024" s="4"/>
      <c r="AK1024" s="4"/>
      <c r="AL1024" s="4"/>
      <c r="AM1024" s="38"/>
      <c r="AN1024" s="4"/>
      <c r="AO1024" s="4"/>
      <c r="AP1024" s="4"/>
      <c r="AQ1024" s="4"/>
      <c r="AR1024" s="4"/>
      <c r="AS1024" s="4"/>
      <c r="AT1024" s="4"/>
      <c r="AU1024" s="4"/>
      <c r="AV1024" s="4"/>
      <c r="AW1024" s="4"/>
      <c r="AX1024" s="4"/>
      <c r="AY1024" s="4"/>
      <c r="AZ1024" s="4"/>
      <c r="BA1024" s="4"/>
      <c r="BB1024" s="4"/>
      <c r="BC1024" s="4"/>
      <c r="BD1024" s="4"/>
      <c r="BE1024" s="4"/>
      <c r="BF1024" s="4"/>
      <c r="BG1024" s="4"/>
      <c r="BH1024" s="4"/>
      <c r="BI1024" s="4"/>
      <c r="BJ1024" s="4"/>
      <c r="BK1024" s="4"/>
      <c r="BL1024" s="4"/>
      <c r="BM1024" s="4"/>
      <c r="BN1024" s="4"/>
      <c r="BO1024" s="4"/>
      <c r="BP1024" s="39"/>
      <c r="BQ1024" s="39"/>
    </row>
    <row r="1025" spans="3:69" ht="15.75" customHeight="1">
      <c r="C1025" s="4"/>
      <c r="D1025" s="4"/>
      <c r="E1025" s="38"/>
      <c r="F1025" s="38"/>
      <c r="G1025" s="4"/>
      <c r="H1025" s="4"/>
      <c r="I1025" s="4"/>
      <c r="J1025" s="4"/>
      <c r="K1025" s="4"/>
      <c r="L1025" s="4"/>
      <c r="M1025" s="4"/>
      <c r="N1025" s="38"/>
      <c r="O1025" s="4"/>
      <c r="P1025" s="4"/>
      <c r="Q1025" s="4"/>
      <c r="R1025" s="4"/>
      <c r="S1025" s="4"/>
      <c r="T1025" s="38"/>
      <c r="U1025" s="4"/>
      <c r="V1025" s="4"/>
      <c r="W1025" s="4"/>
      <c r="X1025" s="4"/>
      <c r="Y1025" s="4"/>
      <c r="Z1025" s="4"/>
      <c r="AA1025" s="4"/>
      <c r="AB1025" s="4"/>
      <c r="AC1025" s="4"/>
      <c r="AD1025" s="4"/>
      <c r="AE1025" s="4"/>
      <c r="AF1025" s="4"/>
      <c r="AG1025" s="4"/>
      <c r="AH1025" s="4"/>
      <c r="AI1025" s="4"/>
      <c r="AJ1025" s="4"/>
      <c r="AK1025" s="4"/>
      <c r="AL1025" s="4"/>
      <c r="AM1025" s="38"/>
      <c r="AN1025" s="4"/>
      <c r="AO1025" s="4"/>
      <c r="AP1025" s="4"/>
      <c r="AQ1025" s="4"/>
      <c r="AR1025" s="4"/>
      <c r="AS1025" s="4"/>
      <c r="AT1025" s="4"/>
      <c r="AU1025" s="4"/>
      <c r="AV1025" s="4"/>
      <c r="AW1025" s="4"/>
      <c r="AX1025" s="4"/>
      <c r="AY1025" s="4"/>
      <c r="AZ1025" s="4"/>
      <c r="BA1025" s="4"/>
      <c r="BB1025" s="4"/>
      <c r="BC1025" s="4"/>
      <c r="BD1025" s="4"/>
      <c r="BE1025" s="4"/>
      <c r="BF1025" s="4"/>
      <c r="BG1025" s="4"/>
      <c r="BH1025" s="4"/>
      <c r="BI1025" s="4"/>
      <c r="BJ1025" s="4"/>
      <c r="BK1025" s="4"/>
      <c r="BL1025" s="4"/>
      <c r="BM1025" s="4"/>
      <c r="BN1025" s="4"/>
      <c r="BO1025" s="4"/>
      <c r="BP1025" s="39"/>
      <c r="BQ1025" s="39"/>
    </row>
    <row r="1026" spans="3:69" ht="15.75" customHeight="1">
      <c r="C1026" s="4"/>
      <c r="D1026" s="4"/>
      <c r="E1026" s="38"/>
      <c r="F1026" s="38"/>
      <c r="G1026" s="4"/>
      <c r="H1026" s="4"/>
      <c r="I1026" s="4"/>
      <c r="J1026" s="4"/>
      <c r="K1026" s="4"/>
      <c r="L1026" s="4"/>
      <c r="M1026" s="4"/>
      <c r="N1026" s="38"/>
      <c r="O1026" s="4"/>
      <c r="P1026" s="4"/>
      <c r="Q1026" s="4"/>
      <c r="R1026" s="4"/>
      <c r="S1026" s="4"/>
      <c r="T1026" s="38"/>
      <c r="U1026" s="4"/>
      <c r="V1026" s="4"/>
      <c r="W1026" s="4"/>
      <c r="X1026" s="4"/>
      <c r="Y1026" s="4"/>
      <c r="Z1026" s="4"/>
      <c r="AA1026" s="4"/>
      <c r="AB1026" s="4"/>
      <c r="AC1026" s="4"/>
      <c r="AD1026" s="4"/>
      <c r="AE1026" s="4"/>
      <c r="AF1026" s="4"/>
      <c r="AG1026" s="4"/>
      <c r="AH1026" s="4"/>
      <c r="AI1026" s="4"/>
      <c r="AJ1026" s="4"/>
      <c r="AK1026" s="4"/>
      <c r="AL1026" s="4"/>
      <c r="AM1026" s="38"/>
      <c r="AN1026" s="4"/>
      <c r="AO1026" s="4"/>
      <c r="AP1026" s="4"/>
      <c r="AQ1026" s="4"/>
      <c r="AR1026" s="4"/>
      <c r="AS1026" s="4"/>
      <c r="AT1026" s="4"/>
      <c r="AU1026" s="4"/>
      <c r="AV1026" s="4"/>
      <c r="AW1026" s="4"/>
      <c r="AX1026" s="4"/>
      <c r="AY1026" s="4"/>
      <c r="AZ1026" s="4"/>
      <c r="BA1026" s="4"/>
      <c r="BB1026" s="4"/>
      <c r="BC1026" s="4"/>
      <c r="BD1026" s="4"/>
      <c r="BE1026" s="4"/>
      <c r="BF1026" s="4"/>
      <c r="BG1026" s="4"/>
      <c r="BH1026" s="4"/>
      <c r="BI1026" s="4"/>
      <c r="BJ1026" s="4"/>
      <c r="BK1026" s="4"/>
      <c r="BL1026" s="4"/>
      <c r="BM1026" s="4"/>
      <c r="BN1026" s="4"/>
      <c r="BO1026" s="4"/>
      <c r="BP1026" s="39"/>
      <c r="BQ1026" s="39"/>
    </row>
    <row r="1027" spans="3:69" ht="15.75" customHeight="1">
      <c r="C1027" s="4"/>
      <c r="D1027" s="4"/>
      <c r="E1027" s="38"/>
      <c r="F1027" s="38"/>
      <c r="G1027" s="4"/>
      <c r="H1027" s="4"/>
      <c r="I1027" s="4"/>
      <c r="J1027" s="4"/>
      <c r="K1027" s="4"/>
      <c r="L1027" s="4"/>
      <c r="M1027" s="4"/>
      <c r="N1027" s="38"/>
      <c r="O1027" s="4"/>
      <c r="P1027" s="4"/>
      <c r="Q1027" s="4"/>
      <c r="R1027" s="4"/>
      <c r="S1027" s="4"/>
      <c r="T1027" s="38"/>
      <c r="U1027" s="4"/>
      <c r="V1027" s="4"/>
      <c r="W1027" s="4"/>
      <c r="X1027" s="4"/>
      <c r="Y1027" s="4"/>
      <c r="Z1027" s="4"/>
      <c r="AA1027" s="4"/>
      <c r="AB1027" s="4"/>
      <c r="AC1027" s="4"/>
      <c r="AD1027" s="4"/>
      <c r="AE1027" s="4"/>
      <c r="AF1027" s="4"/>
      <c r="AG1027" s="4"/>
      <c r="AH1027" s="4"/>
      <c r="AI1027" s="4"/>
      <c r="AJ1027" s="4"/>
      <c r="AK1027" s="4"/>
      <c r="AL1027" s="4"/>
      <c r="AM1027" s="38"/>
      <c r="AN1027" s="4"/>
      <c r="AO1027" s="4"/>
      <c r="AP1027" s="4"/>
      <c r="AQ1027" s="4"/>
      <c r="AR1027" s="4"/>
      <c r="AS1027" s="4"/>
      <c r="AT1027" s="4"/>
      <c r="AU1027" s="4"/>
      <c r="AV1027" s="4"/>
      <c r="AW1027" s="4"/>
      <c r="AX1027" s="4"/>
      <c r="AY1027" s="4"/>
      <c r="AZ1027" s="4"/>
      <c r="BA1027" s="4"/>
      <c r="BB1027" s="4"/>
      <c r="BC1027" s="4"/>
      <c r="BD1027" s="4"/>
      <c r="BE1027" s="4"/>
      <c r="BF1027" s="4"/>
      <c r="BG1027" s="4"/>
      <c r="BH1027" s="4"/>
      <c r="BI1027" s="4"/>
      <c r="BJ1027" s="4"/>
      <c r="BK1027" s="4"/>
      <c r="BL1027" s="4"/>
      <c r="BM1027" s="4"/>
      <c r="BN1027" s="4"/>
      <c r="BO1027" s="4"/>
      <c r="BP1027" s="39"/>
      <c r="BQ1027" s="39"/>
    </row>
    <row r="1028" spans="3:69" ht="15.75" customHeight="1">
      <c r="C1028" s="4"/>
      <c r="D1028" s="4"/>
      <c r="E1028" s="38"/>
      <c r="F1028" s="38"/>
      <c r="G1028" s="4"/>
      <c r="H1028" s="4"/>
      <c r="I1028" s="4"/>
      <c r="J1028" s="4"/>
      <c r="K1028" s="4"/>
      <c r="L1028" s="4"/>
      <c r="M1028" s="4"/>
      <c r="N1028" s="38"/>
      <c r="O1028" s="4"/>
      <c r="P1028" s="4"/>
      <c r="Q1028" s="4"/>
      <c r="R1028" s="4"/>
      <c r="S1028" s="4"/>
      <c r="T1028" s="38"/>
      <c r="U1028" s="4"/>
      <c r="V1028" s="4"/>
      <c r="W1028" s="4"/>
      <c r="X1028" s="4"/>
      <c r="Y1028" s="4"/>
      <c r="Z1028" s="4"/>
      <c r="AA1028" s="4"/>
      <c r="AB1028" s="4"/>
      <c r="AC1028" s="4"/>
      <c r="AD1028" s="4"/>
      <c r="AE1028" s="4"/>
      <c r="AF1028" s="4"/>
      <c r="AG1028" s="4"/>
      <c r="AH1028" s="4"/>
      <c r="AI1028" s="4"/>
      <c r="AJ1028" s="4"/>
      <c r="AK1028" s="4"/>
      <c r="AL1028" s="4"/>
      <c r="AM1028" s="38"/>
      <c r="AN1028" s="4"/>
      <c r="AO1028" s="4"/>
      <c r="AP1028" s="4"/>
      <c r="AQ1028" s="4"/>
      <c r="AR1028" s="4"/>
      <c r="AS1028" s="4"/>
      <c r="AT1028" s="4"/>
      <c r="AU1028" s="4"/>
      <c r="AV1028" s="4"/>
      <c r="AW1028" s="4"/>
      <c r="AX1028" s="4"/>
      <c r="AY1028" s="4"/>
      <c r="AZ1028" s="4"/>
      <c r="BA1028" s="4"/>
      <c r="BB1028" s="4"/>
      <c r="BC1028" s="4"/>
      <c r="BD1028" s="4"/>
      <c r="BE1028" s="4"/>
      <c r="BF1028" s="4"/>
      <c r="BG1028" s="4"/>
      <c r="BH1028" s="4"/>
      <c r="BI1028" s="4"/>
      <c r="BJ1028" s="4"/>
      <c r="BK1028" s="4"/>
      <c r="BL1028" s="4"/>
      <c r="BM1028" s="4"/>
      <c r="BN1028" s="4"/>
      <c r="BO1028" s="4"/>
      <c r="BP1028" s="39"/>
      <c r="BQ1028" s="39"/>
    </row>
    <row r="1029" spans="3:69" ht="15.75" customHeight="1">
      <c r="C1029" s="4"/>
      <c r="D1029" s="4"/>
      <c r="E1029" s="38"/>
      <c r="F1029" s="38"/>
      <c r="G1029" s="4"/>
      <c r="H1029" s="4"/>
      <c r="I1029" s="4"/>
      <c r="J1029" s="4"/>
      <c r="K1029" s="4"/>
      <c r="L1029" s="4"/>
      <c r="M1029" s="4"/>
      <c r="N1029" s="38"/>
      <c r="O1029" s="4"/>
      <c r="P1029" s="4"/>
      <c r="Q1029" s="4"/>
      <c r="R1029" s="4"/>
      <c r="S1029" s="4"/>
      <c r="T1029" s="38"/>
      <c r="U1029" s="4"/>
      <c r="V1029" s="4"/>
      <c r="W1029" s="4"/>
      <c r="X1029" s="4"/>
      <c r="Y1029" s="4"/>
      <c r="Z1029" s="4"/>
      <c r="AA1029" s="4"/>
      <c r="AB1029" s="4"/>
      <c r="AC1029" s="4"/>
      <c r="AD1029" s="4"/>
      <c r="AE1029" s="4"/>
      <c r="AF1029" s="4"/>
      <c r="AG1029" s="4"/>
      <c r="AH1029" s="4"/>
      <c r="AI1029" s="4"/>
      <c r="AJ1029" s="4"/>
      <c r="AK1029" s="4"/>
      <c r="AL1029" s="4"/>
      <c r="AM1029" s="38"/>
      <c r="AN1029" s="4"/>
      <c r="AO1029" s="4"/>
      <c r="AP1029" s="4"/>
      <c r="AQ1029" s="4"/>
      <c r="AR1029" s="4"/>
      <c r="AS1029" s="4"/>
      <c r="AT1029" s="4"/>
      <c r="AU1029" s="4"/>
      <c r="AV1029" s="4"/>
      <c r="AW1029" s="4"/>
      <c r="AX1029" s="4"/>
      <c r="AY1029" s="4"/>
      <c r="AZ1029" s="4"/>
      <c r="BA1029" s="4"/>
      <c r="BB1029" s="4"/>
      <c r="BC1029" s="4"/>
      <c r="BD1029" s="4"/>
      <c r="BE1029" s="4"/>
      <c r="BF1029" s="4"/>
      <c r="BG1029" s="4"/>
      <c r="BH1029" s="4"/>
      <c r="BI1029" s="4"/>
      <c r="BJ1029" s="4"/>
      <c r="BK1029" s="4"/>
      <c r="BL1029" s="4"/>
      <c r="BM1029" s="4"/>
      <c r="BN1029" s="4"/>
      <c r="BO1029" s="4"/>
      <c r="BP1029" s="39"/>
      <c r="BQ1029" s="39"/>
    </row>
    <row r="1030" spans="3:69" ht="15.75" customHeight="1">
      <c r="C1030" s="4"/>
      <c r="D1030" s="4"/>
      <c r="E1030" s="38"/>
      <c r="F1030" s="38"/>
      <c r="G1030" s="4"/>
      <c r="H1030" s="4"/>
      <c r="I1030" s="4"/>
      <c r="J1030" s="4"/>
      <c r="K1030" s="4"/>
      <c r="L1030" s="4"/>
      <c r="M1030" s="4"/>
      <c r="N1030" s="38"/>
      <c r="O1030" s="4"/>
      <c r="P1030" s="4"/>
      <c r="Q1030" s="4"/>
      <c r="R1030" s="4"/>
      <c r="S1030" s="4"/>
      <c r="T1030" s="38"/>
      <c r="U1030" s="4"/>
      <c r="V1030" s="4"/>
      <c r="W1030" s="4"/>
      <c r="X1030" s="4"/>
      <c r="Y1030" s="4"/>
      <c r="Z1030" s="4"/>
      <c r="AA1030" s="4"/>
      <c r="AB1030" s="4"/>
      <c r="AC1030" s="4"/>
      <c r="AD1030" s="4"/>
      <c r="AE1030" s="4"/>
      <c r="AF1030" s="4"/>
      <c r="AG1030" s="4"/>
      <c r="AH1030" s="4"/>
      <c r="AI1030" s="4"/>
      <c r="AJ1030" s="4"/>
      <c r="AK1030" s="4"/>
      <c r="AL1030" s="4"/>
      <c r="AM1030" s="38"/>
      <c r="AN1030" s="4"/>
      <c r="AO1030" s="4"/>
      <c r="AP1030" s="4"/>
      <c r="AQ1030" s="4"/>
      <c r="AR1030" s="4"/>
      <c r="AS1030" s="4"/>
      <c r="AT1030" s="4"/>
      <c r="AU1030" s="4"/>
      <c r="AV1030" s="4"/>
      <c r="AW1030" s="4"/>
      <c r="AX1030" s="4"/>
      <c r="AY1030" s="4"/>
      <c r="AZ1030" s="4"/>
      <c r="BA1030" s="4"/>
      <c r="BB1030" s="4"/>
      <c r="BC1030" s="4"/>
      <c r="BD1030" s="4"/>
      <c r="BE1030" s="4"/>
      <c r="BF1030" s="4"/>
      <c r="BG1030" s="4"/>
      <c r="BH1030" s="4"/>
      <c r="BI1030" s="4"/>
      <c r="BJ1030" s="4"/>
      <c r="BK1030" s="4"/>
      <c r="BL1030" s="4"/>
      <c r="BM1030" s="4"/>
      <c r="BN1030" s="4"/>
      <c r="BO1030" s="4"/>
      <c r="BP1030" s="39"/>
      <c r="BQ1030" s="39"/>
    </row>
    <row r="1031" spans="3:69" ht="15.75" customHeight="1">
      <c r="C1031" s="4"/>
      <c r="D1031" s="4"/>
      <c r="E1031" s="38"/>
      <c r="F1031" s="38"/>
      <c r="G1031" s="4"/>
      <c r="H1031" s="4"/>
      <c r="I1031" s="4"/>
      <c r="J1031" s="4"/>
      <c r="K1031" s="4"/>
      <c r="L1031" s="4"/>
      <c r="M1031" s="4"/>
      <c r="N1031" s="38"/>
      <c r="O1031" s="4"/>
      <c r="P1031" s="4"/>
      <c r="Q1031" s="4"/>
      <c r="R1031" s="4"/>
      <c r="S1031" s="4"/>
      <c r="T1031" s="38"/>
      <c r="U1031" s="4"/>
      <c r="V1031" s="4"/>
      <c r="W1031" s="4"/>
      <c r="X1031" s="4"/>
      <c r="Y1031" s="4"/>
      <c r="Z1031" s="4"/>
      <c r="AA1031" s="4"/>
      <c r="AB1031" s="4"/>
      <c r="AC1031" s="4"/>
      <c r="AD1031" s="4"/>
      <c r="AE1031" s="4"/>
      <c r="AF1031" s="4"/>
      <c r="AG1031" s="4"/>
      <c r="AH1031" s="4"/>
      <c r="AI1031" s="4"/>
      <c r="AJ1031" s="4"/>
      <c r="AK1031" s="4"/>
      <c r="AL1031" s="4"/>
      <c r="AM1031" s="38"/>
      <c r="AN1031" s="4"/>
      <c r="AO1031" s="4"/>
      <c r="AP1031" s="4"/>
      <c r="AQ1031" s="4"/>
      <c r="AR1031" s="4"/>
      <c r="AS1031" s="4"/>
      <c r="AT1031" s="4"/>
      <c r="AU1031" s="4"/>
      <c r="AV1031" s="4"/>
      <c r="AW1031" s="4"/>
      <c r="AX1031" s="4"/>
      <c r="AY1031" s="4"/>
      <c r="AZ1031" s="4"/>
      <c r="BA1031" s="4"/>
      <c r="BB1031" s="4"/>
      <c r="BC1031" s="4"/>
      <c r="BD1031" s="4"/>
      <c r="BE1031" s="4"/>
      <c r="BF1031" s="4"/>
      <c r="BG1031" s="4"/>
      <c r="BH1031" s="4"/>
      <c r="BI1031" s="4"/>
      <c r="BJ1031" s="4"/>
      <c r="BK1031" s="4"/>
      <c r="BL1031" s="4"/>
      <c r="BM1031" s="4"/>
      <c r="BN1031" s="4"/>
      <c r="BO1031" s="4"/>
      <c r="BP1031" s="39"/>
      <c r="BQ1031" s="39"/>
    </row>
    <row r="1032" spans="3:69" ht="15.75" customHeight="1">
      <c r="C1032" s="4"/>
      <c r="D1032" s="4"/>
      <c r="E1032" s="38"/>
      <c r="F1032" s="38"/>
      <c r="G1032" s="4"/>
      <c r="H1032" s="4"/>
      <c r="I1032" s="4"/>
      <c r="J1032" s="4"/>
      <c r="K1032" s="4"/>
      <c r="L1032" s="4"/>
      <c r="M1032" s="4"/>
      <c r="N1032" s="38"/>
      <c r="O1032" s="4"/>
      <c r="P1032" s="4"/>
      <c r="Q1032" s="4"/>
      <c r="R1032" s="4"/>
      <c r="S1032" s="4"/>
      <c r="T1032" s="38"/>
      <c r="U1032" s="4"/>
      <c r="V1032" s="4"/>
      <c r="W1032" s="4"/>
      <c r="X1032" s="4"/>
      <c r="Y1032" s="4"/>
      <c r="Z1032" s="4"/>
      <c r="AA1032" s="4"/>
      <c r="AB1032" s="4"/>
      <c r="AC1032" s="4"/>
      <c r="AD1032" s="4"/>
      <c r="AE1032" s="4"/>
      <c r="AF1032" s="4"/>
      <c r="AG1032" s="4"/>
      <c r="AH1032" s="4"/>
      <c r="AI1032" s="4"/>
      <c r="AJ1032" s="4"/>
      <c r="AK1032" s="4"/>
      <c r="AL1032" s="4"/>
      <c r="AM1032" s="38"/>
      <c r="AN1032" s="4"/>
      <c r="AO1032" s="4"/>
      <c r="AP1032" s="4"/>
      <c r="AQ1032" s="4"/>
      <c r="AR1032" s="4"/>
      <c r="AS1032" s="4"/>
      <c r="AT1032" s="4"/>
      <c r="AU1032" s="4"/>
      <c r="AV1032" s="4"/>
      <c r="AW1032" s="4"/>
      <c r="AX1032" s="4"/>
      <c r="AY1032" s="4"/>
      <c r="AZ1032" s="4"/>
      <c r="BA1032" s="4"/>
      <c r="BB1032" s="4"/>
      <c r="BC1032" s="4"/>
      <c r="BD1032" s="4"/>
      <c r="BE1032" s="4"/>
      <c r="BF1032" s="4"/>
      <c r="BG1032" s="4"/>
      <c r="BH1032" s="4"/>
      <c r="BI1032" s="4"/>
      <c r="BJ1032" s="4"/>
      <c r="BK1032" s="4"/>
      <c r="BL1032" s="4"/>
      <c r="BM1032" s="4"/>
      <c r="BN1032" s="4"/>
      <c r="BO1032" s="4"/>
      <c r="BP1032" s="39"/>
      <c r="BQ1032" s="39"/>
    </row>
    <row r="1033" spans="3:69" ht="15.75" customHeight="1">
      <c r="C1033" s="4"/>
      <c r="D1033" s="4"/>
      <c r="E1033" s="38"/>
      <c r="F1033" s="38"/>
      <c r="G1033" s="4"/>
      <c r="H1033" s="4"/>
      <c r="I1033" s="4"/>
      <c r="J1033" s="4"/>
      <c r="K1033" s="4"/>
      <c r="L1033" s="4"/>
      <c r="M1033" s="4"/>
      <c r="N1033" s="38"/>
      <c r="O1033" s="4"/>
      <c r="P1033" s="4"/>
      <c r="Q1033" s="4"/>
      <c r="R1033" s="4"/>
      <c r="S1033" s="4"/>
      <c r="T1033" s="38"/>
      <c r="U1033" s="4"/>
      <c r="V1033" s="4"/>
      <c r="W1033" s="4"/>
      <c r="X1033" s="4"/>
      <c r="Y1033" s="4"/>
      <c r="Z1033" s="4"/>
      <c r="AA1033" s="4"/>
      <c r="AB1033" s="4"/>
      <c r="AC1033" s="4"/>
      <c r="AD1033" s="4"/>
      <c r="AE1033" s="4"/>
      <c r="AF1033" s="4"/>
      <c r="AG1033" s="4"/>
      <c r="AH1033" s="4"/>
      <c r="AI1033" s="4"/>
      <c r="AJ1033" s="4"/>
      <c r="AK1033" s="4"/>
      <c r="AL1033" s="4"/>
      <c r="AM1033" s="38"/>
      <c r="AN1033" s="4"/>
      <c r="AO1033" s="4"/>
      <c r="AP1033" s="4"/>
      <c r="AQ1033" s="4"/>
      <c r="AR1033" s="4"/>
      <c r="AS1033" s="4"/>
      <c r="AT1033" s="4"/>
      <c r="AU1033" s="4"/>
      <c r="AV1033" s="4"/>
      <c r="AW1033" s="4"/>
      <c r="AX1033" s="4"/>
      <c r="AY1033" s="4"/>
      <c r="AZ1033" s="4"/>
      <c r="BA1033" s="4"/>
      <c r="BB1033" s="4"/>
      <c r="BC1033" s="4"/>
      <c r="BD1033" s="4"/>
      <c r="BE1033" s="4"/>
      <c r="BF1033" s="4"/>
      <c r="BG1033" s="4"/>
      <c r="BH1033" s="4"/>
      <c r="BI1033" s="4"/>
      <c r="BJ1033" s="4"/>
      <c r="BK1033" s="4"/>
      <c r="BL1033" s="4"/>
      <c r="BM1033" s="4"/>
      <c r="BN1033" s="4"/>
      <c r="BO1033" s="4"/>
      <c r="BP1033" s="39"/>
      <c r="BQ1033" s="39"/>
    </row>
    <row r="1034" spans="3:69" ht="15.75" customHeight="1">
      <c r="C1034" s="4"/>
      <c r="D1034" s="4"/>
      <c r="E1034" s="38"/>
      <c r="F1034" s="38"/>
      <c r="G1034" s="4"/>
      <c r="H1034" s="4"/>
      <c r="I1034" s="4"/>
      <c r="J1034" s="4"/>
      <c r="K1034" s="4"/>
      <c r="L1034" s="4"/>
      <c r="M1034" s="4"/>
      <c r="N1034" s="38"/>
      <c r="O1034" s="4"/>
      <c r="P1034" s="4"/>
      <c r="Q1034" s="4"/>
      <c r="R1034" s="4"/>
      <c r="S1034" s="4"/>
      <c r="T1034" s="38"/>
      <c r="U1034" s="4"/>
      <c r="V1034" s="4"/>
      <c r="W1034" s="4"/>
      <c r="X1034" s="4"/>
      <c r="Y1034" s="4"/>
      <c r="Z1034" s="4"/>
      <c r="AA1034" s="4"/>
      <c r="AB1034" s="4"/>
      <c r="AC1034" s="4"/>
      <c r="AD1034" s="4"/>
      <c r="AE1034" s="4"/>
      <c r="AF1034" s="4"/>
      <c r="AG1034" s="4"/>
      <c r="AH1034" s="4"/>
      <c r="AI1034" s="4"/>
      <c r="AJ1034" s="4"/>
      <c r="AK1034" s="4"/>
      <c r="AL1034" s="4"/>
      <c r="AM1034" s="38"/>
      <c r="AN1034" s="4"/>
      <c r="AO1034" s="4"/>
      <c r="AP1034" s="4"/>
      <c r="AQ1034" s="4"/>
      <c r="AR1034" s="4"/>
      <c r="AS1034" s="4"/>
      <c r="AT1034" s="4"/>
      <c r="AU1034" s="4"/>
      <c r="AV1034" s="4"/>
      <c r="AW1034" s="4"/>
      <c r="AX1034" s="4"/>
      <c r="AY1034" s="4"/>
      <c r="AZ1034" s="4"/>
      <c r="BA1034" s="4"/>
      <c r="BB1034" s="4"/>
      <c r="BC1034" s="4"/>
      <c r="BD1034" s="4"/>
      <c r="BE1034" s="4"/>
      <c r="BF1034" s="4"/>
      <c r="BG1034" s="4"/>
      <c r="BH1034" s="4"/>
      <c r="BI1034" s="4"/>
      <c r="BJ1034" s="4"/>
      <c r="BK1034" s="4"/>
      <c r="BL1034" s="4"/>
      <c r="BM1034" s="4"/>
      <c r="BN1034" s="4"/>
      <c r="BO1034" s="4"/>
      <c r="BP1034" s="39"/>
      <c r="BQ1034" s="39"/>
    </row>
    <row r="1035" spans="3:69" ht="15.75" customHeight="1">
      <c r="C1035" s="4"/>
      <c r="D1035" s="4"/>
      <c r="E1035" s="38"/>
      <c r="F1035" s="38"/>
      <c r="G1035" s="4"/>
      <c r="H1035" s="4"/>
      <c r="I1035" s="4"/>
      <c r="J1035" s="4"/>
      <c r="K1035" s="4"/>
      <c r="L1035" s="4"/>
      <c r="M1035" s="4"/>
      <c r="N1035" s="38"/>
      <c r="O1035" s="4"/>
      <c r="P1035" s="4"/>
      <c r="Q1035" s="4"/>
      <c r="R1035" s="4"/>
      <c r="S1035" s="4"/>
      <c r="T1035" s="38"/>
      <c r="U1035" s="4"/>
      <c r="V1035" s="4"/>
      <c r="W1035" s="4"/>
      <c r="X1035" s="4"/>
      <c r="Y1035" s="4"/>
      <c r="Z1035" s="4"/>
      <c r="AA1035" s="4"/>
      <c r="AB1035" s="4"/>
      <c r="AC1035" s="4"/>
      <c r="AD1035" s="4"/>
      <c r="AE1035" s="4"/>
      <c r="AF1035" s="4"/>
      <c r="AG1035" s="4"/>
      <c r="AH1035" s="4"/>
      <c r="AI1035" s="4"/>
      <c r="AJ1035" s="4"/>
      <c r="AK1035" s="4"/>
      <c r="AL1035" s="4"/>
      <c r="AM1035" s="38"/>
      <c r="AN1035" s="4"/>
      <c r="AO1035" s="4"/>
      <c r="AP1035" s="4"/>
      <c r="AQ1035" s="4"/>
      <c r="AR1035" s="4"/>
      <c r="AS1035" s="4"/>
      <c r="AT1035" s="4"/>
      <c r="AU1035" s="4"/>
      <c r="AV1035" s="4"/>
      <c r="AW1035" s="4"/>
      <c r="AX1035" s="4"/>
      <c r="AY1035" s="4"/>
      <c r="AZ1035" s="4"/>
      <c r="BA1035" s="4"/>
      <c r="BB1035" s="4"/>
      <c r="BC1035" s="4"/>
      <c r="BD1035" s="4"/>
      <c r="BE1035" s="4"/>
      <c r="BF1035" s="4"/>
      <c r="BG1035" s="4"/>
      <c r="BH1035" s="4"/>
      <c r="BI1035" s="4"/>
      <c r="BJ1035" s="4"/>
      <c r="BK1035" s="4"/>
      <c r="BL1035" s="4"/>
      <c r="BM1035" s="4"/>
      <c r="BN1035" s="4"/>
      <c r="BO1035" s="4"/>
      <c r="BP1035" s="39"/>
      <c r="BQ1035" s="39"/>
    </row>
    <row r="1036" spans="3:69" ht="15.75" customHeight="1">
      <c r="C1036" s="4"/>
      <c r="D1036" s="4"/>
      <c r="E1036" s="38"/>
      <c r="F1036" s="38"/>
      <c r="G1036" s="4"/>
      <c r="H1036" s="4"/>
      <c r="I1036" s="4"/>
      <c r="J1036" s="4"/>
      <c r="K1036" s="4"/>
      <c r="L1036" s="4"/>
      <c r="M1036" s="4"/>
      <c r="N1036" s="38"/>
      <c r="O1036" s="4"/>
      <c r="P1036" s="4"/>
      <c r="Q1036" s="4"/>
      <c r="R1036" s="4"/>
      <c r="S1036" s="4"/>
      <c r="T1036" s="38"/>
      <c r="U1036" s="4"/>
      <c r="V1036" s="4"/>
      <c r="W1036" s="4"/>
      <c r="X1036" s="4"/>
      <c r="Y1036" s="4"/>
      <c r="Z1036" s="4"/>
      <c r="AA1036" s="4"/>
      <c r="AB1036" s="4"/>
      <c r="AC1036" s="4"/>
      <c r="AD1036" s="4"/>
      <c r="AE1036" s="4"/>
      <c r="AF1036" s="4"/>
      <c r="AG1036" s="4"/>
      <c r="AH1036" s="4"/>
      <c r="AI1036" s="4"/>
      <c r="AJ1036" s="4"/>
      <c r="AK1036" s="4"/>
      <c r="AL1036" s="4"/>
      <c r="AM1036" s="38"/>
      <c r="AN1036" s="4"/>
      <c r="AO1036" s="4"/>
      <c r="AP1036" s="4"/>
      <c r="AQ1036" s="4"/>
      <c r="AR1036" s="4"/>
      <c r="AS1036" s="4"/>
      <c r="AT1036" s="4"/>
      <c r="AU1036" s="4"/>
      <c r="AV1036" s="4"/>
      <c r="AW1036" s="4"/>
      <c r="AX1036" s="4"/>
      <c r="AY1036" s="4"/>
      <c r="AZ1036" s="4"/>
      <c r="BA1036" s="4"/>
      <c r="BB1036" s="4"/>
      <c r="BC1036" s="4"/>
      <c r="BD1036" s="4"/>
      <c r="BE1036" s="4"/>
      <c r="BF1036" s="4"/>
      <c r="BG1036" s="4"/>
      <c r="BH1036" s="4"/>
      <c r="BI1036" s="4"/>
      <c r="BJ1036" s="4"/>
      <c r="BK1036" s="4"/>
      <c r="BL1036" s="4"/>
      <c r="BM1036" s="4"/>
      <c r="BN1036" s="4"/>
      <c r="BO1036" s="4"/>
      <c r="BP1036" s="39"/>
      <c r="BQ1036" s="39"/>
    </row>
    <row r="1037" spans="3:69" ht="15.75" customHeight="1">
      <c r="C1037" s="4"/>
      <c r="D1037" s="4"/>
      <c r="E1037" s="38"/>
      <c r="F1037" s="38"/>
      <c r="G1037" s="4"/>
      <c r="H1037" s="4"/>
      <c r="I1037" s="4"/>
      <c r="J1037" s="4"/>
      <c r="K1037" s="4"/>
      <c r="L1037" s="4"/>
      <c r="M1037" s="4"/>
      <c r="N1037" s="38"/>
      <c r="O1037" s="4"/>
      <c r="P1037" s="4"/>
      <c r="Q1037" s="4"/>
      <c r="R1037" s="4"/>
      <c r="S1037" s="4"/>
      <c r="T1037" s="38"/>
      <c r="U1037" s="4"/>
      <c r="V1037" s="4"/>
      <c r="W1037" s="4"/>
      <c r="X1037" s="4"/>
      <c r="Y1037" s="4"/>
      <c r="Z1037" s="4"/>
      <c r="AA1037" s="4"/>
      <c r="AB1037" s="4"/>
      <c r="AC1037" s="4"/>
      <c r="AD1037" s="4"/>
      <c r="AE1037" s="4"/>
      <c r="AF1037" s="4"/>
      <c r="AG1037" s="4"/>
      <c r="AH1037" s="4"/>
      <c r="AI1037" s="4"/>
      <c r="AJ1037" s="4"/>
      <c r="AK1037" s="4"/>
      <c r="AL1037" s="4"/>
      <c r="AM1037" s="38"/>
      <c r="AN1037" s="4"/>
      <c r="AO1037" s="4"/>
      <c r="AP1037" s="4"/>
      <c r="AQ1037" s="4"/>
      <c r="AR1037" s="4"/>
      <c r="AS1037" s="4"/>
      <c r="AT1037" s="4"/>
      <c r="AU1037" s="4"/>
      <c r="AV1037" s="4"/>
      <c r="AW1037" s="4"/>
      <c r="AX1037" s="4"/>
      <c r="AY1037" s="4"/>
      <c r="AZ1037" s="4"/>
      <c r="BA1037" s="4"/>
      <c r="BB1037" s="4"/>
      <c r="BC1037" s="4"/>
      <c r="BD1037" s="4"/>
      <c r="BE1037" s="4"/>
      <c r="BF1037" s="4"/>
      <c r="BG1037" s="4"/>
      <c r="BH1037" s="4"/>
      <c r="BI1037" s="4"/>
      <c r="BJ1037" s="4"/>
      <c r="BK1037" s="4"/>
      <c r="BL1037" s="4"/>
      <c r="BM1037" s="4"/>
      <c r="BN1037" s="4"/>
      <c r="BO1037" s="4"/>
      <c r="BP1037" s="39"/>
      <c r="BQ1037" s="39"/>
    </row>
    <row r="1038" spans="3:69" ht="15.75" customHeight="1">
      <c r="C1038" s="4"/>
      <c r="D1038" s="4"/>
      <c r="E1038" s="38"/>
      <c r="F1038" s="38"/>
      <c r="G1038" s="4"/>
      <c r="H1038" s="4"/>
      <c r="I1038" s="4"/>
      <c r="J1038" s="4"/>
      <c r="K1038" s="4"/>
      <c r="L1038" s="4"/>
      <c r="M1038" s="4"/>
      <c r="N1038" s="38"/>
      <c r="O1038" s="4"/>
      <c r="P1038" s="4"/>
      <c r="Q1038" s="4"/>
      <c r="R1038" s="4"/>
      <c r="S1038" s="4"/>
      <c r="T1038" s="38"/>
      <c r="U1038" s="4"/>
      <c r="V1038" s="4"/>
      <c r="W1038" s="4"/>
      <c r="X1038" s="4"/>
      <c r="Y1038" s="4"/>
      <c r="Z1038" s="4"/>
      <c r="AA1038" s="4"/>
      <c r="AB1038" s="4"/>
      <c r="AC1038" s="4"/>
      <c r="AD1038" s="4"/>
      <c r="AE1038" s="4"/>
      <c r="AF1038" s="4"/>
      <c r="AG1038" s="4"/>
      <c r="AH1038" s="4"/>
      <c r="AI1038" s="4"/>
      <c r="AJ1038" s="4"/>
      <c r="AK1038" s="4"/>
      <c r="AL1038" s="4"/>
      <c r="AM1038" s="38"/>
      <c r="AN1038" s="4"/>
      <c r="AO1038" s="4"/>
      <c r="AP1038" s="4"/>
      <c r="AQ1038" s="4"/>
      <c r="AR1038" s="4"/>
      <c r="AS1038" s="4"/>
      <c r="AT1038" s="4"/>
      <c r="AU1038" s="4"/>
      <c r="AV1038" s="4"/>
      <c r="AW1038" s="4"/>
      <c r="AX1038" s="4"/>
      <c r="AY1038" s="4"/>
      <c r="AZ1038" s="4"/>
      <c r="BA1038" s="4"/>
      <c r="BB1038" s="4"/>
      <c r="BC1038" s="4"/>
      <c r="BD1038" s="4"/>
      <c r="BE1038" s="4"/>
      <c r="BF1038" s="4"/>
      <c r="BG1038" s="4"/>
      <c r="BH1038" s="4"/>
      <c r="BI1038" s="4"/>
      <c r="BJ1038" s="4"/>
      <c r="BK1038" s="4"/>
      <c r="BL1038" s="4"/>
      <c r="BM1038" s="4"/>
      <c r="BN1038" s="4"/>
      <c r="BO1038" s="4"/>
      <c r="BP1038" s="39"/>
      <c r="BQ1038" s="39"/>
    </row>
    <row r="1039" spans="3:69" ht="15.75" customHeight="1">
      <c r="C1039" s="4"/>
      <c r="D1039" s="4"/>
      <c r="E1039" s="38"/>
      <c r="F1039" s="38"/>
      <c r="G1039" s="4"/>
      <c r="H1039" s="4"/>
      <c r="I1039" s="4"/>
      <c r="J1039" s="4"/>
      <c r="K1039" s="4"/>
      <c r="L1039" s="4"/>
      <c r="M1039" s="4"/>
      <c r="N1039" s="38"/>
      <c r="O1039" s="4"/>
      <c r="P1039" s="4"/>
      <c r="Q1039" s="4"/>
      <c r="R1039" s="4"/>
      <c r="S1039" s="4"/>
      <c r="T1039" s="38"/>
      <c r="U1039" s="4"/>
      <c r="V1039" s="4"/>
      <c r="W1039" s="4"/>
      <c r="X1039" s="4"/>
      <c r="Y1039" s="4"/>
      <c r="Z1039" s="4"/>
      <c r="AA1039" s="4"/>
      <c r="AB1039" s="4"/>
      <c r="AC1039" s="4"/>
      <c r="AD1039" s="4"/>
      <c r="AE1039" s="4"/>
      <c r="AF1039" s="4"/>
      <c r="AG1039" s="4"/>
      <c r="AH1039" s="4"/>
      <c r="AI1039" s="4"/>
      <c r="AJ1039" s="4"/>
      <c r="AK1039" s="4"/>
      <c r="AL1039" s="4"/>
      <c r="AM1039" s="38"/>
      <c r="AN1039" s="4"/>
      <c r="AO1039" s="4"/>
      <c r="AP1039" s="4"/>
      <c r="AQ1039" s="4"/>
      <c r="AR1039" s="4"/>
      <c r="AS1039" s="4"/>
      <c r="AT1039" s="4"/>
      <c r="AU1039" s="4"/>
      <c r="AV1039" s="4"/>
      <c r="AW1039" s="4"/>
      <c r="AX1039" s="4"/>
      <c r="AY1039" s="4"/>
      <c r="AZ1039" s="4"/>
      <c r="BA1039" s="4"/>
      <c r="BB1039" s="4"/>
      <c r="BC1039" s="4"/>
      <c r="BD1039" s="4"/>
      <c r="BE1039" s="4"/>
      <c r="BF1039" s="4"/>
      <c r="BG1039" s="4"/>
      <c r="BH1039" s="4"/>
      <c r="BI1039" s="4"/>
      <c r="BJ1039" s="4"/>
      <c r="BK1039" s="4"/>
      <c r="BL1039" s="4"/>
      <c r="BM1039" s="4"/>
      <c r="BN1039" s="4"/>
      <c r="BO1039" s="4"/>
      <c r="BP1039" s="39"/>
      <c r="BQ1039" s="39"/>
    </row>
    <row r="1040" spans="3:69" ht="15.75" customHeight="1">
      <c r="C1040" s="4"/>
      <c r="D1040" s="4"/>
      <c r="E1040" s="38"/>
      <c r="F1040" s="38"/>
      <c r="G1040" s="4"/>
      <c r="H1040" s="4"/>
      <c r="I1040" s="4"/>
      <c r="J1040" s="4"/>
      <c r="K1040" s="4"/>
      <c r="L1040" s="4"/>
      <c r="M1040" s="4"/>
      <c r="N1040" s="38"/>
      <c r="O1040" s="4"/>
      <c r="P1040" s="4"/>
      <c r="Q1040" s="4"/>
      <c r="R1040" s="4"/>
      <c r="S1040" s="4"/>
      <c r="T1040" s="38"/>
      <c r="U1040" s="4"/>
      <c r="V1040" s="4"/>
      <c r="W1040" s="4"/>
      <c r="X1040" s="4"/>
      <c r="Y1040" s="4"/>
      <c r="Z1040" s="4"/>
      <c r="AA1040" s="4"/>
      <c r="AB1040" s="4"/>
      <c r="AC1040" s="4"/>
      <c r="AD1040" s="4"/>
      <c r="AE1040" s="4"/>
      <c r="AF1040" s="4"/>
      <c r="AG1040" s="4"/>
      <c r="AH1040" s="4"/>
      <c r="AI1040" s="4"/>
      <c r="AJ1040" s="4"/>
      <c r="AK1040" s="4"/>
      <c r="AL1040" s="4"/>
      <c r="AM1040" s="38"/>
      <c r="AN1040" s="4"/>
      <c r="AO1040" s="4"/>
      <c r="AP1040" s="4"/>
      <c r="AQ1040" s="4"/>
      <c r="AR1040" s="4"/>
      <c r="AS1040" s="4"/>
      <c r="AT1040" s="4"/>
      <c r="AU1040" s="4"/>
      <c r="AV1040" s="4"/>
      <c r="AW1040" s="4"/>
      <c r="AX1040" s="4"/>
      <c r="AY1040" s="4"/>
      <c r="AZ1040" s="4"/>
      <c r="BA1040" s="4"/>
      <c r="BB1040" s="4"/>
      <c r="BC1040" s="4"/>
      <c r="BD1040" s="4"/>
      <c r="BE1040" s="4"/>
      <c r="BF1040" s="4"/>
      <c r="BG1040" s="4"/>
      <c r="BH1040" s="4"/>
      <c r="BI1040" s="4"/>
      <c r="BJ1040" s="4"/>
      <c r="BK1040" s="4"/>
      <c r="BL1040" s="4"/>
      <c r="BM1040" s="4"/>
      <c r="BN1040" s="4"/>
      <c r="BO1040" s="4"/>
      <c r="BP1040" s="39"/>
      <c r="BQ1040" s="39"/>
    </row>
    <row r="1041" spans="3:69" ht="15.75" customHeight="1">
      <c r="C1041" s="4"/>
      <c r="D1041" s="4"/>
      <c r="E1041" s="38"/>
      <c r="F1041" s="38"/>
      <c r="G1041" s="4"/>
      <c r="H1041" s="4"/>
      <c r="I1041" s="4"/>
      <c r="J1041" s="4"/>
      <c r="K1041" s="4"/>
      <c r="L1041" s="4"/>
      <c r="M1041" s="4"/>
      <c r="N1041" s="38"/>
      <c r="O1041" s="4"/>
      <c r="P1041" s="4"/>
      <c r="Q1041" s="4"/>
      <c r="R1041" s="4"/>
      <c r="S1041" s="4"/>
      <c r="T1041" s="38"/>
      <c r="U1041" s="4"/>
      <c r="V1041" s="4"/>
      <c r="W1041" s="4"/>
      <c r="X1041" s="4"/>
      <c r="Y1041" s="4"/>
      <c r="Z1041" s="4"/>
      <c r="AA1041" s="4"/>
      <c r="AB1041" s="4"/>
      <c r="AC1041" s="4"/>
      <c r="AD1041" s="4"/>
      <c r="AE1041" s="4"/>
      <c r="AF1041" s="4"/>
      <c r="AG1041" s="4"/>
      <c r="AH1041" s="4"/>
      <c r="AI1041" s="4"/>
      <c r="AJ1041" s="4"/>
      <c r="AK1041" s="4"/>
      <c r="AL1041" s="4"/>
      <c r="AM1041" s="38"/>
      <c r="AN1041" s="4"/>
      <c r="AO1041" s="4"/>
      <c r="AP1041" s="4"/>
      <c r="AQ1041" s="4"/>
      <c r="AR1041" s="4"/>
      <c r="AS1041" s="4"/>
      <c r="AT1041" s="4"/>
      <c r="AU1041" s="4"/>
      <c r="AV1041" s="4"/>
      <c r="AW1041" s="4"/>
      <c r="AX1041" s="4"/>
      <c r="AY1041" s="4"/>
      <c r="AZ1041" s="4"/>
      <c r="BA1041" s="4"/>
      <c r="BB1041" s="4"/>
      <c r="BC1041" s="4"/>
      <c r="BD1041" s="4"/>
      <c r="BE1041" s="4"/>
      <c r="BF1041" s="4"/>
      <c r="BG1041" s="4"/>
      <c r="BH1041" s="4"/>
      <c r="BI1041" s="4"/>
      <c r="BJ1041" s="4"/>
      <c r="BK1041" s="4"/>
      <c r="BL1041" s="4"/>
      <c r="BM1041" s="4"/>
      <c r="BN1041" s="4"/>
      <c r="BO1041" s="4"/>
      <c r="BP1041" s="39"/>
      <c r="BQ1041" s="39"/>
    </row>
    <row r="1042" spans="3:69" ht="15.75" customHeight="1">
      <c r="C1042" s="4"/>
      <c r="D1042" s="4"/>
      <c r="E1042" s="38"/>
      <c r="F1042" s="38"/>
      <c r="G1042" s="4"/>
      <c r="H1042" s="4"/>
      <c r="I1042" s="4"/>
      <c r="J1042" s="4"/>
      <c r="K1042" s="4"/>
      <c r="L1042" s="4"/>
      <c r="M1042" s="4"/>
      <c r="N1042" s="38"/>
      <c r="O1042" s="4"/>
      <c r="P1042" s="4"/>
      <c r="Q1042" s="4"/>
      <c r="R1042" s="4"/>
      <c r="S1042" s="4"/>
      <c r="T1042" s="38"/>
      <c r="U1042" s="4"/>
      <c r="V1042" s="4"/>
      <c r="W1042" s="4"/>
      <c r="X1042" s="4"/>
      <c r="Y1042" s="4"/>
      <c r="Z1042" s="4"/>
      <c r="AA1042" s="4"/>
      <c r="AB1042" s="4"/>
      <c r="AC1042" s="4"/>
      <c r="AD1042" s="4"/>
      <c r="AE1042" s="4"/>
      <c r="AF1042" s="4"/>
      <c r="AG1042" s="4"/>
      <c r="AH1042" s="4"/>
      <c r="AI1042" s="4"/>
      <c r="AJ1042" s="4"/>
      <c r="AK1042" s="4"/>
      <c r="AL1042" s="4"/>
      <c r="AM1042" s="38"/>
      <c r="AN1042" s="4"/>
      <c r="AO1042" s="4"/>
      <c r="AP1042" s="4"/>
      <c r="AQ1042" s="4"/>
      <c r="AR1042" s="4"/>
      <c r="AS1042" s="4"/>
      <c r="AT1042" s="4"/>
      <c r="AU1042" s="4"/>
      <c r="AV1042" s="4"/>
      <c r="AW1042" s="4"/>
      <c r="AX1042" s="4"/>
      <c r="AY1042" s="4"/>
      <c r="AZ1042" s="4"/>
      <c r="BA1042" s="4"/>
      <c r="BB1042" s="4"/>
      <c r="BC1042" s="4"/>
      <c r="BD1042" s="4"/>
      <c r="BE1042" s="4"/>
      <c r="BF1042" s="4"/>
      <c r="BG1042" s="4"/>
      <c r="BH1042" s="4"/>
      <c r="BI1042" s="4"/>
      <c r="BJ1042" s="4"/>
      <c r="BK1042" s="4"/>
      <c r="BL1042" s="4"/>
      <c r="BM1042" s="4"/>
      <c r="BN1042" s="4"/>
      <c r="BO1042" s="4"/>
      <c r="BP1042" s="39"/>
      <c r="BQ1042" s="39"/>
    </row>
    <row r="1043" spans="3:69" ht="15.75" customHeight="1">
      <c r="C1043" s="4"/>
      <c r="D1043" s="4"/>
      <c r="E1043" s="38"/>
      <c r="F1043" s="38"/>
      <c r="G1043" s="4"/>
      <c r="H1043" s="4"/>
      <c r="I1043" s="4"/>
      <c r="J1043" s="4"/>
      <c r="K1043" s="4"/>
      <c r="L1043" s="4"/>
      <c r="M1043" s="4"/>
      <c r="N1043" s="38"/>
      <c r="O1043" s="4"/>
      <c r="P1043" s="4"/>
      <c r="Q1043" s="4"/>
      <c r="R1043" s="4"/>
      <c r="S1043" s="4"/>
      <c r="T1043" s="38"/>
      <c r="U1043" s="4"/>
      <c r="V1043" s="4"/>
      <c r="W1043" s="4"/>
      <c r="X1043" s="4"/>
      <c r="Y1043" s="4"/>
      <c r="Z1043" s="4"/>
      <c r="AA1043" s="4"/>
      <c r="AB1043" s="4"/>
      <c r="AC1043" s="4"/>
      <c r="AD1043" s="4"/>
      <c r="AE1043" s="4"/>
      <c r="AF1043" s="4"/>
      <c r="AG1043" s="4"/>
      <c r="AH1043" s="4"/>
      <c r="AI1043" s="4"/>
      <c r="AJ1043" s="4"/>
      <c r="AK1043" s="4"/>
      <c r="AL1043" s="4"/>
      <c r="AM1043" s="38"/>
      <c r="AN1043" s="4"/>
      <c r="AO1043" s="4"/>
      <c r="AP1043" s="4"/>
      <c r="AQ1043" s="4"/>
      <c r="AR1043" s="4"/>
      <c r="AS1043" s="4"/>
      <c r="AT1043" s="4"/>
      <c r="AU1043" s="4"/>
      <c r="AV1043" s="4"/>
      <c r="AW1043" s="4"/>
      <c r="AX1043" s="4"/>
      <c r="AY1043" s="4"/>
      <c r="AZ1043" s="4"/>
      <c r="BA1043" s="4"/>
      <c r="BB1043" s="4"/>
      <c r="BC1043" s="4"/>
      <c r="BD1043" s="4"/>
      <c r="BE1043" s="4"/>
      <c r="BF1043" s="4"/>
      <c r="BG1043" s="4"/>
      <c r="BH1043" s="4"/>
      <c r="BI1043" s="4"/>
      <c r="BJ1043" s="4"/>
      <c r="BK1043" s="4"/>
      <c r="BL1043" s="4"/>
      <c r="BM1043" s="4"/>
      <c r="BN1043" s="4"/>
      <c r="BO1043" s="4"/>
      <c r="BP1043" s="39"/>
      <c r="BQ1043" s="39"/>
    </row>
    <row r="1044" spans="3:69" ht="15.75" customHeight="1">
      <c r="C1044" s="4"/>
      <c r="D1044" s="4"/>
      <c r="E1044" s="38"/>
      <c r="F1044" s="38"/>
      <c r="G1044" s="4"/>
      <c r="H1044" s="4"/>
      <c r="I1044" s="4"/>
      <c r="J1044" s="4"/>
      <c r="K1044" s="4"/>
      <c r="L1044" s="4"/>
      <c r="M1044" s="4"/>
      <c r="N1044" s="38"/>
      <c r="O1044" s="4"/>
      <c r="P1044" s="4"/>
      <c r="Q1044" s="4"/>
      <c r="R1044" s="4"/>
      <c r="S1044" s="4"/>
      <c r="T1044" s="38"/>
      <c r="U1044" s="4"/>
      <c r="V1044" s="4"/>
      <c r="W1044" s="4"/>
      <c r="X1044" s="4"/>
      <c r="Y1044" s="4"/>
      <c r="Z1044" s="4"/>
      <c r="AA1044" s="4"/>
      <c r="AB1044" s="4"/>
      <c r="AC1044" s="4"/>
      <c r="AD1044" s="4"/>
      <c r="AE1044" s="4"/>
      <c r="AF1044" s="4"/>
      <c r="AG1044" s="4"/>
      <c r="AH1044" s="4"/>
      <c r="AI1044" s="4"/>
      <c r="AJ1044" s="4"/>
      <c r="AK1044" s="4"/>
      <c r="AL1044" s="4"/>
      <c r="AM1044" s="38"/>
      <c r="AN1044" s="4"/>
      <c r="AO1044" s="4"/>
      <c r="AP1044" s="4"/>
      <c r="AQ1044" s="4"/>
      <c r="AR1044" s="4"/>
      <c r="AS1044" s="4"/>
      <c r="AT1044" s="4"/>
      <c r="AU1044" s="4"/>
      <c r="AV1044" s="4"/>
      <c r="AW1044" s="4"/>
      <c r="AX1044" s="4"/>
      <c r="AY1044" s="4"/>
      <c r="AZ1044" s="4"/>
      <c r="BA1044" s="4"/>
      <c r="BB1044" s="4"/>
      <c r="BC1044" s="4"/>
      <c r="BD1044" s="4"/>
      <c r="BE1044" s="4"/>
      <c r="BF1044" s="4"/>
      <c r="BG1044" s="4"/>
      <c r="BH1044" s="4"/>
      <c r="BI1044" s="4"/>
      <c r="BJ1044" s="4"/>
      <c r="BK1044" s="4"/>
      <c r="BL1044" s="4"/>
      <c r="BM1044" s="4"/>
      <c r="BN1044" s="4"/>
      <c r="BO1044" s="4"/>
      <c r="BP1044" s="39"/>
      <c r="BQ1044" s="39"/>
    </row>
    <row r="1045" spans="3:69" ht="15.75" customHeight="1">
      <c r="C1045" s="4"/>
      <c r="D1045" s="4"/>
      <c r="E1045" s="38"/>
      <c r="F1045" s="38"/>
      <c r="G1045" s="4"/>
      <c r="H1045" s="4"/>
      <c r="I1045" s="4"/>
      <c r="J1045" s="4"/>
      <c r="K1045" s="4"/>
      <c r="L1045" s="4"/>
      <c r="M1045" s="4"/>
      <c r="N1045" s="38"/>
      <c r="O1045" s="4"/>
      <c r="P1045" s="4"/>
      <c r="Q1045" s="4"/>
      <c r="R1045" s="4"/>
      <c r="S1045" s="4"/>
      <c r="T1045" s="38"/>
      <c r="U1045" s="4"/>
      <c r="V1045" s="4"/>
      <c r="W1045" s="4"/>
      <c r="X1045" s="4"/>
      <c r="Y1045" s="4"/>
      <c r="Z1045" s="4"/>
      <c r="AA1045" s="4"/>
      <c r="AB1045" s="4"/>
      <c r="AC1045" s="4"/>
      <c r="AD1045" s="4"/>
      <c r="AE1045" s="4"/>
      <c r="AF1045" s="4"/>
      <c r="AG1045" s="4"/>
      <c r="AH1045" s="4"/>
      <c r="AI1045" s="4"/>
      <c r="AJ1045" s="4"/>
      <c r="AK1045" s="4"/>
      <c r="AL1045" s="4"/>
      <c r="AM1045" s="38"/>
      <c r="AN1045" s="4"/>
      <c r="AO1045" s="4"/>
      <c r="AP1045" s="4"/>
      <c r="AQ1045" s="4"/>
      <c r="AR1045" s="4"/>
      <c r="AS1045" s="4"/>
      <c r="AT1045" s="4"/>
      <c r="AU1045" s="4"/>
      <c r="AV1045" s="4"/>
      <c r="AW1045" s="4"/>
      <c r="AX1045" s="4"/>
      <c r="AY1045" s="4"/>
      <c r="AZ1045" s="4"/>
      <c r="BA1045" s="4"/>
      <c r="BB1045" s="4"/>
      <c r="BC1045" s="4"/>
      <c r="BD1045" s="4"/>
      <c r="BE1045" s="4"/>
      <c r="BF1045" s="4"/>
      <c r="BG1045" s="4"/>
      <c r="BH1045" s="4"/>
      <c r="BI1045" s="4"/>
      <c r="BJ1045" s="4"/>
      <c r="BK1045" s="4"/>
      <c r="BL1045" s="4"/>
      <c r="BM1045" s="4"/>
      <c r="BN1045" s="4"/>
      <c r="BO1045" s="4"/>
      <c r="BP1045" s="39"/>
      <c r="BQ1045" s="39"/>
    </row>
    <row r="1046" spans="3:69" ht="15.75" customHeight="1">
      <c r="C1046" s="4"/>
      <c r="D1046" s="4"/>
      <c r="E1046" s="38"/>
      <c r="F1046" s="38"/>
      <c r="G1046" s="4"/>
      <c r="H1046" s="4"/>
      <c r="I1046" s="4"/>
      <c r="J1046" s="4"/>
      <c r="K1046" s="4"/>
      <c r="L1046" s="4"/>
      <c r="M1046" s="4"/>
      <c r="N1046" s="38"/>
      <c r="O1046" s="4"/>
      <c r="P1046" s="4"/>
      <c r="Q1046" s="4"/>
      <c r="R1046" s="4"/>
      <c r="S1046" s="4"/>
      <c r="T1046" s="38"/>
      <c r="U1046" s="4"/>
      <c r="V1046" s="4"/>
      <c r="W1046" s="4"/>
      <c r="X1046" s="4"/>
      <c r="Y1046" s="4"/>
      <c r="Z1046" s="4"/>
      <c r="AA1046" s="4"/>
      <c r="AB1046" s="4"/>
      <c r="AC1046" s="4"/>
      <c r="AD1046" s="4"/>
      <c r="AE1046" s="4"/>
      <c r="AF1046" s="4"/>
      <c r="AG1046" s="4"/>
      <c r="AH1046" s="4"/>
      <c r="AI1046" s="4"/>
      <c r="AJ1046" s="4"/>
      <c r="AK1046" s="4"/>
      <c r="AL1046" s="4"/>
      <c r="AM1046" s="38"/>
      <c r="AN1046" s="4"/>
      <c r="AO1046" s="4"/>
      <c r="AP1046" s="4"/>
      <c r="AQ1046" s="4"/>
      <c r="AR1046" s="4"/>
      <c r="AS1046" s="4"/>
      <c r="AT1046" s="4"/>
      <c r="AU1046" s="4"/>
      <c r="AV1046" s="4"/>
      <c r="AW1046" s="4"/>
      <c r="AX1046" s="4"/>
      <c r="AY1046" s="4"/>
      <c r="AZ1046" s="4"/>
      <c r="BA1046" s="4"/>
      <c r="BB1046" s="4"/>
      <c r="BC1046" s="4"/>
      <c r="BD1046" s="4"/>
      <c r="BE1046" s="4"/>
      <c r="BF1046" s="4"/>
      <c r="BG1046" s="4"/>
      <c r="BH1046" s="4"/>
      <c r="BI1046" s="4"/>
      <c r="BJ1046" s="4"/>
      <c r="BK1046" s="4"/>
      <c r="BL1046" s="4"/>
      <c r="BM1046" s="4"/>
      <c r="BN1046" s="4"/>
      <c r="BO1046" s="4"/>
      <c r="BP1046" s="39"/>
      <c r="BQ1046" s="39"/>
    </row>
    <row r="1047" spans="3:69" ht="15.75" customHeight="1">
      <c r="C1047" s="4"/>
      <c r="D1047" s="4"/>
      <c r="E1047" s="38"/>
      <c r="F1047" s="38"/>
      <c r="G1047" s="4"/>
      <c r="H1047" s="4"/>
      <c r="I1047" s="4"/>
      <c r="J1047" s="4"/>
      <c r="K1047" s="4"/>
      <c r="L1047" s="4"/>
      <c r="M1047" s="4"/>
      <c r="N1047" s="38"/>
      <c r="O1047" s="4"/>
      <c r="P1047" s="4"/>
      <c r="Q1047" s="4"/>
      <c r="R1047" s="4"/>
      <c r="S1047" s="4"/>
      <c r="T1047" s="38"/>
      <c r="U1047" s="4"/>
      <c r="V1047" s="4"/>
      <c r="W1047" s="4"/>
      <c r="X1047" s="4"/>
      <c r="Y1047" s="4"/>
      <c r="Z1047" s="4"/>
      <c r="AA1047" s="4"/>
      <c r="AB1047" s="4"/>
      <c r="AC1047" s="4"/>
      <c r="AD1047" s="4"/>
      <c r="AE1047" s="4"/>
      <c r="AF1047" s="4"/>
      <c r="AG1047" s="4"/>
      <c r="AH1047" s="4"/>
      <c r="AI1047" s="4"/>
      <c r="AJ1047" s="4"/>
      <c r="AK1047" s="4"/>
      <c r="AL1047" s="4"/>
      <c r="AM1047" s="38"/>
      <c r="AN1047" s="4"/>
      <c r="AO1047" s="4"/>
      <c r="AP1047" s="4"/>
      <c r="AQ1047" s="4"/>
      <c r="AR1047" s="4"/>
      <c r="AS1047" s="4"/>
      <c r="AT1047" s="4"/>
      <c r="AU1047" s="4"/>
      <c r="AV1047" s="4"/>
      <c r="AW1047" s="4"/>
      <c r="AX1047" s="4"/>
      <c r="AY1047" s="4"/>
      <c r="AZ1047" s="4"/>
      <c r="BA1047" s="4"/>
      <c r="BB1047" s="4"/>
      <c r="BC1047" s="4"/>
      <c r="BD1047" s="4"/>
      <c r="BE1047" s="4"/>
      <c r="BF1047" s="4"/>
      <c r="BG1047" s="4"/>
      <c r="BH1047" s="4"/>
      <c r="BI1047" s="4"/>
      <c r="BJ1047" s="4"/>
      <c r="BK1047" s="4"/>
      <c r="BL1047" s="4"/>
      <c r="BM1047" s="4"/>
      <c r="BN1047" s="4"/>
      <c r="BO1047" s="4"/>
      <c r="BP1047" s="39"/>
      <c r="BQ1047" s="39"/>
    </row>
    <row r="1048" spans="3:69" ht="15.75" customHeight="1">
      <c r="C1048" s="4"/>
      <c r="D1048" s="4"/>
      <c r="E1048" s="38"/>
      <c r="F1048" s="38"/>
      <c r="G1048" s="4"/>
      <c r="H1048" s="4"/>
      <c r="I1048" s="4"/>
      <c r="J1048" s="4"/>
      <c r="K1048" s="4"/>
      <c r="L1048" s="4"/>
      <c r="M1048" s="4"/>
      <c r="N1048" s="38"/>
      <c r="O1048" s="4"/>
      <c r="P1048" s="4"/>
      <c r="Q1048" s="4"/>
      <c r="R1048" s="4"/>
      <c r="S1048" s="4"/>
      <c r="T1048" s="38"/>
      <c r="U1048" s="4"/>
      <c r="V1048" s="4"/>
      <c r="W1048" s="4"/>
      <c r="X1048" s="4"/>
      <c r="Y1048" s="4"/>
      <c r="Z1048" s="4"/>
      <c r="AA1048" s="4"/>
      <c r="AB1048" s="4"/>
      <c r="AC1048" s="4"/>
      <c r="AD1048" s="4"/>
      <c r="AE1048" s="4"/>
      <c r="AF1048" s="4"/>
      <c r="AG1048" s="4"/>
      <c r="AH1048" s="4"/>
      <c r="AI1048" s="4"/>
      <c r="AJ1048" s="4"/>
      <c r="AK1048" s="4"/>
      <c r="AL1048" s="4"/>
      <c r="AM1048" s="38"/>
      <c r="AN1048" s="4"/>
      <c r="AO1048" s="4"/>
      <c r="AP1048" s="4"/>
      <c r="AQ1048" s="4"/>
      <c r="AR1048" s="4"/>
      <c r="AS1048" s="4"/>
      <c r="AT1048" s="4"/>
      <c r="AU1048" s="4"/>
      <c r="AV1048" s="4"/>
      <c r="AW1048" s="4"/>
      <c r="AX1048" s="4"/>
      <c r="AY1048" s="4"/>
      <c r="AZ1048" s="4"/>
      <c r="BA1048" s="4"/>
      <c r="BB1048" s="4"/>
      <c r="BC1048" s="4"/>
      <c r="BD1048" s="4"/>
      <c r="BE1048" s="4"/>
      <c r="BF1048" s="4"/>
      <c r="BG1048" s="4"/>
      <c r="BH1048" s="4"/>
      <c r="BI1048" s="4"/>
      <c r="BJ1048" s="4"/>
      <c r="BK1048" s="4"/>
      <c r="BL1048" s="4"/>
      <c r="BM1048" s="4"/>
      <c r="BN1048" s="4"/>
      <c r="BO1048" s="4"/>
      <c r="BP1048" s="39"/>
      <c r="BQ1048" s="39"/>
    </row>
    <row r="1049" spans="3:69" ht="15.75" customHeight="1">
      <c r="C1049" s="4"/>
      <c r="D1049" s="4"/>
      <c r="E1049" s="38"/>
      <c r="F1049" s="38"/>
      <c r="G1049" s="4"/>
      <c r="H1049" s="4"/>
      <c r="I1049" s="4"/>
      <c r="J1049" s="4"/>
      <c r="K1049" s="4"/>
      <c r="L1049" s="4"/>
      <c r="M1049" s="4"/>
      <c r="N1049" s="38"/>
      <c r="O1049" s="4"/>
      <c r="P1049" s="4"/>
      <c r="Q1049" s="4"/>
      <c r="R1049" s="4"/>
      <c r="S1049" s="4"/>
      <c r="T1049" s="38"/>
      <c r="U1049" s="4"/>
      <c r="V1049" s="4"/>
      <c r="W1049" s="4"/>
      <c r="X1049" s="4"/>
      <c r="Y1049" s="4"/>
      <c r="Z1049" s="4"/>
      <c r="AA1049" s="4"/>
      <c r="AB1049" s="4"/>
      <c r="AC1049" s="4"/>
      <c r="AD1049" s="4"/>
      <c r="AE1049" s="4"/>
      <c r="AF1049" s="4"/>
      <c r="AG1049" s="4"/>
      <c r="AH1049" s="4"/>
      <c r="AI1049" s="4"/>
      <c r="AJ1049" s="4"/>
      <c r="AK1049" s="4"/>
      <c r="AL1049" s="4"/>
      <c r="AM1049" s="38"/>
      <c r="AN1049" s="4"/>
      <c r="AO1049" s="4"/>
      <c r="AP1049" s="4"/>
      <c r="AQ1049" s="4"/>
      <c r="AR1049" s="4"/>
      <c r="AS1049" s="4"/>
      <c r="AT1049" s="4"/>
      <c r="AU1049" s="4"/>
      <c r="AV1049" s="4"/>
      <c r="AW1049" s="4"/>
      <c r="AX1049" s="4"/>
      <c r="AY1049" s="4"/>
      <c r="AZ1049" s="4"/>
      <c r="BA1049" s="4"/>
      <c r="BB1049" s="4"/>
      <c r="BC1049" s="4"/>
      <c r="BD1049" s="4"/>
      <c r="BE1049" s="4"/>
      <c r="BF1049" s="4"/>
      <c r="BG1049" s="4"/>
      <c r="BH1049" s="4"/>
      <c r="BI1049" s="4"/>
      <c r="BJ1049" s="4"/>
      <c r="BK1049" s="4"/>
      <c r="BL1049" s="4"/>
      <c r="BM1049" s="4"/>
      <c r="BN1049" s="4"/>
      <c r="BO1049" s="4"/>
      <c r="BP1049" s="39"/>
      <c r="BQ1049" s="39"/>
    </row>
    <row r="1050" spans="3:69" ht="15.75" customHeight="1">
      <c r="C1050" s="4"/>
      <c r="D1050" s="4"/>
      <c r="E1050" s="38"/>
      <c r="F1050" s="38"/>
      <c r="G1050" s="4"/>
      <c r="H1050" s="4"/>
      <c r="I1050" s="4"/>
      <c r="J1050" s="4"/>
      <c r="K1050" s="4"/>
      <c r="L1050" s="4"/>
      <c r="M1050" s="4"/>
      <c r="N1050" s="38"/>
      <c r="O1050" s="4"/>
      <c r="P1050" s="4"/>
      <c r="Q1050" s="4"/>
      <c r="R1050" s="4"/>
      <c r="S1050" s="4"/>
      <c r="T1050" s="38"/>
      <c r="U1050" s="4"/>
      <c r="V1050" s="4"/>
      <c r="W1050" s="4"/>
      <c r="X1050" s="4"/>
      <c r="Y1050" s="4"/>
      <c r="Z1050" s="4"/>
      <c r="AA1050" s="4"/>
      <c r="AB1050" s="4"/>
      <c r="AC1050" s="4"/>
      <c r="AD1050" s="4"/>
      <c r="AE1050" s="4"/>
      <c r="AF1050" s="4"/>
      <c r="AG1050" s="4"/>
      <c r="AH1050" s="4"/>
      <c r="AI1050" s="4"/>
      <c r="AJ1050" s="4"/>
      <c r="AK1050" s="4"/>
      <c r="AL1050" s="4"/>
      <c r="AM1050" s="38"/>
      <c r="AN1050" s="4"/>
      <c r="AO1050" s="4"/>
      <c r="AP1050" s="4"/>
      <c r="AQ1050" s="4"/>
      <c r="AR1050" s="4"/>
      <c r="AS1050" s="4"/>
      <c r="AT1050" s="4"/>
      <c r="AU1050" s="4"/>
      <c r="AV1050" s="4"/>
      <c r="AW1050" s="4"/>
      <c r="AX1050" s="4"/>
      <c r="AY1050" s="4"/>
      <c r="AZ1050" s="4"/>
      <c r="BA1050" s="4"/>
      <c r="BB1050" s="4"/>
      <c r="BC1050" s="4"/>
      <c r="BD1050" s="4"/>
      <c r="BE1050" s="4"/>
      <c r="BF1050" s="4"/>
      <c r="BG1050" s="4"/>
      <c r="BH1050" s="4"/>
      <c r="BI1050" s="4"/>
      <c r="BJ1050" s="4"/>
      <c r="BK1050" s="4"/>
      <c r="BL1050" s="4"/>
      <c r="BM1050" s="4"/>
      <c r="BN1050" s="4"/>
      <c r="BO1050" s="4"/>
      <c r="BP1050" s="39"/>
      <c r="BQ1050" s="39"/>
    </row>
    <row r="1051" spans="3:69" ht="15.75" customHeight="1">
      <c r="C1051" s="4"/>
      <c r="D1051" s="4"/>
      <c r="E1051" s="38"/>
      <c r="F1051" s="38"/>
      <c r="G1051" s="4"/>
      <c r="H1051" s="4"/>
      <c r="I1051" s="4"/>
      <c r="J1051" s="4"/>
      <c r="K1051" s="4"/>
      <c r="L1051" s="4"/>
      <c r="M1051" s="4"/>
      <c r="N1051" s="38"/>
      <c r="O1051" s="4"/>
      <c r="P1051" s="4"/>
      <c r="Q1051" s="4"/>
      <c r="R1051" s="4"/>
      <c r="S1051" s="4"/>
      <c r="T1051" s="38"/>
      <c r="U1051" s="4"/>
      <c r="V1051" s="4"/>
      <c r="W1051" s="4"/>
      <c r="X1051" s="4"/>
      <c r="Y1051" s="4"/>
      <c r="Z1051" s="4"/>
      <c r="AA1051" s="4"/>
      <c r="AB1051" s="4"/>
      <c r="AC1051" s="4"/>
      <c r="AD1051" s="4"/>
      <c r="AE1051" s="4"/>
      <c r="AF1051" s="4"/>
      <c r="AG1051" s="4"/>
      <c r="AH1051" s="4"/>
      <c r="AI1051" s="4"/>
      <c r="AJ1051" s="4"/>
      <c r="AK1051" s="4"/>
      <c r="AL1051" s="4"/>
      <c r="AM1051" s="38"/>
      <c r="AN1051" s="4"/>
      <c r="AO1051" s="4"/>
      <c r="AP1051" s="4"/>
      <c r="AQ1051" s="4"/>
      <c r="AR1051" s="4"/>
      <c r="AS1051" s="4"/>
      <c r="AT1051" s="4"/>
      <c r="AU1051" s="4"/>
      <c r="AV1051" s="4"/>
      <c r="AW1051" s="4"/>
      <c r="AX1051" s="4"/>
      <c r="AY1051" s="4"/>
      <c r="AZ1051" s="4"/>
      <c r="BA1051" s="4"/>
      <c r="BB1051" s="4"/>
      <c r="BC1051" s="4"/>
      <c r="BD1051" s="4"/>
      <c r="BE1051" s="4"/>
      <c r="BF1051" s="4"/>
      <c r="BG1051" s="4"/>
      <c r="BH1051" s="4"/>
      <c r="BI1051" s="4"/>
      <c r="BJ1051" s="4"/>
      <c r="BK1051" s="4"/>
      <c r="BL1051" s="4"/>
      <c r="BM1051" s="4"/>
      <c r="BN1051" s="4"/>
      <c r="BO1051" s="4"/>
      <c r="BP1051" s="39"/>
      <c r="BQ1051" s="39"/>
    </row>
    <row r="1052" spans="3:69" ht="15.75" customHeight="1">
      <c r="C1052" s="4"/>
      <c r="D1052" s="4"/>
      <c r="E1052" s="38"/>
      <c r="F1052" s="38"/>
      <c r="G1052" s="4"/>
      <c r="H1052" s="4"/>
      <c r="I1052" s="4"/>
      <c r="J1052" s="4"/>
      <c r="K1052" s="4"/>
      <c r="L1052" s="4"/>
      <c r="M1052" s="4"/>
      <c r="N1052" s="38"/>
      <c r="O1052" s="4"/>
      <c r="P1052" s="4"/>
      <c r="Q1052" s="4"/>
      <c r="R1052" s="4"/>
      <c r="S1052" s="4"/>
      <c r="T1052" s="38"/>
      <c r="U1052" s="4"/>
      <c r="V1052" s="4"/>
      <c r="W1052" s="4"/>
      <c r="X1052" s="4"/>
      <c r="Y1052" s="4"/>
      <c r="Z1052" s="4"/>
      <c r="AA1052" s="4"/>
      <c r="AB1052" s="4"/>
      <c r="AC1052" s="4"/>
      <c r="AD1052" s="4"/>
      <c r="AE1052" s="4"/>
      <c r="AF1052" s="4"/>
      <c r="AG1052" s="4"/>
      <c r="AH1052" s="4"/>
      <c r="AI1052" s="4"/>
      <c r="AJ1052" s="4"/>
      <c r="AK1052" s="4"/>
      <c r="AL1052" s="4"/>
      <c r="AM1052" s="38"/>
      <c r="AN1052" s="4"/>
      <c r="AO1052" s="4"/>
      <c r="AP1052" s="4"/>
      <c r="AQ1052" s="4"/>
      <c r="AR1052" s="4"/>
      <c r="AS1052" s="4"/>
      <c r="AT1052" s="4"/>
      <c r="AU1052" s="4"/>
      <c r="AV1052" s="4"/>
      <c r="AW1052" s="4"/>
      <c r="AX1052" s="4"/>
      <c r="AY1052" s="4"/>
      <c r="AZ1052" s="4"/>
      <c r="BA1052" s="4"/>
      <c r="BB1052" s="4"/>
      <c r="BC1052" s="4"/>
      <c r="BD1052" s="4"/>
      <c r="BE1052" s="4"/>
      <c r="BF1052" s="4"/>
      <c r="BG1052" s="4"/>
      <c r="BH1052" s="4"/>
      <c r="BI1052" s="4"/>
      <c r="BJ1052" s="4"/>
      <c r="BK1052" s="4"/>
      <c r="BL1052" s="4"/>
      <c r="BM1052" s="4"/>
      <c r="BN1052" s="4"/>
      <c r="BO1052" s="4"/>
      <c r="BP1052" s="39"/>
      <c r="BQ1052" s="39"/>
    </row>
    <row r="1053" spans="3:69" ht="15.75" customHeight="1">
      <c r="C1053" s="4"/>
      <c r="D1053" s="4"/>
      <c r="E1053" s="38"/>
      <c r="F1053" s="38"/>
      <c r="G1053" s="4"/>
      <c r="H1053" s="4"/>
      <c r="I1053" s="4"/>
      <c r="J1053" s="4"/>
      <c r="K1053" s="4"/>
      <c r="L1053" s="4"/>
      <c r="M1053" s="4"/>
      <c r="N1053" s="38"/>
      <c r="O1053" s="4"/>
      <c r="P1053" s="4"/>
      <c r="Q1053" s="4"/>
      <c r="R1053" s="4"/>
      <c r="S1053" s="4"/>
      <c r="T1053" s="38"/>
      <c r="U1053" s="4"/>
      <c r="V1053" s="4"/>
      <c r="W1053" s="4"/>
      <c r="X1053" s="4"/>
      <c r="Y1053" s="4"/>
      <c r="Z1053" s="4"/>
      <c r="AA1053" s="4"/>
      <c r="AB1053" s="4"/>
      <c r="AC1053" s="4"/>
      <c r="AD1053" s="4"/>
      <c r="AE1053" s="4"/>
      <c r="AF1053" s="4"/>
      <c r="AG1053" s="4"/>
      <c r="AH1053" s="4"/>
      <c r="AI1053" s="4"/>
      <c r="AJ1053" s="4"/>
      <c r="AK1053" s="4"/>
      <c r="AL1053" s="4"/>
      <c r="AM1053" s="38"/>
      <c r="AN1053" s="4"/>
      <c r="AO1053" s="4"/>
      <c r="AP1053" s="4"/>
      <c r="AQ1053" s="4"/>
      <c r="AR1053" s="4"/>
      <c r="AS1053" s="4"/>
      <c r="AT1053" s="4"/>
      <c r="AU1053" s="4"/>
      <c r="AV1053" s="4"/>
      <c r="AW1053" s="4"/>
      <c r="AX1053" s="4"/>
      <c r="AY1053" s="4"/>
      <c r="AZ1053" s="4"/>
      <c r="BA1053" s="4"/>
      <c r="BB1053" s="4"/>
      <c r="BC1053" s="4"/>
      <c r="BD1053" s="4"/>
      <c r="BE1053" s="4"/>
      <c r="BF1053" s="4"/>
      <c r="BG1053" s="4"/>
      <c r="BH1053" s="4"/>
      <c r="BI1053" s="4"/>
      <c r="BJ1053" s="4"/>
      <c r="BK1053" s="4"/>
      <c r="BL1053" s="4"/>
      <c r="BM1053" s="4"/>
      <c r="BN1053" s="4"/>
      <c r="BO1053" s="4"/>
      <c r="BP1053" s="39"/>
      <c r="BQ1053" s="39"/>
    </row>
    <row r="1054" spans="3:69" ht="15.75" customHeight="1">
      <c r="C1054" s="4"/>
      <c r="D1054" s="4"/>
      <c r="E1054" s="38"/>
      <c r="F1054" s="38"/>
      <c r="G1054" s="4"/>
      <c r="H1054" s="4"/>
      <c r="I1054" s="4"/>
      <c r="J1054" s="4"/>
      <c r="K1054" s="4"/>
      <c r="L1054" s="4"/>
      <c r="M1054" s="4"/>
      <c r="N1054" s="38"/>
      <c r="O1054" s="4"/>
      <c r="P1054" s="4"/>
      <c r="Q1054" s="4"/>
      <c r="R1054" s="4"/>
      <c r="S1054" s="4"/>
      <c r="T1054" s="38"/>
      <c r="U1054" s="4"/>
      <c r="V1054" s="4"/>
      <c r="W1054" s="4"/>
      <c r="X1054" s="4"/>
      <c r="Y1054" s="4"/>
      <c r="Z1054" s="4"/>
      <c r="AA1054" s="4"/>
      <c r="AB1054" s="4"/>
      <c r="AC1054" s="4"/>
      <c r="AD1054" s="4"/>
      <c r="AE1054" s="4"/>
      <c r="AF1054" s="4"/>
      <c r="AG1054" s="4"/>
      <c r="AH1054" s="4"/>
      <c r="AI1054" s="4"/>
      <c r="AJ1054" s="4"/>
      <c r="AK1054" s="4"/>
      <c r="AL1054" s="4"/>
      <c r="AM1054" s="38"/>
      <c r="AN1054" s="4"/>
      <c r="AO1054" s="4"/>
      <c r="AP1054" s="4"/>
      <c r="AQ1054" s="4"/>
      <c r="AR1054" s="4"/>
      <c r="AS1054" s="4"/>
      <c r="AT1054" s="4"/>
      <c r="AU1054" s="4"/>
      <c r="AV1054" s="4"/>
      <c r="AW1054" s="4"/>
      <c r="AX1054" s="4"/>
      <c r="AY1054" s="4"/>
      <c r="AZ1054" s="4"/>
      <c r="BA1054" s="4"/>
      <c r="BB1054" s="4"/>
      <c r="BC1054" s="4"/>
      <c r="BD1054" s="4"/>
      <c r="BE1054" s="4"/>
      <c r="BF1054" s="4"/>
      <c r="BG1054" s="4"/>
      <c r="BH1054" s="4"/>
      <c r="BI1054" s="4"/>
      <c r="BJ1054" s="4"/>
      <c r="BK1054" s="4"/>
      <c r="BL1054" s="4"/>
      <c r="BM1054" s="4"/>
      <c r="BN1054" s="4"/>
      <c r="BO1054" s="4"/>
      <c r="BP1054" s="39"/>
      <c r="BQ1054" s="39"/>
    </row>
    <row r="1055" spans="3:69" ht="15.75" customHeight="1">
      <c r="C1055" s="4"/>
      <c r="D1055" s="4"/>
      <c r="E1055" s="38"/>
      <c r="F1055" s="38"/>
      <c r="G1055" s="4"/>
      <c r="H1055" s="4"/>
      <c r="I1055" s="4"/>
      <c r="J1055" s="4"/>
      <c r="K1055" s="4"/>
      <c r="L1055" s="4"/>
      <c r="M1055" s="4"/>
      <c r="N1055" s="38"/>
      <c r="O1055" s="4"/>
      <c r="P1055" s="4"/>
      <c r="Q1055" s="4"/>
      <c r="R1055" s="4"/>
      <c r="S1055" s="4"/>
      <c r="T1055" s="38"/>
      <c r="U1055" s="4"/>
      <c r="V1055" s="4"/>
      <c r="W1055" s="4"/>
      <c r="X1055" s="4"/>
      <c r="Y1055" s="4"/>
      <c r="Z1055" s="4"/>
      <c r="AA1055" s="4"/>
      <c r="AB1055" s="4"/>
      <c r="AC1055" s="4"/>
      <c r="AD1055" s="4"/>
      <c r="AE1055" s="4"/>
      <c r="AF1055" s="4"/>
      <c r="AG1055" s="4"/>
      <c r="AH1055" s="4"/>
      <c r="AI1055" s="4"/>
      <c r="AJ1055" s="4"/>
      <c r="AK1055" s="4"/>
      <c r="AL1055" s="4"/>
      <c r="AM1055" s="38"/>
      <c r="AN1055" s="4"/>
      <c r="AO1055" s="4"/>
      <c r="AP1055" s="4"/>
      <c r="AQ1055" s="4"/>
      <c r="AR1055" s="4"/>
      <c r="AS1055" s="4"/>
      <c r="AT1055" s="4"/>
      <c r="AU1055" s="4"/>
      <c r="AV1055" s="4"/>
      <c r="AW1055" s="4"/>
      <c r="AX1055" s="4"/>
      <c r="AY1055" s="4"/>
      <c r="AZ1055" s="4"/>
      <c r="BA1055" s="4"/>
      <c r="BB1055" s="4"/>
      <c r="BC1055" s="4"/>
      <c r="BD1055" s="4"/>
      <c r="BE1055" s="4"/>
      <c r="BF1055" s="4"/>
      <c r="BG1055" s="4"/>
      <c r="BH1055" s="4"/>
      <c r="BI1055" s="4"/>
      <c r="BJ1055" s="4"/>
      <c r="BK1055" s="4"/>
      <c r="BL1055" s="4"/>
      <c r="BM1055" s="4"/>
      <c r="BN1055" s="4"/>
      <c r="BO1055" s="4"/>
      <c r="BP1055" s="39"/>
      <c r="BQ1055" s="39"/>
    </row>
    <row r="1056" spans="3:69" ht="15.75" customHeight="1">
      <c r="C1056" s="4"/>
      <c r="D1056" s="4"/>
      <c r="E1056" s="38"/>
      <c r="F1056" s="38"/>
      <c r="G1056" s="4"/>
      <c r="H1056" s="4"/>
      <c r="I1056" s="4"/>
      <c r="J1056" s="4"/>
      <c r="K1056" s="4"/>
      <c r="L1056" s="4"/>
      <c r="M1056" s="4"/>
      <c r="N1056" s="38"/>
      <c r="O1056" s="4"/>
      <c r="P1056" s="4"/>
      <c r="Q1056" s="4"/>
      <c r="R1056" s="4"/>
      <c r="S1056" s="4"/>
      <c r="T1056" s="38"/>
      <c r="U1056" s="4"/>
      <c r="V1056" s="4"/>
      <c r="W1056" s="4"/>
      <c r="X1056" s="4"/>
      <c r="Y1056" s="4"/>
      <c r="Z1056" s="4"/>
      <c r="AA1056" s="4"/>
      <c r="AB1056" s="4"/>
      <c r="AC1056" s="4"/>
      <c r="AD1056" s="4"/>
      <c r="AE1056" s="4"/>
      <c r="AF1056" s="4"/>
      <c r="AG1056" s="4"/>
      <c r="AH1056" s="4"/>
      <c r="AI1056" s="4"/>
      <c r="AJ1056" s="4"/>
      <c r="AK1056" s="4"/>
      <c r="AL1056" s="4"/>
      <c r="AM1056" s="38"/>
      <c r="AN1056" s="4"/>
      <c r="AO1056" s="4"/>
      <c r="AP1056" s="4"/>
      <c r="AQ1056" s="4"/>
      <c r="AR1056" s="4"/>
      <c r="AS1056" s="4"/>
      <c r="AT1056" s="4"/>
      <c r="AU1056" s="4"/>
      <c r="AV1056" s="4"/>
      <c r="AW1056" s="4"/>
      <c r="AX1056" s="4"/>
      <c r="AY1056" s="4"/>
      <c r="AZ1056" s="4"/>
      <c r="BA1056" s="4"/>
      <c r="BB1056" s="4"/>
      <c r="BC1056" s="4"/>
      <c r="BD1056" s="4"/>
      <c r="BE1056" s="4"/>
      <c r="BF1056" s="4"/>
      <c r="BG1056" s="4"/>
      <c r="BH1056" s="4"/>
      <c r="BI1056" s="4"/>
      <c r="BJ1056" s="4"/>
      <c r="BK1056" s="4"/>
      <c r="BL1056" s="4"/>
      <c r="BM1056" s="4"/>
      <c r="BN1056" s="4"/>
      <c r="BO1056" s="4"/>
      <c r="BP1056" s="39"/>
      <c r="BQ1056" s="39"/>
    </row>
    <row r="1057" spans="3:69" ht="15.75" customHeight="1">
      <c r="C1057" s="4"/>
      <c r="D1057" s="4"/>
      <c r="E1057" s="38"/>
      <c r="F1057" s="38"/>
      <c r="G1057" s="4"/>
      <c r="H1057" s="4"/>
      <c r="I1057" s="4"/>
      <c r="J1057" s="4"/>
      <c r="K1057" s="4"/>
      <c r="L1057" s="4"/>
      <c r="M1057" s="4"/>
      <c r="N1057" s="38"/>
      <c r="O1057" s="4"/>
      <c r="P1057" s="4"/>
      <c r="Q1057" s="4"/>
      <c r="R1057" s="4"/>
      <c r="S1057" s="4"/>
      <c r="T1057" s="38"/>
      <c r="U1057" s="4"/>
      <c r="V1057" s="4"/>
      <c r="W1057" s="4"/>
      <c r="X1057" s="4"/>
      <c r="Y1057" s="4"/>
      <c r="Z1057" s="4"/>
      <c r="AA1057" s="4"/>
      <c r="AB1057" s="4"/>
      <c r="AC1057" s="4"/>
      <c r="AD1057" s="4"/>
      <c r="AE1057" s="4"/>
      <c r="AF1057" s="4"/>
      <c r="AG1057" s="4"/>
      <c r="AH1057" s="4"/>
      <c r="AI1057" s="4"/>
      <c r="AJ1057" s="4"/>
      <c r="AK1057" s="4"/>
      <c r="AL1057" s="4"/>
      <c r="AM1057" s="38"/>
      <c r="AN1057" s="4"/>
      <c r="AO1057" s="4"/>
      <c r="AP1057" s="4"/>
      <c r="AQ1057" s="4"/>
      <c r="AR1057" s="4"/>
      <c r="AS1057" s="4"/>
      <c r="AT1057" s="4"/>
      <c r="AU1057" s="4"/>
      <c r="AV1057" s="4"/>
      <c r="AW1057" s="4"/>
      <c r="AX1057" s="4"/>
      <c r="AY1057" s="4"/>
      <c r="AZ1057" s="4"/>
      <c r="BA1057" s="4"/>
      <c r="BB1057" s="4"/>
      <c r="BC1057" s="4"/>
      <c r="BD1057" s="4"/>
      <c r="BE1057" s="4"/>
      <c r="BF1057" s="4"/>
      <c r="BG1057" s="4"/>
      <c r="BH1057" s="4"/>
      <c r="BI1057" s="4"/>
      <c r="BJ1057" s="4"/>
      <c r="BK1057" s="4"/>
      <c r="BL1057" s="4"/>
      <c r="BM1057" s="4"/>
      <c r="BN1057" s="4"/>
      <c r="BO1057" s="4"/>
      <c r="BP1057" s="39"/>
      <c r="BQ1057" s="39"/>
    </row>
    <row r="1058" spans="3:69" ht="15.75" customHeight="1">
      <c r="C1058" s="4"/>
      <c r="D1058" s="4"/>
      <c r="E1058" s="38"/>
      <c r="F1058" s="38"/>
      <c r="G1058" s="4"/>
      <c r="H1058" s="4"/>
      <c r="I1058" s="4"/>
      <c r="J1058" s="4"/>
      <c r="K1058" s="4"/>
      <c r="L1058" s="4"/>
      <c r="M1058" s="4"/>
      <c r="N1058" s="38"/>
      <c r="O1058" s="4"/>
      <c r="P1058" s="4"/>
      <c r="Q1058" s="4"/>
      <c r="R1058" s="4"/>
      <c r="S1058" s="4"/>
      <c r="T1058" s="38"/>
      <c r="U1058" s="4"/>
      <c r="V1058" s="4"/>
      <c r="W1058" s="4"/>
      <c r="X1058" s="4"/>
      <c r="Y1058" s="4"/>
      <c r="Z1058" s="4"/>
      <c r="AA1058" s="4"/>
      <c r="AB1058" s="4"/>
      <c r="AC1058" s="4"/>
      <c r="AD1058" s="4"/>
      <c r="AE1058" s="4"/>
      <c r="AF1058" s="4"/>
      <c r="AG1058" s="4"/>
      <c r="AH1058" s="4"/>
      <c r="AI1058" s="4"/>
      <c r="AJ1058" s="4"/>
      <c r="AK1058" s="4"/>
      <c r="AL1058" s="4"/>
      <c r="AM1058" s="38"/>
      <c r="AN1058" s="4"/>
      <c r="AO1058" s="4"/>
      <c r="AP1058" s="4"/>
      <c r="AQ1058" s="4"/>
      <c r="AR1058" s="4"/>
      <c r="AS1058" s="4"/>
      <c r="AT1058" s="4"/>
      <c r="AU1058" s="4"/>
      <c r="AV1058" s="4"/>
      <c r="AW1058" s="4"/>
      <c r="AX1058" s="4"/>
      <c r="AY1058" s="4"/>
      <c r="AZ1058" s="4"/>
      <c r="BA1058" s="4"/>
      <c r="BB1058" s="4"/>
      <c r="BC1058" s="4"/>
      <c r="BD1058" s="4"/>
      <c r="BE1058" s="4"/>
      <c r="BF1058" s="4"/>
      <c r="BG1058" s="4"/>
      <c r="BH1058" s="4"/>
      <c r="BI1058" s="4"/>
      <c r="BJ1058" s="4"/>
      <c r="BK1058" s="4"/>
      <c r="BL1058" s="4"/>
      <c r="BM1058" s="4"/>
      <c r="BN1058" s="4"/>
      <c r="BO1058" s="4"/>
      <c r="BP1058" s="39"/>
      <c r="BQ1058" s="39"/>
    </row>
    <row r="1059" spans="3:69" ht="15.75" customHeight="1">
      <c r="C1059" s="4"/>
      <c r="D1059" s="4"/>
      <c r="E1059" s="38"/>
      <c r="F1059" s="38"/>
      <c r="G1059" s="4"/>
      <c r="H1059" s="4"/>
      <c r="I1059" s="4"/>
      <c r="J1059" s="4"/>
      <c r="K1059" s="4"/>
      <c r="L1059" s="4"/>
      <c r="M1059" s="4"/>
      <c r="N1059" s="38"/>
      <c r="O1059" s="4"/>
      <c r="P1059" s="4"/>
      <c r="Q1059" s="4"/>
      <c r="R1059" s="4"/>
      <c r="S1059" s="4"/>
      <c r="T1059" s="38"/>
      <c r="U1059" s="4"/>
      <c r="V1059" s="4"/>
      <c r="W1059" s="4"/>
      <c r="X1059" s="4"/>
      <c r="Y1059" s="4"/>
      <c r="Z1059" s="4"/>
      <c r="AA1059" s="4"/>
      <c r="AB1059" s="4"/>
      <c r="AC1059" s="4"/>
      <c r="AD1059" s="4"/>
      <c r="AE1059" s="4"/>
      <c r="AF1059" s="4"/>
      <c r="AG1059" s="4"/>
      <c r="AH1059" s="4"/>
      <c r="AI1059" s="4"/>
      <c r="AJ1059" s="4"/>
      <c r="AK1059" s="4"/>
      <c r="AL1059" s="4"/>
      <c r="AM1059" s="38"/>
      <c r="AN1059" s="4"/>
      <c r="AO1059" s="4"/>
      <c r="AP1059" s="4"/>
      <c r="AQ1059" s="4"/>
      <c r="AR1059" s="4"/>
      <c r="AS1059" s="4"/>
      <c r="AT1059" s="4"/>
      <c r="AU1059" s="4"/>
      <c r="AV1059" s="4"/>
      <c r="AW1059" s="4"/>
      <c r="AX1059" s="4"/>
      <c r="AY1059" s="4"/>
      <c r="AZ1059" s="4"/>
      <c r="BA1059" s="4"/>
      <c r="BB1059" s="4"/>
      <c r="BC1059" s="4"/>
      <c r="BD1059" s="4"/>
      <c r="BE1059" s="4"/>
      <c r="BF1059" s="4"/>
      <c r="BG1059" s="4"/>
      <c r="BH1059" s="4"/>
      <c r="BI1059" s="4"/>
      <c r="BJ1059" s="4"/>
      <c r="BK1059" s="4"/>
      <c r="BL1059" s="4"/>
      <c r="BM1059" s="4"/>
      <c r="BN1059" s="4"/>
      <c r="BO1059" s="4"/>
      <c r="BP1059" s="39"/>
      <c r="BQ1059" s="39"/>
    </row>
    <row r="1060" spans="3:69" ht="15.75" customHeight="1">
      <c r="C1060" s="4"/>
      <c r="D1060" s="4"/>
      <c r="E1060" s="38"/>
      <c r="F1060" s="38"/>
      <c r="G1060" s="4"/>
      <c r="H1060" s="4"/>
      <c r="I1060" s="4"/>
      <c r="J1060" s="4"/>
      <c r="K1060" s="4"/>
      <c r="L1060" s="4"/>
      <c r="M1060" s="4"/>
      <c r="N1060" s="38"/>
      <c r="O1060" s="4"/>
      <c r="P1060" s="4"/>
      <c r="Q1060" s="4"/>
      <c r="R1060" s="4"/>
      <c r="S1060" s="4"/>
      <c r="T1060" s="38"/>
      <c r="U1060" s="4"/>
      <c r="V1060" s="4"/>
      <c r="W1060" s="4"/>
      <c r="X1060" s="4"/>
      <c r="Y1060" s="4"/>
      <c r="Z1060" s="4"/>
      <c r="AA1060" s="4"/>
      <c r="AB1060" s="4"/>
      <c r="AC1060" s="4"/>
      <c r="AD1060" s="4"/>
      <c r="AE1060" s="4"/>
      <c r="AF1060" s="4"/>
      <c r="AG1060" s="4"/>
      <c r="AH1060" s="4"/>
      <c r="AI1060" s="4"/>
      <c r="AJ1060" s="4"/>
      <c r="AK1060" s="4"/>
      <c r="AL1060" s="4"/>
      <c r="AM1060" s="38"/>
      <c r="AN1060" s="4"/>
      <c r="AO1060" s="4"/>
      <c r="AP1060" s="4"/>
      <c r="AQ1060" s="4"/>
      <c r="AR1060" s="4"/>
      <c r="AS1060" s="4"/>
      <c r="AT1060" s="4"/>
      <c r="AU1060" s="4"/>
      <c r="AV1060" s="4"/>
      <c r="AW1060" s="4"/>
      <c r="AX1060" s="4"/>
      <c r="AY1060" s="4"/>
      <c r="AZ1060" s="4"/>
      <c r="BA1060" s="4"/>
      <c r="BB1060" s="4"/>
      <c r="BC1060" s="4"/>
      <c r="BD1060" s="4"/>
      <c r="BE1060" s="4"/>
      <c r="BF1060" s="4"/>
      <c r="BG1060" s="4"/>
      <c r="BH1060" s="4"/>
      <c r="BI1060" s="4"/>
      <c r="BJ1060" s="4"/>
      <c r="BK1060" s="4"/>
      <c r="BL1060" s="4"/>
      <c r="BM1060" s="4"/>
      <c r="BN1060" s="4"/>
      <c r="BO1060" s="4"/>
      <c r="BP1060" s="39"/>
      <c r="BQ1060" s="39"/>
    </row>
    <row r="1061" spans="3:69" ht="15.75" customHeight="1">
      <c r="C1061" s="4"/>
      <c r="D1061" s="4"/>
      <c r="E1061" s="38"/>
      <c r="F1061" s="38"/>
      <c r="G1061" s="4"/>
      <c r="H1061" s="4"/>
      <c r="I1061" s="4"/>
      <c r="J1061" s="4"/>
      <c r="K1061" s="4"/>
      <c r="L1061" s="4"/>
      <c r="M1061" s="4"/>
      <c r="N1061" s="38"/>
      <c r="O1061" s="4"/>
      <c r="P1061" s="4"/>
      <c r="Q1061" s="4"/>
      <c r="R1061" s="4"/>
      <c r="S1061" s="4"/>
      <c r="T1061" s="38"/>
      <c r="U1061" s="4"/>
      <c r="V1061" s="4"/>
      <c r="W1061" s="4"/>
      <c r="X1061" s="4"/>
      <c r="Y1061" s="4"/>
      <c r="Z1061" s="4"/>
      <c r="AA1061" s="4"/>
      <c r="AB1061" s="4"/>
      <c r="AC1061" s="4"/>
      <c r="AD1061" s="4"/>
      <c r="AE1061" s="4"/>
      <c r="AF1061" s="4"/>
      <c r="AG1061" s="4"/>
      <c r="AH1061" s="4"/>
      <c r="AI1061" s="4"/>
      <c r="AJ1061" s="4"/>
      <c r="AK1061" s="4"/>
      <c r="AL1061" s="4"/>
      <c r="AM1061" s="38"/>
      <c r="AN1061" s="4"/>
      <c r="AO1061" s="4"/>
      <c r="AP1061" s="4"/>
      <c r="AQ1061" s="4"/>
      <c r="AR1061" s="4"/>
      <c r="AS1061" s="4"/>
      <c r="AT1061" s="4"/>
      <c r="AU1061" s="4"/>
      <c r="AV1061" s="4"/>
      <c r="AW1061" s="4"/>
      <c r="AX1061" s="4"/>
      <c r="AY1061" s="4"/>
      <c r="AZ1061" s="4"/>
      <c r="BA1061" s="4"/>
      <c r="BB1061" s="4"/>
      <c r="BC1061" s="4"/>
      <c r="BD1061" s="4"/>
      <c r="BE1061" s="4"/>
      <c r="BF1061" s="4"/>
      <c r="BG1061" s="4"/>
      <c r="BH1061" s="4"/>
      <c r="BI1061" s="4"/>
      <c r="BJ1061" s="4"/>
      <c r="BK1061" s="4"/>
      <c r="BL1061" s="4"/>
      <c r="BM1061" s="4"/>
      <c r="BN1061" s="4"/>
      <c r="BO1061" s="4"/>
      <c r="BP1061" s="39"/>
      <c r="BQ1061" s="39"/>
    </row>
    <row r="1062" spans="3:69" ht="15.75" customHeight="1">
      <c r="C1062" s="4"/>
      <c r="D1062" s="4"/>
      <c r="E1062" s="38"/>
      <c r="F1062" s="38"/>
      <c r="G1062" s="4"/>
      <c r="H1062" s="4"/>
      <c r="I1062" s="4"/>
      <c r="J1062" s="4"/>
      <c r="K1062" s="4"/>
      <c r="L1062" s="4"/>
      <c r="M1062" s="4"/>
      <c r="N1062" s="38"/>
      <c r="O1062" s="4"/>
      <c r="P1062" s="4"/>
      <c r="Q1062" s="4"/>
      <c r="R1062" s="4"/>
      <c r="S1062" s="4"/>
      <c r="T1062" s="38"/>
      <c r="U1062" s="4"/>
      <c r="V1062" s="4"/>
      <c r="W1062" s="4"/>
      <c r="X1062" s="4"/>
      <c r="Y1062" s="4"/>
      <c r="Z1062" s="4"/>
      <c r="AA1062" s="4"/>
      <c r="AB1062" s="4"/>
      <c r="AC1062" s="4"/>
      <c r="AD1062" s="4"/>
      <c r="AE1062" s="4"/>
      <c r="AF1062" s="4"/>
      <c r="AG1062" s="4"/>
      <c r="AH1062" s="4"/>
      <c r="AI1062" s="4"/>
      <c r="AJ1062" s="4"/>
      <c r="AK1062" s="4"/>
      <c r="AL1062" s="4"/>
      <c r="AM1062" s="38"/>
      <c r="AN1062" s="4"/>
      <c r="AO1062" s="4"/>
      <c r="AP1062" s="4"/>
      <c r="AQ1062" s="4"/>
      <c r="AR1062" s="4"/>
      <c r="AS1062" s="4"/>
      <c r="AT1062" s="4"/>
      <c r="AU1062" s="4"/>
      <c r="AV1062" s="4"/>
      <c r="AW1062" s="4"/>
      <c r="AX1062" s="4"/>
      <c r="AY1062" s="4"/>
      <c r="AZ1062" s="4"/>
      <c r="BA1062" s="4"/>
      <c r="BB1062" s="4"/>
      <c r="BC1062" s="4"/>
      <c r="BD1062" s="4"/>
      <c r="BE1062" s="4"/>
      <c r="BF1062" s="4"/>
      <c r="BG1062" s="4"/>
      <c r="BH1062" s="4"/>
      <c r="BI1062" s="4"/>
      <c r="BJ1062" s="4"/>
      <c r="BK1062" s="4"/>
      <c r="BL1062" s="4"/>
      <c r="BM1062" s="4"/>
      <c r="BN1062" s="4"/>
      <c r="BO1062" s="4"/>
      <c r="BP1062" s="39"/>
      <c r="BQ1062" s="39"/>
    </row>
    <row r="1063" spans="3:69" ht="15.75" customHeight="1">
      <c r="C1063" s="4"/>
      <c r="D1063" s="4"/>
      <c r="E1063" s="38"/>
      <c r="F1063" s="38"/>
      <c r="G1063" s="4"/>
      <c r="H1063" s="4"/>
      <c r="I1063" s="4"/>
      <c r="J1063" s="4"/>
      <c r="K1063" s="4"/>
      <c r="L1063" s="4"/>
      <c r="M1063" s="4"/>
      <c r="N1063" s="38"/>
      <c r="O1063" s="4"/>
      <c r="P1063" s="4"/>
      <c r="Q1063" s="4"/>
      <c r="R1063" s="4"/>
      <c r="S1063" s="4"/>
      <c r="T1063" s="38"/>
      <c r="U1063" s="4"/>
      <c r="V1063" s="4"/>
      <c r="W1063" s="4"/>
      <c r="X1063" s="4"/>
      <c r="Y1063" s="4"/>
      <c r="Z1063" s="4"/>
      <c r="AA1063" s="4"/>
      <c r="AB1063" s="4"/>
      <c r="AC1063" s="4"/>
      <c r="AD1063" s="4"/>
      <c r="AE1063" s="4"/>
      <c r="AF1063" s="4"/>
      <c r="AG1063" s="4"/>
      <c r="AH1063" s="4"/>
      <c r="AI1063" s="4"/>
      <c r="AJ1063" s="4"/>
      <c r="AK1063" s="4"/>
      <c r="AL1063" s="4"/>
      <c r="AM1063" s="38"/>
      <c r="AN1063" s="4"/>
      <c r="AO1063" s="4"/>
      <c r="AP1063" s="4"/>
      <c r="AQ1063" s="4"/>
      <c r="AR1063" s="4"/>
      <c r="AS1063" s="4"/>
      <c r="AT1063" s="4"/>
      <c r="AU1063" s="4"/>
      <c r="AV1063" s="4"/>
      <c r="AW1063" s="4"/>
      <c r="AX1063" s="4"/>
      <c r="AY1063" s="4"/>
      <c r="AZ1063" s="4"/>
      <c r="BA1063" s="4"/>
      <c r="BB1063" s="4"/>
      <c r="BC1063" s="4"/>
      <c r="BD1063" s="4"/>
      <c r="BE1063" s="4"/>
      <c r="BF1063" s="4"/>
      <c r="BG1063" s="4"/>
      <c r="BH1063" s="4"/>
      <c r="BI1063" s="4"/>
      <c r="BJ1063" s="4"/>
      <c r="BK1063" s="4"/>
      <c r="BL1063" s="4"/>
      <c r="BM1063" s="4"/>
      <c r="BN1063" s="4"/>
      <c r="BO1063" s="4"/>
      <c r="BP1063" s="39"/>
      <c r="BQ1063" s="39"/>
    </row>
    <row r="1064" spans="3:69" ht="15.75" customHeight="1">
      <c r="C1064" s="4"/>
      <c r="D1064" s="4"/>
      <c r="E1064" s="38"/>
      <c r="F1064" s="38"/>
      <c r="G1064" s="4"/>
      <c r="H1064" s="4"/>
      <c r="I1064" s="4"/>
      <c r="J1064" s="4"/>
      <c r="K1064" s="4"/>
      <c r="L1064" s="4"/>
      <c r="M1064" s="4"/>
      <c r="N1064" s="38"/>
      <c r="O1064" s="4"/>
      <c r="P1064" s="4"/>
      <c r="Q1064" s="4"/>
      <c r="R1064" s="4"/>
      <c r="S1064" s="4"/>
      <c r="T1064" s="38"/>
      <c r="U1064" s="4"/>
      <c r="V1064" s="4"/>
      <c r="W1064" s="4"/>
      <c r="X1064" s="4"/>
      <c r="Y1064" s="4"/>
      <c r="Z1064" s="4"/>
      <c r="AA1064" s="4"/>
      <c r="AB1064" s="4"/>
      <c r="AC1064" s="4"/>
      <c r="AD1064" s="4"/>
      <c r="AE1064" s="4"/>
      <c r="AF1064" s="4"/>
      <c r="AG1064" s="4"/>
      <c r="AH1064" s="4"/>
      <c r="AI1064" s="4"/>
      <c r="AJ1064" s="4"/>
      <c r="AK1064" s="4"/>
      <c r="AL1064" s="4"/>
      <c r="AM1064" s="38"/>
      <c r="AN1064" s="4"/>
      <c r="AO1064" s="4"/>
      <c r="AP1064" s="4"/>
      <c r="AQ1064" s="4"/>
      <c r="AR1064" s="4"/>
      <c r="AS1064" s="4"/>
      <c r="AT1064" s="4"/>
      <c r="AU1064" s="4"/>
      <c r="AV1064" s="4"/>
      <c r="AW1064" s="4"/>
      <c r="AX1064" s="4"/>
      <c r="AY1064" s="4"/>
      <c r="AZ1064" s="4"/>
      <c r="BA1064" s="4"/>
      <c r="BB1064" s="4"/>
      <c r="BC1064" s="4"/>
      <c r="BD1064" s="4"/>
      <c r="BE1064" s="4"/>
      <c r="BF1064" s="4"/>
      <c r="BG1064" s="4"/>
      <c r="BH1064" s="4"/>
      <c r="BI1064" s="4"/>
      <c r="BJ1064" s="4"/>
      <c r="BK1064" s="4"/>
      <c r="BL1064" s="4"/>
      <c r="BM1064" s="4"/>
      <c r="BN1064" s="4"/>
      <c r="BO1064" s="4"/>
      <c r="BP1064" s="39"/>
      <c r="BQ1064" s="39"/>
    </row>
    <row r="1065" spans="3:69" ht="15.75" customHeight="1">
      <c r="C1065" s="4"/>
      <c r="D1065" s="4"/>
      <c r="E1065" s="38"/>
      <c r="F1065" s="38"/>
      <c r="G1065" s="4"/>
      <c r="H1065" s="4"/>
      <c r="I1065" s="4"/>
      <c r="J1065" s="4"/>
      <c r="K1065" s="4"/>
      <c r="L1065" s="4"/>
      <c r="M1065" s="4"/>
      <c r="N1065" s="38"/>
      <c r="O1065" s="4"/>
      <c r="P1065" s="4"/>
      <c r="Q1065" s="4"/>
      <c r="R1065" s="4"/>
      <c r="S1065" s="4"/>
      <c r="T1065" s="38"/>
      <c r="U1065" s="4"/>
      <c r="V1065" s="4"/>
      <c r="W1065" s="4"/>
      <c r="X1065" s="4"/>
      <c r="Y1065" s="4"/>
      <c r="Z1065" s="4"/>
      <c r="AA1065" s="4"/>
      <c r="AB1065" s="4"/>
      <c r="AC1065" s="4"/>
      <c r="AD1065" s="4"/>
      <c r="AE1065" s="4"/>
      <c r="AF1065" s="4"/>
      <c r="AG1065" s="4"/>
      <c r="AH1065" s="4"/>
      <c r="AI1065" s="4"/>
      <c r="AJ1065" s="4"/>
      <c r="AK1065" s="4"/>
      <c r="AL1065" s="4"/>
      <c r="AM1065" s="38"/>
      <c r="AN1065" s="4"/>
      <c r="AO1065" s="4"/>
      <c r="AP1065" s="4"/>
      <c r="AQ1065" s="4"/>
      <c r="AR1065" s="4"/>
      <c r="AS1065" s="4"/>
      <c r="AT1065" s="4"/>
      <c r="AU1065" s="4"/>
      <c r="AV1065" s="4"/>
      <c r="AW1065" s="4"/>
      <c r="AX1065" s="4"/>
      <c r="AY1065" s="4"/>
      <c r="AZ1065" s="4"/>
      <c r="BA1065" s="4"/>
      <c r="BB1065" s="4"/>
      <c r="BC1065" s="4"/>
      <c r="BD1065" s="4"/>
      <c r="BE1065" s="4"/>
      <c r="BF1065" s="4"/>
      <c r="BG1065" s="4"/>
      <c r="BH1065" s="4"/>
      <c r="BI1065" s="4"/>
      <c r="BJ1065" s="4"/>
      <c r="BK1065" s="4"/>
      <c r="BL1065" s="4"/>
      <c r="BM1065" s="4"/>
      <c r="BN1065" s="4"/>
      <c r="BO1065" s="4"/>
      <c r="BP1065" s="39"/>
      <c r="BQ1065" s="39"/>
    </row>
    <row r="1066" spans="3:69" ht="15.75" customHeight="1">
      <c r="C1066" s="4"/>
      <c r="D1066" s="4"/>
      <c r="E1066" s="38"/>
      <c r="F1066" s="38"/>
      <c r="G1066" s="4"/>
      <c r="H1066" s="4"/>
      <c r="I1066" s="4"/>
      <c r="J1066" s="4"/>
      <c r="K1066" s="4"/>
      <c r="L1066" s="4"/>
      <c r="M1066" s="4"/>
      <c r="N1066" s="38"/>
      <c r="O1066" s="4"/>
      <c r="P1066" s="4"/>
      <c r="Q1066" s="4"/>
      <c r="R1066" s="4"/>
      <c r="S1066" s="4"/>
      <c r="T1066" s="38"/>
      <c r="U1066" s="4"/>
      <c r="V1066" s="4"/>
      <c r="W1066" s="4"/>
      <c r="X1066" s="4"/>
      <c r="Y1066" s="4"/>
      <c r="Z1066" s="4"/>
      <c r="AA1066" s="4"/>
      <c r="AB1066" s="4"/>
      <c r="AC1066" s="4"/>
      <c r="AD1066" s="4"/>
      <c r="AE1066" s="4"/>
      <c r="AF1066" s="4"/>
      <c r="AG1066" s="4"/>
      <c r="AH1066" s="4"/>
      <c r="AI1066" s="4"/>
      <c r="AJ1066" s="4"/>
      <c r="AK1066" s="4"/>
      <c r="AL1066" s="4"/>
      <c r="AM1066" s="38"/>
      <c r="AN1066" s="4"/>
      <c r="AO1066" s="4"/>
      <c r="AP1066" s="4"/>
      <c r="AQ1066" s="4"/>
      <c r="AR1066" s="4"/>
      <c r="AS1066" s="4"/>
      <c r="AT1066" s="4"/>
      <c r="AU1066" s="4"/>
      <c r="AV1066" s="4"/>
      <c r="AW1066" s="4"/>
      <c r="AX1066" s="4"/>
      <c r="AY1066" s="4"/>
      <c r="AZ1066" s="4"/>
      <c r="BA1066" s="4"/>
      <c r="BB1066" s="4"/>
      <c r="BC1066" s="4"/>
      <c r="BD1066" s="4"/>
      <c r="BE1066" s="4"/>
      <c r="BF1066" s="4"/>
      <c r="BG1066" s="4"/>
      <c r="BH1066" s="4"/>
      <c r="BI1066" s="4"/>
      <c r="BJ1066" s="4"/>
      <c r="BK1066" s="4"/>
      <c r="BL1066" s="4"/>
      <c r="BM1066" s="4"/>
      <c r="BN1066" s="4"/>
      <c r="BO1066" s="4"/>
      <c r="BP1066" s="39"/>
      <c r="BQ1066" s="39"/>
    </row>
    <row r="1067" spans="3:69" ht="15.75" customHeight="1">
      <c r="C1067" s="4"/>
      <c r="D1067" s="4"/>
      <c r="E1067" s="38"/>
      <c r="F1067" s="38"/>
      <c r="G1067" s="4"/>
      <c r="H1067" s="4"/>
      <c r="I1067" s="4"/>
      <c r="J1067" s="4"/>
      <c r="K1067" s="4"/>
      <c r="L1067" s="4"/>
      <c r="M1067" s="4"/>
      <c r="N1067" s="38"/>
      <c r="O1067" s="4"/>
      <c r="P1067" s="4"/>
      <c r="Q1067" s="4"/>
      <c r="R1067" s="4"/>
      <c r="S1067" s="4"/>
      <c r="T1067" s="38"/>
      <c r="U1067" s="4"/>
      <c r="V1067" s="4"/>
      <c r="W1067" s="4"/>
      <c r="X1067" s="4"/>
      <c r="Y1067" s="4"/>
      <c r="Z1067" s="4"/>
      <c r="AA1067" s="4"/>
      <c r="AB1067" s="4"/>
      <c r="AC1067" s="4"/>
      <c r="AD1067" s="4"/>
      <c r="AE1067" s="4"/>
      <c r="AF1067" s="4"/>
      <c r="AG1067" s="4"/>
      <c r="AH1067" s="4"/>
      <c r="AI1067" s="4"/>
      <c r="AJ1067" s="4"/>
      <c r="AK1067" s="4"/>
      <c r="AL1067" s="4"/>
      <c r="AM1067" s="38"/>
      <c r="AN1067" s="4"/>
      <c r="AO1067" s="4"/>
      <c r="AP1067" s="4"/>
      <c r="AQ1067" s="4"/>
      <c r="AR1067" s="4"/>
      <c r="AS1067" s="4"/>
      <c r="AT1067" s="4"/>
      <c r="AU1067" s="4"/>
      <c r="AV1067" s="4"/>
      <c r="AW1067" s="4"/>
      <c r="AX1067" s="4"/>
      <c r="AY1067" s="4"/>
      <c r="AZ1067" s="4"/>
      <c r="BA1067" s="4"/>
      <c r="BB1067" s="4"/>
      <c r="BC1067" s="4"/>
      <c r="BD1067" s="4"/>
      <c r="BE1067" s="4"/>
      <c r="BF1067" s="4"/>
      <c r="BG1067" s="4"/>
      <c r="BH1067" s="4"/>
      <c r="BI1067" s="4"/>
      <c r="BJ1067" s="4"/>
      <c r="BK1067" s="4"/>
      <c r="BL1067" s="4"/>
      <c r="BM1067" s="4"/>
      <c r="BN1067" s="4"/>
      <c r="BO1067" s="4"/>
      <c r="BP1067" s="39"/>
      <c r="BQ1067" s="39"/>
    </row>
    <row r="1068" spans="3:69" ht="15.75" customHeight="1">
      <c r="C1068" s="4"/>
      <c r="D1068" s="4"/>
      <c r="E1068" s="38"/>
      <c r="F1068" s="38"/>
      <c r="G1068" s="4"/>
      <c r="H1068" s="4"/>
      <c r="I1068" s="4"/>
      <c r="J1068" s="4"/>
      <c r="K1068" s="4"/>
      <c r="L1068" s="4"/>
      <c r="M1068" s="4"/>
      <c r="N1068" s="38"/>
      <c r="O1068" s="4"/>
      <c r="P1068" s="4"/>
      <c r="Q1068" s="4"/>
      <c r="R1068" s="4"/>
      <c r="S1068" s="4"/>
      <c r="T1068" s="38"/>
      <c r="U1068" s="4"/>
      <c r="V1068" s="4"/>
      <c r="W1068" s="4"/>
      <c r="X1068" s="4"/>
      <c r="Y1068" s="4"/>
      <c r="Z1068" s="4"/>
      <c r="AA1068" s="4"/>
      <c r="AB1068" s="4"/>
      <c r="AC1068" s="4"/>
      <c r="AD1068" s="4"/>
      <c r="AE1068" s="4"/>
      <c r="AF1068" s="4"/>
      <c r="AG1068" s="4"/>
      <c r="AH1068" s="4"/>
      <c r="AI1068" s="4"/>
      <c r="AJ1068" s="4"/>
      <c r="AK1068" s="4"/>
      <c r="AL1068" s="4"/>
      <c r="AM1068" s="38"/>
      <c r="AN1068" s="4"/>
      <c r="AO1068" s="4"/>
      <c r="AP1068" s="4"/>
      <c r="AQ1068" s="4"/>
      <c r="AR1068" s="4"/>
      <c r="AS1068" s="4"/>
      <c r="AT1068" s="4"/>
      <c r="AU1068" s="4"/>
      <c r="AV1068" s="4"/>
      <c r="AW1068" s="4"/>
      <c r="AX1068" s="4"/>
      <c r="AY1068" s="4"/>
      <c r="AZ1068" s="4"/>
      <c r="BA1068" s="4"/>
      <c r="BB1068" s="4"/>
      <c r="BC1068" s="4"/>
      <c r="BD1068" s="4"/>
      <c r="BE1068" s="4"/>
      <c r="BF1068" s="4"/>
      <c r="BG1068" s="4"/>
      <c r="BH1068" s="4"/>
      <c r="BI1068" s="4"/>
      <c r="BJ1068" s="4"/>
      <c r="BK1068" s="4"/>
      <c r="BL1068" s="4"/>
      <c r="BM1068" s="4"/>
      <c r="BN1068" s="4"/>
      <c r="BO1068" s="4"/>
      <c r="BP1068" s="39"/>
      <c r="BQ1068" s="39"/>
    </row>
    <row r="1069" spans="3:69" ht="15.75" customHeight="1">
      <c r="C1069" s="4"/>
      <c r="D1069" s="4"/>
      <c r="E1069" s="38"/>
      <c r="F1069" s="38"/>
      <c r="G1069" s="4"/>
      <c r="H1069" s="4"/>
      <c r="I1069" s="4"/>
      <c r="J1069" s="4"/>
      <c r="K1069" s="4"/>
      <c r="L1069" s="4"/>
      <c r="M1069" s="4"/>
      <c r="N1069" s="38"/>
      <c r="O1069" s="4"/>
      <c r="P1069" s="4"/>
      <c r="Q1069" s="4"/>
      <c r="R1069" s="4"/>
      <c r="S1069" s="4"/>
      <c r="T1069" s="38"/>
      <c r="U1069" s="4"/>
      <c r="V1069" s="4"/>
      <c r="W1069" s="4"/>
      <c r="X1069" s="4"/>
      <c r="Y1069" s="4"/>
      <c r="Z1069" s="4"/>
      <c r="AA1069" s="4"/>
      <c r="AB1069" s="4"/>
      <c r="AC1069" s="4"/>
      <c r="AD1069" s="4"/>
      <c r="AE1069" s="4"/>
      <c r="AF1069" s="4"/>
      <c r="AG1069" s="4"/>
      <c r="AH1069" s="4"/>
      <c r="AI1069" s="4"/>
      <c r="AJ1069" s="4"/>
      <c r="AK1069" s="4"/>
      <c r="AL1069" s="4"/>
      <c r="AM1069" s="38"/>
      <c r="AN1069" s="4"/>
      <c r="AO1069" s="4"/>
      <c r="AP1069" s="4"/>
      <c r="AQ1069" s="4"/>
      <c r="AR1069" s="4"/>
      <c r="AS1069" s="4"/>
      <c r="AT1069" s="4"/>
      <c r="AU1069" s="4"/>
      <c r="AV1069" s="4"/>
      <c r="AW1069" s="4"/>
      <c r="AX1069" s="4"/>
      <c r="AY1069" s="4"/>
      <c r="AZ1069" s="4"/>
      <c r="BA1069" s="4"/>
      <c r="BB1069" s="4"/>
      <c r="BC1069" s="4"/>
      <c r="BD1069" s="4"/>
      <c r="BE1069" s="4"/>
      <c r="BF1069" s="4"/>
      <c r="BG1069" s="4"/>
      <c r="BH1069" s="4"/>
      <c r="BI1069" s="4"/>
      <c r="BJ1069" s="4"/>
      <c r="BK1069" s="4"/>
      <c r="BL1069" s="4"/>
      <c r="BM1069" s="4"/>
      <c r="BN1069" s="4"/>
      <c r="BO1069" s="4"/>
      <c r="BP1069" s="39"/>
      <c r="BQ1069" s="39"/>
    </row>
    <row r="1070" spans="3:69" ht="15.75" customHeight="1">
      <c r="C1070" s="4"/>
      <c r="D1070" s="4"/>
      <c r="E1070" s="38"/>
      <c r="F1070" s="38"/>
      <c r="G1070" s="4"/>
      <c r="H1070" s="4"/>
      <c r="I1070" s="4"/>
      <c r="J1070" s="4"/>
      <c r="K1070" s="4"/>
      <c r="L1070" s="4"/>
      <c r="M1070" s="4"/>
      <c r="N1070" s="38"/>
      <c r="O1070" s="4"/>
      <c r="P1070" s="4"/>
      <c r="Q1070" s="4"/>
      <c r="R1070" s="4"/>
      <c r="S1070" s="4"/>
      <c r="T1070" s="38"/>
      <c r="U1070" s="4"/>
      <c r="V1070" s="4"/>
      <c r="W1070" s="4"/>
      <c r="X1070" s="4"/>
      <c r="Y1070" s="4"/>
      <c r="Z1070" s="4"/>
      <c r="AA1070" s="4"/>
      <c r="AB1070" s="4"/>
      <c r="AC1070" s="4"/>
      <c r="AD1070" s="4"/>
      <c r="AE1070" s="4"/>
      <c r="AF1070" s="4"/>
      <c r="AG1070" s="4"/>
      <c r="AH1070" s="4"/>
      <c r="AI1070" s="4"/>
      <c r="AJ1070" s="4"/>
      <c r="AK1070" s="4"/>
      <c r="AL1070" s="4"/>
      <c r="AM1070" s="38"/>
      <c r="AN1070" s="4"/>
      <c r="AO1070" s="4"/>
      <c r="AP1070" s="4"/>
      <c r="AQ1070" s="4"/>
      <c r="AR1070" s="4"/>
      <c r="AS1070" s="4"/>
      <c r="AT1070" s="4"/>
      <c r="AU1070" s="4"/>
      <c r="AV1070" s="4"/>
      <c r="AW1070" s="4"/>
      <c r="AX1070" s="4"/>
      <c r="AY1070" s="4"/>
      <c r="AZ1070" s="4"/>
      <c r="BA1070" s="4"/>
      <c r="BB1070" s="4"/>
      <c r="BC1070" s="4"/>
      <c r="BD1070" s="4"/>
      <c r="BE1070" s="4"/>
      <c r="BF1070" s="4"/>
      <c r="BG1070" s="4"/>
      <c r="BH1070" s="4"/>
      <c r="BI1070" s="4"/>
      <c r="BJ1070" s="4"/>
      <c r="BK1070" s="4"/>
      <c r="BL1070" s="4"/>
      <c r="BM1070" s="4"/>
      <c r="BN1070" s="4"/>
      <c r="BO1070" s="4"/>
      <c r="BP1070" s="39"/>
      <c r="BQ1070" s="39"/>
    </row>
    <row r="1071" spans="3:69" ht="15.75" customHeight="1">
      <c r="C1071" s="4"/>
      <c r="D1071" s="4"/>
      <c r="E1071" s="38"/>
      <c r="F1071" s="38"/>
      <c r="G1071" s="4"/>
      <c r="H1071" s="4"/>
      <c r="I1071" s="4"/>
      <c r="J1071" s="4"/>
      <c r="K1071" s="4"/>
      <c r="L1071" s="4"/>
      <c r="M1071" s="4"/>
      <c r="N1071" s="38"/>
      <c r="O1071" s="4"/>
      <c r="P1071" s="4"/>
      <c r="Q1071" s="4"/>
      <c r="R1071" s="4"/>
      <c r="S1071" s="4"/>
      <c r="T1071" s="38"/>
      <c r="U1071" s="4"/>
      <c r="V1071" s="4"/>
      <c r="W1071" s="4"/>
      <c r="X1071" s="4"/>
      <c r="Y1071" s="4"/>
      <c r="Z1071" s="4"/>
      <c r="AA1071" s="4"/>
      <c r="AB1071" s="4"/>
      <c r="AC1071" s="4"/>
      <c r="AD1071" s="4"/>
      <c r="AE1071" s="4"/>
      <c r="AF1071" s="4"/>
      <c r="AG1071" s="4"/>
      <c r="AH1071" s="4"/>
      <c r="AI1071" s="4"/>
      <c r="AJ1071" s="4"/>
      <c r="AK1071" s="4"/>
      <c r="AL1071" s="4"/>
      <c r="AM1071" s="38"/>
      <c r="AN1071" s="4"/>
      <c r="AO1071" s="4"/>
      <c r="AP1071" s="4"/>
      <c r="AQ1071" s="4"/>
      <c r="AR1071" s="4"/>
      <c r="AS1071" s="4"/>
      <c r="AT1071" s="4"/>
      <c r="AU1071" s="4"/>
      <c r="AV1071" s="4"/>
      <c r="AW1071" s="4"/>
      <c r="AX1071" s="4"/>
      <c r="AY1071" s="4"/>
      <c r="AZ1071" s="4"/>
      <c r="BA1071" s="4"/>
      <c r="BB1071" s="4"/>
      <c r="BC1071" s="4"/>
      <c r="BD1071" s="4"/>
      <c r="BE1071" s="4"/>
      <c r="BF1071" s="4"/>
      <c r="BG1071" s="4"/>
      <c r="BH1071" s="4"/>
      <c r="BI1071" s="4"/>
      <c r="BJ1071" s="4"/>
      <c r="BK1071" s="4"/>
      <c r="BL1071" s="4"/>
      <c r="BM1071" s="4"/>
      <c r="BN1071" s="4"/>
      <c r="BO1071" s="4"/>
      <c r="BP1071" s="39"/>
      <c r="BQ1071" s="39"/>
    </row>
    <row r="1072" spans="3:69" ht="15.75" customHeight="1">
      <c r="C1072" s="4"/>
      <c r="D1072" s="4"/>
      <c r="E1072" s="38"/>
      <c r="F1072" s="38"/>
      <c r="G1072" s="4"/>
      <c r="H1072" s="4"/>
      <c r="I1072" s="4"/>
      <c r="J1072" s="4"/>
      <c r="K1072" s="4"/>
      <c r="L1072" s="4"/>
      <c r="M1072" s="4"/>
      <c r="N1072" s="38"/>
      <c r="O1072" s="4"/>
      <c r="P1072" s="4"/>
      <c r="Q1072" s="4"/>
      <c r="R1072" s="4"/>
      <c r="S1072" s="4"/>
      <c r="T1072" s="38"/>
      <c r="U1072" s="4"/>
      <c r="V1072" s="4"/>
      <c r="W1072" s="4"/>
      <c r="X1072" s="4"/>
      <c r="Y1072" s="4"/>
      <c r="Z1072" s="4"/>
      <c r="AA1072" s="4"/>
      <c r="AB1072" s="4"/>
      <c r="AC1072" s="4"/>
      <c r="AD1072" s="4"/>
      <c r="AE1072" s="4"/>
      <c r="AF1072" s="4"/>
      <c r="AG1072" s="4"/>
      <c r="AH1072" s="4"/>
      <c r="AI1072" s="4"/>
      <c r="AJ1072" s="4"/>
      <c r="AK1072" s="4"/>
      <c r="AL1072" s="4"/>
      <c r="AM1072" s="38"/>
      <c r="AN1072" s="4"/>
      <c r="AO1072" s="4"/>
      <c r="AP1072" s="4"/>
      <c r="AQ1072" s="4"/>
      <c r="AR1072" s="4"/>
      <c r="AS1072" s="4"/>
      <c r="AT1072" s="4"/>
      <c r="AU1072" s="4"/>
      <c r="AV1072" s="4"/>
      <c r="AW1072" s="4"/>
      <c r="AX1072" s="4"/>
      <c r="AY1072" s="4"/>
      <c r="AZ1072" s="4"/>
      <c r="BA1072" s="4"/>
      <c r="BB1072" s="4"/>
      <c r="BC1072" s="4"/>
      <c r="BD1072" s="4"/>
      <c r="BE1072" s="4"/>
      <c r="BF1072" s="4"/>
      <c r="BG1072" s="4"/>
      <c r="BH1072" s="4"/>
      <c r="BI1072" s="4"/>
      <c r="BJ1072" s="4"/>
      <c r="BK1072" s="4"/>
      <c r="BL1072" s="4"/>
      <c r="BM1072" s="4"/>
      <c r="BN1072" s="4"/>
      <c r="BO1072" s="4"/>
      <c r="BP1072" s="39"/>
      <c r="BQ1072" s="39"/>
    </row>
    <row r="1073" spans="3:69" ht="15.75" customHeight="1">
      <c r="C1073" s="4"/>
      <c r="D1073" s="4"/>
      <c r="E1073" s="38"/>
      <c r="F1073" s="38"/>
      <c r="G1073" s="4"/>
      <c r="H1073" s="4"/>
      <c r="I1073" s="4"/>
      <c r="J1073" s="4"/>
      <c r="K1073" s="4"/>
      <c r="L1073" s="4"/>
      <c r="M1073" s="4"/>
      <c r="N1073" s="38"/>
      <c r="O1073" s="4"/>
      <c r="P1073" s="4"/>
      <c r="Q1073" s="4"/>
      <c r="R1073" s="4"/>
      <c r="S1073" s="4"/>
      <c r="T1073" s="38"/>
      <c r="U1073" s="4"/>
      <c r="V1073" s="4"/>
      <c r="W1073" s="4"/>
      <c r="X1073" s="4"/>
      <c r="Y1073" s="4"/>
      <c r="Z1073" s="4"/>
      <c r="AA1073" s="4"/>
      <c r="AB1073" s="4"/>
      <c r="AC1073" s="4"/>
      <c r="AD1073" s="4"/>
      <c r="AE1073" s="4"/>
      <c r="AF1073" s="4"/>
      <c r="AG1073" s="4"/>
      <c r="AH1073" s="4"/>
      <c r="AI1073" s="4"/>
      <c r="AJ1073" s="4"/>
      <c r="AK1073" s="4"/>
      <c r="AL1073" s="4"/>
      <c r="AM1073" s="38"/>
      <c r="AN1073" s="4"/>
      <c r="AO1073" s="4"/>
      <c r="AP1073" s="4"/>
      <c r="AQ1073" s="4"/>
      <c r="AR1073" s="4"/>
      <c r="AS1073" s="4"/>
      <c r="AT1073" s="4"/>
      <c r="AU1073" s="4"/>
      <c r="AV1073" s="4"/>
      <c r="AW1073" s="4"/>
      <c r="AX1073" s="4"/>
      <c r="AY1073" s="4"/>
      <c r="AZ1073" s="4"/>
      <c r="BA1073" s="4"/>
      <c r="BB1073" s="4"/>
      <c r="BC1073" s="4"/>
      <c r="BD1073" s="4"/>
      <c r="BE1073" s="4"/>
      <c r="BF1073" s="4"/>
      <c r="BG1073" s="4"/>
      <c r="BH1073" s="4"/>
      <c r="BI1073" s="4"/>
      <c r="BJ1073" s="4"/>
      <c r="BK1073" s="4"/>
      <c r="BL1073" s="4"/>
      <c r="BM1073" s="4"/>
      <c r="BN1073" s="4"/>
      <c r="BO1073" s="4"/>
      <c r="BP1073" s="39"/>
      <c r="BQ1073" s="39"/>
    </row>
    <row r="1074" spans="3:69" ht="15.75" customHeight="1">
      <c r="C1074" s="4"/>
      <c r="D1074" s="4"/>
      <c r="E1074" s="38"/>
      <c r="F1074" s="38"/>
      <c r="G1074" s="4"/>
      <c r="H1074" s="4"/>
      <c r="I1074" s="4"/>
      <c r="J1074" s="4"/>
      <c r="K1074" s="4"/>
      <c r="L1074" s="4"/>
      <c r="M1074" s="4"/>
      <c r="N1074" s="38"/>
      <c r="O1074" s="4"/>
      <c r="P1074" s="4"/>
      <c r="Q1074" s="4"/>
      <c r="R1074" s="4"/>
      <c r="S1074" s="4"/>
      <c r="T1074" s="38"/>
      <c r="U1074" s="4"/>
      <c r="V1074" s="4"/>
      <c r="W1074" s="4"/>
      <c r="X1074" s="4"/>
      <c r="Y1074" s="4"/>
      <c r="Z1074" s="4"/>
      <c r="AA1074" s="4"/>
      <c r="AB1074" s="4"/>
      <c r="AC1074" s="4"/>
      <c r="AD1074" s="4"/>
      <c r="AE1074" s="4"/>
      <c r="AF1074" s="4"/>
      <c r="AG1074" s="4"/>
      <c r="AH1074" s="4"/>
      <c r="AI1074" s="4"/>
      <c r="AJ1074" s="4"/>
      <c r="AK1074" s="4"/>
      <c r="AL1074" s="4"/>
      <c r="AM1074" s="38"/>
      <c r="AN1074" s="4"/>
      <c r="AO1074" s="4"/>
      <c r="AP1074" s="4"/>
      <c r="AQ1074" s="4"/>
      <c r="AR1074" s="4"/>
      <c r="AS1074" s="4"/>
      <c r="AT1074" s="4"/>
      <c r="AU1074" s="4"/>
      <c r="AV1074" s="4"/>
      <c r="AW1074" s="4"/>
      <c r="AX1074" s="4"/>
      <c r="AY1074" s="4"/>
      <c r="AZ1074" s="4"/>
      <c r="BA1074" s="4"/>
      <c r="BB1074" s="4"/>
      <c r="BC1074" s="4"/>
      <c r="BD1074" s="4"/>
      <c r="BE1074" s="4"/>
      <c r="BF1074" s="4"/>
      <c r="BG1074" s="4"/>
      <c r="BH1074" s="4"/>
      <c r="BI1074" s="4"/>
      <c r="BJ1074" s="4"/>
      <c r="BK1074" s="4"/>
      <c r="BL1074" s="4"/>
      <c r="BM1074" s="4"/>
      <c r="BN1074" s="4"/>
      <c r="BO1074" s="4"/>
      <c r="BP1074" s="39"/>
      <c r="BQ1074" s="39"/>
    </row>
    <row r="1075" spans="3:69" ht="15.75" customHeight="1">
      <c r="C1075" s="4"/>
      <c r="D1075" s="4"/>
      <c r="E1075" s="38"/>
      <c r="F1075" s="38"/>
      <c r="G1075" s="4"/>
      <c r="H1075" s="4"/>
      <c r="I1075" s="4"/>
      <c r="J1075" s="4"/>
      <c r="K1075" s="4"/>
      <c r="L1075" s="4"/>
      <c r="M1075" s="4"/>
      <c r="N1075" s="38"/>
      <c r="O1075" s="4"/>
      <c r="P1075" s="4"/>
      <c r="Q1075" s="4"/>
      <c r="R1075" s="4"/>
      <c r="S1075" s="4"/>
      <c r="T1075" s="38"/>
      <c r="U1075" s="4"/>
      <c r="V1075" s="4"/>
      <c r="W1075" s="4"/>
      <c r="X1075" s="4"/>
      <c r="Y1075" s="4"/>
      <c r="Z1075" s="4"/>
      <c r="AA1075" s="4"/>
      <c r="AB1075" s="4"/>
      <c r="AC1075" s="4"/>
      <c r="AD1075" s="4"/>
      <c r="AE1075" s="4"/>
      <c r="AF1075" s="4"/>
      <c r="AG1075" s="4"/>
      <c r="AH1075" s="4"/>
      <c r="AI1075" s="4"/>
      <c r="AJ1075" s="4"/>
      <c r="AK1075" s="4"/>
      <c r="AL1075" s="4"/>
      <c r="AM1075" s="38"/>
      <c r="AN1075" s="4"/>
      <c r="AO1075" s="4"/>
      <c r="AP1075" s="4"/>
      <c r="AQ1075" s="4"/>
      <c r="AR1075" s="4"/>
      <c r="AS1075" s="4"/>
      <c r="AT1075" s="4"/>
      <c r="AU1075" s="4"/>
      <c r="AV1075" s="4"/>
      <c r="AW1075" s="4"/>
      <c r="AX1075" s="4"/>
      <c r="AY1075" s="4"/>
      <c r="AZ1075" s="4"/>
      <c r="BA1075" s="4"/>
      <c r="BB1075" s="4"/>
      <c r="BC1075" s="4"/>
      <c r="BD1075" s="4"/>
      <c r="BE1075" s="4"/>
      <c r="BF1075" s="4"/>
      <c r="BG1075" s="4"/>
      <c r="BH1075" s="4"/>
      <c r="BI1075" s="4"/>
      <c r="BJ1075" s="4"/>
      <c r="BK1075" s="4"/>
      <c r="BL1075" s="4"/>
      <c r="BM1075" s="4"/>
      <c r="BN1075" s="4"/>
      <c r="BO1075" s="4"/>
      <c r="BP1075" s="39"/>
      <c r="BQ1075" s="39"/>
    </row>
    <row r="1076" spans="3:69" ht="15.75" customHeight="1">
      <c r="C1076" s="4"/>
      <c r="D1076" s="4"/>
      <c r="E1076" s="38"/>
      <c r="F1076" s="38"/>
      <c r="G1076" s="4"/>
      <c r="H1076" s="4"/>
      <c r="I1076" s="4"/>
      <c r="J1076" s="4"/>
      <c r="K1076" s="4"/>
      <c r="L1076" s="4"/>
      <c r="M1076" s="4"/>
      <c r="N1076" s="38"/>
      <c r="O1076" s="4"/>
      <c r="P1076" s="4"/>
      <c r="Q1076" s="4"/>
      <c r="R1076" s="4"/>
      <c r="S1076" s="4"/>
      <c r="T1076" s="38"/>
      <c r="U1076" s="4"/>
      <c r="V1076" s="4"/>
      <c r="W1076" s="4"/>
      <c r="X1076" s="4"/>
      <c r="Y1076" s="4"/>
      <c r="Z1076" s="4"/>
      <c r="AA1076" s="4"/>
      <c r="AB1076" s="4"/>
      <c r="AC1076" s="4"/>
      <c r="AD1076" s="4"/>
      <c r="AE1076" s="4"/>
      <c r="AF1076" s="4"/>
      <c r="AG1076" s="4"/>
      <c r="AH1076" s="4"/>
      <c r="AI1076" s="4"/>
      <c r="AJ1076" s="4"/>
      <c r="AK1076" s="4"/>
      <c r="AL1076" s="4"/>
      <c r="AM1076" s="38"/>
      <c r="AN1076" s="4"/>
      <c r="AO1076" s="4"/>
      <c r="AP1076" s="4"/>
      <c r="AQ1076" s="4"/>
      <c r="AR1076" s="4"/>
      <c r="AS1076" s="4"/>
      <c r="AT1076" s="4"/>
      <c r="AU1076" s="4"/>
      <c r="AV1076" s="4"/>
      <c r="AW1076" s="4"/>
      <c r="AX1076" s="4"/>
      <c r="AY1076" s="4"/>
      <c r="AZ1076" s="4"/>
      <c r="BA1076" s="4"/>
      <c r="BB1076" s="4"/>
      <c r="BC1076" s="4"/>
      <c r="BD1076" s="4"/>
      <c r="BE1076" s="4"/>
      <c r="BF1076" s="4"/>
      <c r="BG1076" s="4"/>
      <c r="BH1076" s="4"/>
      <c r="BI1076" s="4"/>
      <c r="BJ1076" s="4"/>
      <c r="BK1076" s="4"/>
      <c r="BL1076" s="4"/>
      <c r="BM1076" s="4"/>
      <c r="BN1076" s="4"/>
      <c r="BO1076" s="4"/>
      <c r="BP1076" s="39"/>
      <c r="BQ1076" s="39"/>
    </row>
    <row r="1077" spans="3:69" ht="15.75" customHeight="1">
      <c r="C1077" s="4"/>
      <c r="D1077" s="4"/>
      <c r="E1077" s="38"/>
      <c r="F1077" s="38"/>
      <c r="G1077" s="4"/>
      <c r="H1077" s="4"/>
      <c r="I1077" s="4"/>
      <c r="J1077" s="4"/>
      <c r="K1077" s="4"/>
      <c r="L1077" s="4"/>
      <c r="M1077" s="4"/>
      <c r="N1077" s="38"/>
      <c r="O1077" s="4"/>
      <c r="P1077" s="4"/>
      <c r="Q1077" s="4"/>
      <c r="R1077" s="4"/>
      <c r="S1077" s="4"/>
      <c r="T1077" s="38"/>
      <c r="U1077" s="4"/>
      <c r="V1077" s="4"/>
      <c r="W1077" s="4"/>
      <c r="X1077" s="4"/>
      <c r="Y1077" s="4"/>
      <c r="Z1077" s="4"/>
      <c r="AA1077" s="4"/>
      <c r="AB1077" s="4"/>
      <c r="AC1077" s="4"/>
      <c r="AD1077" s="4"/>
      <c r="AE1077" s="4"/>
      <c r="AF1077" s="4"/>
      <c r="AG1077" s="4"/>
      <c r="AH1077" s="4"/>
      <c r="AI1077" s="4"/>
      <c r="AJ1077" s="4"/>
      <c r="AK1077" s="4"/>
      <c r="AL1077" s="4"/>
      <c r="AM1077" s="38"/>
      <c r="AN1077" s="4"/>
      <c r="AO1077" s="4"/>
      <c r="AP1077" s="4"/>
      <c r="AQ1077" s="4"/>
      <c r="AR1077" s="4"/>
      <c r="AS1077" s="4"/>
      <c r="AT1077" s="4"/>
      <c r="AU1077" s="4"/>
      <c r="AV1077" s="4"/>
      <c r="AW1077" s="4"/>
      <c r="AX1077" s="4"/>
      <c r="AY1077" s="4"/>
      <c r="AZ1077" s="4"/>
      <c r="BA1077" s="4"/>
      <c r="BB1077" s="4"/>
      <c r="BC1077" s="4"/>
      <c r="BD1077" s="4"/>
      <c r="BE1077" s="4"/>
      <c r="BF1077" s="4"/>
      <c r="BG1077" s="4"/>
      <c r="BH1077" s="4"/>
      <c r="BI1077" s="4"/>
      <c r="BJ1077" s="4"/>
      <c r="BK1077" s="4"/>
      <c r="BL1077" s="4"/>
      <c r="BM1077" s="4"/>
      <c r="BN1077" s="4"/>
      <c r="BO1077" s="4"/>
      <c r="BP1077" s="39"/>
      <c r="BQ1077" s="39"/>
    </row>
    <row r="1078" spans="3:69" ht="15.75" customHeight="1">
      <c r="C1078" s="4"/>
      <c r="D1078" s="4"/>
      <c r="E1078" s="38"/>
      <c r="F1078" s="38"/>
      <c r="G1078" s="4"/>
      <c r="H1078" s="4"/>
      <c r="I1078" s="4"/>
      <c r="J1078" s="4"/>
      <c r="K1078" s="4"/>
      <c r="L1078" s="4"/>
      <c r="M1078" s="4"/>
      <c r="N1078" s="38"/>
      <c r="O1078" s="4"/>
      <c r="P1078" s="4"/>
      <c r="Q1078" s="4"/>
      <c r="R1078" s="4"/>
      <c r="S1078" s="4"/>
      <c r="T1078" s="38"/>
      <c r="U1078" s="4"/>
      <c r="V1078" s="4"/>
      <c r="W1078" s="4"/>
      <c r="X1078" s="4"/>
      <c r="Y1078" s="4"/>
      <c r="Z1078" s="4"/>
      <c r="AA1078" s="4"/>
      <c r="AB1078" s="4"/>
      <c r="AC1078" s="4"/>
      <c r="AD1078" s="4"/>
      <c r="AE1078" s="4"/>
      <c r="AF1078" s="4"/>
      <c r="AG1078" s="4"/>
      <c r="AH1078" s="4"/>
      <c r="AI1078" s="4"/>
      <c r="AJ1078" s="4"/>
      <c r="AK1078" s="4"/>
      <c r="AL1078" s="4"/>
      <c r="AM1078" s="38"/>
      <c r="AN1078" s="4"/>
      <c r="AO1078" s="4"/>
      <c r="AP1078" s="4"/>
      <c r="AQ1078" s="4"/>
      <c r="AR1078" s="4"/>
      <c r="AS1078" s="4"/>
      <c r="AT1078" s="4"/>
      <c r="AU1078" s="4"/>
      <c r="AV1078" s="4"/>
      <c r="AW1078" s="4"/>
      <c r="AX1078" s="4"/>
      <c r="AY1078" s="4"/>
      <c r="AZ1078" s="4"/>
      <c r="BA1078" s="4"/>
      <c r="BB1078" s="4"/>
      <c r="BC1078" s="4"/>
      <c r="BD1078" s="4"/>
      <c r="BE1078" s="4"/>
      <c r="BF1078" s="4"/>
      <c r="BG1078" s="4"/>
      <c r="BH1078" s="4"/>
      <c r="BI1078" s="4"/>
      <c r="BJ1078" s="4"/>
      <c r="BK1078" s="4"/>
      <c r="BL1078" s="4"/>
      <c r="BM1078" s="4"/>
      <c r="BN1078" s="4"/>
      <c r="BO1078" s="4"/>
      <c r="BP1078" s="39"/>
      <c r="BQ1078" s="39"/>
    </row>
    <row r="1079" spans="3:69" ht="15.75" customHeight="1">
      <c r="C1079" s="4"/>
      <c r="D1079" s="4"/>
      <c r="E1079" s="38"/>
      <c r="F1079" s="38"/>
      <c r="G1079" s="4"/>
      <c r="H1079" s="4"/>
      <c r="I1079" s="4"/>
      <c r="J1079" s="4"/>
      <c r="K1079" s="4"/>
      <c r="L1079" s="4"/>
      <c r="M1079" s="4"/>
      <c r="N1079" s="38"/>
      <c r="O1079" s="4"/>
      <c r="P1079" s="4"/>
      <c r="Q1079" s="4"/>
      <c r="R1079" s="4"/>
      <c r="S1079" s="4"/>
      <c r="T1079" s="38"/>
      <c r="U1079" s="4"/>
      <c r="V1079" s="4"/>
      <c r="W1079" s="4"/>
      <c r="X1079" s="4"/>
      <c r="Y1079" s="4"/>
      <c r="Z1079" s="4"/>
      <c r="AA1079" s="4"/>
      <c r="AB1079" s="4"/>
      <c r="AC1079" s="4"/>
      <c r="AD1079" s="4"/>
      <c r="AE1079" s="4"/>
      <c r="AF1079" s="4"/>
      <c r="AG1079" s="4"/>
      <c r="AH1079" s="4"/>
      <c r="AI1079" s="4"/>
      <c r="AJ1079" s="4"/>
      <c r="AK1079" s="4"/>
      <c r="AL1079" s="4"/>
      <c r="AM1079" s="38"/>
      <c r="AN1079" s="4"/>
      <c r="AO1079" s="4"/>
      <c r="AP1079" s="4"/>
      <c r="AQ1079" s="4"/>
      <c r="AR1079" s="4"/>
      <c r="AS1079" s="4"/>
      <c r="AT1079" s="4"/>
      <c r="AU1079" s="4"/>
      <c r="AV1079" s="4"/>
      <c r="AW1079" s="4"/>
      <c r="AX1079" s="4"/>
      <c r="AY1079" s="4"/>
      <c r="AZ1079" s="4"/>
      <c r="BA1079" s="4"/>
      <c r="BB1079" s="4"/>
      <c r="BC1079" s="4"/>
      <c r="BD1079" s="4"/>
      <c r="BE1079" s="4"/>
      <c r="BF1079" s="4"/>
      <c r="BG1079" s="4"/>
      <c r="BH1079" s="4"/>
      <c r="BI1079" s="4"/>
      <c r="BJ1079" s="4"/>
      <c r="BK1079" s="4"/>
      <c r="BL1079" s="4"/>
      <c r="BM1079" s="4"/>
      <c r="BN1079" s="4"/>
      <c r="BO1079" s="4"/>
      <c r="BP1079" s="39"/>
      <c r="BQ1079" s="39"/>
    </row>
    <row r="1080" spans="3:69" ht="15.75" customHeight="1">
      <c r="C1080" s="4"/>
      <c r="D1080" s="4"/>
      <c r="E1080" s="38"/>
      <c r="F1080" s="38"/>
      <c r="G1080" s="4"/>
      <c r="H1080" s="4"/>
      <c r="I1080" s="4"/>
      <c r="J1080" s="4"/>
      <c r="K1080" s="4"/>
      <c r="L1080" s="4"/>
      <c r="M1080" s="4"/>
      <c r="N1080" s="38"/>
      <c r="O1080" s="4"/>
      <c r="P1080" s="4"/>
      <c r="Q1080" s="4"/>
      <c r="R1080" s="4"/>
      <c r="S1080" s="4"/>
      <c r="T1080" s="38"/>
      <c r="U1080" s="4"/>
      <c r="V1080" s="4"/>
      <c r="W1080" s="4"/>
      <c r="X1080" s="4"/>
      <c r="Y1080" s="4"/>
      <c r="Z1080" s="4"/>
      <c r="AA1080" s="4"/>
      <c r="AB1080" s="4"/>
      <c r="AC1080" s="4"/>
      <c r="AD1080" s="4"/>
      <c r="AE1080" s="4"/>
      <c r="AF1080" s="4"/>
      <c r="AG1080" s="4"/>
      <c r="AH1080" s="4"/>
      <c r="AI1080" s="4"/>
      <c r="AJ1080" s="4"/>
      <c r="AK1080" s="4"/>
      <c r="AL1080" s="4"/>
      <c r="AM1080" s="38"/>
      <c r="AN1080" s="4"/>
      <c r="AO1080" s="4"/>
      <c r="AP1080" s="4"/>
      <c r="AQ1080" s="4"/>
      <c r="AR1080" s="4"/>
      <c r="AS1080" s="4"/>
      <c r="AT1080" s="4"/>
      <c r="AU1080" s="4"/>
      <c r="AV1080" s="4"/>
      <c r="AW1080" s="4"/>
      <c r="AX1080" s="4"/>
      <c r="AY1080" s="4"/>
      <c r="AZ1080" s="4"/>
      <c r="BA1080" s="4"/>
      <c r="BB1080" s="4"/>
      <c r="BC1080" s="4"/>
      <c r="BD1080" s="4"/>
      <c r="BE1080" s="4"/>
      <c r="BF1080" s="4"/>
      <c r="BG1080" s="4"/>
      <c r="BH1080" s="4"/>
      <c r="BI1080" s="4"/>
      <c r="BJ1080" s="4"/>
      <c r="BK1080" s="4"/>
      <c r="BL1080" s="4"/>
      <c r="BM1080" s="4"/>
      <c r="BN1080" s="4"/>
      <c r="BO1080" s="4"/>
      <c r="BP1080" s="39"/>
      <c r="BQ1080" s="39"/>
    </row>
    <row r="1081" spans="3:69" ht="15.75" customHeight="1">
      <c r="C1081" s="4"/>
      <c r="D1081" s="4"/>
      <c r="E1081" s="38"/>
      <c r="F1081" s="38"/>
      <c r="G1081" s="4"/>
      <c r="H1081" s="4"/>
      <c r="I1081" s="4"/>
      <c r="J1081" s="4"/>
      <c r="K1081" s="4"/>
      <c r="L1081" s="4"/>
      <c r="M1081" s="4"/>
      <c r="N1081" s="38"/>
      <c r="O1081" s="4"/>
      <c r="P1081" s="4"/>
      <c r="Q1081" s="4"/>
      <c r="R1081" s="4"/>
      <c r="S1081" s="4"/>
      <c r="T1081" s="38"/>
      <c r="U1081" s="4"/>
      <c r="V1081" s="4"/>
      <c r="W1081" s="4"/>
      <c r="X1081" s="4"/>
      <c r="Y1081" s="4"/>
      <c r="Z1081" s="4"/>
      <c r="AA1081" s="4"/>
      <c r="AB1081" s="4"/>
      <c r="AC1081" s="4"/>
      <c r="AD1081" s="4"/>
      <c r="AE1081" s="4"/>
      <c r="AF1081" s="4"/>
      <c r="AG1081" s="4"/>
      <c r="AH1081" s="4"/>
      <c r="AI1081" s="4"/>
      <c r="AJ1081" s="4"/>
      <c r="AK1081" s="4"/>
      <c r="AL1081" s="4"/>
      <c r="AM1081" s="38"/>
      <c r="AN1081" s="4"/>
      <c r="AO1081" s="4"/>
      <c r="AP1081" s="4"/>
      <c r="AQ1081" s="4"/>
      <c r="AR1081" s="4"/>
      <c r="AS1081" s="4"/>
      <c r="AT1081" s="4"/>
      <c r="AU1081" s="4"/>
      <c r="AV1081" s="4"/>
      <c r="AW1081" s="4"/>
      <c r="AX1081" s="4"/>
      <c r="AY1081" s="4"/>
      <c r="AZ1081" s="4"/>
      <c r="BA1081" s="4"/>
      <c r="BB1081" s="4"/>
      <c r="BC1081" s="4"/>
      <c r="BD1081" s="4"/>
      <c r="BE1081" s="4"/>
      <c r="BF1081" s="4"/>
      <c r="BG1081" s="4"/>
      <c r="BH1081" s="4"/>
      <c r="BI1081" s="4"/>
      <c r="BJ1081" s="4"/>
      <c r="BK1081" s="4"/>
      <c r="BL1081" s="4"/>
      <c r="BM1081" s="4"/>
      <c r="BN1081" s="4"/>
      <c r="BO1081" s="4"/>
      <c r="BP1081" s="39"/>
      <c r="BQ1081" s="39"/>
    </row>
    <row r="1082" spans="3:69" ht="15.75" customHeight="1">
      <c r="C1082" s="4"/>
      <c r="D1082" s="4"/>
      <c r="E1082" s="38"/>
      <c r="F1082" s="38"/>
      <c r="G1082" s="4"/>
      <c r="H1082" s="4"/>
      <c r="I1082" s="4"/>
      <c r="J1082" s="4"/>
      <c r="K1082" s="4"/>
      <c r="L1082" s="4"/>
      <c r="M1082" s="4"/>
      <c r="N1082" s="38"/>
      <c r="O1082" s="4"/>
      <c r="P1082" s="4"/>
      <c r="Q1082" s="4"/>
      <c r="R1082" s="4"/>
      <c r="S1082" s="4"/>
      <c r="T1082" s="38"/>
      <c r="U1082" s="4"/>
      <c r="V1082" s="4"/>
      <c r="W1082" s="4"/>
      <c r="X1082" s="4"/>
      <c r="Y1082" s="4"/>
      <c r="Z1082" s="4"/>
      <c r="AA1082" s="4"/>
      <c r="AB1082" s="4"/>
      <c r="AC1082" s="4"/>
      <c r="AD1082" s="4"/>
      <c r="AE1082" s="4"/>
      <c r="AF1082" s="4"/>
      <c r="AG1082" s="4"/>
      <c r="AH1082" s="4"/>
      <c r="AI1082" s="4"/>
      <c r="AJ1082" s="4"/>
      <c r="AK1082" s="4"/>
      <c r="AL1082" s="4"/>
      <c r="AM1082" s="38"/>
      <c r="AN1082" s="4"/>
      <c r="AO1082" s="4"/>
      <c r="AP1082" s="4"/>
      <c r="AQ1082" s="4"/>
      <c r="AR1082" s="4"/>
      <c r="AS1082" s="4"/>
      <c r="AT1082" s="4"/>
      <c r="AU1082" s="4"/>
      <c r="AV1082" s="4"/>
      <c r="AW1082" s="4"/>
      <c r="AX1082" s="4"/>
      <c r="AY1082" s="4"/>
      <c r="AZ1082" s="4"/>
      <c r="BA1082" s="4"/>
      <c r="BB1082" s="4"/>
      <c r="BC1082" s="4"/>
      <c r="BD1082" s="4"/>
      <c r="BE1082" s="4"/>
      <c r="BF1082" s="4"/>
      <c r="BG1082" s="4"/>
      <c r="BH1082" s="4"/>
      <c r="BI1082" s="4"/>
      <c r="BJ1082" s="4"/>
      <c r="BK1082" s="4"/>
      <c r="BL1082" s="4"/>
      <c r="BM1082" s="4"/>
      <c r="BN1082" s="4"/>
      <c r="BO1082" s="4"/>
      <c r="BP1082" s="39"/>
      <c r="BQ1082" s="39"/>
    </row>
    <row r="1083" spans="3:69" ht="15.75" customHeight="1">
      <c r="C1083" s="4"/>
      <c r="D1083" s="4"/>
      <c r="E1083" s="38"/>
      <c r="F1083" s="38"/>
      <c r="G1083" s="4"/>
      <c r="H1083" s="4"/>
      <c r="I1083" s="4"/>
      <c r="J1083" s="4"/>
      <c r="K1083" s="4"/>
      <c r="L1083" s="4"/>
      <c r="M1083" s="4"/>
      <c r="N1083" s="38"/>
      <c r="O1083" s="4"/>
      <c r="P1083" s="4"/>
      <c r="Q1083" s="4"/>
      <c r="R1083" s="4"/>
      <c r="S1083" s="4"/>
      <c r="T1083" s="38"/>
      <c r="U1083" s="4"/>
      <c r="V1083" s="4"/>
      <c r="W1083" s="4"/>
      <c r="X1083" s="4"/>
      <c r="Y1083" s="4"/>
      <c r="Z1083" s="4"/>
      <c r="AA1083" s="4"/>
      <c r="AB1083" s="4"/>
      <c r="AC1083" s="4"/>
      <c r="AD1083" s="4"/>
      <c r="AE1083" s="4"/>
      <c r="AF1083" s="4"/>
      <c r="AG1083" s="4"/>
      <c r="AH1083" s="4"/>
      <c r="AI1083" s="4"/>
      <c r="AJ1083" s="4"/>
      <c r="AK1083" s="4"/>
      <c r="AL1083" s="4"/>
      <c r="AM1083" s="38"/>
      <c r="AN1083" s="4"/>
      <c r="AO1083" s="4"/>
      <c r="AP1083" s="4"/>
      <c r="AQ1083" s="4"/>
      <c r="AR1083" s="4"/>
      <c r="AS1083" s="4"/>
      <c r="AT1083" s="4"/>
      <c r="AU1083" s="4"/>
      <c r="AV1083" s="4"/>
      <c r="AW1083" s="4"/>
      <c r="AX1083" s="4"/>
      <c r="AY1083" s="4"/>
      <c r="AZ1083" s="4"/>
      <c r="BA1083" s="4"/>
      <c r="BB1083" s="4"/>
      <c r="BC1083" s="4"/>
      <c r="BD1083" s="4"/>
      <c r="BE1083" s="4"/>
      <c r="BF1083" s="4"/>
      <c r="BG1083" s="4"/>
      <c r="BH1083" s="4"/>
      <c r="BI1083" s="4"/>
      <c r="BJ1083" s="4"/>
      <c r="BK1083" s="4"/>
      <c r="BL1083" s="4"/>
      <c r="BM1083" s="4"/>
      <c r="BN1083" s="4"/>
      <c r="BO1083" s="4"/>
      <c r="BP1083" s="39"/>
      <c r="BQ1083" s="39"/>
    </row>
    <row r="1084" spans="3:69" ht="15.75" customHeight="1">
      <c r="C1084" s="4"/>
      <c r="D1084" s="4"/>
      <c r="E1084" s="38"/>
      <c r="F1084" s="38"/>
      <c r="G1084" s="4"/>
      <c r="H1084" s="4"/>
      <c r="I1084" s="4"/>
      <c r="J1084" s="4"/>
      <c r="K1084" s="4"/>
      <c r="L1084" s="4"/>
      <c r="M1084" s="4"/>
      <c r="N1084" s="38"/>
      <c r="O1084" s="4"/>
      <c r="P1084" s="4"/>
      <c r="Q1084" s="4"/>
      <c r="R1084" s="4"/>
      <c r="S1084" s="4"/>
      <c r="T1084" s="38"/>
      <c r="U1084" s="4"/>
      <c r="V1084" s="4"/>
      <c r="W1084" s="4"/>
      <c r="X1084" s="4"/>
      <c r="Y1084" s="4"/>
      <c r="Z1084" s="4"/>
      <c r="AA1084" s="4"/>
      <c r="AB1084" s="4"/>
      <c r="AC1084" s="4"/>
      <c r="AD1084" s="4"/>
      <c r="AE1084" s="4"/>
      <c r="AF1084" s="4"/>
      <c r="AG1084" s="4"/>
      <c r="AH1084" s="4"/>
      <c r="AI1084" s="4"/>
      <c r="AJ1084" s="4"/>
      <c r="AK1084" s="4"/>
      <c r="AL1084" s="4"/>
      <c r="AM1084" s="38"/>
      <c r="AN1084" s="4"/>
      <c r="AO1084" s="4"/>
      <c r="AP1084" s="4"/>
      <c r="AQ1084" s="4"/>
      <c r="AR1084" s="4"/>
      <c r="AS1084" s="4"/>
      <c r="AT1084" s="4"/>
      <c r="AU1084" s="4"/>
      <c r="AV1084" s="4"/>
      <c r="AW1084" s="4"/>
      <c r="AX1084" s="4"/>
      <c r="AY1084" s="4"/>
      <c r="AZ1084" s="4"/>
      <c r="BA1084" s="4"/>
      <c r="BB1084" s="4"/>
      <c r="BC1084" s="4"/>
      <c r="BD1084" s="4"/>
      <c r="BE1084" s="4"/>
      <c r="BF1084" s="4"/>
      <c r="BG1084" s="4"/>
      <c r="BH1084" s="4"/>
      <c r="BI1084" s="4"/>
      <c r="BJ1084" s="4"/>
      <c r="BK1084" s="4"/>
      <c r="BL1084" s="4"/>
      <c r="BM1084" s="4"/>
      <c r="BN1084" s="4"/>
      <c r="BO1084" s="4"/>
      <c r="BP1084" s="39"/>
      <c r="BQ1084" s="39"/>
    </row>
    <row r="1085" spans="3:69" ht="15.75" customHeight="1">
      <c r="C1085" s="4"/>
      <c r="D1085" s="4"/>
      <c r="E1085" s="38"/>
      <c r="F1085" s="38"/>
      <c r="G1085" s="4"/>
      <c r="H1085" s="4"/>
      <c r="I1085" s="4"/>
      <c r="J1085" s="4"/>
      <c r="K1085" s="4"/>
      <c r="L1085" s="4"/>
      <c r="M1085" s="4"/>
      <c r="N1085" s="38"/>
      <c r="O1085" s="4"/>
      <c r="P1085" s="4"/>
      <c r="Q1085" s="4"/>
      <c r="R1085" s="4"/>
      <c r="S1085" s="4"/>
      <c r="T1085" s="38"/>
      <c r="U1085" s="4"/>
      <c r="V1085" s="4"/>
      <c r="W1085" s="4"/>
      <c r="X1085" s="4"/>
      <c r="Y1085" s="4"/>
      <c r="Z1085" s="4"/>
      <c r="AA1085" s="4"/>
      <c r="AB1085" s="4"/>
      <c r="AC1085" s="4"/>
      <c r="AD1085" s="4"/>
      <c r="AE1085" s="4"/>
      <c r="AF1085" s="4"/>
      <c r="AG1085" s="4"/>
      <c r="AH1085" s="4"/>
      <c r="AI1085" s="4"/>
      <c r="AJ1085" s="4"/>
      <c r="AK1085" s="4"/>
      <c r="AL1085" s="4"/>
      <c r="AM1085" s="38"/>
      <c r="AN1085" s="4"/>
      <c r="AO1085" s="4"/>
      <c r="AP1085" s="4"/>
      <c r="AQ1085" s="4"/>
      <c r="AR1085" s="4"/>
      <c r="AS1085" s="4"/>
      <c r="AT1085" s="4"/>
      <c r="AU1085" s="4"/>
      <c r="AV1085" s="4"/>
      <c r="AW1085" s="4"/>
      <c r="AX1085" s="4"/>
      <c r="AY1085" s="4"/>
      <c r="AZ1085" s="4"/>
      <c r="BA1085" s="4"/>
      <c r="BB1085" s="4"/>
      <c r="BC1085" s="4"/>
      <c r="BD1085" s="4"/>
      <c r="BE1085" s="4"/>
      <c r="BF1085" s="4"/>
      <c r="BG1085" s="4"/>
      <c r="BH1085" s="4"/>
      <c r="BI1085" s="4"/>
      <c r="BJ1085" s="4"/>
      <c r="BK1085" s="4"/>
      <c r="BL1085" s="4"/>
      <c r="BM1085" s="4"/>
      <c r="BN1085" s="4"/>
      <c r="BO1085" s="4"/>
      <c r="BP1085" s="39"/>
      <c r="BQ1085" s="39"/>
    </row>
    <row r="1086" spans="3:69" ht="15.75" customHeight="1">
      <c r="C1086" s="4"/>
      <c r="D1086" s="4"/>
      <c r="E1086" s="38"/>
      <c r="F1086" s="38"/>
      <c r="G1086" s="4"/>
      <c r="H1086" s="4"/>
      <c r="I1086" s="4"/>
      <c r="J1086" s="4"/>
      <c r="K1086" s="4"/>
      <c r="L1086" s="4"/>
      <c r="M1086" s="4"/>
      <c r="N1086" s="38"/>
      <c r="O1086" s="4"/>
      <c r="P1086" s="4"/>
      <c r="Q1086" s="4"/>
      <c r="R1086" s="4"/>
      <c r="S1086" s="4"/>
      <c r="T1086" s="38"/>
      <c r="U1086" s="4"/>
      <c r="V1086" s="4"/>
      <c r="W1086" s="4"/>
      <c r="X1086" s="4"/>
      <c r="Y1086" s="4"/>
      <c r="Z1086" s="4"/>
      <c r="AA1086" s="4"/>
      <c r="AB1086" s="4"/>
      <c r="AC1086" s="4"/>
      <c r="AD1086" s="4"/>
      <c r="AE1086" s="4"/>
      <c r="AF1086" s="4"/>
      <c r="AG1086" s="4"/>
      <c r="AH1086" s="4"/>
      <c r="AI1086" s="4"/>
      <c r="AJ1086" s="4"/>
      <c r="AK1086" s="4"/>
      <c r="AL1086" s="4"/>
      <c r="AM1086" s="38"/>
      <c r="AN1086" s="4"/>
      <c r="AO1086" s="4"/>
      <c r="AP1086" s="4"/>
      <c r="AQ1086" s="4"/>
      <c r="AR1086" s="4"/>
      <c r="AS1086" s="4"/>
      <c r="AT1086" s="4"/>
      <c r="AU1086" s="4"/>
      <c r="AV1086" s="4"/>
      <c r="AW1086" s="4"/>
      <c r="AX1086" s="4"/>
      <c r="AY1086" s="4"/>
      <c r="AZ1086" s="4"/>
      <c r="BA1086" s="4"/>
      <c r="BB1086" s="4"/>
      <c r="BC1086" s="4"/>
      <c r="BD1086" s="4"/>
      <c r="BE1086" s="4"/>
      <c r="BF1086" s="4"/>
      <c r="BG1086" s="4"/>
      <c r="BH1086" s="4"/>
      <c r="BI1086" s="4"/>
      <c r="BJ1086" s="4"/>
      <c r="BK1086" s="4"/>
      <c r="BL1086" s="4"/>
      <c r="BM1086" s="4"/>
      <c r="BN1086" s="4"/>
      <c r="BO1086" s="4"/>
      <c r="BP1086" s="39"/>
      <c r="BQ1086" s="39"/>
    </row>
    <row r="1087" spans="3:69" ht="15.75" customHeight="1">
      <c r="C1087" s="4"/>
      <c r="D1087" s="4"/>
      <c r="E1087" s="38"/>
      <c r="F1087" s="38"/>
      <c r="G1087" s="4"/>
      <c r="H1087" s="4"/>
      <c r="I1087" s="4"/>
      <c r="J1087" s="4"/>
      <c r="K1087" s="4"/>
      <c r="L1087" s="4"/>
      <c r="M1087" s="4"/>
      <c r="N1087" s="38"/>
      <c r="O1087" s="4"/>
      <c r="P1087" s="4"/>
      <c r="Q1087" s="4"/>
      <c r="R1087" s="4"/>
      <c r="S1087" s="4"/>
      <c r="T1087" s="38"/>
      <c r="U1087" s="4"/>
      <c r="V1087" s="4"/>
      <c r="W1087" s="4"/>
      <c r="X1087" s="4"/>
      <c r="Y1087" s="4"/>
      <c r="Z1087" s="4"/>
      <c r="AA1087" s="4"/>
      <c r="AB1087" s="4"/>
      <c r="AC1087" s="4"/>
      <c r="AD1087" s="4"/>
      <c r="AE1087" s="4"/>
      <c r="AF1087" s="4"/>
      <c r="AG1087" s="4"/>
      <c r="AH1087" s="4"/>
      <c r="AI1087" s="4"/>
      <c r="AJ1087" s="4"/>
      <c r="AK1087" s="4"/>
      <c r="AL1087" s="4"/>
      <c r="AM1087" s="38"/>
      <c r="AN1087" s="4"/>
      <c r="AO1087" s="4"/>
      <c r="AP1087" s="4"/>
      <c r="AQ1087" s="4"/>
      <c r="AR1087" s="4"/>
      <c r="AS1087" s="4"/>
      <c r="AT1087" s="4"/>
      <c r="AU1087" s="4"/>
      <c r="AV1087" s="4"/>
      <c r="AW1087" s="4"/>
      <c r="AX1087" s="4"/>
      <c r="AY1087" s="4"/>
      <c r="AZ1087" s="4"/>
      <c r="BA1087" s="4"/>
      <c r="BB1087" s="4"/>
      <c r="BC1087" s="4"/>
      <c r="BD1087" s="4"/>
      <c r="BE1087" s="4"/>
      <c r="BF1087" s="4"/>
      <c r="BG1087" s="4"/>
      <c r="BH1087" s="4"/>
      <c r="BI1087" s="4"/>
      <c r="BJ1087" s="4"/>
      <c r="BK1087" s="4"/>
      <c r="BL1087" s="4"/>
      <c r="BM1087" s="4"/>
      <c r="BN1087" s="4"/>
      <c r="BO1087" s="4"/>
      <c r="BP1087" s="39"/>
      <c r="BQ1087" s="39"/>
    </row>
    <row r="1088" spans="3:69" ht="15.75" customHeight="1">
      <c r="C1088" s="4"/>
      <c r="D1088" s="4"/>
      <c r="E1088" s="38"/>
      <c r="F1088" s="38"/>
      <c r="G1088" s="4"/>
      <c r="H1088" s="4"/>
      <c r="I1088" s="4"/>
      <c r="J1088" s="4"/>
      <c r="K1088" s="4"/>
      <c r="L1088" s="4"/>
      <c r="M1088" s="4"/>
      <c r="N1088" s="38"/>
      <c r="O1088" s="4"/>
      <c r="P1088" s="4"/>
      <c r="Q1088" s="4"/>
      <c r="R1088" s="4"/>
      <c r="S1088" s="4"/>
      <c r="T1088" s="38"/>
      <c r="U1088" s="4"/>
      <c r="V1088" s="4"/>
      <c r="W1088" s="4"/>
      <c r="X1088" s="4"/>
      <c r="Y1088" s="4"/>
      <c r="Z1088" s="4"/>
      <c r="AA1088" s="4"/>
      <c r="AB1088" s="4"/>
      <c r="AC1088" s="4"/>
      <c r="AD1088" s="4"/>
      <c r="AE1088" s="4"/>
      <c r="AF1088" s="4"/>
      <c r="AG1088" s="4"/>
      <c r="AH1088" s="4"/>
      <c r="AI1088" s="4"/>
      <c r="AJ1088" s="4"/>
      <c r="AK1088" s="4"/>
      <c r="AL1088" s="4"/>
      <c r="AM1088" s="38"/>
      <c r="AN1088" s="4"/>
      <c r="AO1088" s="4"/>
      <c r="AP1088" s="4"/>
      <c r="AQ1088" s="4"/>
      <c r="AR1088" s="4"/>
      <c r="AS1088" s="4"/>
      <c r="AT1088" s="4"/>
      <c r="AU1088" s="4"/>
      <c r="AV1088" s="4"/>
      <c r="AW1088" s="4"/>
      <c r="AX1088" s="4"/>
      <c r="AY1088" s="4"/>
      <c r="AZ1088" s="4"/>
      <c r="BA1088" s="4"/>
      <c r="BB1088" s="4"/>
      <c r="BC1088" s="4"/>
      <c r="BD1088" s="4"/>
      <c r="BE1088" s="4"/>
      <c r="BF1088" s="4"/>
      <c r="BG1088" s="4"/>
      <c r="BH1088" s="4"/>
      <c r="BI1088" s="4"/>
      <c r="BJ1088" s="4"/>
      <c r="BK1088" s="4"/>
      <c r="BL1088" s="4"/>
      <c r="BM1088" s="4"/>
      <c r="BN1088" s="4"/>
      <c r="BO1088" s="4"/>
      <c r="BP1088" s="39"/>
      <c r="BQ1088" s="39"/>
    </row>
    <row r="1089" spans="3:69" ht="15.75" customHeight="1">
      <c r="C1089" s="4"/>
      <c r="D1089" s="4"/>
      <c r="E1089" s="38"/>
      <c r="F1089" s="38"/>
      <c r="G1089" s="4"/>
      <c r="H1089" s="4"/>
      <c r="I1089" s="4"/>
      <c r="J1089" s="4"/>
      <c r="K1089" s="4"/>
      <c r="L1089" s="4"/>
      <c r="M1089" s="4"/>
      <c r="N1089" s="38"/>
      <c r="O1089" s="4"/>
      <c r="P1089" s="4"/>
      <c r="Q1089" s="4"/>
      <c r="R1089" s="4"/>
      <c r="S1089" s="4"/>
      <c r="T1089" s="38"/>
      <c r="U1089" s="4"/>
      <c r="V1089" s="4"/>
      <c r="W1089" s="4"/>
      <c r="X1089" s="4"/>
      <c r="Y1089" s="4"/>
      <c r="Z1089" s="4"/>
      <c r="AA1089" s="4"/>
      <c r="AB1089" s="4"/>
      <c r="AC1089" s="4"/>
      <c r="AD1089" s="4"/>
      <c r="AE1089" s="4"/>
      <c r="AF1089" s="4"/>
      <c r="AG1089" s="4"/>
      <c r="AH1089" s="4"/>
      <c r="AI1089" s="4"/>
      <c r="AJ1089" s="4"/>
      <c r="AK1089" s="4"/>
      <c r="AL1089" s="4"/>
      <c r="AM1089" s="38"/>
      <c r="AN1089" s="4"/>
      <c r="AO1089" s="4"/>
      <c r="AP1089" s="4"/>
      <c r="AQ1089" s="4"/>
      <c r="AR1089" s="4"/>
      <c r="AS1089" s="4"/>
      <c r="AT1089" s="4"/>
      <c r="AU1089" s="4"/>
      <c r="AV1089" s="4"/>
      <c r="AW1089" s="4"/>
      <c r="AX1089" s="4"/>
      <c r="AY1089" s="4"/>
      <c r="AZ1089" s="4"/>
      <c r="BA1089" s="4"/>
      <c r="BB1089" s="4"/>
      <c r="BC1089" s="4"/>
      <c r="BD1089" s="4"/>
      <c r="BE1089" s="4"/>
      <c r="BF1089" s="4"/>
      <c r="BG1089" s="4"/>
      <c r="BH1089" s="4"/>
      <c r="BI1089" s="4"/>
      <c r="BJ1089" s="4"/>
      <c r="BK1089" s="4"/>
      <c r="BL1089" s="4"/>
      <c r="BM1089" s="4"/>
      <c r="BN1089" s="4"/>
      <c r="BO1089" s="4"/>
      <c r="BP1089" s="39"/>
      <c r="BQ1089" s="39"/>
    </row>
    <row r="1090" spans="3:69" ht="15.75" customHeight="1">
      <c r="C1090" s="4"/>
      <c r="D1090" s="4"/>
      <c r="E1090" s="38"/>
      <c r="F1090" s="38"/>
      <c r="G1090" s="4"/>
      <c r="H1090" s="4"/>
      <c r="I1090" s="4"/>
      <c r="J1090" s="4"/>
      <c r="K1090" s="4"/>
      <c r="L1090" s="4"/>
      <c r="M1090" s="4"/>
      <c r="N1090" s="38"/>
      <c r="O1090" s="4"/>
      <c r="P1090" s="4"/>
      <c r="Q1090" s="4"/>
      <c r="R1090" s="4"/>
      <c r="S1090" s="4"/>
      <c r="T1090" s="38"/>
      <c r="U1090" s="4"/>
      <c r="V1090" s="4"/>
      <c r="W1090" s="4"/>
      <c r="X1090" s="4"/>
      <c r="Y1090" s="4"/>
      <c r="Z1090" s="4"/>
      <c r="AA1090" s="4"/>
      <c r="AB1090" s="4"/>
      <c r="AC1090" s="4"/>
      <c r="AD1090" s="4"/>
      <c r="AE1090" s="4"/>
      <c r="AF1090" s="4"/>
      <c r="AG1090" s="4"/>
      <c r="AH1090" s="4"/>
      <c r="AI1090" s="4"/>
      <c r="AJ1090" s="4"/>
      <c r="AK1090" s="4"/>
      <c r="AL1090" s="4"/>
      <c r="AM1090" s="38"/>
      <c r="AN1090" s="4"/>
      <c r="AO1090" s="4"/>
      <c r="AP1090" s="4"/>
      <c r="AQ1090" s="4"/>
      <c r="AR1090" s="4"/>
      <c r="AS1090" s="4"/>
      <c r="AT1090" s="4"/>
      <c r="AU1090" s="4"/>
      <c r="AV1090" s="4"/>
      <c r="AW1090" s="4"/>
      <c r="AX1090" s="4"/>
      <c r="AY1090" s="4"/>
      <c r="AZ1090" s="4"/>
      <c r="BA1090" s="4"/>
      <c r="BB1090" s="4"/>
      <c r="BC1090" s="4"/>
      <c r="BD1090" s="4"/>
      <c r="BE1090" s="4"/>
      <c r="BF1090" s="4"/>
      <c r="BG1090" s="4"/>
      <c r="BH1090" s="4"/>
      <c r="BI1090" s="4"/>
      <c r="BJ1090" s="4"/>
      <c r="BK1090" s="4"/>
      <c r="BL1090" s="4"/>
      <c r="BM1090" s="4"/>
      <c r="BN1090" s="4"/>
      <c r="BO1090" s="4"/>
      <c r="BP1090" s="39"/>
      <c r="BQ1090" s="39"/>
    </row>
    <row r="1091" spans="3:69" ht="15.75" customHeight="1">
      <c r="C1091" s="4"/>
      <c r="D1091" s="4"/>
      <c r="E1091" s="38"/>
      <c r="F1091" s="38"/>
      <c r="G1091" s="4"/>
      <c r="H1091" s="4"/>
      <c r="I1091" s="4"/>
      <c r="J1091" s="4"/>
      <c r="K1091" s="4"/>
      <c r="L1091" s="4"/>
      <c r="M1091" s="4"/>
      <c r="N1091" s="38"/>
      <c r="O1091" s="4"/>
      <c r="P1091" s="4"/>
      <c r="Q1091" s="4"/>
      <c r="R1091" s="4"/>
      <c r="S1091" s="4"/>
      <c r="T1091" s="38"/>
      <c r="U1091" s="4"/>
      <c r="V1091" s="4"/>
      <c r="W1091" s="4"/>
      <c r="X1091" s="4"/>
      <c r="Y1091" s="4"/>
      <c r="Z1091" s="4"/>
      <c r="AA1091" s="4"/>
      <c r="AB1091" s="4"/>
      <c r="AC1091" s="4"/>
      <c r="AD1091" s="4"/>
      <c r="AE1091" s="4"/>
      <c r="AF1091" s="4"/>
      <c r="AG1091" s="4"/>
      <c r="AH1091" s="4"/>
      <c r="AI1091" s="4"/>
      <c r="AJ1091" s="4"/>
      <c r="AK1091" s="4"/>
      <c r="AL1091" s="4"/>
      <c r="AM1091" s="38"/>
      <c r="AN1091" s="4"/>
      <c r="AO1091" s="4"/>
      <c r="AP1091" s="4"/>
      <c r="AQ1091" s="4"/>
      <c r="AR1091" s="4"/>
      <c r="AS1091" s="4"/>
      <c r="AT1091" s="4"/>
      <c r="AU1091" s="4"/>
      <c r="AV1091" s="4"/>
      <c r="AW1091" s="4"/>
      <c r="AX1091" s="4"/>
      <c r="AY1091" s="4"/>
      <c r="AZ1091" s="4"/>
      <c r="BA1091" s="4"/>
      <c r="BB1091" s="4"/>
      <c r="BC1091" s="4"/>
      <c r="BD1091" s="4"/>
      <c r="BE1091" s="4"/>
      <c r="BF1091" s="4"/>
      <c r="BG1091" s="4"/>
      <c r="BH1091" s="4"/>
      <c r="BI1091" s="4"/>
      <c r="BJ1091" s="4"/>
      <c r="BK1091" s="4"/>
      <c r="BL1091" s="4"/>
      <c r="BM1091" s="4"/>
      <c r="BN1091" s="4"/>
      <c r="BO1091" s="4"/>
      <c r="BP1091" s="39"/>
      <c r="BQ1091" s="39"/>
    </row>
    <row r="1092" spans="3:69" ht="15.75" customHeight="1">
      <c r="C1092" s="4"/>
      <c r="D1092" s="4"/>
      <c r="E1092" s="38"/>
      <c r="F1092" s="38"/>
      <c r="G1092" s="4"/>
      <c r="H1092" s="4"/>
      <c r="I1092" s="4"/>
      <c r="J1092" s="4"/>
      <c r="K1092" s="4"/>
      <c r="L1092" s="4"/>
      <c r="M1092" s="4"/>
      <c r="N1092" s="38"/>
      <c r="O1092" s="4"/>
      <c r="P1092" s="4"/>
      <c r="Q1092" s="4"/>
      <c r="R1092" s="4"/>
      <c r="S1092" s="4"/>
      <c r="T1092" s="38"/>
      <c r="U1092" s="4"/>
      <c r="V1092" s="4"/>
      <c r="W1092" s="4"/>
      <c r="X1092" s="4"/>
      <c r="Y1092" s="4"/>
      <c r="Z1092" s="4"/>
      <c r="AA1092" s="4"/>
      <c r="AB1092" s="4"/>
      <c r="AC1092" s="4"/>
      <c r="AD1092" s="4"/>
      <c r="AE1092" s="4"/>
      <c r="AF1092" s="4"/>
      <c r="AG1092" s="4"/>
      <c r="AH1092" s="4"/>
      <c r="AI1092" s="4"/>
      <c r="AJ1092" s="4"/>
      <c r="AK1092" s="4"/>
      <c r="AL1092" s="4"/>
      <c r="AM1092" s="38"/>
      <c r="AN1092" s="4"/>
      <c r="AO1092" s="4"/>
      <c r="AP1092" s="4"/>
      <c r="AQ1092" s="4"/>
      <c r="AR1092" s="4"/>
      <c r="AS1092" s="4"/>
      <c r="AT1092" s="4"/>
      <c r="AU1092" s="4"/>
      <c r="AV1092" s="4"/>
      <c r="AW1092" s="4"/>
      <c r="AX1092" s="4"/>
      <c r="AY1092" s="4"/>
      <c r="AZ1092" s="4"/>
      <c r="BA1092" s="4"/>
      <c r="BB1092" s="4"/>
      <c r="BC1092" s="4"/>
      <c r="BD1092" s="4"/>
      <c r="BE1092" s="4"/>
      <c r="BF1092" s="4"/>
      <c r="BG1092" s="4"/>
      <c r="BH1092" s="4"/>
      <c r="BI1092" s="4"/>
      <c r="BJ1092" s="4"/>
      <c r="BK1092" s="4"/>
      <c r="BL1092" s="4"/>
      <c r="BM1092" s="4"/>
      <c r="BN1092" s="4"/>
      <c r="BO1092" s="4"/>
      <c r="BP1092" s="39"/>
      <c r="BQ1092" s="39"/>
    </row>
    <row r="1093" spans="3:69" ht="15.75" customHeight="1">
      <c r="C1093" s="4"/>
      <c r="D1093" s="4"/>
      <c r="E1093" s="38"/>
      <c r="F1093" s="38"/>
      <c r="G1093" s="4"/>
      <c r="H1093" s="4"/>
      <c r="I1093" s="4"/>
      <c r="J1093" s="4"/>
      <c r="K1093" s="4"/>
      <c r="L1093" s="4"/>
      <c r="M1093" s="4"/>
      <c r="N1093" s="38"/>
      <c r="O1093" s="4"/>
      <c r="P1093" s="4"/>
      <c r="Q1093" s="4"/>
      <c r="R1093" s="4"/>
      <c r="S1093" s="4"/>
      <c r="T1093" s="38"/>
      <c r="U1093" s="4"/>
      <c r="V1093" s="4"/>
      <c r="W1093" s="4"/>
      <c r="X1093" s="4"/>
      <c r="Y1093" s="4"/>
      <c r="Z1093" s="4"/>
      <c r="AA1093" s="4"/>
      <c r="AB1093" s="4"/>
      <c r="AC1093" s="4"/>
      <c r="AD1093" s="4"/>
      <c r="AE1093" s="4"/>
      <c r="AF1093" s="4"/>
      <c r="AG1093" s="4"/>
      <c r="AH1093" s="4"/>
      <c r="AI1093" s="4"/>
      <c r="AJ1093" s="4"/>
      <c r="AK1093" s="4"/>
      <c r="AL1093" s="4"/>
      <c r="AM1093" s="38"/>
      <c r="AN1093" s="4"/>
      <c r="AO1093" s="4"/>
      <c r="AP1093" s="4"/>
      <c r="AQ1093" s="4"/>
      <c r="AR1093" s="4"/>
      <c r="AS1093" s="4"/>
      <c r="AT1093" s="4"/>
      <c r="AU1093" s="4"/>
      <c r="AV1093" s="4"/>
      <c r="AW1093" s="4"/>
      <c r="AX1093" s="4"/>
      <c r="AY1093" s="4"/>
      <c r="AZ1093" s="4"/>
      <c r="BA1093" s="4"/>
      <c r="BB1093" s="4"/>
      <c r="BC1093" s="4"/>
      <c r="BD1093" s="4"/>
      <c r="BE1093" s="4"/>
      <c r="BF1093" s="4"/>
      <c r="BG1093" s="4"/>
      <c r="BH1093" s="4"/>
      <c r="BI1093" s="4"/>
      <c r="BJ1093" s="4"/>
      <c r="BK1093" s="4"/>
      <c r="BL1093" s="4"/>
      <c r="BM1093" s="4"/>
      <c r="BN1093" s="4"/>
      <c r="BO1093" s="4"/>
      <c r="BP1093" s="39"/>
      <c r="BQ1093" s="39"/>
    </row>
    <row r="1094" spans="3:69" ht="15.75" customHeight="1">
      <c r="C1094" s="4"/>
      <c r="D1094" s="4"/>
      <c r="E1094" s="38"/>
      <c r="F1094" s="38"/>
      <c r="G1094" s="4"/>
      <c r="H1094" s="4"/>
      <c r="I1094" s="4"/>
      <c r="J1094" s="4"/>
      <c r="K1094" s="4"/>
      <c r="L1094" s="4"/>
      <c r="M1094" s="4"/>
      <c r="N1094" s="38"/>
      <c r="O1094" s="4"/>
      <c r="P1094" s="4"/>
      <c r="Q1094" s="4"/>
      <c r="R1094" s="4"/>
      <c r="S1094" s="4"/>
      <c r="T1094" s="38"/>
      <c r="U1094" s="4"/>
      <c r="V1094" s="4"/>
      <c r="W1094" s="4"/>
      <c r="X1094" s="4"/>
      <c r="Y1094" s="4"/>
      <c r="Z1094" s="4"/>
      <c r="AA1094" s="4"/>
      <c r="AB1094" s="4"/>
      <c r="AC1094" s="4"/>
      <c r="AD1094" s="4"/>
      <c r="AE1094" s="4"/>
      <c r="AF1094" s="4"/>
      <c r="AG1094" s="4"/>
      <c r="AH1094" s="4"/>
      <c r="AI1094" s="4"/>
      <c r="AJ1094" s="4"/>
      <c r="AK1094" s="4"/>
      <c r="AL1094" s="4"/>
      <c r="AM1094" s="38"/>
      <c r="AN1094" s="4"/>
      <c r="AO1094" s="4"/>
      <c r="AP1094" s="4"/>
      <c r="AQ1094" s="4"/>
      <c r="AR1094" s="4"/>
      <c r="AS1094" s="4"/>
      <c r="AT1094" s="4"/>
      <c r="AU1094" s="4"/>
      <c r="AV1094" s="4"/>
      <c r="AW1094" s="4"/>
      <c r="AX1094" s="4"/>
      <c r="AY1094" s="4"/>
      <c r="AZ1094" s="4"/>
      <c r="BA1094" s="4"/>
      <c r="BB1094" s="4"/>
      <c r="BC1094" s="4"/>
      <c r="BD1094" s="4"/>
      <c r="BE1094" s="4"/>
      <c r="BF1094" s="4"/>
      <c r="BG1094" s="4"/>
      <c r="BH1094" s="4"/>
      <c r="BI1094" s="4"/>
      <c r="BJ1094" s="4"/>
      <c r="BK1094" s="4"/>
      <c r="BL1094" s="4"/>
      <c r="BM1094" s="4"/>
      <c r="BN1094" s="4"/>
      <c r="BO1094" s="4"/>
      <c r="BP1094" s="39"/>
      <c r="BQ1094" s="39"/>
    </row>
    <row r="1095" spans="3:69" ht="15.75" customHeight="1">
      <c r="C1095" s="4"/>
      <c r="D1095" s="4"/>
      <c r="E1095" s="38"/>
      <c r="F1095" s="38"/>
      <c r="G1095" s="4"/>
      <c r="H1095" s="4"/>
      <c r="I1095" s="4"/>
      <c r="J1095" s="4"/>
      <c r="K1095" s="4"/>
      <c r="L1095" s="4"/>
      <c r="M1095" s="4"/>
      <c r="N1095" s="38"/>
      <c r="O1095" s="4"/>
      <c r="P1095" s="4"/>
      <c r="Q1095" s="4"/>
      <c r="R1095" s="4"/>
      <c r="S1095" s="4"/>
      <c r="T1095" s="38"/>
      <c r="U1095" s="4"/>
      <c r="V1095" s="4"/>
      <c r="W1095" s="4"/>
      <c r="X1095" s="4"/>
      <c r="Y1095" s="4"/>
      <c r="Z1095" s="4"/>
      <c r="AA1095" s="4"/>
      <c r="AB1095" s="4"/>
      <c r="AC1095" s="4"/>
      <c r="AD1095" s="4"/>
      <c r="AE1095" s="4"/>
      <c r="AF1095" s="4"/>
      <c r="AG1095" s="4"/>
      <c r="AH1095" s="4"/>
      <c r="AI1095" s="4"/>
      <c r="AJ1095" s="4"/>
      <c r="AK1095" s="4"/>
      <c r="AL1095" s="4"/>
      <c r="AM1095" s="38"/>
      <c r="AN1095" s="4"/>
      <c r="AO1095" s="4"/>
      <c r="AP1095" s="4"/>
      <c r="AQ1095" s="4"/>
      <c r="AR1095" s="4"/>
      <c r="AS1095" s="4"/>
      <c r="AT1095" s="4"/>
      <c r="AU1095" s="4"/>
      <c r="AV1095" s="4"/>
      <c r="AW1095" s="4"/>
      <c r="AX1095" s="4"/>
      <c r="AY1095" s="4"/>
      <c r="AZ1095" s="4"/>
      <c r="BA1095" s="4"/>
      <c r="BB1095" s="4"/>
      <c r="BC1095" s="4"/>
      <c r="BD1095" s="4"/>
      <c r="BE1095" s="4"/>
      <c r="BF1095" s="4"/>
      <c r="BG1095" s="4"/>
      <c r="BH1095" s="4"/>
      <c r="BI1095" s="4"/>
      <c r="BJ1095" s="4"/>
      <c r="BK1095" s="4"/>
      <c r="BL1095" s="4"/>
      <c r="BM1095" s="4"/>
      <c r="BN1095" s="4"/>
      <c r="BO1095" s="4"/>
      <c r="BP1095" s="39"/>
      <c r="BQ1095" s="39"/>
    </row>
    <row r="1096" spans="3:69" ht="15.75" customHeight="1">
      <c r="C1096" s="4"/>
      <c r="D1096" s="4"/>
      <c r="E1096" s="38"/>
      <c r="F1096" s="38"/>
      <c r="G1096" s="4"/>
      <c r="H1096" s="4"/>
      <c r="I1096" s="4"/>
      <c r="J1096" s="4"/>
      <c r="K1096" s="4"/>
      <c r="L1096" s="4"/>
      <c r="M1096" s="4"/>
      <c r="N1096" s="38"/>
      <c r="O1096" s="4"/>
      <c r="P1096" s="4"/>
      <c r="Q1096" s="4"/>
      <c r="R1096" s="4"/>
      <c r="S1096" s="4"/>
      <c r="T1096" s="38"/>
      <c r="U1096" s="4"/>
      <c r="V1096" s="4"/>
      <c r="W1096" s="4"/>
      <c r="X1096" s="4"/>
      <c r="Y1096" s="4"/>
      <c r="Z1096" s="4"/>
      <c r="AA1096" s="4"/>
      <c r="AB1096" s="4"/>
      <c r="AC1096" s="4"/>
      <c r="AD1096" s="4"/>
      <c r="AE1096" s="4"/>
      <c r="AF1096" s="4"/>
      <c r="AG1096" s="4"/>
      <c r="AH1096" s="4"/>
      <c r="AI1096" s="4"/>
      <c r="AJ1096" s="4"/>
      <c r="AK1096" s="4"/>
      <c r="AL1096" s="4"/>
      <c r="AM1096" s="38"/>
      <c r="AN1096" s="4"/>
      <c r="AO1096" s="4"/>
      <c r="AP1096" s="4"/>
      <c r="AQ1096" s="4"/>
      <c r="AR1096" s="4"/>
      <c r="AS1096" s="4"/>
      <c r="AT1096" s="4"/>
      <c r="AU1096" s="4"/>
      <c r="AV1096" s="4"/>
      <c r="AW1096" s="4"/>
      <c r="AX1096" s="4"/>
      <c r="AY1096" s="4"/>
      <c r="AZ1096" s="4"/>
      <c r="BA1096" s="4"/>
      <c r="BB1096" s="4"/>
      <c r="BC1096" s="4"/>
      <c r="BD1096" s="4"/>
      <c r="BE1096" s="4"/>
      <c r="BF1096" s="4"/>
      <c r="BG1096" s="4"/>
      <c r="BH1096" s="4"/>
      <c r="BI1096" s="4"/>
      <c r="BJ1096" s="4"/>
      <c r="BK1096" s="4"/>
      <c r="BL1096" s="4"/>
      <c r="BM1096" s="4"/>
      <c r="BN1096" s="4"/>
      <c r="BO1096" s="4"/>
      <c r="BP1096" s="39"/>
      <c r="BQ1096" s="39"/>
    </row>
    <row r="1097" spans="3:69" ht="15.75" customHeight="1">
      <c r="C1097" s="4"/>
      <c r="D1097" s="4"/>
      <c r="E1097" s="38"/>
      <c r="F1097" s="38"/>
      <c r="G1097" s="4"/>
      <c r="H1097" s="4"/>
      <c r="I1097" s="4"/>
      <c r="J1097" s="4"/>
      <c r="K1097" s="4"/>
      <c r="L1097" s="4"/>
      <c r="M1097" s="4"/>
      <c r="N1097" s="38"/>
      <c r="O1097" s="4"/>
      <c r="P1097" s="4"/>
      <c r="Q1097" s="4"/>
      <c r="R1097" s="4"/>
      <c r="S1097" s="4"/>
      <c r="T1097" s="38"/>
      <c r="U1097" s="4"/>
      <c r="V1097" s="4"/>
      <c r="W1097" s="4"/>
      <c r="X1097" s="4"/>
      <c r="Y1097" s="4"/>
      <c r="Z1097" s="4"/>
      <c r="AA1097" s="4"/>
      <c r="AB1097" s="4"/>
      <c r="AC1097" s="4"/>
      <c r="AD1097" s="4"/>
      <c r="AE1097" s="4"/>
      <c r="AF1097" s="4"/>
      <c r="AG1097" s="4"/>
      <c r="AH1097" s="4"/>
      <c r="AI1097" s="4"/>
      <c r="AJ1097" s="4"/>
      <c r="AK1097" s="4"/>
      <c r="AL1097" s="4"/>
      <c r="AM1097" s="38"/>
      <c r="AN1097" s="4"/>
      <c r="AO1097" s="4"/>
      <c r="AP1097" s="4"/>
      <c r="AQ1097" s="4"/>
      <c r="AR1097" s="4"/>
      <c r="AS1097" s="4"/>
      <c r="AT1097" s="4"/>
      <c r="AU1097" s="4"/>
      <c r="AV1097" s="4"/>
      <c r="AW1097" s="4"/>
      <c r="AX1097" s="4"/>
      <c r="AY1097" s="4"/>
      <c r="AZ1097" s="4"/>
      <c r="BA1097" s="4"/>
      <c r="BB1097" s="4"/>
      <c r="BC1097" s="4"/>
      <c r="BD1097" s="4"/>
      <c r="BE1097" s="4"/>
      <c r="BF1097" s="4"/>
      <c r="BG1097" s="4"/>
      <c r="BH1097" s="4"/>
      <c r="BI1097" s="4"/>
      <c r="BJ1097" s="4"/>
      <c r="BK1097" s="4"/>
      <c r="BL1097" s="4"/>
      <c r="BM1097" s="4"/>
      <c r="BN1097" s="4"/>
      <c r="BO1097" s="4"/>
      <c r="BP1097" s="39"/>
      <c r="BQ1097" s="39"/>
    </row>
    <row r="1098" spans="3:69" ht="15.75" customHeight="1">
      <c r="C1098" s="4"/>
      <c r="D1098" s="4"/>
      <c r="E1098" s="38"/>
      <c r="F1098" s="38"/>
      <c r="G1098" s="4"/>
      <c r="H1098" s="4"/>
      <c r="I1098" s="4"/>
      <c r="J1098" s="4"/>
      <c r="K1098" s="4"/>
      <c r="L1098" s="4"/>
      <c r="M1098" s="4"/>
      <c r="N1098" s="38"/>
      <c r="O1098" s="4"/>
      <c r="P1098" s="4"/>
      <c r="Q1098" s="4"/>
      <c r="R1098" s="4"/>
      <c r="S1098" s="4"/>
      <c r="T1098" s="38"/>
      <c r="U1098" s="4"/>
      <c r="V1098" s="4"/>
      <c r="W1098" s="4"/>
      <c r="X1098" s="4"/>
      <c r="Y1098" s="4"/>
      <c r="Z1098" s="4"/>
      <c r="AA1098" s="4"/>
      <c r="AB1098" s="4"/>
      <c r="AC1098" s="4"/>
      <c r="AD1098" s="4"/>
      <c r="AE1098" s="4"/>
      <c r="AF1098" s="4"/>
      <c r="AG1098" s="4"/>
      <c r="AH1098" s="4"/>
      <c r="AI1098" s="4"/>
      <c r="AJ1098" s="4"/>
      <c r="AK1098" s="4"/>
      <c r="AL1098" s="4"/>
      <c r="AM1098" s="38"/>
      <c r="AN1098" s="4"/>
      <c r="AO1098" s="4"/>
      <c r="AP1098" s="4"/>
      <c r="AQ1098" s="4"/>
      <c r="AR1098" s="4"/>
      <c r="AS1098" s="4"/>
      <c r="AT1098" s="4"/>
      <c r="AU1098" s="4"/>
      <c r="AV1098" s="4"/>
      <c r="AW1098" s="4"/>
      <c r="AX1098" s="4"/>
      <c r="AY1098" s="4"/>
      <c r="AZ1098" s="4"/>
      <c r="BA1098" s="4"/>
      <c r="BB1098" s="4"/>
      <c r="BC1098" s="4"/>
      <c r="BD1098" s="4"/>
      <c r="BE1098" s="4"/>
      <c r="BF1098" s="4"/>
      <c r="BG1098" s="4"/>
      <c r="BH1098" s="4"/>
      <c r="BI1098" s="4"/>
      <c r="BJ1098" s="4"/>
      <c r="BK1098" s="4"/>
      <c r="BL1098" s="4"/>
      <c r="BM1098" s="4"/>
      <c r="BN1098" s="4"/>
      <c r="BO1098" s="4"/>
      <c r="BP1098" s="39"/>
      <c r="BQ1098" s="39"/>
    </row>
    <row r="1099" spans="3:69" ht="15.75" customHeight="1">
      <c r="C1099" s="4"/>
      <c r="D1099" s="4"/>
      <c r="E1099" s="38"/>
      <c r="F1099" s="38"/>
      <c r="G1099" s="4"/>
      <c r="H1099" s="4"/>
      <c r="I1099" s="4"/>
      <c r="J1099" s="4"/>
      <c r="K1099" s="4"/>
      <c r="L1099" s="4"/>
      <c r="M1099" s="4"/>
      <c r="N1099" s="38"/>
      <c r="O1099" s="4"/>
      <c r="P1099" s="4"/>
      <c r="Q1099" s="4"/>
      <c r="R1099" s="4"/>
      <c r="S1099" s="4"/>
      <c r="T1099" s="38"/>
      <c r="U1099" s="4"/>
      <c r="V1099" s="4"/>
      <c r="W1099" s="4"/>
      <c r="X1099" s="4"/>
      <c r="Y1099" s="4"/>
      <c r="Z1099" s="4"/>
      <c r="AA1099" s="4"/>
      <c r="AB1099" s="4"/>
      <c r="AC1099" s="4"/>
      <c r="AD1099" s="4"/>
      <c r="AE1099" s="4"/>
      <c r="AF1099" s="4"/>
      <c r="AG1099" s="4"/>
      <c r="AH1099" s="4"/>
      <c r="AI1099" s="4"/>
      <c r="AJ1099" s="4"/>
      <c r="AK1099" s="4"/>
      <c r="AL1099" s="4"/>
      <c r="AM1099" s="38"/>
      <c r="AN1099" s="4"/>
      <c r="AO1099" s="4"/>
      <c r="AP1099" s="4"/>
      <c r="AQ1099" s="4"/>
      <c r="AR1099" s="4"/>
      <c r="AS1099" s="4"/>
      <c r="AT1099" s="4"/>
      <c r="AU1099" s="4"/>
      <c r="AV1099" s="4"/>
      <c r="AW1099" s="4"/>
      <c r="AX1099" s="4"/>
      <c r="AY1099" s="4"/>
      <c r="AZ1099" s="4"/>
      <c r="BA1099" s="4"/>
      <c r="BB1099" s="4"/>
      <c r="BC1099" s="4"/>
      <c r="BD1099" s="4"/>
      <c r="BE1099" s="4"/>
      <c r="BF1099" s="4"/>
      <c r="BG1099" s="4"/>
      <c r="BH1099" s="4"/>
      <c r="BI1099" s="4"/>
      <c r="BJ1099" s="4"/>
      <c r="BK1099" s="4"/>
      <c r="BL1099" s="4"/>
      <c r="BM1099" s="4"/>
      <c r="BN1099" s="4"/>
      <c r="BO1099" s="4"/>
      <c r="BP1099" s="39"/>
      <c r="BQ1099" s="39"/>
    </row>
    <row r="1100" spans="3:69" ht="15.75" customHeight="1">
      <c r="C1100" s="4"/>
      <c r="D1100" s="4"/>
      <c r="E1100" s="38"/>
      <c r="F1100" s="38"/>
      <c r="G1100" s="4"/>
      <c r="H1100" s="4"/>
      <c r="I1100" s="4"/>
      <c r="J1100" s="4"/>
      <c r="K1100" s="4"/>
      <c r="L1100" s="4"/>
      <c r="M1100" s="4"/>
      <c r="N1100" s="38"/>
      <c r="O1100" s="4"/>
      <c r="P1100" s="4"/>
      <c r="Q1100" s="4"/>
      <c r="R1100" s="4"/>
      <c r="S1100" s="4"/>
      <c r="T1100" s="38"/>
      <c r="U1100" s="4"/>
      <c r="V1100" s="4"/>
      <c r="W1100" s="4"/>
      <c r="X1100" s="4"/>
      <c r="Y1100" s="4"/>
      <c r="Z1100" s="4"/>
      <c r="AA1100" s="4"/>
      <c r="AB1100" s="4"/>
      <c r="AC1100" s="4"/>
      <c r="AD1100" s="4"/>
      <c r="AE1100" s="4"/>
      <c r="AF1100" s="4"/>
      <c r="AG1100" s="4"/>
      <c r="AH1100" s="4"/>
      <c r="AI1100" s="4"/>
      <c r="AJ1100" s="4"/>
      <c r="AK1100" s="4"/>
      <c r="AL1100" s="4"/>
      <c r="AM1100" s="38"/>
      <c r="AN1100" s="4"/>
      <c r="AO1100" s="4"/>
      <c r="AP1100" s="4"/>
      <c r="AQ1100" s="4"/>
      <c r="AR1100" s="4"/>
      <c r="AS1100" s="4"/>
      <c r="AT1100" s="4"/>
      <c r="AU1100" s="4"/>
      <c r="AV1100" s="4"/>
      <c r="AW1100" s="4"/>
      <c r="AX1100" s="4"/>
      <c r="AY1100" s="4"/>
      <c r="AZ1100" s="4"/>
      <c r="BA1100" s="4"/>
      <c r="BB1100" s="4"/>
      <c r="BC1100" s="4"/>
      <c r="BD1100" s="4"/>
      <c r="BE1100" s="4"/>
      <c r="BF1100" s="4"/>
      <c r="BG1100" s="4"/>
      <c r="BH1100" s="4"/>
      <c r="BI1100" s="4"/>
      <c r="BJ1100" s="4"/>
      <c r="BK1100" s="4"/>
      <c r="BL1100" s="4"/>
      <c r="BM1100" s="4"/>
      <c r="BN1100" s="4"/>
      <c r="BO1100" s="4"/>
      <c r="BP1100" s="39"/>
      <c r="BQ1100" s="39"/>
    </row>
    <row r="1101" spans="3:69" ht="15.75" customHeight="1">
      <c r="C1101" s="4"/>
      <c r="D1101" s="4"/>
      <c r="E1101" s="38"/>
      <c r="F1101" s="38"/>
      <c r="G1101" s="4"/>
      <c r="H1101" s="4"/>
      <c r="I1101" s="4"/>
      <c r="J1101" s="4"/>
      <c r="K1101" s="4"/>
      <c r="L1101" s="4"/>
      <c r="M1101" s="4"/>
      <c r="N1101" s="38"/>
      <c r="O1101" s="4"/>
      <c r="P1101" s="4"/>
      <c r="Q1101" s="4"/>
      <c r="R1101" s="4"/>
      <c r="S1101" s="4"/>
      <c r="T1101" s="38"/>
      <c r="U1101" s="4"/>
      <c r="V1101" s="4"/>
      <c r="W1101" s="4"/>
      <c r="X1101" s="4"/>
      <c r="Y1101" s="4"/>
      <c r="Z1101" s="4"/>
      <c r="AA1101" s="4"/>
      <c r="AB1101" s="4"/>
      <c r="AC1101" s="4"/>
      <c r="AD1101" s="4"/>
      <c r="AE1101" s="4"/>
      <c r="AF1101" s="4"/>
      <c r="AG1101" s="4"/>
      <c r="AH1101" s="4"/>
      <c r="AI1101" s="4"/>
      <c r="AJ1101" s="4"/>
      <c r="AK1101" s="4"/>
      <c r="AL1101" s="4"/>
      <c r="AM1101" s="38"/>
      <c r="AN1101" s="4"/>
      <c r="AO1101" s="4"/>
      <c r="AP1101" s="4"/>
      <c r="AQ1101" s="4"/>
      <c r="AR1101" s="4"/>
      <c r="AS1101" s="4"/>
      <c r="AT1101" s="4"/>
      <c r="AU1101" s="4"/>
      <c r="AV1101" s="4"/>
      <c r="AW1101" s="4"/>
      <c r="AX1101" s="4"/>
      <c r="AY1101" s="4"/>
      <c r="AZ1101" s="4"/>
      <c r="BA1101" s="4"/>
      <c r="BB1101" s="4"/>
      <c r="BC1101" s="4"/>
      <c r="BD1101" s="4"/>
      <c r="BE1101" s="4"/>
      <c r="BF1101" s="4"/>
      <c r="BG1101" s="4"/>
      <c r="BH1101" s="4"/>
      <c r="BI1101" s="4"/>
      <c r="BJ1101" s="4"/>
      <c r="BK1101" s="4"/>
      <c r="BL1101" s="4"/>
      <c r="BM1101" s="4"/>
      <c r="BN1101" s="4"/>
      <c r="BO1101" s="4"/>
      <c r="BP1101" s="39"/>
      <c r="BQ1101" s="39"/>
    </row>
    <row r="1102" spans="3:69" ht="15.75" customHeight="1">
      <c r="C1102" s="4"/>
      <c r="D1102" s="4"/>
      <c r="E1102" s="38"/>
      <c r="F1102" s="38"/>
      <c r="G1102" s="4"/>
      <c r="H1102" s="4"/>
      <c r="I1102" s="4"/>
      <c r="J1102" s="4"/>
      <c r="K1102" s="4"/>
      <c r="L1102" s="4"/>
      <c r="M1102" s="4"/>
      <c r="N1102" s="38"/>
      <c r="O1102" s="4"/>
      <c r="P1102" s="4"/>
      <c r="Q1102" s="4"/>
      <c r="R1102" s="4"/>
      <c r="S1102" s="4"/>
      <c r="T1102" s="38"/>
      <c r="U1102" s="4"/>
      <c r="V1102" s="4"/>
      <c r="W1102" s="4"/>
      <c r="X1102" s="4"/>
      <c r="Y1102" s="4"/>
      <c r="Z1102" s="4"/>
      <c r="AA1102" s="4"/>
      <c r="AB1102" s="4"/>
      <c r="AC1102" s="4"/>
      <c r="AD1102" s="4"/>
      <c r="AE1102" s="4"/>
      <c r="AF1102" s="4"/>
      <c r="AG1102" s="4"/>
      <c r="AH1102" s="4"/>
      <c r="AI1102" s="4"/>
      <c r="AJ1102" s="4"/>
      <c r="AK1102" s="4"/>
      <c r="AL1102" s="4"/>
      <c r="AM1102" s="38"/>
      <c r="AN1102" s="4"/>
      <c r="AO1102" s="4"/>
      <c r="AP1102" s="4"/>
      <c r="AQ1102" s="4"/>
      <c r="AR1102" s="4"/>
      <c r="AS1102" s="4"/>
      <c r="AT1102" s="4"/>
      <c r="AU1102" s="4"/>
      <c r="AV1102" s="4"/>
      <c r="AW1102" s="4"/>
      <c r="AX1102" s="4"/>
      <c r="AY1102" s="4"/>
      <c r="AZ1102" s="4"/>
      <c r="BA1102" s="4"/>
      <c r="BB1102" s="4"/>
      <c r="BC1102" s="4"/>
      <c r="BD1102" s="4"/>
      <c r="BE1102" s="4"/>
      <c r="BF1102" s="4"/>
      <c r="BG1102" s="4"/>
      <c r="BH1102" s="4"/>
      <c r="BI1102" s="4"/>
      <c r="BJ1102" s="4"/>
      <c r="BK1102" s="4"/>
      <c r="BL1102" s="4"/>
      <c r="BM1102" s="4"/>
      <c r="BN1102" s="4"/>
      <c r="BO1102" s="4"/>
      <c r="BP1102" s="39"/>
      <c r="BQ1102" s="39"/>
    </row>
    <row r="1103" spans="3:69" ht="15.75" customHeight="1">
      <c r="C1103" s="4"/>
      <c r="D1103" s="4"/>
      <c r="E1103" s="38"/>
      <c r="F1103" s="38"/>
      <c r="G1103" s="4"/>
      <c r="H1103" s="4"/>
      <c r="I1103" s="4"/>
      <c r="J1103" s="4"/>
      <c r="K1103" s="4"/>
      <c r="L1103" s="4"/>
      <c r="M1103" s="4"/>
      <c r="N1103" s="38"/>
      <c r="O1103" s="4"/>
      <c r="P1103" s="4"/>
      <c r="Q1103" s="4"/>
      <c r="R1103" s="4"/>
      <c r="S1103" s="4"/>
      <c r="T1103" s="38"/>
      <c r="U1103" s="4"/>
      <c r="V1103" s="4"/>
      <c r="W1103" s="4"/>
      <c r="X1103" s="4"/>
      <c r="Y1103" s="4"/>
      <c r="Z1103" s="4"/>
      <c r="AA1103" s="4"/>
      <c r="AB1103" s="4"/>
      <c r="AC1103" s="4"/>
      <c r="AD1103" s="4"/>
      <c r="AE1103" s="4"/>
      <c r="AF1103" s="4"/>
      <c r="AG1103" s="4"/>
      <c r="AH1103" s="4"/>
      <c r="AI1103" s="4"/>
      <c r="AJ1103" s="4"/>
      <c r="AK1103" s="4"/>
      <c r="AL1103" s="4"/>
      <c r="AM1103" s="38"/>
      <c r="AN1103" s="4"/>
      <c r="AO1103" s="4"/>
      <c r="AP1103" s="4"/>
      <c r="AQ1103" s="4"/>
      <c r="AR1103" s="4"/>
      <c r="AS1103" s="4"/>
      <c r="AT1103" s="4"/>
      <c r="AU1103" s="4"/>
      <c r="AV1103" s="4"/>
      <c r="AW1103" s="4"/>
      <c r="AX1103" s="4"/>
      <c r="AY1103" s="4"/>
      <c r="AZ1103" s="4"/>
      <c r="BA1103" s="4"/>
      <c r="BB1103" s="4"/>
      <c r="BC1103" s="4"/>
      <c r="BD1103" s="4"/>
      <c r="BE1103" s="4"/>
      <c r="BF1103" s="4"/>
      <c r="BG1103" s="4"/>
      <c r="BH1103" s="4"/>
      <c r="BI1103" s="4"/>
      <c r="BJ1103" s="4"/>
      <c r="BK1103" s="4"/>
      <c r="BL1103" s="4"/>
      <c r="BM1103" s="4"/>
      <c r="BN1103" s="4"/>
      <c r="BO1103" s="4"/>
      <c r="BP1103" s="39"/>
      <c r="BQ1103" s="39"/>
    </row>
    <row r="1104" spans="3:69" ht="15.75" customHeight="1">
      <c r="C1104" s="4"/>
      <c r="D1104" s="4"/>
      <c r="E1104" s="38"/>
      <c r="F1104" s="38"/>
      <c r="G1104" s="4"/>
      <c r="H1104" s="4"/>
      <c r="I1104" s="4"/>
      <c r="J1104" s="4"/>
      <c r="K1104" s="4"/>
      <c r="L1104" s="4"/>
      <c r="M1104" s="4"/>
      <c r="N1104" s="38"/>
      <c r="O1104" s="4"/>
      <c r="P1104" s="4"/>
      <c r="Q1104" s="4"/>
      <c r="R1104" s="4"/>
      <c r="S1104" s="4"/>
      <c r="T1104" s="38"/>
      <c r="U1104" s="4"/>
      <c r="V1104" s="4"/>
      <c r="W1104" s="4"/>
      <c r="X1104" s="4"/>
      <c r="Y1104" s="4"/>
      <c r="Z1104" s="4"/>
      <c r="AA1104" s="4"/>
      <c r="AB1104" s="4"/>
      <c r="AC1104" s="4"/>
      <c r="AD1104" s="4"/>
      <c r="AE1104" s="4"/>
      <c r="AF1104" s="4"/>
      <c r="AG1104" s="4"/>
      <c r="AH1104" s="4"/>
      <c r="AI1104" s="4"/>
      <c r="AJ1104" s="4"/>
      <c r="AK1104" s="4"/>
      <c r="AL1104" s="4"/>
      <c r="AM1104" s="38"/>
      <c r="AN1104" s="4"/>
      <c r="AO1104" s="4"/>
      <c r="AP1104" s="4"/>
      <c r="AQ1104" s="4"/>
      <c r="AR1104" s="4"/>
      <c r="AS1104" s="4"/>
      <c r="AT1104" s="4"/>
      <c r="AU1104" s="4"/>
      <c r="AV1104" s="4"/>
      <c r="AW1104" s="4"/>
      <c r="AX1104" s="4"/>
      <c r="AY1104" s="4"/>
      <c r="AZ1104" s="4"/>
      <c r="BA1104" s="4"/>
      <c r="BB1104" s="4"/>
      <c r="BC1104" s="4"/>
      <c r="BD1104" s="4"/>
      <c r="BE1104" s="4"/>
      <c r="BF1104" s="4"/>
      <c r="BG1104" s="4"/>
      <c r="BH1104" s="4"/>
      <c r="BI1104" s="4"/>
      <c r="BJ1104" s="4"/>
      <c r="BK1104" s="4"/>
      <c r="BL1104" s="4"/>
      <c r="BM1104" s="4"/>
      <c r="BN1104" s="4"/>
      <c r="BO1104" s="4"/>
      <c r="BP1104" s="39"/>
      <c r="BQ1104" s="39"/>
    </row>
    <row r="1105" spans="3:69" ht="15.75" customHeight="1">
      <c r="C1105" s="4"/>
      <c r="D1105" s="4"/>
      <c r="E1105" s="38"/>
      <c r="F1105" s="38"/>
      <c r="G1105" s="4"/>
      <c r="H1105" s="4"/>
      <c r="I1105" s="4"/>
      <c r="J1105" s="4"/>
      <c r="K1105" s="4"/>
      <c r="L1105" s="4"/>
      <c r="M1105" s="4"/>
      <c r="N1105" s="38"/>
      <c r="O1105" s="4"/>
      <c r="P1105" s="4"/>
      <c r="Q1105" s="4"/>
      <c r="R1105" s="4"/>
      <c r="S1105" s="4"/>
      <c r="T1105" s="38"/>
      <c r="U1105" s="4"/>
      <c r="V1105" s="4"/>
      <c r="W1105" s="4"/>
      <c r="X1105" s="4"/>
      <c r="Y1105" s="4"/>
      <c r="Z1105" s="4"/>
      <c r="AA1105" s="4"/>
      <c r="AB1105" s="4"/>
      <c r="AC1105" s="4"/>
      <c r="AD1105" s="4"/>
      <c r="AE1105" s="4"/>
      <c r="AF1105" s="4"/>
      <c r="AG1105" s="4"/>
      <c r="AH1105" s="4"/>
      <c r="AI1105" s="4"/>
      <c r="AJ1105" s="4"/>
      <c r="AK1105" s="4"/>
      <c r="AL1105" s="4"/>
      <c r="AM1105" s="38"/>
      <c r="AN1105" s="4"/>
      <c r="AO1105" s="4"/>
      <c r="AP1105" s="4"/>
      <c r="AQ1105" s="4"/>
      <c r="AR1105" s="4"/>
      <c r="AS1105" s="4"/>
      <c r="AT1105" s="4"/>
      <c r="AU1105" s="4"/>
      <c r="AV1105" s="4"/>
      <c r="AW1105" s="4"/>
      <c r="AX1105" s="4"/>
      <c r="AY1105" s="4"/>
      <c r="AZ1105" s="4"/>
      <c r="BA1105" s="4"/>
      <c r="BB1105" s="4"/>
      <c r="BC1105" s="4"/>
      <c r="BD1105" s="4"/>
      <c r="BE1105" s="4"/>
      <c r="BF1105" s="4"/>
      <c r="BG1105" s="4"/>
      <c r="BH1105" s="4"/>
      <c r="BI1105" s="4"/>
      <c r="BJ1105" s="4"/>
      <c r="BK1105" s="4"/>
      <c r="BL1105" s="4"/>
      <c r="BM1105" s="4"/>
      <c r="BN1105" s="4"/>
      <c r="BO1105" s="4"/>
      <c r="BP1105" s="39"/>
      <c r="BQ1105" s="39"/>
    </row>
    <row r="1106" spans="3:69" ht="15.75" customHeight="1">
      <c r="C1106" s="4"/>
      <c r="D1106" s="4"/>
      <c r="E1106" s="38"/>
      <c r="F1106" s="38"/>
      <c r="G1106" s="4"/>
      <c r="H1106" s="4"/>
      <c r="I1106" s="4"/>
      <c r="J1106" s="4"/>
      <c r="K1106" s="4"/>
      <c r="L1106" s="4"/>
      <c r="M1106" s="4"/>
      <c r="N1106" s="38"/>
      <c r="O1106" s="4"/>
      <c r="P1106" s="4"/>
      <c r="Q1106" s="4"/>
      <c r="R1106" s="4"/>
      <c r="S1106" s="4"/>
      <c r="T1106" s="38"/>
      <c r="U1106" s="4"/>
      <c r="V1106" s="4"/>
      <c r="W1106" s="4"/>
      <c r="X1106" s="4"/>
      <c r="Y1106" s="4"/>
      <c r="Z1106" s="4"/>
      <c r="AA1106" s="4"/>
      <c r="AB1106" s="4"/>
      <c r="AC1106" s="4"/>
      <c r="AD1106" s="4"/>
      <c r="AE1106" s="4"/>
      <c r="AF1106" s="4"/>
      <c r="AG1106" s="4"/>
      <c r="AH1106" s="4"/>
      <c r="AI1106" s="4"/>
      <c r="AJ1106" s="4"/>
      <c r="AK1106" s="4"/>
      <c r="AL1106" s="4"/>
      <c r="AM1106" s="38"/>
      <c r="AN1106" s="4"/>
      <c r="AO1106" s="4"/>
      <c r="AP1106" s="4"/>
      <c r="AQ1106" s="4"/>
      <c r="AR1106" s="4"/>
      <c r="AS1106" s="4"/>
      <c r="AT1106" s="4"/>
      <c r="AU1106" s="4"/>
      <c r="AV1106" s="4"/>
      <c r="AW1106" s="4"/>
      <c r="AX1106" s="4"/>
      <c r="AY1106" s="4"/>
      <c r="AZ1106" s="4"/>
      <c r="BA1106" s="4"/>
      <c r="BB1106" s="4"/>
      <c r="BC1106" s="4"/>
      <c r="BD1106" s="4"/>
      <c r="BE1106" s="4"/>
      <c r="BF1106" s="4"/>
      <c r="BG1106" s="4"/>
      <c r="BH1106" s="4"/>
      <c r="BI1106" s="4"/>
      <c r="BJ1106" s="4"/>
      <c r="BK1106" s="4"/>
      <c r="BL1106" s="4"/>
      <c r="BM1106" s="4"/>
      <c r="BN1106" s="4"/>
      <c r="BO1106" s="4"/>
      <c r="BP1106" s="39"/>
      <c r="BQ1106" s="39"/>
    </row>
    <row r="1107" spans="3:69" ht="15.75" customHeight="1">
      <c r="C1107" s="4"/>
      <c r="D1107" s="4"/>
      <c r="E1107" s="38"/>
      <c r="F1107" s="38"/>
      <c r="G1107" s="4"/>
      <c r="H1107" s="4"/>
      <c r="I1107" s="4"/>
      <c r="J1107" s="4"/>
      <c r="K1107" s="4"/>
      <c r="L1107" s="4"/>
      <c r="M1107" s="4"/>
      <c r="N1107" s="38"/>
      <c r="O1107" s="4"/>
      <c r="P1107" s="4"/>
      <c r="Q1107" s="4"/>
      <c r="R1107" s="4"/>
      <c r="S1107" s="4"/>
      <c r="T1107" s="38"/>
      <c r="U1107" s="4"/>
      <c r="V1107" s="4"/>
      <c r="W1107" s="4"/>
      <c r="X1107" s="4"/>
      <c r="Y1107" s="4"/>
      <c r="Z1107" s="4"/>
      <c r="AA1107" s="4"/>
      <c r="AB1107" s="4"/>
      <c r="AC1107" s="4"/>
      <c r="AD1107" s="4"/>
      <c r="AE1107" s="4"/>
      <c r="AF1107" s="4"/>
      <c r="AG1107" s="4"/>
      <c r="AH1107" s="4"/>
      <c r="AI1107" s="4"/>
      <c r="AJ1107" s="4"/>
      <c r="AK1107" s="4"/>
      <c r="AL1107" s="4"/>
      <c r="AM1107" s="38"/>
      <c r="AN1107" s="4"/>
      <c r="AO1107" s="4"/>
      <c r="AP1107" s="4"/>
      <c r="AQ1107" s="4"/>
      <c r="AR1107" s="4"/>
      <c r="AS1107" s="4"/>
      <c r="AT1107" s="4"/>
      <c r="AU1107" s="4"/>
      <c r="AV1107" s="4"/>
      <c r="AW1107" s="4"/>
      <c r="AX1107" s="4"/>
      <c r="AY1107" s="4"/>
      <c r="AZ1107" s="4"/>
      <c r="BA1107" s="4"/>
      <c r="BB1107" s="4"/>
      <c r="BC1107" s="4"/>
      <c r="BD1107" s="4"/>
      <c r="BE1107" s="4"/>
      <c r="BF1107" s="4"/>
      <c r="BG1107" s="4"/>
      <c r="BH1107" s="4"/>
      <c r="BI1107" s="4"/>
      <c r="BJ1107" s="4"/>
      <c r="BK1107" s="4"/>
      <c r="BL1107" s="4"/>
      <c r="BM1107" s="4"/>
      <c r="BN1107" s="4"/>
      <c r="BO1107" s="4"/>
      <c r="BP1107" s="39"/>
      <c r="BQ1107" s="39"/>
    </row>
    <row r="1108" spans="3:69" ht="15.75" customHeight="1">
      <c r="C1108" s="4"/>
      <c r="D1108" s="4"/>
      <c r="E1108" s="38"/>
      <c r="F1108" s="38"/>
      <c r="G1108" s="4"/>
      <c r="H1108" s="4"/>
      <c r="I1108" s="4"/>
      <c r="J1108" s="4"/>
      <c r="K1108" s="4"/>
      <c r="L1108" s="4"/>
      <c r="M1108" s="4"/>
      <c r="N1108" s="38"/>
      <c r="O1108" s="4"/>
      <c r="P1108" s="4"/>
      <c r="Q1108" s="4"/>
      <c r="R1108" s="4"/>
      <c r="S1108" s="4"/>
      <c r="T1108" s="38"/>
      <c r="U1108" s="4"/>
      <c r="V1108" s="4"/>
      <c r="W1108" s="4"/>
      <c r="X1108" s="4"/>
      <c r="Y1108" s="4"/>
      <c r="Z1108" s="4"/>
      <c r="AA1108" s="4"/>
      <c r="AB1108" s="4"/>
      <c r="AC1108" s="4"/>
      <c r="AD1108" s="4"/>
      <c r="AE1108" s="4"/>
      <c r="AF1108" s="4"/>
      <c r="AG1108" s="4"/>
      <c r="AH1108" s="4"/>
      <c r="AI1108" s="4"/>
      <c r="AJ1108" s="4"/>
      <c r="AK1108" s="4"/>
      <c r="AL1108" s="4"/>
      <c r="AM1108" s="38"/>
      <c r="AN1108" s="4"/>
      <c r="AO1108" s="4"/>
      <c r="AP1108" s="4"/>
      <c r="AQ1108" s="4"/>
      <c r="AR1108" s="4"/>
      <c r="AS1108" s="4"/>
      <c r="AT1108" s="4"/>
      <c r="AU1108" s="4"/>
      <c r="AV1108" s="4"/>
      <c r="AW1108" s="4"/>
      <c r="AX1108" s="4"/>
      <c r="AY1108" s="4"/>
      <c r="AZ1108" s="4"/>
      <c r="BA1108" s="4"/>
      <c r="BB1108" s="4"/>
      <c r="BC1108" s="4"/>
      <c r="BD1108" s="4"/>
      <c r="BE1108" s="4"/>
      <c r="BF1108" s="4"/>
      <c r="BG1108" s="4"/>
      <c r="BH1108" s="4"/>
      <c r="BI1108" s="4"/>
      <c r="BJ1108" s="4"/>
      <c r="BK1108" s="4"/>
      <c r="BL1108" s="4"/>
      <c r="BM1108" s="4"/>
      <c r="BN1108" s="4"/>
      <c r="BO1108" s="4"/>
      <c r="BP1108" s="39"/>
      <c r="BQ1108" s="39"/>
    </row>
    <row r="1109" spans="3:69" ht="15.75" customHeight="1">
      <c r="C1109" s="4"/>
      <c r="D1109" s="4"/>
      <c r="E1109" s="38"/>
      <c r="F1109" s="38"/>
      <c r="G1109" s="4"/>
      <c r="H1109" s="4"/>
      <c r="I1109" s="4"/>
      <c r="J1109" s="4"/>
      <c r="K1109" s="4"/>
      <c r="L1109" s="4"/>
      <c r="M1109" s="4"/>
      <c r="N1109" s="38"/>
      <c r="O1109" s="4"/>
      <c r="P1109" s="4"/>
      <c r="Q1109" s="4"/>
      <c r="R1109" s="4"/>
      <c r="S1109" s="4"/>
      <c r="T1109" s="38"/>
      <c r="U1109" s="4"/>
      <c r="V1109" s="4"/>
      <c r="W1109" s="4"/>
      <c r="X1109" s="4"/>
      <c r="Y1109" s="4"/>
      <c r="Z1109" s="4"/>
      <c r="AA1109" s="4"/>
      <c r="AB1109" s="4"/>
      <c r="AC1109" s="4"/>
      <c r="AD1109" s="4"/>
      <c r="AE1109" s="4"/>
      <c r="AF1109" s="4"/>
      <c r="AG1109" s="4"/>
      <c r="AH1109" s="4"/>
      <c r="AI1109" s="4"/>
      <c r="AJ1109" s="4"/>
      <c r="AK1109" s="4"/>
      <c r="AL1109" s="4"/>
      <c r="AM1109" s="38"/>
      <c r="AN1109" s="4"/>
      <c r="AO1109" s="4"/>
      <c r="AP1109" s="4"/>
      <c r="AQ1109" s="4"/>
      <c r="AR1109" s="4"/>
      <c r="AS1109" s="4"/>
      <c r="AT1109" s="4"/>
      <c r="AU1109" s="4"/>
      <c r="AV1109" s="4"/>
      <c r="AW1109" s="4"/>
      <c r="AX1109" s="4"/>
      <c r="AY1109" s="4"/>
      <c r="AZ1109" s="4"/>
      <c r="BA1109" s="4"/>
      <c r="BB1109" s="4"/>
      <c r="BC1109" s="4"/>
      <c r="BD1109" s="4"/>
      <c r="BE1109" s="4"/>
      <c r="BF1109" s="4"/>
      <c r="BG1109" s="4"/>
      <c r="BH1109" s="4"/>
      <c r="BI1109" s="4"/>
      <c r="BJ1109" s="4"/>
      <c r="BK1109" s="4"/>
      <c r="BL1109" s="4"/>
      <c r="BM1109" s="4"/>
      <c r="BN1109" s="4"/>
      <c r="BO1109" s="4"/>
      <c r="BP1109" s="39"/>
      <c r="BQ1109" s="39"/>
    </row>
    <row r="1110" spans="3:69" ht="15.75" customHeight="1">
      <c r="C1110" s="4"/>
      <c r="D1110" s="4"/>
      <c r="E1110" s="38"/>
      <c r="F1110" s="38"/>
      <c r="G1110" s="4"/>
      <c r="H1110" s="4"/>
      <c r="I1110" s="4"/>
      <c r="J1110" s="4"/>
      <c r="K1110" s="4"/>
      <c r="L1110" s="4"/>
      <c r="M1110" s="4"/>
      <c r="N1110" s="38"/>
      <c r="O1110" s="4"/>
      <c r="P1110" s="4"/>
      <c r="Q1110" s="4"/>
      <c r="R1110" s="4"/>
      <c r="S1110" s="4"/>
      <c r="T1110" s="38"/>
      <c r="U1110" s="4"/>
      <c r="V1110" s="4"/>
      <c r="W1110" s="4"/>
      <c r="X1110" s="4"/>
      <c r="Y1110" s="4"/>
      <c r="Z1110" s="4"/>
      <c r="AA1110" s="4"/>
      <c r="AB1110" s="4"/>
      <c r="AC1110" s="4"/>
      <c r="AD1110" s="4"/>
      <c r="AE1110" s="4"/>
      <c r="AF1110" s="4"/>
      <c r="AG1110" s="4"/>
      <c r="AH1110" s="4"/>
      <c r="AI1110" s="4"/>
      <c r="AJ1110" s="4"/>
      <c r="AK1110" s="4"/>
      <c r="AL1110" s="4"/>
      <c r="AM1110" s="38"/>
      <c r="AN1110" s="4"/>
      <c r="AO1110" s="4"/>
      <c r="AP1110" s="4"/>
      <c r="AQ1110" s="4"/>
      <c r="AR1110" s="4"/>
      <c r="AS1110" s="4"/>
      <c r="AT1110" s="4"/>
      <c r="AU1110" s="4"/>
      <c r="AV1110" s="4"/>
      <c r="AW1110" s="4"/>
      <c r="AX1110" s="4"/>
      <c r="AY1110" s="4"/>
      <c r="AZ1110" s="4"/>
      <c r="BA1110" s="4"/>
      <c r="BB1110" s="4"/>
      <c r="BC1110" s="4"/>
      <c r="BD1110" s="4"/>
      <c r="BE1110" s="4"/>
      <c r="BF1110" s="4"/>
      <c r="BG1110" s="4"/>
      <c r="BH1110" s="4"/>
      <c r="BI1110" s="4"/>
      <c r="BJ1110" s="4"/>
      <c r="BK1110" s="4"/>
      <c r="BL1110" s="4"/>
      <c r="BM1110" s="4"/>
      <c r="BN1110" s="4"/>
      <c r="BO1110" s="4"/>
      <c r="BP1110" s="39"/>
      <c r="BQ1110" s="39"/>
    </row>
    <row r="1111" spans="3:69" ht="15.75" customHeight="1">
      <c r="C1111" s="4"/>
      <c r="D1111" s="4"/>
      <c r="E1111" s="38"/>
      <c r="F1111" s="38"/>
      <c r="G1111" s="4"/>
      <c r="H1111" s="4"/>
      <c r="I1111" s="4"/>
      <c r="J1111" s="4"/>
      <c r="K1111" s="4"/>
      <c r="L1111" s="4"/>
      <c r="M1111" s="4"/>
      <c r="N1111" s="38"/>
      <c r="O1111" s="4"/>
      <c r="P1111" s="4"/>
      <c r="Q1111" s="4"/>
      <c r="R1111" s="4"/>
      <c r="S1111" s="4"/>
      <c r="T1111" s="38"/>
      <c r="U1111" s="4"/>
      <c r="V1111" s="4"/>
      <c r="W1111" s="4"/>
      <c r="X1111" s="4"/>
      <c r="Y1111" s="4"/>
      <c r="Z1111" s="4"/>
      <c r="AA1111" s="4"/>
      <c r="AB1111" s="4"/>
      <c r="AC1111" s="4"/>
      <c r="AD1111" s="4"/>
      <c r="AE1111" s="4"/>
      <c r="AF1111" s="4"/>
      <c r="AG1111" s="4"/>
      <c r="AH1111" s="4"/>
      <c r="AI1111" s="4"/>
      <c r="AJ1111" s="4"/>
      <c r="AK1111" s="4"/>
      <c r="AL1111" s="4"/>
      <c r="AM1111" s="38"/>
      <c r="AN1111" s="4"/>
      <c r="AO1111" s="4"/>
      <c r="AP1111" s="4"/>
      <c r="AQ1111" s="4"/>
      <c r="AR1111" s="4"/>
      <c r="AS1111" s="4"/>
      <c r="AT1111" s="4"/>
      <c r="AU1111" s="4"/>
      <c r="AV1111" s="4"/>
      <c r="AW1111" s="4"/>
      <c r="AX1111" s="4"/>
      <c r="AY1111" s="4"/>
      <c r="AZ1111" s="4"/>
      <c r="BA1111" s="4"/>
      <c r="BB1111" s="4"/>
      <c r="BC1111" s="4"/>
      <c r="BD1111" s="4"/>
      <c r="BE1111" s="4"/>
      <c r="BF1111" s="4"/>
      <c r="BG1111" s="4"/>
      <c r="BH1111" s="4"/>
      <c r="BI1111" s="4"/>
      <c r="BJ1111" s="4"/>
      <c r="BK1111" s="4"/>
      <c r="BL1111" s="4"/>
      <c r="BM1111" s="4"/>
      <c r="BN1111" s="4"/>
      <c r="BO1111" s="4"/>
      <c r="BP1111" s="39"/>
      <c r="BQ1111" s="39"/>
    </row>
    <row r="1112" spans="3:69" ht="15.75" customHeight="1">
      <c r="C1112" s="4"/>
      <c r="D1112" s="4"/>
      <c r="E1112" s="38"/>
      <c r="F1112" s="38"/>
      <c r="G1112" s="4"/>
      <c r="H1112" s="4"/>
      <c r="I1112" s="4"/>
      <c r="J1112" s="4"/>
      <c r="K1112" s="4"/>
      <c r="L1112" s="4"/>
      <c r="M1112" s="4"/>
      <c r="N1112" s="38"/>
      <c r="O1112" s="4"/>
      <c r="P1112" s="4"/>
      <c r="Q1112" s="4"/>
      <c r="R1112" s="4"/>
      <c r="S1112" s="4"/>
      <c r="T1112" s="38"/>
      <c r="U1112" s="4"/>
      <c r="V1112" s="4"/>
      <c r="W1112" s="4"/>
      <c r="X1112" s="4"/>
      <c r="Y1112" s="4"/>
      <c r="Z1112" s="4"/>
      <c r="AA1112" s="4"/>
      <c r="AB1112" s="4"/>
      <c r="AC1112" s="4"/>
      <c r="AD1112" s="4"/>
      <c r="AE1112" s="4"/>
      <c r="AF1112" s="4"/>
      <c r="AG1112" s="4"/>
      <c r="AH1112" s="4"/>
      <c r="AI1112" s="4"/>
      <c r="AJ1112" s="4"/>
      <c r="AK1112" s="4"/>
      <c r="AL1112" s="4"/>
      <c r="AM1112" s="38"/>
      <c r="AN1112" s="4"/>
      <c r="AO1112" s="4"/>
      <c r="AP1112" s="4"/>
      <c r="AQ1112" s="4"/>
      <c r="AR1112" s="4"/>
      <c r="AS1112" s="4"/>
      <c r="AT1112" s="4"/>
      <c r="AU1112" s="4"/>
      <c r="AV1112" s="4"/>
      <c r="AW1112" s="4"/>
      <c r="AX1112" s="4"/>
      <c r="AY1112" s="4"/>
      <c r="AZ1112" s="4"/>
      <c r="BA1112" s="4"/>
      <c r="BB1112" s="4"/>
      <c r="BC1112" s="4"/>
      <c r="BD1112" s="4"/>
      <c r="BE1112" s="4"/>
      <c r="BF1112" s="4"/>
      <c r="BG1112" s="4"/>
      <c r="BH1112" s="4"/>
      <c r="BI1112" s="4"/>
      <c r="BJ1112" s="4"/>
      <c r="BK1112" s="4"/>
      <c r="BL1112" s="4"/>
      <c r="BM1112" s="4"/>
      <c r="BN1112" s="4"/>
      <c r="BO1112" s="4"/>
      <c r="BP1112" s="39"/>
      <c r="BQ1112" s="39"/>
    </row>
    <row r="1113" spans="3:69" ht="15.75" customHeight="1">
      <c r="C1113" s="4"/>
      <c r="D1113" s="4"/>
      <c r="E1113" s="38"/>
      <c r="F1113" s="38"/>
      <c r="G1113" s="4"/>
      <c r="H1113" s="4"/>
      <c r="I1113" s="4"/>
      <c r="J1113" s="4"/>
      <c r="K1113" s="4"/>
      <c r="L1113" s="4"/>
      <c r="M1113" s="4"/>
      <c r="N1113" s="38"/>
      <c r="O1113" s="4"/>
      <c r="P1113" s="4"/>
      <c r="Q1113" s="4"/>
      <c r="R1113" s="4"/>
      <c r="S1113" s="4"/>
      <c r="T1113" s="38"/>
      <c r="U1113" s="4"/>
      <c r="V1113" s="4"/>
      <c r="W1113" s="4"/>
      <c r="X1113" s="4"/>
      <c r="Y1113" s="4"/>
      <c r="Z1113" s="4"/>
      <c r="AA1113" s="4"/>
      <c r="AB1113" s="4"/>
      <c r="AC1113" s="4"/>
      <c r="AD1113" s="4"/>
      <c r="AE1113" s="4"/>
      <c r="AF1113" s="4"/>
      <c r="AG1113" s="4"/>
      <c r="AH1113" s="4"/>
      <c r="AI1113" s="4"/>
      <c r="AJ1113" s="4"/>
      <c r="AK1113" s="4"/>
      <c r="AL1113" s="4"/>
      <c r="AM1113" s="38"/>
      <c r="AN1113" s="4"/>
      <c r="AO1113" s="4"/>
      <c r="AP1113" s="4"/>
      <c r="AQ1113" s="4"/>
      <c r="AR1113" s="4"/>
      <c r="AS1113" s="4"/>
      <c r="AT1113" s="4"/>
      <c r="AU1113" s="4"/>
      <c r="AV1113" s="4"/>
      <c r="AW1113" s="4"/>
      <c r="AX1113" s="4"/>
      <c r="AY1113" s="4"/>
      <c r="AZ1113" s="4"/>
      <c r="BA1113" s="4"/>
      <c r="BB1113" s="4"/>
      <c r="BC1113" s="4"/>
      <c r="BD1113" s="4"/>
      <c r="BE1113" s="4"/>
      <c r="BF1113" s="4"/>
      <c r="BG1113" s="4"/>
      <c r="BH1113" s="4"/>
      <c r="BI1113" s="4"/>
      <c r="BJ1113" s="4"/>
      <c r="BK1113" s="4"/>
      <c r="BL1113" s="4"/>
      <c r="BM1113" s="4"/>
      <c r="BN1113" s="4"/>
      <c r="BO1113" s="4"/>
      <c r="BP1113" s="39"/>
      <c r="BQ1113" s="39"/>
    </row>
    <row r="1114" spans="3:69" ht="15.75" customHeight="1">
      <c r="C1114" s="4"/>
      <c r="D1114" s="4"/>
      <c r="E1114" s="38"/>
      <c r="F1114" s="38"/>
      <c r="G1114" s="4"/>
      <c r="H1114" s="4"/>
      <c r="I1114" s="4"/>
      <c r="J1114" s="4"/>
      <c r="K1114" s="4"/>
      <c r="L1114" s="4"/>
      <c r="M1114" s="4"/>
      <c r="N1114" s="38"/>
      <c r="O1114" s="4"/>
      <c r="P1114" s="4"/>
      <c r="Q1114" s="4"/>
      <c r="R1114" s="4"/>
      <c r="S1114" s="4"/>
      <c r="T1114" s="38"/>
      <c r="U1114" s="4"/>
      <c r="V1114" s="4"/>
      <c r="W1114" s="4"/>
      <c r="X1114" s="4"/>
      <c r="Y1114" s="4"/>
      <c r="Z1114" s="4"/>
      <c r="AA1114" s="4"/>
      <c r="AB1114" s="4"/>
      <c r="AC1114" s="4"/>
      <c r="AD1114" s="4"/>
      <c r="AE1114" s="4"/>
      <c r="AF1114" s="4"/>
      <c r="AG1114" s="4"/>
      <c r="AH1114" s="4"/>
      <c r="AI1114" s="4"/>
      <c r="AJ1114" s="4"/>
      <c r="AK1114" s="4"/>
      <c r="AL1114" s="4"/>
      <c r="AM1114" s="38"/>
      <c r="AN1114" s="4"/>
      <c r="AO1114" s="4"/>
      <c r="AP1114" s="4"/>
      <c r="AQ1114" s="4"/>
      <c r="AR1114" s="4"/>
      <c r="AS1114" s="4"/>
      <c r="AT1114" s="4"/>
      <c r="AU1114" s="4"/>
      <c r="AV1114" s="4"/>
      <c r="AW1114" s="4"/>
      <c r="AX1114" s="4"/>
      <c r="AY1114" s="4"/>
      <c r="AZ1114" s="4"/>
      <c r="BA1114" s="4"/>
      <c r="BB1114" s="4"/>
      <c r="BC1114" s="4"/>
      <c r="BD1114" s="4"/>
      <c r="BE1114" s="4"/>
      <c r="BF1114" s="4"/>
      <c r="BG1114" s="4"/>
      <c r="BH1114" s="4"/>
      <c r="BI1114" s="4"/>
      <c r="BJ1114" s="4"/>
      <c r="BK1114" s="4"/>
      <c r="BL1114" s="4"/>
      <c r="BM1114" s="4"/>
      <c r="BN1114" s="4"/>
      <c r="BO1114" s="4"/>
      <c r="BP1114" s="39"/>
      <c r="BQ1114" s="39"/>
    </row>
    <row r="1115" spans="3:69" ht="15.75" customHeight="1">
      <c r="C1115" s="4"/>
      <c r="D1115" s="4"/>
      <c r="E1115" s="38"/>
      <c r="F1115" s="38"/>
      <c r="G1115" s="4"/>
      <c r="H1115" s="4"/>
      <c r="I1115" s="4"/>
      <c r="J1115" s="4"/>
      <c r="K1115" s="4"/>
      <c r="L1115" s="4"/>
      <c r="M1115" s="4"/>
      <c r="N1115" s="38"/>
      <c r="O1115" s="4"/>
      <c r="P1115" s="4"/>
      <c r="Q1115" s="4"/>
      <c r="R1115" s="4"/>
      <c r="S1115" s="4"/>
      <c r="T1115" s="38"/>
      <c r="U1115" s="4"/>
      <c r="V1115" s="4"/>
      <c r="W1115" s="4"/>
      <c r="X1115" s="4"/>
      <c r="Y1115" s="4"/>
      <c r="Z1115" s="4"/>
      <c r="AA1115" s="4"/>
      <c r="AB1115" s="4"/>
      <c r="AC1115" s="4"/>
      <c r="AD1115" s="4"/>
      <c r="AE1115" s="4"/>
      <c r="AF1115" s="4"/>
      <c r="AG1115" s="4"/>
      <c r="AH1115" s="4"/>
      <c r="AI1115" s="4"/>
      <c r="AJ1115" s="4"/>
      <c r="AK1115" s="4"/>
      <c r="AL1115" s="4"/>
      <c r="AM1115" s="38"/>
      <c r="AN1115" s="4"/>
      <c r="AO1115" s="4"/>
      <c r="AP1115" s="4"/>
      <c r="AQ1115" s="4"/>
      <c r="AR1115" s="4"/>
      <c r="AS1115" s="4"/>
      <c r="AT1115" s="4"/>
      <c r="AU1115" s="4"/>
      <c r="AV1115" s="4"/>
      <c r="AW1115" s="4"/>
      <c r="AX1115" s="4"/>
      <c r="AY1115" s="4"/>
      <c r="AZ1115" s="4"/>
      <c r="BA1115" s="4"/>
      <c r="BB1115" s="4"/>
      <c r="BC1115" s="4"/>
      <c r="BD1115" s="4"/>
      <c r="BE1115" s="4"/>
      <c r="BF1115" s="4"/>
      <c r="BG1115" s="4"/>
      <c r="BH1115" s="4"/>
      <c r="BI1115" s="4"/>
      <c r="BJ1115" s="4"/>
      <c r="BK1115" s="4"/>
      <c r="BL1115" s="4"/>
      <c r="BM1115" s="4"/>
      <c r="BN1115" s="4"/>
      <c r="BO1115" s="4"/>
      <c r="BP1115" s="39"/>
      <c r="BQ1115" s="39"/>
    </row>
    <row r="1116" spans="3:69" ht="15.75" customHeight="1">
      <c r="C1116" s="4"/>
      <c r="D1116" s="4"/>
      <c r="E1116" s="38"/>
      <c r="F1116" s="38"/>
      <c r="G1116" s="4"/>
      <c r="H1116" s="4"/>
      <c r="I1116" s="4"/>
      <c r="J1116" s="4"/>
      <c r="K1116" s="4"/>
      <c r="L1116" s="4"/>
      <c r="M1116" s="4"/>
      <c r="N1116" s="38"/>
      <c r="O1116" s="4"/>
      <c r="P1116" s="4"/>
      <c r="Q1116" s="4"/>
      <c r="R1116" s="4"/>
      <c r="S1116" s="4"/>
      <c r="T1116" s="38"/>
      <c r="U1116" s="4"/>
      <c r="V1116" s="4"/>
      <c r="W1116" s="4"/>
      <c r="X1116" s="4"/>
      <c r="Y1116" s="4"/>
      <c r="Z1116" s="4"/>
      <c r="AA1116" s="4"/>
      <c r="AB1116" s="4"/>
      <c r="AC1116" s="4"/>
      <c r="AD1116" s="4"/>
      <c r="AE1116" s="4"/>
      <c r="AF1116" s="4"/>
      <c r="AG1116" s="4"/>
      <c r="AH1116" s="4"/>
      <c r="AI1116" s="4"/>
      <c r="AJ1116" s="4"/>
      <c r="AK1116" s="4"/>
      <c r="AL1116" s="4"/>
      <c r="AM1116" s="38"/>
      <c r="AN1116" s="4"/>
      <c r="AO1116" s="4"/>
      <c r="AP1116" s="4"/>
      <c r="AQ1116" s="4"/>
      <c r="AR1116" s="4"/>
      <c r="AS1116" s="4"/>
      <c r="AT1116" s="4"/>
      <c r="AU1116" s="4"/>
      <c r="AV1116" s="4"/>
      <c r="AW1116" s="4"/>
      <c r="AX1116" s="4"/>
      <c r="AY1116" s="4"/>
      <c r="AZ1116" s="4"/>
      <c r="BA1116" s="4"/>
      <c r="BB1116" s="4"/>
      <c r="BC1116" s="4"/>
      <c r="BD1116" s="4"/>
      <c r="BE1116" s="4"/>
      <c r="BF1116" s="4"/>
      <c r="BG1116" s="4"/>
      <c r="BH1116" s="4"/>
      <c r="BI1116" s="4"/>
      <c r="BJ1116" s="4"/>
      <c r="BK1116" s="4"/>
      <c r="BL1116" s="4"/>
      <c r="BM1116" s="4"/>
      <c r="BN1116" s="4"/>
      <c r="BO1116" s="4"/>
      <c r="BP1116" s="39"/>
      <c r="BQ1116" s="39"/>
    </row>
    <row r="1117" spans="3:69" ht="15.75" customHeight="1">
      <c r="C1117" s="4"/>
      <c r="D1117" s="4"/>
      <c r="E1117" s="38"/>
      <c r="F1117" s="38"/>
      <c r="G1117" s="4"/>
      <c r="H1117" s="4"/>
      <c r="I1117" s="4"/>
      <c r="J1117" s="4"/>
      <c r="K1117" s="4"/>
      <c r="L1117" s="4"/>
      <c r="M1117" s="4"/>
      <c r="N1117" s="38"/>
      <c r="O1117" s="4"/>
      <c r="P1117" s="4"/>
      <c r="Q1117" s="4"/>
      <c r="R1117" s="4"/>
      <c r="S1117" s="4"/>
      <c r="T1117" s="38"/>
      <c r="U1117" s="4"/>
      <c r="V1117" s="4"/>
      <c r="W1117" s="4"/>
      <c r="X1117" s="4"/>
      <c r="Y1117" s="4"/>
      <c r="Z1117" s="4"/>
      <c r="AA1117" s="4"/>
      <c r="AB1117" s="4"/>
      <c r="AC1117" s="4"/>
      <c r="AD1117" s="4"/>
      <c r="AE1117" s="4"/>
      <c r="AF1117" s="4"/>
      <c r="AG1117" s="4"/>
      <c r="AH1117" s="4"/>
      <c r="AI1117" s="4"/>
      <c r="AJ1117" s="4"/>
      <c r="AK1117" s="4"/>
      <c r="AL1117" s="4"/>
      <c r="AM1117" s="38"/>
      <c r="AN1117" s="4"/>
      <c r="AO1117" s="4"/>
      <c r="AP1117" s="4"/>
      <c r="AQ1117" s="4"/>
      <c r="AR1117" s="4"/>
      <c r="AS1117" s="4"/>
      <c r="AT1117" s="4"/>
      <c r="AU1117" s="4"/>
      <c r="AV1117" s="4"/>
      <c r="AW1117" s="4"/>
      <c r="AX1117" s="4"/>
      <c r="AY1117" s="4"/>
      <c r="AZ1117" s="4"/>
      <c r="BA1117" s="4"/>
      <c r="BB1117" s="4"/>
      <c r="BC1117" s="4"/>
      <c r="BD1117" s="4"/>
      <c r="BE1117" s="4"/>
      <c r="BF1117" s="4"/>
      <c r="BG1117" s="4"/>
      <c r="BH1117" s="4"/>
      <c r="BI1117" s="4"/>
      <c r="BJ1117" s="4"/>
      <c r="BK1117" s="4"/>
      <c r="BL1117" s="4"/>
      <c r="BM1117" s="4"/>
      <c r="BN1117" s="4"/>
      <c r="BO1117" s="4"/>
      <c r="BP1117" s="39"/>
      <c r="BQ1117" s="39"/>
    </row>
    <row r="1118" spans="3:69" ht="15.75" customHeight="1">
      <c r="C1118" s="4"/>
      <c r="D1118" s="4"/>
      <c r="E1118" s="38"/>
      <c r="F1118" s="38"/>
      <c r="G1118" s="4"/>
      <c r="H1118" s="4"/>
      <c r="I1118" s="4"/>
      <c r="J1118" s="4"/>
      <c r="K1118" s="4"/>
      <c r="L1118" s="4"/>
      <c r="M1118" s="4"/>
      <c r="N1118" s="38"/>
      <c r="O1118" s="4"/>
      <c r="P1118" s="4"/>
      <c r="Q1118" s="4"/>
      <c r="R1118" s="4"/>
      <c r="S1118" s="4"/>
      <c r="T1118" s="38"/>
      <c r="U1118" s="4"/>
      <c r="V1118" s="4"/>
      <c r="W1118" s="4"/>
      <c r="X1118" s="4"/>
      <c r="Y1118" s="4"/>
      <c r="Z1118" s="4"/>
      <c r="AA1118" s="4"/>
      <c r="AB1118" s="4"/>
      <c r="AC1118" s="4"/>
      <c r="AD1118" s="4"/>
      <c r="AE1118" s="4"/>
      <c r="AF1118" s="4"/>
      <c r="AG1118" s="4"/>
      <c r="AH1118" s="4"/>
      <c r="AI1118" s="4"/>
      <c r="AJ1118" s="4"/>
      <c r="AK1118" s="4"/>
      <c r="AL1118" s="4"/>
      <c r="AM1118" s="38"/>
      <c r="AN1118" s="4"/>
      <c r="AO1118" s="4"/>
      <c r="AP1118" s="4"/>
      <c r="AQ1118" s="4"/>
      <c r="AR1118" s="4"/>
      <c r="AS1118" s="4"/>
      <c r="AT1118" s="4"/>
      <c r="AU1118" s="4"/>
      <c r="AV1118" s="4"/>
      <c r="AW1118" s="4"/>
      <c r="AX1118" s="4"/>
      <c r="AY1118" s="4"/>
      <c r="AZ1118" s="4"/>
      <c r="BA1118" s="4"/>
      <c r="BB1118" s="4"/>
      <c r="BC1118" s="4"/>
      <c r="BD1118" s="4"/>
      <c r="BE1118" s="4"/>
      <c r="BF1118" s="4"/>
      <c r="BG1118" s="4"/>
      <c r="BH1118" s="4"/>
      <c r="BI1118" s="4"/>
      <c r="BJ1118" s="4"/>
      <c r="BK1118" s="4"/>
      <c r="BL1118" s="4"/>
      <c r="BM1118" s="4"/>
      <c r="BN1118" s="4"/>
      <c r="BO1118" s="4"/>
      <c r="BP1118" s="39"/>
      <c r="BQ1118" s="39"/>
    </row>
    <row r="1119" spans="3:69" ht="15.75" customHeight="1">
      <c r="C1119" s="4"/>
      <c r="D1119" s="4"/>
      <c r="E1119" s="38"/>
      <c r="F1119" s="38"/>
      <c r="G1119" s="4"/>
      <c r="H1119" s="4"/>
      <c r="I1119" s="4"/>
      <c r="J1119" s="4"/>
      <c r="K1119" s="4"/>
      <c r="L1119" s="4"/>
      <c r="M1119" s="4"/>
      <c r="N1119" s="38"/>
      <c r="O1119" s="4"/>
      <c r="P1119" s="4"/>
      <c r="Q1119" s="4"/>
      <c r="R1119" s="4"/>
      <c r="S1119" s="4"/>
      <c r="T1119" s="38"/>
      <c r="U1119" s="4"/>
      <c r="V1119" s="4"/>
      <c r="W1119" s="4"/>
      <c r="X1119" s="4"/>
      <c r="Y1119" s="4"/>
      <c r="Z1119" s="4"/>
      <c r="AA1119" s="4"/>
      <c r="AB1119" s="4"/>
      <c r="AC1119" s="4"/>
      <c r="AD1119" s="4"/>
      <c r="AE1119" s="4"/>
      <c r="AF1119" s="4"/>
      <c r="AG1119" s="4"/>
      <c r="AH1119" s="4"/>
      <c r="AI1119" s="4"/>
      <c r="AJ1119" s="4"/>
      <c r="AK1119" s="4"/>
      <c r="AL1119" s="4"/>
      <c r="AM1119" s="38"/>
      <c r="AN1119" s="4"/>
      <c r="AO1119" s="4"/>
      <c r="AP1119" s="4"/>
      <c r="AQ1119" s="4"/>
      <c r="AR1119" s="4"/>
      <c r="AS1119" s="4"/>
      <c r="AT1119" s="4"/>
      <c r="AU1119" s="4"/>
      <c r="AV1119" s="4"/>
      <c r="AW1119" s="4"/>
      <c r="AX1119" s="4"/>
      <c r="AY1119" s="4"/>
      <c r="AZ1119" s="4"/>
      <c r="BA1119" s="4"/>
      <c r="BB1119" s="4"/>
      <c r="BC1119" s="4"/>
      <c r="BD1119" s="4"/>
      <c r="BE1119" s="4"/>
      <c r="BF1119" s="4"/>
      <c r="BG1119" s="4"/>
      <c r="BH1119" s="4"/>
      <c r="BI1119" s="4"/>
      <c r="BJ1119" s="4"/>
      <c r="BK1119" s="4"/>
      <c r="BL1119" s="4"/>
      <c r="BM1119" s="4"/>
      <c r="BN1119" s="4"/>
      <c r="BO1119" s="4"/>
      <c r="BP1119" s="39"/>
      <c r="BQ1119" s="39"/>
    </row>
    <row r="1120" spans="3:69" ht="15.75" customHeight="1">
      <c r="C1120" s="4"/>
      <c r="D1120" s="4"/>
      <c r="E1120" s="38"/>
      <c r="F1120" s="38"/>
      <c r="G1120" s="4"/>
      <c r="H1120" s="4"/>
      <c r="I1120" s="4"/>
      <c r="J1120" s="4"/>
      <c r="K1120" s="4"/>
      <c r="L1120" s="4"/>
      <c r="M1120" s="4"/>
      <c r="N1120" s="38"/>
      <c r="O1120" s="4"/>
      <c r="P1120" s="4"/>
      <c r="Q1120" s="4"/>
      <c r="R1120" s="4"/>
      <c r="S1120" s="4"/>
      <c r="T1120" s="38"/>
      <c r="U1120" s="4"/>
      <c r="V1120" s="4"/>
      <c r="W1120" s="4"/>
      <c r="X1120" s="4"/>
      <c r="Y1120" s="4"/>
      <c r="Z1120" s="4"/>
      <c r="AA1120" s="4"/>
      <c r="AB1120" s="4"/>
      <c r="AC1120" s="4"/>
      <c r="AD1120" s="4"/>
      <c r="AE1120" s="4"/>
      <c r="AF1120" s="4"/>
      <c r="AG1120" s="4"/>
      <c r="AH1120" s="4"/>
      <c r="AI1120" s="4"/>
      <c r="AJ1120" s="4"/>
      <c r="AK1120" s="4"/>
      <c r="AL1120" s="4"/>
      <c r="AM1120" s="38"/>
      <c r="AN1120" s="4"/>
      <c r="AO1120" s="4"/>
      <c r="AP1120" s="4"/>
      <c r="AQ1120" s="4"/>
      <c r="AR1120" s="4"/>
      <c r="AS1120" s="4"/>
      <c r="AT1120" s="4"/>
      <c r="AU1120" s="4"/>
      <c r="AV1120" s="4"/>
      <c r="AW1120" s="4"/>
      <c r="AX1120" s="4"/>
      <c r="AY1120" s="4"/>
      <c r="AZ1120" s="4"/>
      <c r="BA1120" s="4"/>
      <c r="BB1120" s="4"/>
      <c r="BC1120" s="4"/>
      <c r="BD1120" s="4"/>
      <c r="BE1120" s="4"/>
      <c r="BF1120" s="4"/>
      <c r="BG1120" s="4"/>
      <c r="BH1120" s="4"/>
      <c r="BI1120" s="4"/>
      <c r="BJ1120" s="4"/>
      <c r="BK1120" s="4"/>
      <c r="BL1120" s="4"/>
      <c r="BM1120" s="4"/>
      <c r="BN1120" s="4"/>
      <c r="BO1120" s="4"/>
      <c r="BP1120" s="39"/>
      <c r="BQ1120" s="39"/>
    </row>
    <row r="1121" spans="3:69" ht="15.75" customHeight="1">
      <c r="C1121" s="4"/>
      <c r="D1121" s="4"/>
      <c r="E1121" s="38"/>
      <c r="F1121" s="38"/>
      <c r="G1121" s="4"/>
      <c r="H1121" s="4"/>
      <c r="I1121" s="4"/>
      <c r="J1121" s="4"/>
      <c r="K1121" s="4"/>
      <c r="L1121" s="4"/>
      <c r="M1121" s="4"/>
      <c r="N1121" s="38"/>
      <c r="O1121" s="4"/>
      <c r="P1121" s="4"/>
      <c r="Q1121" s="4"/>
      <c r="R1121" s="4"/>
      <c r="S1121" s="4"/>
      <c r="T1121" s="38"/>
      <c r="U1121" s="4"/>
      <c r="V1121" s="4"/>
      <c r="W1121" s="4"/>
      <c r="X1121" s="4"/>
      <c r="Y1121" s="4"/>
      <c r="Z1121" s="4"/>
      <c r="AA1121" s="4"/>
      <c r="AB1121" s="4"/>
      <c r="AC1121" s="4"/>
      <c r="AD1121" s="4"/>
      <c r="AE1121" s="4"/>
      <c r="AF1121" s="4"/>
      <c r="AG1121" s="4"/>
      <c r="AH1121" s="4"/>
      <c r="AI1121" s="4"/>
      <c r="AJ1121" s="4"/>
      <c r="AK1121" s="4"/>
      <c r="AL1121" s="4"/>
      <c r="AM1121" s="38"/>
      <c r="AN1121" s="4"/>
      <c r="AO1121" s="4"/>
      <c r="AP1121" s="4"/>
      <c r="AQ1121" s="4"/>
      <c r="AR1121" s="4"/>
      <c r="AS1121" s="4"/>
      <c r="AT1121" s="4"/>
      <c r="AU1121" s="4"/>
      <c r="AV1121" s="4"/>
      <c r="AW1121" s="4"/>
      <c r="AX1121" s="4"/>
      <c r="AY1121" s="4"/>
      <c r="AZ1121" s="4"/>
      <c r="BA1121" s="4"/>
      <c r="BB1121" s="4"/>
      <c r="BC1121" s="4"/>
      <c r="BD1121" s="4"/>
      <c r="BE1121" s="4"/>
      <c r="BF1121" s="4"/>
      <c r="BG1121" s="4"/>
      <c r="BH1121" s="4"/>
      <c r="BI1121" s="4"/>
      <c r="BJ1121" s="4"/>
      <c r="BK1121" s="4"/>
      <c r="BL1121" s="4"/>
      <c r="BM1121" s="4"/>
      <c r="BN1121" s="4"/>
      <c r="BO1121" s="4"/>
      <c r="BP1121" s="39"/>
      <c r="BQ1121" s="39"/>
    </row>
    <row r="1122" spans="3:69" ht="15.75" customHeight="1">
      <c r="C1122" s="4"/>
      <c r="D1122" s="4"/>
      <c r="E1122" s="38"/>
      <c r="F1122" s="38"/>
      <c r="G1122" s="4"/>
      <c r="H1122" s="4"/>
      <c r="I1122" s="4"/>
      <c r="J1122" s="4"/>
      <c r="K1122" s="4"/>
      <c r="L1122" s="4"/>
      <c r="M1122" s="4"/>
      <c r="N1122" s="38"/>
      <c r="O1122" s="4"/>
      <c r="P1122" s="4"/>
      <c r="Q1122" s="4"/>
      <c r="R1122" s="4"/>
      <c r="S1122" s="4"/>
      <c r="T1122" s="38"/>
      <c r="U1122" s="4"/>
      <c r="V1122" s="4"/>
      <c r="W1122" s="4"/>
      <c r="X1122" s="4"/>
      <c r="Y1122" s="4"/>
      <c r="Z1122" s="4"/>
      <c r="AA1122" s="4"/>
      <c r="AB1122" s="4"/>
      <c r="AC1122" s="4"/>
      <c r="AD1122" s="4"/>
      <c r="AE1122" s="4"/>
      <c r="AF1122" s="4"/>
      <c r="AG1122" s="4"/>
      <c r="AH1122" s="4"/>
      <c r="AI1122" s="4"/>
      <c r="AJ1122" s="4"/>
      <c r="AK1122" s="4"/>
      <c r="AL1122" s="4"/>
      <c r="AM1122" s="38"/>
      <c r="AN1122" s="4"/>
      <c r="AO1122" s="4"/>
      <c r="AP1122" s="4"/>
      <c r="AQ1122" s="4"/>
      <c r="AR1122" s="4"/>
      <c r="AS1122" s="4"/>
      <c r="AT1122" s="4"/>
      <c r="AU1122" s="4"/>
      <c r="AV1122" s="4"/>
      <c r="AW1122" s="4"/>
      <c r="AX1122" s="4"/>
      <c r="AY1122" s="4"/>
      <c r="AZ1122" s="4"/>
      <c r="BA1122" s="4"/>
      <c r="BB1122" s="4"/>
      <c r="BC1122" s="4"/>
      <c r="BD1122" s="4"/>
      <c r="BE1122" s="4"/>
      <c r="BF1122" s="4"/>
      <c r="BG1122" s="4"/>
      <c r="BH1122" s="4"/>
      <c r="BI1122" s="4"/>
      <c r="BJ1122" s="4"/>
      <c r="BK1122" s="4"/>
      <c r="BL1122" s="4"/>
      <c r="BM1122" s="4"/>
      <c r="BN1122" s="4"/>
      <c r="BO1122" s="4"/>
      <c r="BP1122" s="39"/>
      <c r="BQ1122" s="39"/>
    </row>
    <row r="1123" spans="3:69" ht="15.75" customHeight="1">
      <c r="C1123" s="4"/>
      <c r="D1123" s="4"/>
      <c r="E1123" s="38"/>
      <c r="F1123" s="38"/>
      <c r="G1123" s="4"/>
      <c r="H1123" s="4"/>
      <c r="I1123" s="4"/>
      <c r="J1123" s="4"/>
      <c r="K1123" s="4"/>
      <c r="L1123" s="4"/>
      <c r="M1123" s="4"/>
      <c r="N1123" s="38"/>
      <c r="O1123" s="4"/>
      <c r="P1123" s="4"/>
      <c r="Q1123" s="4"/>
      <c r="R1123" s="4"/>
      <c r="S1123" s="4"/>
      <c r="T1123" s="38"/>
      <c r="U1123" s="4"/>
      <c r="V1123" s="4"/>
      <c r="W1123" s="4"/>
      <c r="X1123" s="4"/>
      <c r="Y1123" s="4"/>
      <c r="Z1123" s="4"/>
      <c r="AA1123" s="4"/>
      <c r="AB1123" s="4"/>
      <c r="AC1123" s="4"/>
      <c r="AD1123" s="4"/>
      <c r="AE1123" s="4"/>
      <c r="AF1123" s="4"/>
      <c r="AG1123" s="4"/>
      <c r="AH1123" s="4"/>
      <c r="AI1123" s="4"/>
      <c r="AJ1123" s="4"/>
      <c r="AK1123" s="4"/>
      <c r="AL1123" s="4"/>
      <c r="AM1123" s="38"/>
      <c r="AN1123" s="4"/>
      <c r="AO1123" s="4"/>
      <c r="AP1123" s="4"/>
      <c r="AQ1123" s="4"/>
      <c r="AR1123" s="4"/>
      <c r="AS1123" s="4"/>
      <c r="AT1123" s="4"/>
      <c r="AU1123" s="4"/>
      <c r="AV1123" s="4"/>
      <c r="AW1123" s="4"/>
      <c r="AX1123" s="4"/>
      <c r="AY1123" s="4"/>
      <c r="AZ1123" s="4"/>
      <c r="BA1123" s="4"/>
      <c r="BB1123" s="4"/>
      <c r="BC1123" s="4"/>
      <c r="BD1123" s="4"/>
      <c r="BE1123" s="4"/>
      <c r="BF1123" s="4"/>
      <c r="BG1123" s="4"/>
      <c r="BH1123" s="4"/>
      <c r="BI1123" s="4"/>
      <c r="BJ1123" s="4"/>
      <c r="BK1123" s="4"/>
      <c r="BL1123" s="4"/>
      <c r="BM1123" s="4"/>
      <c r="BN1123" s="4"/>
      <c r="BO1123" s="4"/>
      <c r="BP1123" s="39"/>
      <c r="BQ1123" s="39"/>
    </row>
    <row r="1124" spans="3:69" ht="15.75" customHeight="1">
      <c r="C1124" s="4"/>
      <c r="D1124" s="4"/>
      <c r="E1124" s="38"/>
      <c r="F1124" s="38"/>
      <c r="G1124" s="4"/>
      <c r="H1124" s="4"/>
      <c r="I1124" s="4"/>
      <c r="J1124" s="4"/>
      <c r="K1124" s="4"/>
      <c r="L1124" s="4"/>
      <c r="M1124" s="4"/>
      <c r="N1124" s="38"/>
      <c r="O1124" s="4"/>
      <c r="P1124" s="4"/>
      <c r="Q1124" s="4"/>
      <c r="R1124" s="4"/>
      <c r="S1124" s="4"/>
      <c r="T1124" s="38"/>
      <c r="U1124" s="4"/>
      <c r="V1124" s="4"/>
      <c r="W1124" s="4"/>
      <c r="X1124" s="4"/>
      <c r="Y1124" s="4"/>
      <c r="Z1124" s="4"/>
      <c r="AA1124" s="4"/>
      <c r="AB1124" s="4"/>
      <c r="AC1124" s="4"/>
      <c r="AD1124" s="4"/>
      <c r="AE1124" s="4"/>
      <c r="AF1124" s="4"/>
      <c r="AG1124" s="4"/>
      <c r="AH1124" s="4"/>
      <c r="AI1124" s="4"/>
      <c r="AJ1124" s="4"/>
      <c r="AK1124" s="4"/>
      <c r="AL1124" s="4"/>
      <c r="AM1124" s="38"/>
      <c r="AN1124" s="4"/>
      <c r="AO1124" s="4"/>
      <c r="AP1124" s="4"/>
      <c r="AQ1124" s="4"/>
      <c r="AR1124" s="4"/>
      <c r="AS1124" s="4"/>
      <c r="AT1124" s="4"/>
      <c r="AU1124" s="4"/>
      <c r="AV1124" s="4"/>
      <c r="AW1124" s="4"/>
      <c r="AX1124" s="4"/>
      <c r="AY1124" s="4"/>
      <c r="AZ1124" s="4"/>
      <c r="BA1124" s="4"/>
      <c r="BB1124" s="4"/>
      <c r="BC1124" s="4"/>
      <c r="BD1124" s="4"/>
      <c r="BE1124" s="4"/>
      <c r="BF1124" s="4"/>
      <c r="BG1124" s="4"/>
      <c r="BH1124" s="4"/>
      <c r="BI1124" s="4"/>
      <c r="BJ1124" s="4"/>
      <c r="BK1124" s="4"/>
      <c r="BL1124" s="4"/>
      <c r="BM1124" s="4"/>
      <c r="BN1124" s="4"/>
      <c r="BO1124" s="4"/>
      <c r="BP1124" s="39"/>
      <c r="BQ1124" s="39"/>
    </row>
    <row r="1125" spans="3:69" ht="15.75" customHeight="1">
      <c r="C1125" s="4"/>
      <c r="D1125" s="4"/>
      <c r="E1125" s="38"/>
      <c r="F1125" s="38"/>
      <c r="G1125" s="4"/>
      <c r="H1125" s="4"/>
      <c r="I1125" s="4"/>
      <c r="J1125" s="4"/>
      <c r="K1125" s="4"/>
      <c r="L1125" s="4"/>
      <c r="M1125" s="4"/>
      <c r="N1125" s="38"/>
      <c r="O1125" s="4"/>
      <c r="P1125" s="4"/>
      <c r="Q1125" s="4"/>
      <c r="R1125" s="4"/>
      <c r="S1125" s="4"/>
      <c r="T1125" s="38"/>
      <c r="U1125" s="4"/>
      <c r="V1125" s="4"/>
      <c r="W1125" s="4"/>
      <c r="X1125" s="4"/>
      <c r="Y1125" s="4"/>
      <c r="Z1125" s="4"/>
      <c r="AA1125" s="4"/>
      <c r="AB1125" s="4"/>
      <c r="AC1125" s="4"/>
      <c r="AD1125" s="4"/>
      <c r="AE1125" s="4"/>
      <c r="AF1125" s="4"/>
      <c r="AG1125" s="4"/>
      <c r="AH1125" s="4"/>
      <c r="AI1125" s="4"/>
      <c r="AJ1125" s="4"/>
      <c r="AK1125" s="4"/>
      <c r="AL1125" s="4"/>
      <c r="AM1125" s="38"/>
      <c r="AN1125" s="4"/>
      <c r="AO1125" s="4"/>
      <c r="AP1125" s="4"/>
      <c r="AQ1125" s="4"/>
      <c r="AR1125" s="4"/>
      <c r="AS1125" s="4"/>
      <c r="AT1125" s="4"/>
      <c r="AU1125" s="4"/>
      <c r="AV1125" s="4"/>
      <c r="AW1125" s="4"/>
      <c r="AX1125" s="4"/>
      <c r="AY1125" s="4"/>
      <c r="AZ1125" s="4"/>
      <c r="BA1125" s="4"/>
      <c r="BB1125" s="4"/>
      <c r="BC1125" s="4"/>
      <c r="BD1125" s="4"/>
      <c r="BE1125" s="4"/>
      <c r="BF1125" s="4"/>
      <c r="BG1125" s="4"/>
      <c r="BH1125" s="4"/>
      <c r="BI1125" s="4"/>
      <c r="BJ1125" s="4"/>
      <c r="BK1125" s="4"/>
      <c r="BL1125" s="4"/>
      <c r="BM1125" s="4"/>
      <c r="BN1125" s="4"/>
      <c r="BO1125" s="4"/>
      <c r="BP1125" s="39"/>
      <c r="BQ1125" s="39"/>
    </row>
    <row r="1126" spans="3:69" ht="15.75" customHeight="1">
      <c r="C1126" s="4"/>
      <c r="D1126" s="4"/>
      <c r="E1126" s="38"/>
      <c r="F1126" s="38"/>
      <c r="G1126" s="4"/>
      <c r="H1126" s="4"/>
      <c r="I1126" s="4"/>
      <c r="J1126" s="4"/>
      <c r="K1126" s="4"/>
      <c r="L1126" s="4"/>
      <c r="M1126" s="4"/>
      <c r="N1126" s="38"/>
      <c r="O1126" s="4"/>
      <c r="P1126" s="4"/>
      <c r="Q1126" s="4"/>
      <c r="R1126" s="4"/>
      <c r="S1126" s="4"/>
      <c r="T1126" s="38"/>
      <c r="U1126" s="4"/>
      <c r="V1126" s="4"/>
      <c r="W1126" s="4"/>
      <c r="X1126" s="4"/>
      <c r="Y1126" s="4"/>
      <c r="Z1126" s="4"/>
      <c r="AA1126" s="4"/>
      <c r="AB1126" s="4"/>
      <c r="AC1126" s="4"/>
      <c r="AD1126" s="4"/>
      <c r="AE1126" s="4"/>
      <c r="AF1126" s="4"/>
      <c r="AG1126" s="4"/>
      <c r="AH1126" s="4"/>
      <c r="AI1126" s="4"/>
      <c r="AJ1126" s="4"/>
      <c r="AK1126" s="4"/>
      <c r="AL1126" s="4"/>
      <c r="AM1126" s="38"/>
      <c r="AN1126" s="4"/>
      <c r="AO1126" s="4"/>
      <c r="AP1126" s="4"/>
      <c r="AQ1126" s="4"/>
      <c r="AR1126" s="4"/>
      <c r="AS1126" s="4"/>
      <c r="AT1126" s="4"/>
      <c r="AU1126" s="4"/>
      <c r="AV1126" s="4"/>
      <c r="AW1126" s="4"/>
      <c r="AX1126" s="4"/>
      <c r="AY1126" s="4"/>
      <c r="AZ1126" s="4"/>
      <c r="BA1126" s="4"/>
      <c r="BB1126" s="4"/>
      <c r="BC1126" s="4"/>
      <c r="BD1126" s="4"/>
      <c r="BE1126" s="4"/>
      <c r="BF1126" s="4"/>
      <c r="BG1126" s="4"/>
      <c r="BH1126" s="4"/>
      <c r="BI1126" s="4"/>
      <c r="BJ1126" s="4"/>
      <c r="BK1126" s="4"/>
      <c r="BL1126" s="4"/>
      <c r="BM1126" s="4"/>
      <c r="BN1126" s="4"/>
      <c r="BO1126" s="4"/>
      <c r="BP1126" s="39"/>
      <c r="BQ1126" s="39"/>
    </row>
    <row r="1127" spans="3:69" ht="15.75" customHeight="1">
      <c r="C1127" s="4"/>
      <c r="D1127" s="4"/>
      <c r="E1127" s="38"/>
      <c r="F1127" s="38"/>
      <c r="G1127" s="4"/>
      <c r="H1127" s="4"/>
      <c r="I1127" s="4"/>
      <c r="J1127" s="4"/>
      <c r="K1127" s="4"/>
      <c r="L1127" s="4"/>
      <c r="M1127" s="4"/>
      <c r="N1127" s="38"/>
      <c r="O1127" s="4"/>
      <c r="P1127" s="4"/>
      <c r="Q1127" s="4"/>
      <c r="R1127" s="4"/>
      <c r="S1127" s="4"/>
      <c r="T1127" s="38"/>
      <c r="U1127" s="4"/>
      <c r="V1127" s="4"/>
      <c r="W1127" s="4"/>
      <c r="X1127" s="4"/>
      <c r="Y1127" s="4"/>
      <c r="Z1127" s="4"/>
      <c r="AA1127" s="4"/>
      <c r="AB1127" s="4"/>
      <c r="AC1127" s="4"/>
      <c r="AD1127" s="4"/>
      <c r="AE1127" s="4"/>
      <c r="AF1127" s="4"/>
      <c r="AG1127" s="4"/>
      <c r="AH1127" s="4"/>
      <c r="AI1127" s="4"/>
      <c r="AJ1127" s="4"/>
      <c r="AK1127" s="4"/>
      <c r="AL1127" s="4"/>
      <c r="AM1127" s="38"/>
      <c r="AN1127" s="4"/>
      <c r="AO1127" s="4"/>
      <c r="AP1127" s="4"/>
      <c r="AQ1127" s="4"/>
      <c r="AR1127" s="4"/>
      <c r="AS1127" s="4"/>
      <c r="AT1127" s="4"/>
      <c r="AU1127" s="4"/>
      <c r="AV1127" s="4"/>
      <c r="AW1127" s="4"/>
      <c r="AX1127" s="4"/>
      <c r="AY1127" s="4"/>
      <c r="AZ1127" s="4"/>
      <c r="BA1127" s="4"/>
      <c r="BB1127" s="4"/>
      <c r="BC1127" s="4"/>
      <c r="BD1127" s="4"/>
      <c r="BE1127" s="4"/>
      <c r="BF1127" s="4"/>
      <c r="BG1127" s="4"/>
      <c r="BH1127" s="4"/>
      <c r="BI1127" s="4"/>
      <c r="BJ1127" s="4"/>
      <c r="BK1127" s="4"/>
      <c r="BL1127" s="4"/>
      <c r="BM1127" s="4"/>
      <c r="BN1127" s="4"/>
      <c r="BO1127" s="4"/>
      <c r="BP1127" s="39"/>
      <c r="BQ1127" s="39"/>
    </row>
    <row r="1128" spans="3:69" ht="15.75" customHeight="1">
      <c r="C1128" s="4"/>
      <c r="D1128" s="4"/>
      <c r="E1128" s="38"/>
      <c r="F1128" s="38"/>
      <c r="G1128" s="4"/>
      <c r="H1128" s="4"/>
      <c r="I1128" s="4"/>
      <c r="J1128" s="4"/>
      <c r="K1128" s="4"/>
      <c r="L1128" s="4"/>
      <c r="M1128" s="4"/>
      <c r="N1128" s="38"/>
      <c r="O1128" s="4"/>
      <c r="P1128" s="4"/>
      <c r="Q1128" s="4"/>
      <c r="R1128" s="4"/>
      <c r="S1128" s="4"/>
      <c r="T1128" s="38"/>
      <c r="U1128" s="4"/>
      <c r="V1128" s="4"/>
      <c r="W1128" s="4"/>
      <c r="X1128" s="4"/>
      <c r="Y1128" s="4"/>
      <c r="Z1128" s="4"/>
      <c r="AA1128" s="4"/>
      <c r="AB1128" s="4"/>
      <c r="AC1128" s="4"/>
      <c r="AD1128" s="4"/>
      <c r="AE1128" s="4"/>
      <c r="AF1128" s="4"/>
      <c r="AG1128" s="4"/>
      <c r="AH1128" s="4"/>
      <c r="AI1128" s="4"/>
      <c r="AJ1128" s="4"/>
      <c r="AK1128" s="4"/>
      <c r="AL1128" s="4"/>
      <c r="AM1128" s="38"/>
      <c r="AN1128" s="4"/>
      <c r="AO1128" s="4"/>
      <c r="AP1128" s="4"/>
      <c r="AQ1128" s="4"/>
      <c r="AR1128" s="4"/>
      <c r="AS1128" s="4"/>
      <c r="AT1128" s="4"/>
      <c r="AU1128" s="4"/>
      <c r="AV1128" s="4"/>
      <c r="AW1128" s="4"/>
      <c r="AX1128" s="4"/>
      <c r="AY1128" s="4"/>
      <c r="AZ1128" s="4"/>
      <c r="BA1128" s="4"/>
      <c r="BB1128" s="4"/>
      <c r="BC1128" s="4"/>
      <c r="BD1128" s="4"/>
      <c r="BE1128" s="4"/>
      <c r="BF1128" s="4"/>
      <c r="BG1128" s="4"/>
      <c r="BH1128" s="4"/>
      <c r="BI1128" s="4"/>
      <c r="BJ1128" s="4"/>
      <c r="BK1128" s="4"/>
      <c r="BL1128" s="4"/>
      <c r="BM1128" s="4"/>
      <c r="BN1128" s="4"/>
      <c r="BO1128" s="4"/>
      <c r="BP1128" s="39"/>
      <c r="BQ1128" s="39"/>
    </row>
    <row r="1129" spans="3:69" ht="15.75" customHeight="1">
      <c r="C1129" s="4"/>
      <c r="D1129" s="4"/>
      <c r="E1129" s="38"/>
      <c r="F1129" s="38"/>
      <c r="G1129" s="4"/>
      <c r="H1129" s="4"/>
      <c r="I1129" s="4"/>
      <c r="J1129" s="4"/>
      <c r="K1129" s="4"/>
      <c r="L1129" s="4"/>
      <c r="M1129" s="4"/>
      <c r="N1129" s="38"/>
      <c r="O1129" s="4"/>
      <c r="P1129" s="4"/>
      <c r="Q1129" s="4"/>
      <c r="R1129" s="4"/>
      <c r="S1129" s="4"/>
      <c r="T1129" s="38"/>
      <c r="U1129" s="4"/>
      <c r="V1129" s="4"/>
      <c r="W1129" s="4"/>
      <c r="X1129" s="4"/>
      <c r="Y1129" s="4"/>
      <c r="Z1129" s="4"/>
      <c r="AA1129" s="4"/>
      <c r="AB1129" s="4"/>
      <c r="AC1129" s="4"/>
      <c r="AD1129" s="4"/>
      <c r="AE1129" s="4"/>
      <c r="AF1129" s="4"/>
      <c r="AG1129" s="4"/>
      <c r="AH1129" s="4"/>
      <c r="AI1129" s="4"/>
      <c r="AJ1129" s="4"/>
      <c r="AK1129" s="4"/>
      <c r="AL1129" s="4"/>
      <c r="AM1129" s="38"/>
      <c r="AN1129" s="4"/>
      <c r="AO1129" s="4"/>
      <c r="AP1129" s="4"/>
      <c r="AQ1129" s="4"/>
      <c r="AR1129" s="4"/>
      <c r="AS1129" s="4"/>
      <c r="AT1129" s="4"/>
      <c r="AU1129" s="4"/>
      <c r="AV1129" s="4"/>
      <c r="AW1129" s="4"/>
      <c r="AX1129" s="4"/>
      <c r="AY1129" s="4"/>
      <c r="AZ1129" s="4"/>
      <c r="BA1129" s="4"/>
      <c r="BB1129" s="4"/>
      <c r="BC1129" s="4"/>
      <c r="BD1129" s="4"/>
      <c r="BE1129" s="4"/>
      <c r="BF1129" s="4"/>
      <c r="BG1129" s="4"/>
      <c r="BH1129" s="4"/>
      <c r="BI1129" s="4"/>
      <c r="BJ1129" s="4"/>
      <c r="BK1129" s="4"/>
      <c r="BL1129" s="4"/>
      <c r="BM1129" s="4"/>
      <c r="BN1129" s="4"/>
      <c r="BO1129" s="4"/>
      <c r="BP1129" s="39"/>
      <c r="BQ1129" s="39"/>
    </row>
    <row r="1130" spans="3:69" ht="15.75" customHeight="1">
      <c r="C1130" s="4"/>
      <c r="D1130" s="4"/>
      <c r="E1130" s="38"/>
      <c r="F1130" s="38"/>
      <c r="G1130" s="4"/>
      <c r="H1130" s="4"/>
      <c r="I1130" s="4"/>
      <c r="J1130" s="4"/>
      <c r="K1130" s="4"/>
      <c r="L1130" s="4"/>
      <c r="M1130" s="4"/>
      <c r="N1130" s="38"/>
      <c r="O1130" s="4"/>
      <c r="P1130" s="4"/>
      <c r="Q1130" s="4"/>
      <c r="R1130" s="4"/>
      <c r="S1130" s="4"/>
      <c r="T1130" s="38"/>
      <c r="U1130" s="4"/>
      <c r="V1130" s="4"/>
      <c r="W1130" s="4"/>
      <c r="X1130" s="4"/>
      <c r="Y1130" s="4"/>
      <c r="Z1130" s="4"/>
      <c r="AA1130" s="4"/>
      <c r="AB1130" s="4"/>
      <c r="AC1130" s="4"/>
      <c r="AD1130" s="4"/>
      <c r="AE1130" s="4"/>
      <c r="AF1130" s="4"/>
      <c r="AG1130" s="4"/>
      <c r="AH1130" s="4"/>
      <c r="AI1130" s="4"/>
      <c r="AJ1130" s="4"/>
      <c r="AK1130" s="4"/>
      <c r="AL1130" s="4"/>
      <c r="AM1130" s="38"/>
      <c r="AN1130" s="4"/>
      <c r="AO1130" s="4"/>
      <c r="AP1130" s="4"/>
      <c r="AQ1130" s="4"/>
      <c r="AR1130" s="4"/>
      <c r="AS1130" s="4"/>
      <c r="AT1130" s="4"/>
      <c r="AU1130" s="4"/>
      <c r="AV1130" s="4"/>
      <c r="AW1130" s="4"/>
      <c r="AX1130" s="4"/>
      <c r="AY1130" s="4"/>
      <c r="AZ1130" s="4"/>
      <c r="BA1130" s="4"/>
      <c r="BB1130" s="4"/>
      <c r="BC1130" s="4"/>
      <c r="BD1130" s="4"/>
      <c r="BE1130" s="4"/>
      <c r="BF1130" s="4"/>
      <c r="BG1130" s="4"/>
      <c r="BH1130" s="4"/>
      <c r="BI1130" s="4"/>
      <c r="BJ1130" s="4"/>
      <c r="BK1130" s="4"/>
      <c r="BL1130" s="4"/>
      <c r="BM1130" s="4"/>
      <c r="BN1130" s="4"/>
      <c r="BO1130" s="4"/>
      <c r="BP1130" s="39"/>
      <c r="BQ1130" s="39"/>
    </row>
    <row r="1131" spans="3:69" ht="15.75" customHeight="1">
      <c r="C1131" s="4"/>
      <c r="D1131" s="4"/>
      <c r="E1131" s="38"/>
      <c r="F1131" s="38"/>
      <c r="G1131" s="4"/>
      <c r="H1131" s="4"/>
      <c r="I1131" s="4"/>
      <c r="J1131" s="4"/>
      <c r="K1131" s="4"/>
      <c r="L1131" s="4"/>
      <c r="M1131" s="4"/>
      <c r="N1131" s="38"/>
      <c r="O1131" s="4"/>
      <c r="P1131" s="4"/>
      <c r="Q1131" s="4"/>
      <c r="R1131" s="4"/>
      <c r="S1131" s="4"/>
      <c r="T1131" s="38"/>
      <c r="U1131" s="4"/>
      <c r="V1131" s="4"/>
      <c r="W1131" s="4"/>
      <c r="X1131" s="4"/>
      <c r="Y1131" s="4"/>
      <c r="Z1131" s="4"/>
      <c r="AA1131" s="4"/>
      <c r="AB1131" s="4"/>
      <c r="AC1131" s="4"/>
      <c r="AD1131" s="4"/>
      <c r="AE1131" s="4"/>
      <c r="AF1131" s="4"/>
      <c r="AG1131" s="4"/>
      <c r="AH1131" s="4"/>
      <c r="AI1131" s="4"/>
      <c r="AJ1131" s="4"/>
      <c r="AK1131" s="4"/>
      <c r="AL1131" s="4"/>
      <c r="AM1131" s="38"/>
      <c r="AN1131" s="4"/>
      <c r="AO1131" s="4"/>
      <c r="AP1131" s="4"/>
      <c r="AQ1131" s="4"/>
      <c r="AR1131" s="4"/>
      <c r="AS1131" s="4"/>
      <c r="AT1131" s="4"/>
      <c r="AU1131" s="4"/>
      <c r="AV1131" s="4"/>
      <c r="AW1131" s="4"/>
      <c r="AX1131" s="4"/>
      <c r="AY1131" s="4"/>
      <c r="AZ1131" s="4"/>
      <c r="BA1131" s="4"/>
      <c r="BB1131" s="4"/>
      <c r="BC1131" s="4"/>
      <c r="BD1131" s="4"/>
      <c r="BE1131" s="4"/>
      <c r="BF1131" s="4"/>
      <c r="BG1131" s="4"/>
      <c r="BH1131" s="4"/>
      <c r="BI1131" s="4"/>
      <c r="BJ1131" s="4"/>
      <c r="BK1131" s="4"/>
      <c r="BL1131" s="4"/>
      <c r="BM1131" s="4"/>
      <c r="BN1131" s="4"/>
      <c r="BO1131" s="4"/>
      <c r="BP1131" s="39"/>
      <c r="BQ1131" s="39"/>
    </row>
    <row r="1132" spans="3:69" ht="15.75" customHeight="1">
      <c r="C1132" s="4"/>
      <c r="D1132" s="4"/>
      <c r="E1132" s="38"/>
      <c r="F1132" s="38"/>
      <c r="G1132" s="4"/>
      <c r="H1132" s="4"/>
      <c r="I1132" s="4"/>
      <c r="J1132" s="4"/>
      <c r="K1132" s="4"/>
      <c r="L1132" s="4"/>
      <c r="M1132" s="4"/>
      <c r="N1132" s="38"/>
      <c r="O1132" s="4"/>
      <c r="P1132" s="4"/>
      <c r="Q1132" s="4"/>
      <c r="R1132" s="4"/>
      <c r="S1132" s="4"/>
      <c r="T1132" s="38"/>
      <c r="U1132" s="4"/>
      <c r="V1132" s="4"/>
      <c r="W1132" s="4"/>
      <c r="X1132" s="4"/>
      <c r="Y1132" s="4"/>
      <c r="Z1132" s="4"/>
      <c r="AA1132" s="4"/>
      <c r="AB1132" s="4"/>
      <c r="AC1132" s="4"/>
      <c r="AD1132" s="4"/>
      <c r="AE1132" s="4"/>
      <c r="AF1132" s="4"/>
      <c r="AG1132" s="4"/>
      <c r="AH1132" s="4"/>
      <c r="AI1132" s="4"/>
      <c r="AJ1132" s="4"/>
      <c r="AK1132" s="4"/>
      <c r="AL1132" s="4"/>
      <c r="AM1132" s="38"/>
      <c r="AN1132" s="4"/>
      <c r="AO1132" s="4"/>
      <c r="AP1132" s="4"/>
      <c r="AQ1132" s="4"/>
      <c r="AR1132" s="4"/>
      <c r="AS1132" s="4"/>
      <c r="AT1132" s="4"/>
      <c r="AU1132" s="4"/>
      <c r="AV1132" s="4"/>
      <c r="AW1132" s="4"/>
      <c r="AX1132" s="4"/>
      <c r="AY1132" s="4"/>
      <c r="AZ1132" s="4"/>
      <c r="BA1132" s="4"/>
      <c r="BB1132" s="4"/>
      <c r="BC1132" s="4"/>
      <c r="BD1132" s="4"/>
      <c r="BE1132" s="4"/>
      <c r="BF1132" s="4"/>
      <c r="BG1132" s="4"/>
      <c r="BH1132" s="4"/>
      <c r="BI1132" s="4"/>
      <c r="BJ1132" s="4"/>
      <c r="BK1132" s="4"/>
      <c r="BL1132" s="4"/>
      <c r="BM1132" s="4"/>
      <c r="BN1132" s="4"/>
      <c r="BO1132" s="4"/>
      <c r="BP1132" s="39"/>
      <c r="BQ1132" s="39"/>
    </row>
    <row r="1133" spans="3:69" ht="15.75" customHeight="1">
      <c r="C1133" s="4"/>
      <c r="D1133" s="4"/>
      <c r="E1133" s="38"/>
      <c r="F1133" s="38"/>
      <c r="G1133" s="4"/>
      <c r="H1133" s="4"/>
      <c r="I1133" s="4"/>
      <c r="J1133" s="4"/>
      <c r="K1133" s="4"/>
      <c r="L1133" s="4"/>
      <c r="M1133" s="4"/>
      <c r="N1133" s="38"/>
      <c r="O1133" s="4"/>
      <c r="P1133" s="4"/>
      <c r="Q1133" s="4"/>
      <c r="R1133" s="4"/>
      <c r="S1133" s="4"/>
      <c r="T1133" s="38"/>
      <c r="U1133" s="4"/>
      <c r="V1133" s="4"/>
      <c r="W1133" s="4"/>
      <c r="X1133" s="4"/>
      <c r="Y1133" s="4"/>
      <c r="Z1133" s="4"/>
      <c r="AA1133" s="4"/>
      <c r="AB1133" s="4"/>
      <c r="AC1133" s="4"/>
      <c r="AD1133" s="4"/>
      <c r="AE1133" s="4"/>
      <c r="AF1133" s="4"/>
      <c r="AG1133" s="4"/>
      <c r="AH1133" s="4"/>
      <c r="AI1133" s="4"/>
      <c r="AJ1133" s="4"/>
      <c r="AK1133" s="4"/>
      <c r="AL1133" s="4"/>
      <c r="AM1133" s="38"/>
      <c r="AN1133" s="4"/>
      <c r="AO1133" s="4"/>
      <c r="AP1133" s="4"/>
      <c r="AQ1133" s="4"/>
      <c r="AR1133" s="4"/>
      <c r="AS1133" s="4"/>
      <c r="AT1133" s="4"/>
      <c r="AU1133" s="4"/>
      <c r="AV1133" s="4"/>
      <c r="AW1133" s="4"/>
      <c r="AX1133" s="4"/>
      <c r="AY1133" s="4"/>
      <c r="AZ1133" s="4"/>
      <c r="BA1133" s="4"/>
      <c r="BB1133" s="4"/>
      <c r="BC1133" s="4"/>
      <c r="BD1133" s="4"/>
      <c r="BE1133" s="4"/>
      <c r="BF1133" s="4"/>
      <c r="BG1133" s="4"/>
      <c r="BH1133" s="4"/>
      <c r="BI1133" s="4"/>
      <c r="BJ1133" s="4"/>
      <c r="BK1133" s="4"/>
      <c r="BL1133" s="4"/>
      <c r="BM1133" s="4"/>
      <c r="BN1133" s="4"/>
      <c r="BO1133" s="4"/>
      <c r="BP1133" s="39"/>
      <c r="BQ1133" s="39"/>
    </row>
    <row r="1134" spans="3:69" ht="15.75" customHeight="1">
      <c r="C1134" s="4"/>
      <c r="D1134" s="4"/>
      <c r="E1134" s="38"/>
      <c r="F1134" s="38"/>
      <c r="G1134" s="4"/>
      <c r="H1134" s="4"/>
      <c r="I1134" s="4"/>
      <c r="J1134" s="4"/>
      <c r="K1134" s="4"/>
      <c r="L1134" s="4"/>
      <c r="M1134" s="4"/>
      <c r="N1134" s="38"/>
      <c r="O1134" s="4"/>
      <c r="P1134" s="4"/>
      <c r="Q1134" s="4"/>
      <c r="R1134" s="4"/>
      <c r="S1134" s="4"/>
      <c r="T1134" s="38"/>
      <c r="U1134" s="4"/>
      <c r="V1134" s="4"/>
      <c r="W1134" s="4"/>
      <c r="X1134" s="4"/>
      <c r="Y1134" s="4"/>
      <c r="Z1134" s="4"/>
      <c r="AA1134" s="4"/>
      <c r="AB1134" s="4"/>
      <c r="AC1134" s="4"/>
      <c r="AD1134" s="4"/>
      <c r="AE1134" s="4"/>
      <c r="AF1134" s="4"/>
      <c r="AG1134" s="4"/>
      <c r="AH1134" s="4"/>
      <c r="AI1134" s="4"/>
      <c r="AJ1134" s="4"/>
      <c r="AK1134" s="4"/>
      <c r="AL1134" s="4"/>
      <c r="AM1134" s="38"/>
      <c r="AN1134" s="4"/>
      <c r="AO1134" s="4"/>
      <c r="AP1134" s="4"/>
      <c r="AQ1134" s="4"/>
      <c r="AR1134" s="4"/>
      <c r="AS1134" s="4"/>
      <c r="AT1134" s="4"/>
      <c r="AU1134" s="4"/>
      <c r="AV1134" s="4"/>
      <c r="AW1134" s="4"/>
      <c r="AX1134" s="4"/>
      <c r="AY1134" s="4"/>
      <c r="AZ1134" s="4"/>
      <c r="BA1134" s="4"/>
      <c r="BB1134" s="4"/>
      <c r="BC1134" s="4"/>
      <c r="BD1134" s="4"/>
      <c r="BE1134" s="4"/>
      <c r="BF1134" s="4"/>
      <c r="BG1134" s="4"/>
      <c r="BH1134" s="4"/>
      <c r="BI1134" s="4"/>
      <c r="BJ1134" s="4"/>
      <c r="BK1134" s="4"/>
      <c r="BL1134" s="4"/>
      <c r="BM1134" s="4"/>
      <c r="BN1134" s="4"/>
      <c r="BO1134" s="4"/>
      <c r="BP1134" s="39"/>
      <c r="BQ1134" s="39"/>
    </row>
    <row r="1135" spans="3:69" ht="15.75" customHeight="1">
      <c r="C1135" s="4"/>
      <c r="D1135" s="4"/>
      <c r="E1135" s="38"/>
      <c r="F1135" s="38"/>
      <c r="G1135" s="4"/>
      <c r="H1135" s="4"/>
      <c r="I1135" s="4"/>
      <c r="J1135" s="4"/>
      <c r="K1135" s="4"/>
      <c r="L1135" s="4"/>
      <c r="M1135" s="4"/>
      <c r="N1135" s="38"/>
      <c r="O1135" s="4"/>
      <c r="P1135" s="4"/>
      <c r="Q1135" s="4"/>
      <c r="R1135" s="4"/>
      <c r="S1135" s="4"/>
      <c r="T1135" s="38"/>
      <c r="U1135" s="4"/>
      <c r="V1135" s="4"/>
      <c r="W1135" s="4"/>
      <c r="X1135" s="4"/>
      <c r="Y1135" s="4"/>
      <c r="Z1135" s="4"/>
      <c r="AA1135" s="4"/>
      <c r="AB1135" s="4"/>
      <c r="AC1135" s="4"/>
      <c r="AD1135" s="4"/>
      <c r="AE1135" s="4"/>
      <c r="AF1135" s="4"/>
      <c r="AG1135" s="4"/>
      <c r="AH1135" s="4"/>
      <c r="AI1135" s="4"/>
      <c r="AJ1135" s="4"/>
      <c r="AK1135" s="4"/>
      <c r="AL1135" s="4"/>
      <c r="AM1135" s="38"/>
      <c r="AN1135" s="4"/>
      <c r="AO1135" s="4"/>
      <c r="AP1135" s="4"/>
      <c r="AQ1135" s="4"/>
      <c r="AR1135" s="4"/>
      <c r="AS1135" s="4"/>
      <c r="AT1135" s="4"/>
      <c r="AU1135" s="4"/>
      <c r="AV1135" s="4"/>
      <c r="AW1135" s="4"/>
      <c r="AX1135" s="4"/>
      <c r="AY1135" s="4"/>
      <c r="AZ1135" s="4"/>
      <c r="BA1135" s="4"/>
      <c r="BB1135" s="4"/>
      <c r="BC1135" s="4"/>
      <c r="BD1135" s="4"/>
      <c r="BE1135" s="4"/>
      <c r="BF1135" s="4"/>
      <c r="BG1135" s="4"/>
      <c r="BH1135" s="4"/>
      <c r="BI1135" s="4"/>
      <c r="BJ1135" s="4"/>
      <c r="BK1135" s="4"/>
      <c r="BL1135" s="4"/>
      <c r="BM1135" s="4"/>
      <c r="BN1135" s="4"/>
      <c r="BO1135" s="4"/>
      <c r="BP1135" s="39"/>
      <c r="BQ1135" s="39"/>
    </row>
    <row r="1136" spans="3:69" ht="15.75" customHeight="1">
      <c r="C1136" s="4"/>
      <c r="D1136" s="4"/>
      <c r="E1136" s="38"/>
      <c r="F1136" s="38"/>
      <c r="G1136" s="4"/>
      <c r="H1136" s="4"/>
      <c r="I1136" s="4"/>
      <c r="J1136" s="4"/>
      <c r="K1136" s="4"/>
      <c r="L1136" s="4"/>
      <c r="M1136" s="4"/>
      <c r="N1136" s="38"/>
      <c r="O1136" s="4"/>
      <c r="P1136" s="4"/>
      <c r="Q1136" s="4"/>
      <c r="R1136" s="4"/>
      <c r="S1136" s="4"/>
      <c r="T1136" s="38"/>
      <c r="U1136" s="4"/>
      <c r="V1136" s="4"/>
      <c r="W1136" s="4"/>
      <c r="X1136" s="4"/>
      <c r="Y1136" s="4"/>
      <c r="Z1136" s="4"/>
      <c r="AA1136" s="4"/>
      <c r="AB1136" s="4"/>
      <c r="AC1136" s="4"/>
      <c r="AD1136" s="4"/>
      <c r="AE1136" s="4"/>
      <c r="AF1136" s="4"/>
      <c r="AG1136" s="4"/>
      <c r="AH1136" s="4"/>
      <c r="AI1136" s="4"/>
      <c r="AJ1136" s="4"/>
      <c r="AK1136" s="4"/>
      <c r="AL1136" s="4"/>
      <c r="AM1136" s="38"/>
      <c r="AN1136" s="4"/>
      <c r="AO1136" s="4"/>
      <c r="AP1136" s="4"/>
      <c r="AQ1136" s="4"/>
      <c r="AR1136" s="4"/>
      <c r="AS1136" s="4"/>
      <c r="AT1136" s="4"/>
      <c r="AU1136" s="4"/>
      <c r="AV1136" s="4"/>
      <c r="AW1136" s="4"/>
      <c r="AX1136" s="4"/>
      <c r="AY1136" s="4"/>
      <c r="AZ1136" s="4"/>
      <c r="BA1136" s="4"/>
      <c r="BB1136" s="4"/>
      <c r="BC1136" s="4"/>
      <c r="BD1136" s="4"/>
      <c r="BE1136" s="4"/>
      <c r="BF1136" s="4"/>
      <c r="BG1136" s="4"/>
      <c r="BH1136" s="4"/>
      <c r="BI1136" s="4"/>
      <c r="BJ1136" s="4"/>
      <c r="BK1136" s="4"/>
      <c r="BL1136" s="4"/>
      <c r="BM1136" s="4"/>
      <c r="BN1136" s="4"/>
      <c r="BO1136" s="4"/>
      <c r="BP1136" s="39"/>
      <c r="BQ1136" s="39"/>
    </row>
    <row r="1137" spans="3:69" ht="15.75" customHeight="1">
      <c r="C1137" s="4"/>
      <c r="D1137" s="4"/>
      <c r="E1137" s="38"/>
      <c r="F1137" s="38"/>
      <c r="G1137" s="4"/>
      <c r="H1137" s="4"/>
      <c r="I1137" s="4"/>
      <c r="J1137" s="4"/>
      <c r="K1137" s="4"/>
      <c r="L1137" s="4"/>
      <c r="M1137" s="4"/>
      <c r="N1137" s="38"/>
      <c r="O1137" s="4"/>
      <c r="P1137" s="4"/>
      <c r="Q1137" s="4"/>
      <c r="R1137" s="4"/>
      <c r="S1137" s="4"/>
      <c r="T1137" s="38"/>
      <c r="U1137" s="4"/>
      <c r="V1137" s="4"/>
      <c r="W1137" s="4"/>
      <c r="X1137" s="4"/>
      <c r="Y1137" s="4"/>
      <c r="Z1137" s="4"/>
      <c r="AA1137" s="4"/>
      <c r="AB1137" s="4"/>
      <c r="AC1137" s="4"/>
      <c r="AD1137" s="4"/>
      <c r="AE1137" s="4"/>
      <c r="AF1137" s="4"/>
      <c r="AG1137" s="4"/>
      <c r="AH1137" s="4"/>
      <c r="AI1137" s="4"/>
      <c r="AJ1137" s="4"/>
      <c r="AK1137" s="4"/>
      <c r="AL1137" s="4"/>
      <c r="AM1137" s="38"/>
      <c r="AN1137" s="4"/>
      <c r="AO1137" s="4"/>
      <c r="AP1137" s="4"/>
      <c r="AQ1137" s="4"/>
      <c r="AR1137" s="4"/>
      <c r="AS1137" s="4"/>
      <c r="AT1137" s="4"/>
      <c r="AU1137" s="4"/>
      <c r="AV1137" s="4"/>
      <c r="AW1137" s="4"/>
      <c r="AX1137" s="4"/>
      <c r="AY1137" s="4"/>
      <c r="AZ1137" s="4"/>
      <c r="BA1137" s="4"/>
      <c r="BB1137" s="4"/>
      <c r="BC1137" s="4"/>
      <c r="BD1137" s="4"/>
      <c r="BE1137" s="4"/>
      <c r="BF1137" s="4"/>
      <c r="BG1137" s="4"/>
      <c r="BH1137" s="4"/>
      <c r="BI1137" s="4"/>
      <c r="BJ1137" s="4"/>
      <c r="BK1137" s="4"/>
      <c r="BL1137" s="4"/>
      <c r="BM1137" s="4"/>
      <c r="BN1137" s="4"/>
      <c r="BO1137" s="4"/>
      <c r="BP1137" s="39"/>
      <c r="BQ1137" s="39"/>
    </row>
    <row r="1138" spans="3:69" ht="15.75" customHeight="1">
      <c r="C1138" s="4"/>
      <c r="D1138" s="4"/>
      <c r="E1138" s="38"/>
      <c r="F1138" s="38"/>
      <c r="G1138" s="4"/>
      <c r="H1138" s="4"/>
      <c r="I1138" s="4"/>
      <c r="J1138" s="4"/>
      <c r="K1138" s="4"/>
      <c r="L1138" s="4"/>
      <c r="M1138" s="4"/>
      <c r="N1138" s="38"/>
      <c r="O1138" s="4"/>
      <c r="P1138" s="4"/>
      <c r="Q1138" s="4"/>
      <c r="R1138" s="4"/>
      <c r="S1138" s="4"/>
      <c r="T1138" s="38"/>
      <c r="U1138" s="4"/>
      <c r="V1138" s="4"/>
      <c r="W1138" s="4"/>
      <c r="X1138" s="4"/>
      <c r="Y1138" s="4"/>
      <c r="Z1138" s="4"/>
      <c r="AA1138" s="4"/>
      <c r="AB1138" s="4"/>
      <c r="AC1138" s="4"/>
      <c r="AD1138" s="4"/>
      <c r="AE1138" s="4"/>
      <c r="AF1138" s="4"/>
      <c r="AG1138" s="4"/>
      <c r="AH1138" s="4"/>
      <c r="AI1138" s="4"/>
      <c r="AJ1138" s="4"/>
      <c r="AK1138" s="4"/>
      <c r="AL1138" s="4"/>
      <c r="AM1138" s="38"/>
      <c r="AN1138" s="4"/>
      <c r="AO1138" s="4"/>
      <c r="AP1138" s="4"/>
      <c r="AQ1138" s="4"/>
      <c r="AR1138" s="4"/>
      <c r="AS1138" s="4"/>
      <c r="AT1138" s="4"/>
      <c r="AU1138" s="4"/>
      <c r="AV1138" s="4"/>
      <c r="AW1138" s="4"/>
      <c r="AX1138" s="4"/>
      <c r="AY1138" s="4"/>
      <c r="AZ1138" s="4"/>
      <c r="BA1138" s="4"/>
      <c r="BB1138" s="4"/>
      <c r="BC1138" s="4"/>
      <c r="BD1138" s="4"/>
      <c r="BE1138" s="4"/>
      <c r="BF1138" s="4"/>
      <c r="BG1138" s="4"/>
      <c r="BH1138" s="4"/>
      <c r="BI1138" s="4"/>
      <c r="BJ1138" s="4"/>
      <c r="BK1138" s="4"/>
      <c r="BL1138" s="4"/>
      <c r="BM1138" s="4"/>
      <c r="BN1138" s="4"/>
      <c r="BO1138" s="4"/>
      <c r="BP1138" s="39"/>
      <c r="BQ1138" s="39"/>
    </row>
    <row r="1139" spans="3:69" ht="15.75" customHeight="1">
      <c r="C1139" s="4"/>
      <c r="D1139" s="4"/>
      <c r="E1139" s="38"/>
      <c r="F1139" s="38"/>
      <c r="G1139" s="4"/>
      <c r="H1139" s="4"/>
      <c r="I1139" s="4"/>
      <c r="J1139" s="4"/>
      <c r="K1139" s="4"/>
      <c r="L1139" s="4"/>
      <c r="M1139" s="4"/>
      <c r="N1139" s="38"/>
      <c r="O1139" s="4"/>
      <c r="P1139" s="4"/>
      <c r="Q1139" s="4"/>
      <c r="R1139" s="4"/>
      <c r="S1139" s="4"/>
      <c r="T1139" s="38"/>
      <c r="U1139" s="4"/>
      <c r="V1139" s="4"/>
      <c r="W1139" s="4"/>
      <c r="X1139" s="4"/>
      <c r="Y1139" s="4"/>
      <c r="Z1139" s="4"/>
      <c r="AA1139" s="4"/>
      <c r="AB1139" s="4"/>
      <c r="AC1139" s="4"/>
      <c r="AD1139" s="4"/>
      <c r="AE1139" s="4"/>
      <c r="AF1139" s="4"/>
      <c r="AG1139" s="4"/>
      <c r="AH1139" s="4"/>
      <c r="AI1139" s="4"/>
      <c r="AJ1139" s="4"/>
      <c r="AK1139" s="4"/>
      <c r="AL1139" s="4"/>
      <c r="AM1139" s="38"/>
      <c r="AN1139" s="4"/>
      <c r="AO1139" s="4"/>
      <c r="AP1139" s="4"/>
      <c r="AQ1139" s="4"/>
      <c r="AR1139" s="4"/>
      <c r="AS1139" s="4"/>
      <c r="AT1139" s="4"/>
      <c r="AU1139" s="4"/>
      <c r="AV1139" s="4"/>
      <c r="AW1139" s="4"/>
      <c r="AX1139" s="4"/>
      <c r="AY1139" s="4"/>
      <c r="AZ1139" s="4"/>
      <c r="BA1139" s="4"/>
      <c r="BB1139" s="4"/>
      <c r="BC1139" s="4"/>
      <c r="BD1139" s="4"/>
      <c r="BE1139" s="4"/>
      <c r="BF1139" s="4"/>
      <c r="BG1139" s="4"/>
      <c r="BH1139" s="4"/>
      <c r="BI1139" s="4"/>
      <c r="BJ1139" s="4"/>
      <c r="BK1139" s="4"/>
      <c r="BL1139" s="4"/>
      <c r="BM1139" s="4"/>
      <c r="BN1139" s="4"/>
      <c r="BO1139" s="4"/>
      <c r="BP1139" s="39"/>
      <c r="BQ1139" s="39"/>
    </row>
    <row r="1140" spans="3:69" ht="15.75" customHeight="1">
      <c r="C1140" s="4"/>
      <c r="D1140" s="4"/>
      <c r="E1140" s="38"/>
      <c r="F1140" s="38"/>
      <c r="G1140" s="4"/>
      <c r="H1140" s="4"/>
      <c r="I1140" s="4"/>
      <c r="J1140" s="4"/>
      <c r="K1140" s="4"/>
      <c r="L1140" s="4"/>
      <c r="M1140" s="4"/>
      <c r="N1140" s="38"/>
      <c r="O1140" s="4"/>
      <c r="P1140" s="4"/>
      <c r="Q1140" s="4"/>
      <c r="R1140" s="4"/>
      <c r="S1140" s="4"/>
      <c r="T1140" s="38"/>
      <c r="U1140" s="4"/>
      <c r="V1140" s="4"/>
      <c r="W1140" s="4"/>
      <c r="X1140" s="4"/>
      <c r="Y1140" s="4"/>
      <c r="Z1140" s="4"/>
      <c r="AA1140" s="4"/>
      <c r="AB1140" s="4"/>
      <c r="AC1140" s="4"/>
      <c r="AD1140" s="4"/>
      <c r="AE1140" s="4"/>
      <c r="AF1140" s="4"/>
      <c r="AG1140" s="4"/>
      <c r="AH1140" s="4"/>
      <c r="AI1140" s="4"/>
      <c r="AJ1140" s="4"/>
      <c r="AK1140" s="4"/>
      <c r="AL1140" s="4"/>
      <c r="AM1140" s="38"/>
      <c r="AN1140" s="4"/>
      <c r="AO1140" s="4"/>
      <c r="AP1140" s="4"/>
      <c r="AQ1140" s="4"/>
      <c r="AR1140" s="4"/>
      <c r="AS1140" s="4"/>
      <c r="AT1140" s="4"/>
      <c r="AU1140" s="4"/>
      <c r="AV1140" s="4"/>
      <c r="AW1140" s="4"/>
      <c r="AX1140" s="4"/>
      <c r="AY1140" s="4"/>
      <c r="AZ1140" s="4"/>
      <c r="BA1140" s="4"/>
      <c r="BB1140" s="4"/>
      <c r="BC1140" s="4"/>
      <c r="BD1140" s="4"/>
      <c r="BE1140" s="4"/>
      <c r="BF1140" s="4"/>
      <c r="BG1140" s="4"/>
      <c r="BH1140" s="4"/>
      <c r="BI1140" s="4"/>
      <c r="BJ1140" s="4"/>
      <c r="BK1140" s="4"/>
      <c r="BL1140" s="4"/>
      <c r="BM1140" s="4"/>
      <c r="BN1140" s="4"/>
      <c r="BO1140" s="4"/>
      <c r="BP1140" s="39"/>
      <c r="BQ1140" s="39"/>
    </row>
    <row r="1141" spans="3:69" ht="15.75" customHeight="1">
      <c r="C1141" s="4"/>
      <c r="D1141" s="4"/>
      <c r="E1141" s="38"/>
      <c r="F1141" s="38"/>
      <c r="G1141" s="4"/>
      <c r="H1141" s="4"/>
      <c r="I1141" s="4"/>
      <c r="J1141" s="4"/>
      <c r="K1141" s="4"/>
      <c r="L1141" s="4"/>
      <c r="M1141" s="4"/>
      <c r="N1141" s="38"/>
      <c r="O1141" s="4"/>
      <c r="P1141" s="4"/>
      <c r="Q1141" s="4"/>
      <c r="R1141" s="4"/>
      <c r="S1141" s="4"/>
      <c r="T1141" s="38"/>
      <c r="U1141" s="4"/>
      <c r="V1141" s="4"/>
      <c r="W1141" s="4"/>
      <c r="X1141" s="4"/>
      <c r="Y1141" s="4"/>
      <c r="Z1141" s="4"/>
      <c r="AA1141" s="4"/>
      <c r="AB1141" s="4"/>
      <c r="AC1141" s="4"/>
      <c r="AD1141" s="4"/>
      <c r="AE1141" s="4"/>
      <c r="AF1141" s="4"/>
      <c r="AG1141" s="4"/>
      <c r="AH1141" s="4"/>
      <c r="AI1141" s="4"/>
      <c r="AJ1141" s="4"/>
      <c r="AK1141" s="4"/>
      <c r="AL1141" s="4"/>
      <c r="AM1141" s="38"/>
      <c r="AN1141" s="4"/>
      <c r="AO1141" s="4"/>
      <c r="AP1141" s="4"/>
      <c r="AQ1141" s="4"/>
      <c r="AR1141" s="4"/>
      <c r="AS1141" s="4"/>
      <c r="AT1141" s="4"/>
      <c r="AU1141" s="4"/>
      <c r="AV1141" s="4"/>
      <c r="AW1141" s="4"/>
      <c r="AX1141" s="4"/>
      <c r="AY1141" s="4"/>
      <c r="AZ1141" s="4"/>
      <c r="BA1141" s="4"/>
      <c r="BB1141" s="4"/>
      <c r="BC1141" s="4"/>
      <c r="BD1141" s="4"/>
      <c r="BE1141" s="4"/>
      <c r="BF1141" s="4"/>
      <c r="BG1141" s="4"/>
      <c r="BH1141" s="4"/>
      <c r="BI1141" s="4"/>
      <c r="BJ1141" s="4"/>
      <c r="BK1141" s="4"/>
      <c r="BL1141" s="4"/>
      <c r="BM1141" s="4"/>
      <c r="BN1141" s="4"/>
      <c r="BO1141" s="4"/>
      <c r="BP1141" s="39"/>
      <c r="BQ1141" s="39"/>
    </row>
    <row r="1142" spans="3:69" ht="15.75" customHeight="1">
      <c r="C1142" s="4"/>
      <c r="D1142" s="4"/>
      <c r="E1142" s="38"/>
      <c r="F1142" s="38"/>
      <c r="G1142" s="4"/>
      <c r="H1142" s="4"/>
      <c r="I1142" s="4"/>
      <c r="J1142" s="4"/>
      <c r="K1142" s="4"/>
      <c r="L1142" s="4"/>
      <c r="M1142" s="4"/>
      <c r="N1142" s="38"/>
      <c r="O1142" s="4"/>
      <c r="P1142" s="4"/>
      <c r="Q1142" s="4"/>
      <c r="R1142" s="4"/>
      <c r="S1142" s="4"/>
      <c r="T1142" s="38"/>
      <c r="U1142" s="4"/>
      <c r="V1142" s="4"/>
      <c r="W1142" s="4"/>
      <c r="X1142" s="4"/>
      <c r="Y1142" s="4"/>
      <c r="Z1142" s="4"/>
      <c r="AA1142" s="4"/>
      <c r="AB1142" s="4"/>
      <c r="AC1142" s="4"/>
      <c r="AD1142" s="4"/>
      <c r="AE1142" s="4"/>
      <c r="AF1142" s="4"/>
      <c r="AG1142" s="4"/>
      <c r="AH1142" s="4"/>
      <c r="AI1142" s="4"/>
      <c r="AJ1142" s="4"/>
      <c r="AK1142" s="4"/>
      <c r="AL1142" s="4"/>
      <c r="AM1142" s="38"/>
      <c r="AN1142" s="4"/>
      <c r="AO1142" s="4"/>
      <c r="AP1142" s="4"/>
      <c r="AQ1142" s="4"/>
      <c r="AR1142" s="4"/>
      <c r="AS1142" s="4"/>
      <c r="AT1142" s="4"/>
      <c r="AU1142" s="4"/>
      <c r="AV1142" s="4"/>
      <c r="AW1142" s="4"/>
      <c r="AX1142" s="4"/>
      <c r="AY1142" s="4"/>
      <c r="AZ1142" s="4"/>
      <c r="BA1142" s="4"/>
      <c r="BB1142" s="4"/>
      <c r="BC1142" s="4"/>
      <c r="BD1142" s="4"/>
      <c r="BE1142" s="4"/>
      <c r="BF1142" s="4"/>
      <c r="BG1142" s="4"/>
      <c r="BH1142" s="4"/>
      <c r="BI1142" s="4"/>
      <c r="BJ1142" s="4"/>
      <c r="BK1142" s="4"/>
      <c r="BL1142" s="4"/>
      <c r="BM1142" s="4"/>
      <c r="BN1142" s="4"/>
      <c r="BO1142" s="4"/>
      <c r="BP1142" s="39"/>
      <c r="BQ1142" s="39"/>
    </row>
    <row r="1143" spans="3:69" ht="15.75" customHeight="1">
      <c r="C1143" s="4"/>
      <c r="D1143" s="4"/>
      <c r="E1143" s="38"/>
      <c r="F1143" s="38"/>
      <c r="G1143" s="4"/>
      <c r="H1143" s="4"/>
      <c r="I1143" s="4"/>
      <c r="J1143" s="4"/>
      <c r="K1143" s="4"/>
      <c r="L1143" s="4"/>
      <c r="M1143" s="4"/>
      <c r="N1143" s="38"/>
      <c r="O1143" s="4"/>
      <c r="P1143" s="4"/>
      <c r="Q1143" s="4"/>
      <c r="R1143" s="4"/>
      <c r="S1143" s="4"/>
      <c r="T1143" s="38"/>
      <c r="U1143" s="4"/>
      <c r="V1143" s="4"/>
      <c r="W1143" s="4"/>
      <c r="X1143" s="4"/>
      <c r="Y1143" s="4"/>
      <c r="Z1143" s="4"/>
      <c r="AA1143" s="4"/>
      <c r="AB1143" s="4"/>
      <c r="AC1143" s="4"/>
      <c r="AD1143" s="4"/>
      <c r="AE1143" s="4"/>
      <c r="AF1143" s="4"/>
      <c r="AG1143" s="4"/>
      <c r="AH1143" s="4"/>
      <c r="AI1143" s="4"/>
      <c r="AJ1143" s="4"/>
      <c r="AK1143" s="4"/>
      <c r="AL1143" s="4"/>
      <c r="AM1143" s="38"/>
      <c r="AN1143" s="4"/>
      <c r="AO1143" s="4"/>
      <c r="AP1143" s="4"/>
      <c r="AQ1143" s="4"/>
      <c r="AR1143" s="4"/>
      <c r="AS1143" s="4"/>
      <c r="AT1143" s="4"/>
      <c r="AU1143" s="4"/>
      <c r="AV1143" s="4"/>
      <c r="AW1143" s="4"/>
      <c r="AX1143" s="4"/>
      <c r="AY1143" s="4"/>
      <c r="AZ1143" s="4"/>
      <c r="BA1143" s="4"/>
      <c r="BB1143" s="4"/>
      <c r="BC1143" s="4"/>
      <c r="BD1143" s="4"/>
      <c r="BE1143" s="4"/>
      <c r="BF1143" s="4"/>
      <c r="BG1143" s="4"/>
      <c r="BH1143" s="4"/>
      <c r="BI1143" s="4"/>
      <c r="BJ1143" s="4"/>
      <c r="BK1143" s="4"/>
      <c r="BL1143" s="4"/>
      <c r="BM1143" s="4"/>
      <c r="BN1143" s="4"/>
      <c r="BO1143" s="4"/>
      <c r="BP1143" s="39"/>
      <c r="BQ1143" s="39"/>
    </row>
    <row r="1144" spans="3:69" ht="15.75" customHeight="1">
      <c r="C1144" s="4"/>
      <c r="D1144" s="4"/>
      <c r="E1144" s="38"/>
      <c r="F1144" s="38"/>
      <c r="G1144" s="4"/>
      <c r="H1144" s="4"/>
      <c r="I1144" s="4"/>
      <c r="J1144" s="4"/>
      <c r="K1144" s="4"/>
      <c r="L1144" s="4"/>
      <c r="M1144" s="4"/>
      <c r="N1144" s="38"/>
      <c r="O1144" s="4"/>
      <c r="P1144" s="4"/>
      <c r="Q1144" s="4"/>
      <c r="R1144" s="4"/>
      <c r="S1144" s="4"/>
      <c r="T1144" s="38"/>
      <c r="U1144" s="4"/>
      <c r="V1144" s="4"/>
      <c r="W1144" s="4"/>
      <c r="X1144" s="4"/>
      <c r="Y1144" s="4"/>
      <c r="Z1144" s="4"/>
      <c r="AA1144" s="4"/>
      <c r="AB1144" s="4"/>
      <c r="AC1144" s="4"/>
      <c r="AD1144" s="4"/>
      <c r="AE1144" s="4"/>
      <c r="AF1144" s="4"/>
      <c r="AG1144" s="4"/>
      <c r="AH1144" s="4"/>
      <c r="AI1144" s="4"/>
      <c r="AJ1144" s="4"/>
      <c r="AK1144" s="4"/>
      <c r="AL1144" s="4"/>
      <c r="AM1144" s="38"/>
      <c r="AN1144" s="4"/>
      <c r="AO1144" s="4"/>
      <c r="AP1144" s="4"/>
      <c r="AQ1144" s="4"/>
      <c r="AR1144" s="4"/>
      <c r="AS1144" s="4"/>
      <c r="AT1144" s="4"/>
      <c r="AU1144" s="4"/>
      <c r="AV1144" s="4"/>
      <c r="AW1144" s="4"/>
      <c r="AX1144" s="4"/>
      <c r="AY1144" s="4"/>
      <c r="AZ1144" s="4"/>
      <c r="BA1144" s="4"/>
      <c r="BB1144" s="4"/>
      <c r="BC1144" s="4"/>
      <c r="BD1144" s="4"/>
      <c r="BE1144" s="4"/>
      <c r="BF1144" s="4"/>
      <c r="BG1144" s="4"/>
      <c r="BH1144" s="4"/>
      <c r="BI1144" s="4"/>
      <c r="BJ1144" s="4"/>
      <c r="BK1144" s="4"/>
      <c r="BL1144" s="4"/>
      <c r="BM1144" s="4"/>
      <c r="BN1144" s="4"/>
      <c r="BO1144" s="4"/>
      <c r="BP1144" s="39"/>
      <c r="BQ1144" s="39"/>
    </row>
    <row r="1145" spans="3:69" ht="15.75" customHeight="1">
      <c r="C1145" s="4"/>
      <c r="D1145" s="4"/>
      <c r="E1145" s="38"/>
      <c r="F1145" s="38"/>
      <c r="G1145" s="4"/>
      <c r="H1145" s="4"/>
      <c r="I1145" s="4"/>
      <c r="J1145" s="4"/>
      <c r="K1145" s="4"/>
      <c r="L1145" s="4"/>
      <c r="M1145" s="4"/>
      <c r="N1145" s="38"/>
      <c r="O1145" s="4"/>
      <c r="P1145" s="4"/>
      <c r="Q1145" s="4"/>
      <c r="R1145" s="4"/>
      <c r="S1145" s="4"/>
      <c r="T1145" s="38"/>
      <c r="U1145" s="4"/>
      <c r="V1145" s="4"/>
      <c r="W1145" s="4"/>
      <c r="X1145" s="4"/>
      <c r="Y1145" s="4"/>
      <c r="Z1145" s="4"/>
      <c r="AA1145" s="4"/>
      <c r="AB1145" s="4"/>
      <c r="AC1145" s="4"/>
      <c r="AD1145" s="4"/>
      <c r="AE1145" s="4"/>
      <c r="AF1145" s="4"/>
      <c r="AG1145" s="4"/>
      <c r="AH1145" s="4"/>
      <c r="AI1145" s="4"/>
      <c r="AJ1145" s="4"/>
      <c r="AK1145" s="4"/>
      <c r="AL1145" s="4"/>
      <c r="AM1145" s="38"/>
      <c r="AN1145" s="4"/>
      <c r="AO1145" s="4"/>
      <c r="AP1145" s="4"/>
      <c r="AQ1145" s="4"/>
      <c r="AR1145" s="4"/>
      <c r="AS1145" s="4"/>
      <c r="AT1145" s="4"/>
      <c r="AU1145" s="4"/>
      <c r="AV1145" s="4"/>
      <c r="AW1145" s="4"/>
      <c r="AX1145" s="4"/>
      <c r="AY1145" s="4"/>
      <c r="AZ1145" s="4"/>
      <c r="BA1145" s="4"/>
      <c r="BB1145" s="4"/>
      <c r="BC1145" s="4"/>
      <c r="BD1145" s="4"/>
      <c r="BE1145" s="4"/>
      <c r="BF1145" s="4"/>
      <c r="BG1145" s="4"/>
      <c r="BH1145" s="4"/>
      <c r="BI1145" s="4"/>
      <c r="BJ1145" s="4"/>
      <c r="BK1145" s="4"/>
      <c r="BL1145" s="4"/>
      <c r="BM1145" s="4"/>
      <c r="BN1145" s="4"/>
      <c r="BO1145" s="4"/>
      <c r="BP1145" s="39"/>
      <c r="BQ1145" s="39"/>
    </row>
    <row r="1146" spans="3:69" ht="15.75" customHeight="1">
      <c r="C1146" s="4"/>
      <c r="D1146" s="4"/>
      <c r="E1146" s="38"/>
      <c r="F1146" s="38"/>
      <c r="G1146" s="4"/>
      <c r="H1146" s="4"/>
      <c r="I1146" s="4"/>
      <c r="J1146" s="4"/>
      <c r="K1146" s="4"/>
      <c r="L1146" s="4"/>
      <c r="M1146" s="4"/>
      <c r="N1146" s="38"/>
      <c r="O1146" s="4"/>
      <c r="P1146" s="4"/>
      <c r="Q1146" s="4"/>
      <c r="R1146" s="4"/>
      <c r="S1146" s="4"/>
      <c r="T1146" s="38"/>
      <c r="U1146" s="4"/>
      <c r="V1146" s="4"/>
      <c r="W1146" s="4"/>
      <c r="X1146" s="4"/>
      <c r="Y1146" s="4"/>
      <c r="Z1146" s="4"/>
      <c r="AA1146" s="4"/>
      <c r="AB1146" s="4"/>
      <c r="AC1146" s="4"/>
      <c r="AD1146" s="4"/>
      <c r="AE1146" s="4"/>
      <c r="AF1146" s="4"/>
      <c r="AG1146" s="4"/>
      <c r="AH1146" s="4"/>
      <c r="AI1146" s="4"/>
      <c r="AJ1146" s="4"/>
      <c r="AK1146" s="4"/>
      <c r="AL1146" s="4"/>
      <c r="AM1146" s="38"/>
      <c r="AN1146" s="4"/>
      <c r="AO1146" s="4"/>
      <c r="AP1146" s="4"/>
      <c r="AQ1146" s="4"/>
      <c r="AR1146" s="4"/>
      <c r="AS1146" s="4"/>
      <c r="AT1146" s="4"/>
      <c r="AU1146" s="4"/>
      <c r="AV1146" s="4"/>
      <c r="AW1146" s="4"/>
      <c r="AX1146" s="4"/>
      <c r="AY1146" s="4"/>
      <c r="AZ1146" s="4"/>
      <c r="BA1146" s="4"/>
      <c r="BB1146" s="4"/>
      <c r="BC1146" s="4"/>
      <c r="BD1146" s="4"/>
      <c r="BE1146" s="4"/>
      <c r="BF1146" s="4"/>
      <c r="BG1146" s="4"/>
      <c r="BH1146" s="4"/>
      <c r="BI1146" s="4"/>
      <c r="BJ1146" s="4"/>
      <c r="BK1146" s="4"/>
      <c r="BL1146" s="4"/>
      <c r="BM1146" s="4"/>
      <c r="BN1146" s="4"/>
      <c r="BO1146" s="4"/>
      <c r="BP1146" s="39"/>
      <c r="BQ1146" s="39"/>
    </row>
    <row r="1147" spans="3:69" ht="15.75" customHeight="1">
      <c r="C1147" s="4"/>
      <c r="D1147" s="4"/>
      <c r="E1147" s="38"/>
      <c r="F1147" s="38"/>
      <c r="G1147" s="4"/>
      <c r="H1147" s="4"/>
      <c r="I1147" s="4"/>
      <c r="J1147" s="4"/>
      <c r="K1147" s="4"/>
      <c r="L1147" s="4"/>
      <c r="M1147" s="4"/>
      <c r="N1147" s="38"/>
      <c r="O1147" s="4"/>
      <c r="P1147" s="4"/>
      <c r="Q1147" s="4"/>
      <c r="R1147" s="4"/>
      <c r="S1147" s="4"/>
      <c r="T1147" s="38"/>
      <c r="U1147" s="4"/>
      <c r="V1147" s="4"/>
      <c r="W1147" s="4"/>
      <c r="X1147" s="4"/>
      <c r="Y1147" s="4"/>
      <c r="Z1147" s="4"/>
      <c r="AA1147" s="4"/>
      <c r="AB1147" s="4"/>
      <c r="AC1147" s="4"/>
      <c r="AD1147" s="4"/>
      <c r="AE1147" s="4"/>
      <c r="AF1147" s="4"/>
      <c r="AG1147" s="4"/>
      <c r="AH1147" s="4"/>
      <c r="AI1147" s="4"/>
      <c r="AJ1147" s="4"/>
      <c r="AK1147" s="4"/>
      <c r="AL1147" s="4"/>
      <c r="AM1147" s="38"/>
      <c r="AN1147" s="4"/>
      <c r="AO1147" s="4"/>
      <c r="AP1147" s="4"/>
      <c r="AQ1147" s="4"/>
      <c r="AR1147" s="4"/>
      <c r="AS1147" s="4"/>
      <c r="AT1147" s="4"/>
      <c r="AU1147" s="4"/>
      <c r="AV1147" s="4"/>
      <c r="AW1147" s="4"/>
      <c r="AX1147" s="4"/>
      <c r="AY1147" s="4"/>
      <c r="AZ1147" s="4"/>
      <c r="BA1147" s="4"/>
      <c r="BB1147" s="4"/>
      <c r="BC1147" s="4"/>
      <c r="BD1147" s="4"/>
      <c r="BE1147" s="4"/>
      <c r="BF1147" s="4"/>
      <c r="BG1147" s="4"/>
      <c r="BH1147" s="4"/>
      <c r="BI1147" s="4"/>
      <c r="BJ1147" s="4"/>
      <c r="BK1147" s="4"/>
      <c r="BL1147" s="4"/>
      <c r="BM1147" s="4"/>
      <c r="BN1147" s="4"/>
      <c r="BO1147" s="4"/>
      <c r="BP1147" s="39"/>
      <c r="BQ1147" s="39"/>
    </row>
    <row r="1148" spans="3:69" ht="15.75" customHeight="1">
      <c r="C1148" s="4"/>
      <c r="D1148" s="4"/>
      <c r="E1148" s="38"/>
      <c r="F1148" s="38"/>
      <c r="G1148" s="4"/>
      <c r="H1148" s="4"/>
      <c r="I1148" s="4"/>
      <c r="J1148" s="4"/>
      <c r="K1148" s="4"/>
      <c r="L1148" s="4"/>
      <c r="M1148" s="4"/>
      <c r="N1148" s="38"/>
      <c r="O1148" s="4"/>
      <c r="P1148" s="4"/>
      <c r="Q1148" s="4"/>
      <c r="R1148" s="4"/>
      <c r="S1148" s="4"/>
      <c r="T1148" s="38"/>
      <c r="U1148" s="4"/>
      <c r="V1148" s="4"/>
      <c r="W1148" s="4"/>
      <c r="X1148" s="4"/>
      <c r="Y1148" s="4"/>
      <c r="Z1148" s="4"/>
      <c r="AA1148" s="4"/>
      <c r="AB1148" s="4"/>
      <c r="AC1148" s="4"/>
      <c r="AD1148" s="4"/>
      <c r="AE1148" s="4"/>
      <c r="AF1148" s="4"/>
      <c r="AG1148" s="4"/>
      <c r="AH1148" s="4"/>
      <c r="AI1148" s="4"/>
      <c r="AJ1148" s="4"/>
      <c r="AK1148" s="4"/>
      <c r="AL1148" s="4"/>
      <c r="AM1148" s="38"/>
      <c r="AN1148" s="4"/>
      <c r="AO1148" s="4"/>
      <c r="AP1148" s="4"/>
      <c r="AQ1148" s="4"/>
      <c r="AR1148" s="4"/>
      <c r="AS1148" s="4"/>
      <c r="AT1148" s="4"/>
      <c r="AU1148" s="4"/>
      <c r="AV1148" s="4"/>
      <c r="AW1148" s="4"/>
      <c r="AX1148" s="4"/>
      <c r="AY1148" s="4"/>
      <c r="AZ1148" s="4"/>
      <c r="BA1148" s="4"/>
      <c r="BB1148" s="4"/>
      <c r="BC1148" s="4"/>
      <c r="BD1148" s="4"/>
      <c r="BE1148" s="4"/>
      <c r="BF1148" s="4"/>
      <c r="BG1148" s="4"/>
      <c r="BH1148" s="4"/>
      <c r="BI1148" s="4"/>
      <c r="BJ1148" s="4"/>
      <c r="BK1148" s="4"/>
      <c r="BL1148" s="4"/>
      <c r="BM1148" s="4"/>
      <c r="BN1148" s="4"/>
      <c r="BO1148" s="4"/>
      <c r="BP1148" s="39"/>
      <c r="BQ1148" s="39"/>
    </row>
    <row r="1149" spans="3:69" ht="15.75" customHeight="1">
      <c r="C1149" s="4"/>
      <c r="D1149" s="4"/>
      <c r="E1149" s="38"/>
      <c r="F1149" s="38"/>
      <c r="G1149" s="4"/>
      <c r="H1149" s="4"/>
      <c r="I1149" s="4"/>
      <c r="J1149" s="4"/>
      <c r="K1149" s="4"/>
      <c r="L1149" s="4"/>
      <c r="M1149" s="4"/>
      <c r="N1149" s="38"/>
      <c r="O1149" s="4"/>
      <c r="P1149" s="4"/>
      <c r="Q1149" s="4"/>
      <c r="R1149" s="4"/>
      <c r="S1149" s="4"/>
      <c r="T1149" s="38"/>
      <c r="U1149" s="4"/>
      <c r="V1149" s="4"/>
      <c r="W1149" s="4"/>
      <c r="X1149" s="4"/>
      <c r="Y1149" s="4"/>
      <c r="Z1149" s="4"/>
      <c r="AA1149" s="4"/>
      <c r="AB1149" s="4"/>
      <c r="AC1149" s="4"/>
      <c r="AD1149" s="4"/>
      <c r="AE1149" s="4"/>
      <c r="AF1149" s="4"/>
      <c r="AG1149" s="4"/>
      <c r="AH1149" s="4"/>
      <c r="AI1149" s="4"/>
      <c r="AJ1149" s="4"/>
      <c r="AK1149" s="4"/>
      <c r="AL1149" s="4"/>
      <c r="AM1149" s="38"/>
      <c r="AN1149" s="4"/>
      <c r="AO1149" s="4"/>
      <c r="AP1149" s="4"/>
      <c r="AQ1149" s="4"/>
      <c r="AR1149" s="4"/>
      <c r="AS1149" s="4"/>
      <c r="AT1149" s="4"/>
      <c r="AU1149" s="4"/>
      <c r="AV1149" s="4"/>
      <c r="AW1149" s="4"/>
      <c r="AX1149" s="4"/>
      <c r="AY1149" s="4"/>
      <c r="AZ1149" s="4"/>
      <c r="BA1149" s="4"/>
      <c r="BB1149" s="4"/>
      <c r="BC1149" s="4"/>
      <c r="BD1149" s="4"/>
      <c r="BE1149" s="4"/>
      <c r="BF1149" s="4"/>
      <c r="BG1149" s="4"/>
      <c r="BH1149" s="4"/>
      <c r="BI1149" s="4"/>
      <c r="BJ1149" s="4"/>
      <c r="BK1149" s="4"/>
      <c r="BL1149" s="4"/>
      <c r="BM1149" s="4"/>
      <c r="BN1149" s="4"/>
      <c r="BO1149" s="4"/>
      <c r="BP1149" s="39"/>
      <c r="BQ1149" s="39"/>
    </row>
    <row r="1150" spans="3:69" ht="15.75" customHeight="1">
      <c r="C1150" s="4"/>
      <c r="D1150" s="4"/>
      <c r="E1150" s="38"/>
      <c r="F1150" s="38"/>
      <c r="G1150" s="4"/>
      <c r="H1150" s="4"/>
      <c r="I1150" s="4"/>
      <c r="J1150" s="4"/>
      <c r="K1150" s="4"/>
      <c r="L1150" s="4"/>
      <c r="M1150" s="4"/>
      <c r="N1150" s="38"/>
      <c r="O1150" s="4"/>
      <c r="P1150" s="4"/>
      <c r="Q1150" s="4"/>
      <c r="R1150" s="4"/>
      <c r="S1150" s="4"/>
      <c r="T1150" s="38"/>
      <c r="U1150" s="4"/>
      <c r="V1150" s="4"/>
      <c r="W1150" s="4"/>
      <c r="X1150" s="4"/>
      <c r="Y1150" s="4"/>
      <c r="Z1150" s="4"/>
      <c r="AA1150" s="4"/>
      <c r="AB1150" s="4"/>
      <c r="AC1150" s="4"/>
      <c r="AD1150" s="4"/>
      <c r="AE1150" s="4"/>
      <c r="AF1150" s="4"/>
      <c r="AG1150" s="4"/>
      <c r="AH1150" s="4"/>
      <c r="AI1150" s="4"/>
      <c r="AJ1150" s="4"/>
      <c r="AK1150" s="4"/>
      <c r="AL1150" s="4"/>
      <c r="AM1150" s="38"/>
      <c r="AN1150" s="4"/>
      <c r="AO1150" s="4"/>
      <c r="AP1150" s="4"/>
      <c r="AQ1150" s="4"/>
      <c r="AR1150" s="4"/>
      <c r="AS1150" s="4"/>
      <c r="AT1150" s="4"/>
      <c r="AU1150" s="4"/>
      <c r="AV1150" s="4"/>
      <c r="AW1150" s="4"/>
      <c r="AX1150" s="4"/>
      <c r="AY1150" s="4"/>
      <c r="AZ1150" s="4"/>
      <c r="BA1150" s="4"/>
      <c r="BB1150" s="4"/>
      <c r="BC1150" s="4"/>
      <c r="BD1150" s="4"/>
      <c r="BE1150" s="4"/>
      <c r="BF1150" s="4"/>
      <c r="BG1150" s="4"/>
      <c r="BH1150" s="4"/>
      <c r="BI1150" s="4"/>
      <c r="BJ1150" s="4"/>
      <c r="BK1150" s="4"/>
      <c r="BL1150" s="4"/>
      <c r="BM1150" s="4"/>
      <c r="BN1150" s="4"/>
      <c r="BO1150" s="4"/>
      <c r="BP1150" s="39"/>
      <c r="BQ1150" s="39"/>
    </row>
    <row r="1151" spans="3:69" ht="15.75" customHeight="1">
      <c r="C1151" s="4"/>
      <c r="D1151" s="4"/>
      <c r="E1151" s="38"/>
      <c r="F1151" s="38"/>
      <c r="G1151" s="4"/>
      <c r="H1151" s="4"/>
      <c r="I1151" s="4"/>
      <c r="J1151" s="4"/>
      <c r="K1151" s="4"/>
      <c r="L1151" s="4"/>
      <c r="M1151" s="4"/>
      <c r="N1151" s="38"/>
      <c r="O1151" s="4"/>
      <c r="P1151" s="4"/>
      <c r="Q1151" s="4"/>
      <c r="R1151" s="4"/>
      <c r="S1151" s="4"/>
      <c r="T1151" s="38"/>
      <c r="U1151" s="4"/>
      <c r="V1151" s="4"/>
      <c r="W1151" s="4"/>
      <c r="X1151" s="4"/>
      <c r="Y1151" s="4"/>
      <c r="Z1151" s="4"/>
      <c r="AA1151" s="4"/>
      <c r="AB1151" s="4"/>
      <c r="AC1151" s="4"/>
      <c r="AD1151" s="4"/>
      <c r="AE1151" s="4"/>
      <c r="AF1151" s="4"/>
      <c r="AG1151" s="4"/>
      <c r="AH1151" s="4"/>
      <c r="AI1151" s="4"/>
      <c r="AJ1151" s="4"/>
      <c r="AK1151" s="4"/>
      <c r="AL1151" s="4"/>
      <c r="AM1151" s="38"/>
      <c r="AN1151" s="4"/>
      <c r="AO1151" s="4"/>
      <c r="AP1151" s="4"/>
      <c r="AQ1151" s="4"/>
      <c r="AR1151" s="4"/>
      <c r="AS1151" s="4"/>
      <c r="AT1151" s="4"/>
      <c r="AU1151" s="4"/>
      <c r="AV1151" s="4"/>
      <c r="AW1151" s="4"/>
      <c r="AX1151" s="4"/>
      <c r="AY1151" s="4"/>
      <c r="AZ1151" s="4"/>
      <c r="BA1151" s="4"/>
      <c r="BB1151" s="4"/>
      <c r="BC1151" s="4"/>
      <c r="BD1151" s="4"/>
      <c r="BE1151" s="4"/>
      <c r="BF1151" s="4"/>
      <c r="BG1151" s="4"/>
      <c r="BH1151" s="4"/>
      <c r="BI1151" s="4"/>
      <c r="BJ1151" s="4"/>
      <c r="BK1151" s="4"/>
      <c r="BL1151" s="4"/>
      <c r="BM1151" s="4"/>
      <c r="BN1151" s="4"/>
      <c r="BO1151" s="4"/>
      <c r="BP1151" s="39"/>
      <c r="BQ1151" s="39"/>
    </row>
    <row r="1152" spans="3:69" ht="15.75" customHeight="1">
      <c r="C1152" s="4"/>
      <c r="D1152" s="4"/>
      <c r="E1152" s="38"/>
      <c r="F1152" s="38"/>
      <c r="G1152" s="4"/>
      <c r="H1152" s="4"/>
      <c r="I1152" s="4"/>
      <c r="J1152" s="4"/>
      <c r="K1152" s="4"/>
      <c r="L1152" s="4"/>
      <c r="M1152" s="4"/>
      <c r="N1152" s="38"/>
      <c r="O1152" s="4"/>
      <c r="P1152" s="4"/>
      <c r="Q1152" s="4"/>
      <c r="R1152" s="4"/>
      <c r="S1152" s="4"/>
      <c r="T1152" s="38"/>
      <c r="U1152" s="4"/>
      <c r="V1152" s="4"/>
      <c r="W1152" s="4"/>
      <c r="X1152" s="4"/>
      <c r="Y1152" s="4"/>
      <c r="Z1152" s="4"/>
      <c r="AA1152" s="4"/>
      <c r="AB1152" s="4"/>
      <c r="AC1152" s="4"/>
      <c r="AD1152" s="4"/>
      <c r="AE1152" s="4"/>
      <c r="AF1152" s="4"/>
      <c r="AG1152" s="4"/>
      <c r="AH1152" s="4"/>
      <c r="AI1152" s="4"/>
      <c r="AJ1152" s="4"/>
      <c r="AK1152" s="4"/>
      <c r="AL1152" s="4"/>
      <c r="AM1152" s="38"/>
      <c r="AN1152" s="4"/>
      <c r="AO1152" s="4"/>
      <c r="AP1152" s="4"/>
      <c r="AQ1152" s="4"/>
      <c r="AR1152" s="4"/>
      <c r="AS1152" s="4"/>
      <c r="AT1152" s="4"/>
      <c r="AU1152" s="4"/>
      <c r="AV1152" s="4"/>
      <c r="AW1152" s="4"/>
      <c r="AX1152" s="4"/>
      <c r="AY1152" s="4"/>
      <c r="AZ1152" s="4"/>
      <c r="BA1152" s="4"/>
      <c r="BB1152" s="4"/>
      <c r="BC1152" s="4"/>
      <c r="BD1152" s="4"/>
      <c r="BE1152" s="4"/>
      <c r="BF1152" s="4"/>
      <c r="BG1152" s="4"/>
      <c r="BH1152" s="4"/>
      <c r="BI1152" s="4"/>
      <c r="BJ1152" s="4"/>
      <c r="BK1152" s="4"/>
      <c r="BL1152" s="4"/>
      <c r="BM1152" s="4"/>
      <c r="BN1152" s="4"/>
      <c r="BO1152" s="4"/>
      <c r="BP1152" s="39"/>
      <c r="BQ1152" s="39"/>
    </row>
    <row r="1153" spans="3:69" ht="15.75" customHeight="1">
      <c r="C1153" s="4"/>
      <c r="D1153" s="4"/>
      <c r="E1153" s="38"/>
      <c r="F1153" s="38"/>
      <c r="G1153" s="4"/>
      <c r="H1153" s="4"/>
      <c r="I1153" s="4"/>
      <c r="J1153" s="4"/>
      <c r="K1153" s="4"/>
      <c r="L1153" s="4"/>
      <c r="M1153" s="4"/>
      <c r="N1153" s="38"/>
      <c r="O1153" s="4"/>
      <c r="P1153" s="4"/>
      <c r="Q1153" s="4"/>
      <c r="R1153" s="4"/>
      <c r="S1153" s="4"/>
      <c r="T1153" s="38"/>
      <c r="U1153" s="4"/>
      <c r="V1153" s="4"/>
      <c r="W1153" s="4"/>
      <c r="X1153" s="4"/>
      <c r="Y1153" s="4"/>
      <c r="Z1153" s="4"/>
      <c r="AA1153" s="4"/>
      <c r="AB1153" s="4"/>
      <c r="AC1153" s="4"/>
      <c r="AD1153" s="4"/>
      <c r="AE1153" s="4"/>
      <c r="AF1153" s="4"/>
      <c r="AG1153" s="4"/>
      <c r="AH1153" s="4"/>
      <c r="AI1153" s="4"/>
      <c r="AJ1153" s="4"/>
      <c r="AK1153" s="4"/>
      <c r="AL1153" s="4"/>
      <c r="AM1153" s="38"/>
      <c r="AN1153" s="4"/>
      <c r="AO1153" s="4"/>
      <c r="AP1153" s="4"/>
      <c r="AQ1153" s="4"/>
      <c r="AR1153" s="4"/>
      <c r="AS1153" s="4"/>
      <c r="AT1153" s="4"/>
      <c r="AU1153" s="4"/>
      <c r="AV1153" s="4"/>
      <c r="AW1153" s="4"/>
      <c r="AX1153" s="4"/>
      <c r="AY1153" s="4"/>
      <c r="AZ1153" s="4"/>
      <c r="BA1153" s="4"/>
      <c r="BB1153" s="4"/>
      <c r="BC1153" s="4"/>
      <c r="BD1153" s="4"/>
      <c r="BE1153" s="4"/>
      <c r="BF1153" s="4"/>
      <c r="BG1153" s="4"/>
      <c r="BH1153" s="4"/>
      <c r="BI1153" s="4"/>
      <c r="BJ1153" s="4"/>
      <c r="BK1153" s="4"/>
      <c r="BL1153" s="4"/>
      <c r="BM1153" s="4"/>
      <c r="BN1153" s="4"/>
      <c r="BO1153" s="4"/>
      <c r="BP1153" s="39"/>
      <c r="BQ1153" s="39"/>
    </row>
    <row r="1154" spans="3:69" ht="15.75" customHeight="1">
      <c r="C1154" s="4"/>
      <c r="D1154" s="4"/>
      <c r="E1154" s="38"/>
      <c r="F1154" s="38"/>
      <c r="G1154" s="4"/>
      <c r="H1154" s="4"/>
      <c r="I1154" s="4"/>
      <c r="J1154" s="4"/>
      <c r="K1154" s="4"/>
      <c r="L1154" s="4"/>
      <c r="M1154" s="4"/>
      <c r="N1154" s="38"/>
      <c r="O1154" s="4"/>
      <c r="P1154" s="4"/>
      <c r="Q1154" s="4"/>
      <c r="R1154" s="4"/>
      <c r="S1154" s="4"/>
      <c r="T1154" s="38"/>
      <c r="U1154" s="4"/>
      <c r="V1154" s="4"/>
      <c r="W1154" s="4"/>
      <c r="X1154" s="4"/>
      <c r="Y1154" s="4"/>
      <c r="Z1154" s="4"/>
      <c r="AA1154" s="4"/>
      <c r="AB1154" s="4"/>
      <c r="AC1154" s="4"/>
      <c r="AD1154" s="4"/>
      <c r="AE1154" s="4"/>
      <c r="AF1154" s="4"/>
      <c r="AG1154" s="4"/>
      <c r="AH1154" s="4"/>
      <c r="AI1154" s="4"/>
      <c r="AJ1154" s="4"/>
      <c r="AK1154" s="4"/>
      <c r="AL1154" s="4"/>
      <c r="AM1154" s="38"/>
      <c r="AN1154" s="4"/>
      <c r="AO1154" s="4"/>
      <c r="AP1154" s="4"/>
      <c r="AQ1154" s="4"/>
      <c r="AR1154" s="4"/>
      <c r="AS1154" s="4"/>
      <c r="AT1154" s="4"/>
      <c r="AU1154" s="4"/>
      <c r="AV1154" s="4"/>
      <c r="AW1154" s="4"/>
      <c r="AX1154" s="4"/>
      <c r="AY1154" s="4"/>
      <c r="AZ1154" s="4"/>
      <c r="BA1154" s="4"/>
      <c r="BB1154" s="4"/>
      <c r="BC1154" s="4"/>
      <c r="BD1154" s="4"/>
      <c r="BE1154" s="4"/>
      <c r="BF1154" s="4"/>
      <c r="BG1154" s="4"/>
      <c r="BH1154" s="4"/>
      <c r="BI1154" s="4"/>
      <c r="BJ1154" s="4"/>
      <c r="BK1154" s="4"/>
      <c r="BL1154" s="4"/>
      <c r="BM1154" s="4"/>
      <c r="BN1154" s="4"/>
      <c r="BO1154" s="4"/>
      <c r="BP1154" s="39"/>
      <c r="BQ1154" s="39"/>
    </row>
    <row r="1155" spans="3:69" ht="15.75" customHeight="1">
      <c r="C1155" s="4"/>
      <c r="D1155" s="4"/>
      <c r="E1155" s="38"/>
      <c r="F1155" s="38"/>
      <c r="G1155" s="4"/>
      <c r="H1155" s="4"/>
      <c r="I1155" s="4"/>
      <c r="J1155" s="4"/>
      <c r="K1155" s="4"/>
      <c r="L1155" s="4"/>
      <c r="M1155" s="4"/>
      <c r="N1155" s="38"/>
      <c r="O1155" s="4"/>
      <c r="P1155" s="4"/>
      <c r="Q1155" s="4"/>
      <c r="R1155" s="4"/>
      <c r="S1155" s="4"/>
      <c r="T1155" s="38"/>
      <c r="U1155" s="4"/>
      <c r="V1155" s="4"/>
      <c r="W1155" s="4"/>
      <c r="X1155" s="4"/>
      <c r="Y1155" s="4"/>
      <c r="Z1155" s="4"/>
      <c r="AA1155" s="4"/>
      <c r="AB1155" s="4"/>
      <c r="AC1155" s="4"/>
      <c r="AD1155" s="4"/>
      <c r="AE1155" s="4"/>
      <c r="AF1155" s="4"/>
      <c r="AG1155" s="4"/>
      <c r="AH1155" s="4"/>
      <c r="AI1155" s="4"/>
      <c r="AJ1155" s="4"/>
      <c r="AK1155" s="4"/>
      <c r="AL1155" s="4"/>
      <c r="AM1155" s="38"/>
      <c r="AN1155" s="4"/>
      <c r="AO1155" s="4"/>
      <c r="AP1155" s="4"/>
      <c r="AQ1155" s="4"/>
      <c r="AR1155" s="4"/>
      <c r="AS1155" s="4"/>
      <c r="AT1155" s="4"/>
      <c r="AU1155" s="4"/>
      <c r="AV1155" s="4"/>
      <c r="AW1155" s="4"/>
      <c r="AX1155" s="4"/>
      <c r="AY1155" s="4"/>
      <c r="AZ1155" s="4"/>
      <c r="BA1155" s="4"/>
      <c r="BB1155" s="4"/>
      <c r="BC1155" s="4"/>
      <c r="BD1155" s="4"/>
      <c r="BE1155" s="4"/>
      <c r="BF1155" s="4"/>
      <c r="BG1155" s="4"/>
      <c r="BH1155" s="4"/>
      <c r="BI1155" s="4"/>
      <c r="BJ1155" s="4"/>
      <c r="BK1155" s="4"/>
      <c r="BL1155" s="4"/>
      <c r="BM1155" s="4"/>
      <c r="BN1155" s="4"/>
      <c r="BO1155" s="4"/>
      <c r="BP1155" s="39"/>
      <c r="BQ1155" s="39"/>
    </row>
    <row r="1156" spans="3:69" ht="15.75" customHeight="1">
      <c r="C1156" s="4"/>
      <c r="D1156" s="4"/>
      <c r="E1156" s="38"/>
      <c r="F1156" s="38"/>
      <c r="G1156" s="4"/>
      <c r="H1156" s="4"/>
      <c r="I1156" s="4"/>
      <c r="J1156" s="4"/>
      <c r="K1156" s="4"/>
      <c r="L1156" s="4"/>
      <c r="M1156" s="4"/>
      <c r="N1156" s="38"/>
      <c r="O1156" s="4"/>
      <c r="P1156" s="4"/>
      <c r="Q1156" s="4"/>
      <c r="R1156" s="4"/>
      <c r="S1156" s="4"/>
      <c r="T1156" s="38"/>
      <c r="U1156" s="4"/>
      <c r="V1156" s="4"/>
      <c r="W1156" s="4"/>
      <c r="X1156" s="4"/>
      <c r="Y1156" s="4"/>
      <c r="Z1156" s="4"/>
      <c r="AA1156" s="4"/>
      <c r="AB1156" s="4"/>
      <c r="AC1156" s="4"/>
      <c r="AD1156" s="4"/>
      <c r="AE1156" s="4"/>
      <c r="AF1156" s="4"/>
      <c r="AG1156" s="4"/>
      <c r="AH1156" s="4"/>
      <c r="AI1156" s="4"/>
      <c r="AJ1156" s="4"/>
      <c r="AK1156" s="4"/>
      <c r="AL1156" s="4"/>
      <c r="AM1156" s="38"/>
      <c r="AN1156" s="4"/>
      <c r="AO1156" s="4"/>
      <c r="AP1156" s="4"/>
      <c r="AQ1156" s="4"/>
      <c r="AR1156" s="4"/>
      <c r="AS1156" s="4"/>
      <c r="AT1156" s="4"/>
      <c r="AU1156" s="4"/>
      <c r="AV1156" s="4"/>
      <c r="AW1156" s="4"/>
      <c r="AX1156" s="4"/>
      <c r="AY1156" s="4"/>
      <c r="AZ1156" s="4"/>
      <c r="BA1156" s="4"/>
      <c r="BB1156" s="4"/>
      <c r="BC1156" s="4"/>
      <c r="BD1156" s="4"/>
      <c r="BE1156" s="4"/>
      <c r="BF1156" s="4"/>
      <c r="BG1156" s="4"/>
      <c r="BH1156" s="4"/>
      <c r="BI1156" s="4"/>
      <c r="BJ1156" s="4"/>
      <c r="BK1156" s="4"/>
      <c r="BL1156" s="4"/>
      <c r="BM1156" s="4"/>
      <c r="BN1156" s="4"/>
      <c r="BO1156" s="4"/>
      <c r="BP1156" s="39"/>
      <c r="BQ1156" s="39"/>
    </row>
    <row r="1157" spans="3:69" ht="15.75" customHeight="1">
      <c r="C1157" s="4"/>
      <c r="D1157" s="4"/>
      <c r="E1157" s="38"/>
      <c r="F1157" s="38"/>
      <c r="G1157" s="4"/>
      <c r="H1157" s="4"/>
      <c r="I1157" s="4"/>
      <c r="J1157" s="4"/>
      <c r="K1157" s="4"/>
      <c r="L1157" s="4"/>
      <c r="M1157" s="4"/>
      <c r="N1157" s="38"/>
      <c r="O1157" s="4"/>
      <c r="P1157" s="4"/>
      <c r="Q1157" s="4"/>
      <c r="R1157" s="4"/>
      <c r="S1157" s="4"/>
      <c r="T1157" s="38"/>
      <c r="U1157" s="4"/>
      <c r="V1157" s="4"/>
      <c r="W1157" s="4"/>
      <c r="X1157" s="4"/>
      <c r="Y1157" s="4"/>
      <c r="Z1157" s="4"/>
      <c r="AA1157" s="4"/>
      <c r="AB1157" s="4"/>
      <c r="AC1157" s="4"/>
      <c r="AD1157" s="4"/>
      <c r="AE1157" s="4"/>
      <c r="AF1157" s="4"/>
      <c r="AG1157" s="4"/>
      <c r="AH1157" s="4"/>
      <c r="AI1157" s="4"/>
      <c r="AJ1157" s="4"/>
      <c r="AK1157" s="4"/>
      <c r="AL1157" s="4"/>
      <c r="AM1157" s="38"/>
      <c r="AN1157" s="4"/>
      <c r="AO1157" s="4"/>
      <c r="AP1157" s="4"/>
      <c r="AQ1157" s="4"/>
      <c r="AR1157" s="4"/>
      <c r="AS1157" s="4"/>
      <c r="AT1157" s="4"/>
      <c r="AU1157" s="4"/>
      <c r="AV1157" s="4"/>
      <c r="AW1157" s="4"/>
      <c r="AX1157" s="4"/>
      <c r="AY1157" s="4"/>
      <c r="AZ1157" s="4"/>
      <c r="BA1157" s="4"/>
      <c r="BB1157" s="4"/>
      <c r="BC1157" s="4"/>
      <c r="BD1157" s="4"/>
      <c r="BE1157" s="4"/>
      <c r="BF1157" s="4"/>
      <c r="BG1157" s="4"/>
      <c r="BH1157" s="4"/>
      <c r="BI1157" s="4"/>
      <c r="BJ1157" s="4"/>
      <c r="BK1157" s="4"/>
      <c r="BL1157" s="4"/>
      <c r="BM1157" s="4"/>
      <c r="BN1157" s="4"/>
      <c r="BO1157" s="4"/>
      <c r="BP1157" s="39"/>
      <c r="BQ1157" s="39"/>
    </row>
    <row r="1158" spans="3:69" ht="15.75" customHeight="1">
      <c r="C1158" s="4"/>
      <c r="D1158" s="4"/>
      <c r="E1158" s="38"/>
      <c r="F1158" s="38"/>
      <c r="G1158" s="4"/>
      <c r="H1158" s="4"/>
      <c r="I1158" s="4"/>
      <c r="J1158" s="4"/>
      <c r="K1158" s="4"/>
      <c r="L1158" s="4"/>
      <c r="M1158" s="4"/>
      <c r="N1158" s="38"/>
      <c r="O1158" s="4"/>
      <c r="P1158" s="4"/>
      <c r="Q1158" s="4"/>
      <c r="R1158" s="4"/>
      <c r="S1158" s="4"/>
      <c r="T1158" s="38"/>
      <c r="U1158" s="4"/>
      <c r="V1158" s="4"/>
      <c r="W1158" s="4"/>
      <c r="X1158" s="4"/>
      <c r="Y1158" s="4"/>
      <c r="Z1158" s="4"/>
      <c r="AA1158" s="4"/>
      <c r="AB1158" s="4"/>
      <c r="AC1158" s="4"/>
      <c r="AD1158" s="4"/>
      <c r="AE1158" s="4"/>
      <c r="AF1158" s="4"/>
      <c r="AG1158" s="4"/>
      <c r="AH1158" s="4"/>
      <c r="AI1158" s="4"/>
      <c r="AJ1158" s="4"/>
      <c r="AK1158" s="4"/>
      <c r="AL1158" s="4"/>
      <c r="AM1158" s="38"/>
      <c r="AN1158" s="4"/>
      <c r="AO1158" s="4"/>
      <c r="AP1158" s="4"/>
      <c r="AQ1158" s="4"/>
      <c r="AR1158" s="4"/>
      <c r="AS1158" s="4"/>
      <c r="AT1158" s="4"/>
      <c r="AU1158" s="4"/>
      <c r="AV1158" s="4"/>
      <c r="AW1158" s="4"/>
      <c r="AX1158" s="4"/>
      <c r="AY1158" s="4"/>
      <c r="AZ1158" s="4"/>
      <c r="BA1158" s="4"/>
      <c r="BB1158" s="4"/>
      <c r="BC1158" s="4"/>
      <c r="BD1158" s="4"/>
      <c r="BE1158" s="4"/>
      <c r="BF1158" s="4"/>
      <c r="BG1158" s="4"/>
      <c r="BH1158" s="4"/>
      <c r="BI1158" s="4"/>
      <c r="BJ1158" s="4"/>
      <c r="BK1158" s="4"/>
      <c r="BL1158" s="4"/>
      <c r="BM1158" s="4"/>
      <c r="BN1158" s="4"/>
      <c r="BO1158" s="4"/>
      <c r="BP1158" s="39"/>
      <c r="BQ1158" s="39"/>
    </row>
    <row r="1159" spans="3:69" ht="15.75" customHeight="1">
      <c r="C1159" s="4"/>
      <c r="D1159" s="4"/>
      <c r="E1159" s="38"/>
      <c r="F1159" s="38"/>
      <c r="G1159" s="4"/>
      <c r="H1159" s="4"/>
      <c r="I1159" s="4"/>
      <c r="J1159" s="4"/>
      <c r="K1159" s="4"/>
      <c r="L1159" s="4"/>
      <c r="M1159" s="4"/>
      <c r="N1159" s="38"/>
      <c r="O1159" s="4"/>
      <c r="P1159" s="4"/>
      <c r="Q1159" s="4"/>
      <c r="R1159" s="4"/>
      <c r="S1159" s="4"/>
      <c r="T1159" s="38"/>
      <c r="U1159" s="4"/>
      <c r="V1159" s="4"/>
      <c r="W1159" s="4"/>
      <c r="X1159" s="4"/>
      <c r="Y1159" s="4"/>
      <c r="Z1159" s="4"/>
      <c r="AA1159" s="4"/>
      <c r="AB1159" s="4"/>
      <c r="AC1159" s="4"/>
      <c r="AD1159" s="4"/>
      <c r="AE1159" s="4"/>
      <c r="AF1159" s="4"/>
      <c r="AG1159" s="4"/>
      <c r="AH1159" s="4"/>
      <c r="AI1159" s="4"/>
      <c r="AJ1159" s="4"/>
      <c r="AK1159" s="4"/>
      <c r="AL1159" s="4"/>
      <c r="AM1159" s="38"/>
      <c r="AN1159" s="4"/>
      <c r="AO1159" s="4"/>
      <c r="AP1159" s="4"/>
      <c r="AQ1159" s="4"/>
      <c r="AR1159" s="4"/>
      <c r="AS1159" s="4"/>
      <c r="AT1159" s="4"/>
      <c r="AU1159" s="4"/>
      <c r="AV1159" s="4"/>
      <c r="AW1159" s="4"/>
      <c r="AX1159" s="4"/>
      <c r="AY1159" s="4"/>
      <c r="AZ1159" s="4"/>
      <c r="BA1159" s="4"/>
      <c r="BB1159" s="4"/>
      <c r="BC1159" s="4"/>
      <c r="BD1159" s="4"/>
      <c r="BE1159" s="4"/>
      <c r="BF1159" s="4"/>
      <c r="BG1159" s="4"/>
      <c r="BH1159" s="4"/>
      <c r="BI1159" s="4"/>
      <c r="BJ1159" s="4"/>
      <c r="BK1159" s="4"/>
      <c r="BL1159" s="4"/>
      <c r="BM1159" s="4"/>
      <c r="BN1159" s="4"/>
      <c r="BO1159" s="4"/>
      <c r="BP1159" s="39"/>
      <c r="BQ1159" s="39"/>
    </row>
    <row r="1160" spans="3:69" ht="15.75" customHeight="1">
      <c r="C1160" s="4"/>
      <c r="D1160" s="4"/>
      <c r="E1160" s="38"/>
      <c r="F1160" s="38"/>
      <c r="G1160" s="4"/>
      <c r="H1160" s="4"/>
      <c r="I1160" s="4"/>
      <c r="J1160" s="4"/>
      <c r="K1160" s="4"/>
      <c r="L1160" s="4"/>
      <c r="M1160" s="4"/>
      <c r="N1160" s="38"/>
      <c r="O1160" s="4"/>
      <c r="P1160" s="4"/>
      <c r="Q1160" s="4"/>
      <c r="R1160" s="4"/>
      <c r="S1160" s="4"/>
      <c r="T1160" s="38"/>
      <c r="U1160" s="4"/>
      <c r="V1160" s="4"/>
      <c r="W1160" s="4"/>
      <c r="X1160" s="4"/>
      <c r="Y1160" s="4"/>
      <c r="Z1160" s="4"/>
      <c r="AA1160" s="4"/>
      <c r="AB1160" s="4"/>
      <c r="AC1160" s="4"/>
      <c r="AD1160" s="4"/>
      <c r="AE1160" s="4"/>
      <c r="AF1160" s="4"/>
      <c r="AG1160" s="4"/>
      <c r="AH1160" s="4"/>
      <c r="AI1160" s="4"/>
      <c r="AJ1160" s="4"/>
      <c r="AK1160" s="4"/>
      <c r="AL1160" s="4"/>
      <c r="AM1160" s="38"/>
      <c r="AN1160" s="4"/>
      <c r="AO1160" s="4"/>
      <c r="AP1160" s="4"/>
      <c r="AQ1160" s="4"/>
      <c r="AR1160" s="4"/>
      <c r="AS1160" s="4"/>
      <c r="AT1160" s="4"/>
      <c r="AU1160" s="4"/>
      <c r="AV1160" s="4"/>
      <c r="AW1160" s="4"/>
      <c r="AX1160" s="4"/>
      <c r="AY1160" s="4"/>
      <c r="AZ1160" s="4"/>
      <c r="BA1160" s="4"/>
      <c r="BB1160" s="4"/>
      <c r="BC1160" s="4"/>
      <c r="BD1160" s="4"/>
      <c r="BE1160" s="4"/>
      <c r="BF1160" s="4"/>
      <c r="BG1160" s="4"/>
      <c r="BH1160" s="4"/>
      <c r="BI1160" s="4"/>
      <c r="BJ1160" s="4"/>
      <c r="BK1160" s="4"/>
      <c r="BL1160" s="4"/>
      <c r="BM1160" s="4"/>
      <c r="BN1160" s="4"/>
      <c r="BO1160" s="4"/>
      <c r="BP1160" s="39"/>
      <c r="BQ1160" s="39"/>
    </row>
    <row r="1161" spans="3:69" ht="15.75" customHeight="1">
      <c r="C1161" s="4"/>
      <c r="D1161" s="4"/>
      <c r="E1161" s="38"/>
      <c r="F1161" s="38"/>
      <c r="G1161" s="4"/>
      <c r="H1161" s="4"/>
      <c r="I1161" s="4"/>
      <c r="J1161" s="4"/>
      <c r="K1161" s="4"/>
      <c r="L1161" s="4"/>
      <c r="M1161" s="4"/>
      <c r="N1161" s="38"/>
      <c r="O1161" s="4"/>
      <c r="P1161" s="4"/>
      <c r="Q1161" s="4"/>
      <c r="R1161" s="4"/>
      <c r="S1161" s="4"/>
      <c r="T1161" s="38"/>
      <c r="U1161" s="4"/>
      <c r="V1161" s="4"/>
      <c r="W1161" s="4"/>
      <c r="X1161" s="4"/>
      <c r="Y1161" s="4"/>
      <c r="Z1161" s="4"/>
      <c r="AA1161" s="4"/>
      <c r="AB1161" s="4"/>
      <c r="AC1161" s="4"/>
      <c r="AD1161" s="4"/>
      <c r="AE1161" s="4"/>
      <c r="AF1161" s="4"/>
      <c r="AG1161" s="4"/>
      <c r="AH1161" s="4"/>
      <c r="AI1161" s="4"/>
      <c r="AJ1161" s="4"/>
      <c r="AK1161" s="4"/>
      <c r="AL1161" s="4"/>
      <c r="AM1161" s="38"/>
      <c r="AN1161" s="4"/>
      <c r="AO1161" s="4"/>
      <c r="AP1161" s="4"/>
      <c r="AQ1161" s="4"/>
      <c r="AR1161" s="4"/>
      <c r="AS1161" s="4"/>
      <c r="AT1161" s="4"/>
      <c r="AU1161" s="4"/>
      <c r="AV1161" s="4"/>
      <c r="AW1161" s="4"/>
      <c r="AX1161" s="4"/>
      <c r="AY1161" s="4"/>
      <c r="AZ1161" s="4"/>
      <c r="BA1161" s="4"/>
      <c r="BB1161" s="4"/>
      <c r="BC1161" s="4"/>
      <c r="BD1161" s="4"/>
      <c r="BE1161" s="4"/>
      <c r="BF1161" s="4"/>
      <c r="BG1161" s="4"/>
      <c r="BH1161" s="4"/>
      <c r="BI1161" s="4"/>
      <c r="BJ1161" s="4"/>
      <c r="BK1161" s="4"/>
      <c r="BL1161" s="4"/>
      <c r="BM1161" s="4"/>
      <c r="BN1161" s="4"/>
      <c r="BO1161" s="4"/>
      <c r="BP1161" s="39"/>
      <c r="BQ1161" s="39"/>
    </row>
    <row r="1162" spans="3:69" ht="15.75" customHeight="1">
      <c r="C1162" s="4"/>
      <c r="D1162" s="4"/>
      <c r="E1162" s="38"/>
      <c r="F1162" s="38"/>
      <c r="G1162" s="4"/>
      <c r="H1162" s="4"/>
      <c r="I1162" s="4"/>
      <c r="J1162" s="4"/>
      <c r="K1162" s="4"/>
      <c r="L1162" s="4"/>
      <c r="M1162" s="4"/>
      <c r="N1162" s="38"/>
      <c r="O1162" s="4"/>
      <c r="P1162" s="4"/>
      <c r="Q1162" s="4"/>
      <c r="R1162" s="4"/>
      <c r="S1162" s="4"/>
      <c r="T1162" s="38"/>
      <c r="U1162" s="4"/>
      <c r="V1162" s="4"/>
      <c r="W1162" s="4"/>
      <c r="X1162" s="4"/>
      <c r="Y1162" s="4"/>
      <c r="Z1162" s="4"/>
      <c r="AA1162" s="4"/>
      <c r="AB1162" s="4"/>
      <c r="AC1162" s="4"/>
      <c r="AD1162" s="4"/>
      <c r="AE1162" s="4"/>
      <c r="AF1162" s="4"/>
      <c r="AG1162" s="4"/>
      <c r="AH1162" s="4"/>
      <c r="AI1162" s="4"/>
      <c r="AJ1162" s="4"/>
      <c r="AK1162" s="4"/>
      <c r="AL1162" s="4"/>
      <c r="AM1162" s="38"/>
      <c r="AN1162" s="4"/>
      <c r="AO1162" s="4"/>
      <c r="AP1162" s="4"/>
      <c r="AQ1162" s="4"/>
      <c r="AR1162" s="4"/>
      <c r="AS1162" s="4"/>
      <c r="AT1162" s="4"/>
      <c r="AU1162" s="4"/>
      <c r="AV1162" s="4"/>
      <c r="AW1162" s="4"/>
      <c r="AX1162" s="4"/>
      <c r="AY1162" s="4"/>
      <c r="AZ1162" s="4"/>
      <c r="BA1162" s="4"/>
      <c r="BB1162" s="4"/>
      <c r="BC1162" s="4"/>
      <c r="BD1162" s="4"/>
      <c r="BE1162" s="4"/>
      <c r="BF1162" s="4"/>
      <c r="BG1162" s="4"/>
      <c r="BH1162" s="4"/>
      <c r="BI1162" s="4"/>
      <c r="BJ1162" s="4"/>
      <c r="BK1162" s="4"/>
      <c r="BL1162" s="4"/>
      <c r="BM1162" s="4"/>
      <c r="BN1162" s="4"/>
      <c r="BO1162" s="4"/>
      <c r="BP1162" s="39"/>
      <c r="BQ1162" s="39"/>
    </row>
    <row r="1163" spans="3:69" ht="15.75" customHeight="1">
      <c r="C1163" s="4"/>
      <c r="D1163" s="4"/>
      <c r="E1163" s="38"/>
      <c r="F1163" s="38"/>
      <c r="G1163" s="4"/>
      <c r="H1163" s="4"/>
      <c r="I1163" s="4"/>
      <c r="J1163" s="4"/>
      <c r="K1163" s="4"/>
      <c r="L1163" s="4"/>
      <c r="M1163" s="4"/>
      <c r="N1163" s="38"/>
      <c r="O1163" s="4"/>
      <c r="P1163" s="4"/>
      <c r="Q1163" s="4"/>
      <c r="R1163" s="4"/>
      <c r="S1163" s="4"/>
      <c r="T1163" s="38"/>
      <c r="U1163" s="4"/>
      <c r="V1163" s="4"/>
      <c r="W1163" s="4"/>
      <c r="X1163" s="4"/>
      <c r="Y1163" s="4"/>
      <c r="Z1163" s="4"/>
      <c r="AA1163" s="4"/>
      <c r="AB1163" s="4"/>
      <c r="AC1163" s="4"/>
      <c r="AD1163" s="4"/>
      <c r="AE1163" s="4"/>
      <c r="AF1163" s="4"/>
      <c r="AG1163" s="4"/>
      <c r="AH1163" s="4"/>
      <c r="AI1163" s="4"/>
      <c r="AJ1163" s="4"/>
      <c r="AK1163" s="4"/>
      <c r="AL1163" s="4"/>
      <c r="AM1163" s="38"/>
      <c r="AN1163" s="4"/>
      <c r="AO1163" s="4"/>
      <c r="AP1163" s="4"/>
      <c r="AQ1163" s="4"/>
      <c r="AR1163" s="4"/>
      <c r="AS1163" s="4"/>
      <c r="AT1163" s="4"/>
      <c r="AU1163" s="4"/>
      <c r="AV1163" s="4"/>
      <c r="AW1163" s="4"/>
      <c r="AX1163" s="4"/>
      <c r="AY1163" s="4"/>
      <c r="AZ1163" s="4"/>
      <c r="BA1163" s="4"/>
      <c r="BB1163" s="4"/>
      <c r="BC1163" s="4"/>
      <c r="BD1163" s="4"/>
      <c r="BE1163" s="4"/>
      <c r="BF1163" s="4"/>
      <c r="BG1163" s="4"/>
      <c r="BH1163" s="4"/>
      <c r="BI1163" s="4"/>
      <c r="BJ1163" s="4"/>
      <c r="BK1163" s="4"/>
      <c r="BL1163" s="4"/>
      <c r="BM1163" s="4"/>
      <c r="BN1163" s="4"/>
      <c r="BO1163" s="4"/>
      <c r="BP1163" s="39"/>
      <c r="BQ1163" s="39"/>
    </row>
    <row r="1164" spans="3:69" ht="15.75" customHeight="1">
      <c r="C1164" s="4"/>
      <c r="D1164" s="4"/>
      <c r="E1164" s="38"/>
      <c r="F1164" s="38"/>
      <c r="G1164" s="4"/>
      <c r="H1164" s="4"/>
      <c r="I1164" s="4"/>
      <c r="J1164" s="4"/>
      <c r="K1164" s="4"/>
      <c r="L1164" s="4"/>
      <c r="M1164" s="4"/>
      <c r="N1164" s="38"/>
      <c r="O1164" s="4"/>
      <c r="P1164" s="4"/>
      <c r="Q1164" s="4"/>
      <c r="R1164" s="4"/>
      <c r="S1164" s="4"/>
      <c r="T1164" s="38"/>
      <c r="U1164" s="4"/>
      <c r="V1164" s="4"/>
      <c r="W1164" s="4"/>
      <c r="X1164" s="4"/>
      <c r="Y1164" s="4"/>
      <c r="Z1164" s="4"/>
      <c r="AA1164" s="4"/>
      <c r="AB1164" s="4"/>
      <c r="AC1164" s="4"/>
      <c r="AD1164" s="4"/>
      <c r="AE1164" s="4"/>
      <c r="AF1164" s="4"/>
      <c r="AG1164" s="4"/>
      <c r="AH1164" s="4"/>
      <c r="AI1164" s="4"/>
      <c r="AJ1164" s="4"/>
      <c r="AK1164" s="4"/>
      <c r="AL1164" s="4"/>
      <c r="AM1164" s="38"/>
      <c r="AN1164" s="4"/>
      <c r="AO1164" s="4"/>
      <c r="AP1164" s="4"/>
      <c r="AQ1164" s="4"/>
      <c r="AR1164" s="4"/>
      <c r="AS1164" s="4"/>
      <c r="AT1164" s="4"/>
      <c r="AU1164" s="4"/>
      <c r="AV1164" s="4"/>
      <c r="AW1164" s="4"/>
      <c r="AX1164" s="4"/>
      <c r="AY1164" s="4"/>
      <c r="AZ1164" s="4"/>
      <c r="BA1164" s="4"/>
      <c r="BB1164" s="4"/>
      <c r="BC1164" s="4"/>
      <c r="BD1164" s="4"/>
      <c r="BE1164" s="4"/>
      <c r="BF1164" s="4"/>
      <c r="BG1164" s="4"/>
      <c r="BH1164" s="4"/>
      <c r="BI1164" s="4"/>
      <c r="BJ1164" s="4"/>
      <c r="BK1164" s="4"/>
      <c r="BL1164" s="4"/>
      <c r="BM1164" s="4"/>
      <c r="BN1164" s="4"/>
      <c r="BO1164" s="4"/>
      <c r="BP1164" s="39"/>
      <c r="BQ1164" s="39"/>
    </row>
    <row r="1165" spans="3:69" ht="15.75" customHeight="1">
      <c r="C1165" s="4"/>
      <c r="D1165" s="4"/>
      <c r="E1165" s="38"/>
      <c r="F1165" s="38"/>
      <c r="G1165" s="4"/>
      <c r="H1165" s="4"/>
      <c r="I1165" s="4"/>
      <c r="J1165" s="4"/>
      <c r="K1165" s="4"/>
      <c r="L1165" s="4"/>
      <c r="M1165" s="4"/>
      <c r="N1165" s="38"/>
      <c r="O1165" s="4"/>
      <c r="P1165" s="4"/>
      <c r="Q1165" s="4"/>
      <c r="R1165" s="4"/>
      <c r="S1165" s="4"/>
      <c r="T1165" s="38"/>
      <c r="U1165" s="4"/>
      <c r="V1165" s="4"/>
      <c r="W1165" s="4"/>
      <c r="X1165" s="4"/>
      <c r="Y1165" s="4"/>
      <c r="Z1165" s="4"/>
      <c r="AA1165" s="4"/>
      <c r="AB1165" s="4"/>
      <c r="AC1165" s="4"/>
      <c r="AD1165" s="4"/>
      <c r="AE1165" s="4"/>
      <c r="AF1165" s="4"/>
      <c r="AG1165" s="4"/>
      <c r="AH1165" s="4"/>
      <c r="AI1165" s="4"/>
      <c r="AJ1165" s="4"/>
      <c r="AK1165" s="4"/>
      <c r="AL1165" s="4"/>
      <c r="AM1165" s="38"/>
      <c r="AN1165" s="4"/>
      <c r="AO1165" s="4"/>
      <c r="AP1165" s="4"/>
      <c r="AQ1165" s="4"/>
      <c r="AR1165" s="4"/>
      <c r="AS1165" s="4"/>
      <c r="AT1165" s="4"/>
      <c r="AU1165" s="4"/>
      <c r="AV1165" s="4"/>
      <c r="AW1165" s="4"/>
      <c r="AX1165" s="4"/>
      <c r="AY1165" s="4"/>
      <c r="AZ1165" s="4"/>
      <c r="BA1165" s="4"/>
      <c r="BB1165" s="4"/>
      <c r="BC1165" s="4"/>
      <c r="BD1165" s="4"/>
      <c r="BE1165" s="4"/>
      <c r="BF1165" s="4"/>
      <c r="BG1165" s="4"/>
      <c r="BH1165" s="4"/>
      <c r="BI1165" s="4"/>
      <c r="BJ1165" s="4"/>
      <c r="BK1165" s="4"/>
      <c r="BL1165" s="4"/>
      <c r="BM1165" s="4"/>
      <c r="BN1165" s="4"/>
      <c r="BO1165" s="4"/>
      <c r="BP1165" s="39"/>
      <c r="BQ1165" s="39"/>
    </row>
    <row r="1166" spans="3:69" ht="15.75" customHeight="1">
      <c r="C1166" s="4"/>
      <c r="D1166" s="4"/>
      <c r="E1166" s="38"/>
      <c r="F1166" s="38"/>
      <c r="G1166" s="4"/>
      <c r="H1166" s="4"/>
      <c r="I1166" s="4"/>
      <c r="J1166" s="4"/>
      <c r="K1166" s="4"/>
      <c r="L1166" s="4"/>
      <c r="M1166" s="4"/>
      <c r="N1166" s="38"/>
      <c r="O1166" s="4"/>
      <c r="P1166" s="4"/>
      <c r="Q1166" s="4"/>
      <c r="R1166" s="4"/>
      <c r="S1166" s="4"/>
      <c r="T1166" s="38"/>
      <c r="U1166" s="4"/>
      <c r="V1166" s="4"/>
      <c r="W1166" s="4"/>
      <c r="X1166" s="4"/>
      <c r="Y1166" s="4"/>
      <c r="Z1166" s="4"/>
      <c r="AA1166" s="4"/>
      <c r="AB1166" s="4"/>
      <c r="AC1166" s="4"/>
      <c r="AD1166" s="4"/>
      <c r="AE1166" s="4"/>
      <c r="AF1166" s="4"/>
      <c r="AG1166" s="4"/>
      <c r="AH1166" s="4"/>
      <c r="AI1166" s="4"/>
      <c r="AJ1166" s="4"/>
      <c r="AK1166" s="4"/>
      <c r="AL1166" s="4"/>
      <c r="AM1166" s="38"/>
      <c r="AN1166" s="4"/>
      <c r="AO1166" s="4"/>
      <c r="AP1166" s="4"/>
      <c r="AQ1166" s="4"/>
      <c r="AR1166" s="4"/>
      <c r="AS1166" s="4"/>
      <c r="AT1166" s="4"/>
      <c r="AU1166" s="4"/>
      <c r="AV1166" s="4"/>
      <c r="AW1166" s="4"/>
      <c r="AX1166" s="4"/>
      <c r="AY1166" s="4"/>
      <c r="AZ1166" s="4"/>
      <c r="BA1166" s="4"/>
      <c r="BB1166" s="4"/>
      <c r="BC1166" s="4"/>
      <c r="BD1166" s="4"/>
      <c r="BE1166" s="4"/>
      <c r="BF1166" s="4"/>
      <c r="BG1166" s="4"/>
      <c r="BH1166" s="4"/>
      <c r="BI1166" s="4"/>
      <c r="BJ1166" s="4"/>
      <c r="BK1166" s="4"/>
      <c r="BL1166" s="4"/>
      <c r="BM1166" s="4"/>
      <c r="BN1166" s="4"/>
      <c r="BO1166" s="4"/>
      <c r="BP1166" s="39"/>
      <c r="BQ1166" s="39"/>
    </row>
    <row r="1167" spans="3:69" ht="15.75" customHeight="1">
      <c r="C1167" s="4"/>
      <c r="D1167" s="4"/>
      <c r="E1167" s="38"/>
      <c r="F1167" s="38"/>
      <c r="G1167" s="4"/>
      <c r="H1167" s="4"/>
      <c r="I1167" s="4"/>
      <c r="J1167" s="4"/>
      <c r="K1167" s="4"/>
      <c r="L1167" s="4"/>
      <c r="M1167" s="4"/>
      <c r="N1167" s="38"/>
      <c r="O1167" s="4"/>
      <c r="P1167" s="4"/>
      <c r="Q1167" s="4"/>
      <c r="R1167" s="4"/>
      <c r="S1167" s="4"/>
      <c r="T1167" s="38"/>
      <c r="U1167" s="4"/>
      <c r="V1167" s="4"/>
      <c r="W1167" s="4"/>
      <c r="X1167" s="4"/>
      <c r="Y1167" s="4"/>
      <c r="Z1167" s="4"/>
      <c r="AA1167" s="4"/>
      <c r="AB1167" s="4"/>
      <c r="AC1167" s="4"/>
      <c r="AD1167" s="4"/>
      <c r="AE1167" s="4"/>
      <c r="AF1167" s="4"/>
      <c r="AG1167" s="4"/>
      <c r="AH1167" s="4"/>
      <c r="AI1167" s="4"/>
      <c r="AJ1167" s="4"/>
      <c r="AK1167" s="4"/>
      <c r="AL1167" s="4"/>
      <c r="AM1167" s="38"/>
      <c r="AN1167" s="4"/>
      <c r="AO1167" s="4"/>
      <c r="AP1167" s="4"/>
      <c r="AQ1167" s="4"/>
      <c r="AR1167" s="4"/>
      <c r="AS1167" s="4"/>
      <c r="AT1167" s="4"/>
      <c r="AU1167" s="4"/>
      <c r="AV1167" s="4"/>
      <c r="AW1167" s="4"/>
      <c r="AX1167" s="4"/>
      <c r="AY1167" s="4"/>
      <c r="AZ1167" s="4"/>
      <c r="BA1167" s="4"/>
      <c r="BB1167" s="4"/>
      <c r="BC1167" s="4"/>
      <c r="BD1167" s="4"/>
      <c r="BE1167" s="4"/>
      <c r="BF1167" s="4"/>
      <c r="BG1167" s="4"/>
      <c r="BH1167" s="4"/>
      <c r="BI1167" s="4"/>
      <c r="BJ1167" s="4"/>
      <c r="BK1167" s="4"/>
      <c r="BL1167" s="4"/>
      <c r="BM1167" s="4"/>
      <c r="BN1167" s="4"/>
      <c r="BO1167" s="4"/>
      <c r="BP1167" s="39"/>
      <c r="BQ1167" s="39"/>
    </row>
    <row r="1168" spans="3:69" ht="15.75" customHeight="1">
      <c r="C1168" s="4"/>
      <c r="D1168" s="4"/>
      <c r="E1168" s="38"/>
      <c r="F1168" s="38"/>
      <c r="G1168" s="4"/>
      <c r="H1168" s="4"/>
      <c r="I1168" s="4"/>
      <c r="J1168" s="4"/>
      <c r="K1168" s="4"/>
      <c r="L1168" s="4"/>
      <c r="M1168" s="4"/>
      <c r="N1168" s="38"/>
      <c r="O1168" s="4"/>
      <c r="P1168" s="4"/>
      <c r="Q1168" s="4"/>
      <c r="R1168" s="4"/>
      <c r="S1168" s="4"/>
      <c r="T1168" s="38"/>
      <c r="U1168" s="4"/>
      <c r="V1168" s="4"/>
      <c r="W1168" s="4"/>
      <c r="X1168" s="4"/>
      <c r="Y1168" s="4"/>
      <c r="Z1168" s="4"/>
      <c r="AA1168" s="4"/>
      <c r="AB1168" s="4"/>
      <c r="AC1168" s="4"/>
      <c r="AD1168" s="4"/>
      <c r="AE1168" s="4"/>
      <c r="AF1168" s="4"/>
      <c r="AG1168" s="4"/>
      <c r="AH1168" s="4"/>
      <c r="AI1168" s="4"/>
      <c r="AJ1168" s="4"/>
      <c r="AK1168" s="4"/>
      <c r="AL1168" s="4"/>
      <c r="AM1168" s="38"/>
      <c r="AN1168" s="4"/>
      <c r="AO1168" s="4"/>
      <c r="AP1168" s="4"/>
      <c r="AQ1168" s="4"/>
      <c r="AR1168" s="4"/>
      <c r="AS1168" s="4"/>
      <c r="AT1168" s="4"/>
      <c r="AU1168" s="4"/>
      <c r="AV1168" s="4"/>
      <c r="AW1168" s="4"/>
      <c r="AX1168" s="4"/>
      <c r="AY1168" s="4"/>
      <c r="AZ1168" s="4"/>
      <c r="BA1168" s="4"/>
      <c r="BB1168" s="4"/>
      <c r="BC1168" s="4"/>
      <c r="BD1168" s="4"/>
      <c r="BE1168" s="4"/>
      <c r="BF1168" s="4"/>
      <c r="BG1168" s="4"/>
      <c r="BH1168" s="4"/>
      <c r="BI1168" s="4"/>
      <c r="BJ1168" s="4"/>
      <c r="BK1168" s="4"/>
      <c r="BL1168" s="4"/>
      <c r="BM1168" s="4"/>
      <c r="BN1168" s="4"/>
      <c r="BO1168" s="4"/>
      <c r="BP1168" s="39"/>
      <c r="BQ1168" s="39"/>
    </row>
    <row r="1169" spans="3:69" ht="15.75" customHeight="1">
      <c r="C1169" s="4"/>
      <c r="D1169" s="4"/>
      <c r="E1169" s="38"/>
      <c r="F1169" s="38"/>
      <c r="G1169" s="4"/>
      <c r="H1169" s="4"/>
      <c r="I1169" s="4"/>
      <c r="J1169" s="4"/>
      <c r="K1169" s="4"/>
      <c r="L1169" s="4"/>
      <c r="M1169" s="4"/>
      <c r="N1169" s="38"/>
      <c r="O1169" s="4"/>
      <c r="P1169" s="4"/>
      <c r="Q1169" s="4"/>
      <c r="R1169" s="4"/>
      <c r="S1169" s="4"/>
      <c r="T1169" s="38"/>
      <c r="U1169" s="4"/>
      <c r="V1169" s="4"/>
      <c r="W1169" s="4"/>
      <c r="X1169" s="4"/>
      <c r="Y1169" s="4"/>
      <c r="Z1169" s="4"/>
      <c r="AA1169" s="4"/>
      <c r="AB1169" s="4"/>
      <c r="AC1169" s="4"/>
      <c r="AD1169" s="4"/>
      <c r="AE1169" s="4"/>
      <c r="AF1169" s="4"/>
      <c r="AG1169" s="4"/>
      <c r="AH1169" s="4"/>
      <c r="AI1169" s="4"/>
      <c r="AJ1169" s="4"/>
      <c r="AK1169" s="4"/>
      <c r="AL1169" s="4"/>
      <c r="AM1169" s="38"/>
      <c r="AN1169" s="4"/>
      <c r="AO1169" s="4"/>
      <c r="AP1169" s="4"/>
      <c r="AQ1169" s="4"/>
      <c r="AR1169" s="4"/>
      <c r="AS1169" s="4"/>
      <c r="AT1169" s="4"/>
      <c r="AU1169" s="4"/>
      <c r="AV1169" s="4"/>
      <c r="AW1169" s="4"/>
      <c r="AX1169" s="4"/>
      <c r="AY1169" s="4"/>
      <c r="AZ1169" s="4"/>
      <c r="BA1169" s="4"/>
      <c r="BB1169" s="4"/>
      <c r="BC1169" s="4"/>
      <c r="BD1169" s="4"/>
      <c r="BE1169" s="4"/>
      <c r="BF1169" s="4"/>
      <c r="BG1169" s="4"/>
      <c r="BH1169" s="4"/>
      <c r="BI1169" s="4"/>
      <c r="BJ1169" s="4"/>
      <c r="BK1169" s="4"/>
      <c r="BL1169" s="4"/>
      <c r="BM1169" s="4"/>
      <c r="BN1169" s="4"/>
      <c r="BO1169" s="4"/>
      <c r="BP1169" s="39"/>
      <c r="BQ1169" s="39"/>
    </row>
    <row r="1170" spans="3:69" ht="15.75" customHeight="1">
      <c r="C1170" s="4"/>
      <c r="D1170" s="4"/>
      <c r="E1170" s="38"/>
      <c r="F1170" s="38"/>
      <c r="G1170" s="4"/>
      <c r="H1170" s="4"/>
      <c r="I1170" s="4"/>
      <c r="J1170" s="4"/>
      <c r="K1170" s="4"/>
      <c r="L1170" s="4"/>
      <c r="M1170" s="4"/>
      <c r="N1170" s="38"/>
      <c r="O1170" s="4"/>
      <c r="P1170" s="4"/>
      <c r="Q1170" s="4"/>
      <c r="R1170" s="4"/>
      <c r="S1170" s="4"/>
      <c r="T1170" s="38"/>
      <c r="U1170" s="4"/>
      <c r="V1170" s="4"/>
      <c r="W1170" s="4"/>
      <c r="X1170" s="4"/>
      <c r="Y1170" s="4"/>
      <c r="Z1170" s="4"/>
      <c r="AA1170" s="4"/>
      <c r="AB1170" s="4"/>
      <c r="AC1170" s="4"/>
      <c r="AD1170" s="4"/>
      <c r="AE1170" s="4"/>
      <c r="AF1170" s="4"/>
      <c r="AG1170" s="4"/>
      <c r="AH1170" s="4"/>
      <c r="AI1170" s="4"/>
      <c r="AJ1170" s="4"/>
      <c r="AK1170" s="4"/>
      <c r="AL1170" s="4"/>
      <c r="AM1170" s="38"/>
      <c r="AN1170" s="4"/>
      <c r="AO1170" s="4"/>
      <c r="AP1170" s="4"/>
      <c r="AQ1170" s="4"/>
      <c r="AR1170" s="4"/>
      <c r="AS1170" s="4"/>
      <c r="AT1170" s="4"/>
      <c r="AU1170" s="4"/>
      <c r="AV1170" s="4"/>
      <c r="AW1170" s="4"/>
      <c r="AX1170" s="4"/>
      <c r="AY1170" s="4"/>
      <c r="AZ1170" s="4"/>
      <c r="BA1170" s="4"/>
      <c r="BB1170" s="4"/>
      <c r="BC1170" s="4"/>
      <c r="BD1170" s="4"/>
      <c r="BE1170" s="4"/>
      <c r="BF1170" s="4"/>
      <c r="BG1170" s="4"/>
      <c r="BH1170" s="4"/>
      <c r="BI1170" s="4"/>
      <c r="BJ1170" s="4"/>
      <c r="BK1170" s="4"/>
      <c r="BL1170" s="4"/>
      <c r="BM1170" s="4"/>
      <c r="BN1170" s="4"/>
      <c r="BO1170" s="4"/>
      <c r="BP1170" s="39"/>
      <c r="BQ1170" s="39"/>
    </row>
    <row r="1171" spans="3:69" ht="15.75" customHeight="1">
      <c r="C1171" s="4"/>
      <c r="D1171" s="4"/>
      <c r="E1171" s="38"/>
      <c r="F1171" s="38"/>
      <c r="G1171" s="4"/>
      <c r="H1171" s="4"/>
      <c r="I1171" s="4"/>
      <c r="J1171" s="4"/>
      <c r="K1171" s="4"/>
      <c r="L1171" s="4"/>
      <c r="M1171" s="4"/>
      <c r="N1171" s="38"/>
      <c r="O1171" s="4"/>
      <c r="P1171" s="4"/>
      <c r="Q1171" s="4"/>
      <c r="R1171" s="4"/>
      <c r="S1171" s="4"/>
      <c r="T1171" s="38"/>
      <c r="U1171" s="4"/>
      <c r="V1171" s="4"/>
      <c r="W1171" s="4"/>
      <c r="X1171" s="4"/>
      <c r="Y1171" s="4"/>
      <c r="Z1171" s="4"/>
      <c r="AA1171" s="4"/>
      <c r="AB1171" s="4"/>
      <c r="AC1171" s="4"/>
      <c r="AD1171" s="4"/>
      <c r="AE1171" s="4"/>
      <c r="AF1171" s="4"/>
      <c r="AG1171" s="4"/>
      <c r="AH1171" s="4"/>
      <c r="AI1171" s="4"/>
      <c r="AJ1171" s="4"/>
      <c r="AK1171" s="4"/>
      <c r="AL1171" s="4"/>
      <c r="AM1171" s="38"/>
      <c r="AN1171" s="4"/>
      <c r="AO1171" s="4"/>
      <c r="AP1171" s="4"/>
      <c r="AQ1171" s="4"/>
      <c r="AR1171" s="4"/>
      <c r="AS1171" s="4"/>
      <c r="AT1171" s="4"/>
      <c r="AU1171" s="4"/>
      <c r="AV1171" s="4"/>
      <c r="AW1171" s="4"/>
      <c r="AX1171" s="4"/>
      <c r="AY1171" s="4"/>
      <c r="AZ1171" s="4"/>
      <c r="BA1171" s="4"/>
      <c r="BB1171" s="4"/>
      <c r="BC1171" s="4"/>
      <c r="BD1171" s="4"/>
      <c r="BE1171" s="4"/>
      <c r="BF1171" s="4"/>
      <c r="BG1171" s="4"/>
      <c r="BH1171" s="4"/>
      <c r="BI1171" s="4"/>
      <c r="BJ1171" s="4"/>
      <c r="BK1171" s="4"/>
      <c r="BL1171" s="4"/>
      <c r="BM1171" s="4"/>
      <c r="BN1171" s="4"/>
      <c r="BO1171" s="4"/>
      <c r="BP1171" s="39"/>
      <c r="BQ1171" s="39"/>
    </row>
    <row r="1172" spans="3:69" ht="15.75" customHeight="1">
      <c r="C1172" s="4"/>
      <c r="D1172" s="4"/>
      <c r="E1172" s="38"/>
      <c r="F1172" s="38"/>
      <c r="G1172" s="4"/>
      <c r="H1172" s="4"/>
      <c r="I1172" s="4"/>
      <c r="J1172" s="4"/>
      <c r="K1172" s="4"/>
      <c r="L1172" s="4"/>
      <c r="M1172" s="4"/>
      <c r="N1172" s="38"/>
      <c r="O1172" s="4"/>
      <c r="P1172" s="4"/>
      <c r="Q1172" s="4"/>
      <c r="R1172" s="4"/>
      <c r="S1172" s="4"/>
      <c r="T1172" s="38"/>
      <c r="U1172" s="4"/>
      <c r="V1172" s="4"/>
      <c r="W1172" s="4"/>
      <c r="X1172" s="4"/>
      <c r="Y1172" s="4"/>
      <c r="Z1172" s="4"/>
      <c r="AA1172" s="4"/>
      <c r="AB1172" s="4"/>
      <c r="AC1172" s="4"/>
      <c r="AD1172" s="4"/>
      <c r="AE1172" s="4"/>
      <c r="AF1172" s="4"/>
      <c r="AG1172" s="4"/>
      <c r="AH1172" s="4"/>
      <c r="AI1172" s="4"/>
      <c r="AJ1172" s="4"/>
      <c r="AK1172" s="4"/>
      <c r="AL1172" s="4"/>
      <c r="AM1172" s="38"/>
      <c r="AN1172" s="4"/>
      <c r="AO1172" s="4"/>
      <c r="AP1172" s="4"/>
      <c r="AQ1172" s="4"/>
      <c r="AR1172" s="4"/>
      <c r="AS1172" s="4"/>
      <c r="AT1172" s="4"/>
      <c r="AU1172" s="4"/>
      <c r="AV1172" s="4"/>
      <c r="AW1172" s="4"/>
      <c r="AX1172" s="4"/>
      <c r="AY1172" s="4"/>
      <c r="AZ1172" s="4"/>
      <c r="BA1172" s="4"/>
      <c r="BB1172" s="4"/>
      <c r="BC1172" s="4"/>
      <c r="BD1172" s="4"/>
      <c r="BE1172" s="4"/>
      <c r="BF1172" s="4"/>
      <c r="BG1172" s="4"/>
      <c r="BH1172" s="4"/>
      <c r="BI1172" s="4"/>
      <c r="BJ1172" s="4"/>
      <c r="BK1172" s="4"/>
      <c r="BL1172" s="4"/>
      <c r="BM1172" s="4"/>
      <c r="BN1172" s="4"/>
      <c r="BO1172" s="4"/>
      <c r="BP1172" s="39"/>
      <c r="BQ1172" s="39"/>
    </row>
    <row r="1173" spans="3:69" ht="15.75" customHeight="1">
      <c r="C1173" s="4"/>
      <c r="D1173" s="4"/>
      <c r="E1173" s="38"/>
      <c r="F1173" s="38"/>
      <c r="G1173" s="4"/>
      <c r="H1173" s="4"/>
      <c r="I1173" s="4"/>
      <c r="J1173" s="4"/>
      <c r="K1173" s="4"/>
      <c r="L1173" s="4"/>
      <c r="M1173" s="4"/>
      <c r="N1173" s="38"/>
      <c r="O1173" s="4"/>
      <c r="P1173" s="4"/>
      <c r="Q1173" s="4"/>
      <c r="R1173" s="4"/>
      <c r="S1173" s="4"/>
      <c r="T1173" s="38"/>
      <c r="U1173" s="4"/>
      <c r="V1173" s="4"/>
      <c r="W1173" s="4"/>
      <c r="X1173" s="4"/>
      <c r="Y1173" s="4"/>
      <c r="Z1173" s="4"/>
      <c r="AA1173" s="4"/>
      <c r="AB1173" s="4"/>
      <c r="AC1173" s="4"/>
      <c r="AD1173" s="4"/>
      <c r="AE1173" s="4"/>
      <c r="AF1173" s="4"/>
      <c r="AG1173" s="4"/>
      <c r="AH1173" s="4"/>
      <c r="AI1173" s="4"/>
      <c r="AJ1173" s="4"/>
      <c r="AK1173" s="4"/>
      <c r="AL1173" s="4"/>
      <c r="AM1173" s="38"/>
      <c r="AN1173" s="4"/>
      <c r="AO1173" s="4"/>
      <c r="AP1173" s="4"/>
      <c r="AQ1173" s="4"/>
      <c r="AR1173" s="4"/>
      <c r="AS1173" s="4"/>
      <c r="AT1173" s="4"/>
      <c r="AU1173" s="4"/>
      <c r="AV1173" s="4"/>
      <c r="AW1173" s="4"/>
      <c r="AX1173" s="4"/>
      <c r="AY1173" s="4"/>
      <c r="AZ1173" s="4"/>
      <c r="BA1173" s="4"/>
      <c r="BB1173" s="4"/>
      <c r="BC1173" s="4"/>
      <c r="BD1173" s="4"/>
      <c r="BE1173" s="4"/>
      <c r="BF1173" s="4"/>
      <c r="BG1173" s="4"/>
      <c r="BH1173" s="4"/>
      <c r="BI1173" s="4"/>
      <c r="BJ1173" s="4"/>
      <c r="BK1173" s="4"/>
      <c r="BL1173" s="4"/>
      <c r="BM1173" s="4"/>
      <c r="BN1173" s="4"/>
      <c r="BO1173" s="4"/>
      <c r="BP1173" s="39"/>
      <c r="BQ1173" s="39"/>
    </row>
    <row r="1174" spans="3:69" ht="15.75" customHeight="1">
      <c r="C1174" s="4"/>
      <c r="D1174" s="4"/>
      <c r="E1174" s="38"/>
      <c r="F1174" s="38"/>
      <c r="G1174" s="4"/>
      <c r="H1174" s="4"/>
      <c r="I1174" s="4"/>
      <c r="J1174" s="4"/>
      <c r="K1174" s="4"/>
      <c r="L1174" s="4"/>
      <c r="M1174" s="4"/>
      <c r="N1174" s="38"/>
      <c r="O1174" s="4"/>
      <c r="P1174" s="4"/>
      <c r="Q1174" s="4"/>
      <c r="R1174" s="4"/>
      <c r="S1174" s="4"/>
      <c r="T1174" s="38"/>
      <c r="U1174" s="4"/>
      <c r="V1174" s="4"/>
      <c r="W1174" s="4"/>
      <c r="X1174" s="4"/>
      <c r="Y1174" s="4"/>
      <c r="Z1174" s="4"/>
      <c r="AA1174" s="4"/>
      <c r="AB1174" s="4"/>
      <c r="AC1174" s="4"/>
      <c r="AD1174" s="4"/>
      <c r="AE1174" s="4"/>
      <c r="AF1174" s="4"/>
      <c r="AG1174" s="4"/>
      <c r="AH1174" s="4"/>
      <c r="AI1174" s="4"/>
      <c r="AJ1174" s="4"/>
      <c r="AK1174" s="4"/>
      <c r="AL1174" s="4"/>
      <c r="AM1174" s="38"/>
      <c r="AN1174" s="4"/>
      <c r="AO1174" s="4"/>
      <c r="AP1174" s="4"/>
      <c r="AQ1174" s="4"/>
      <c r="AR1174" s="4"/>
      <c r="AS1174" s="4"/>
      <c r="AT1174" s="4"/>
      <c r="AU1174" s="4"/>
      <c r="AV1174" s="4"/>
      <c r="AW1174" s="4"/>
      <c r="AX1174" s="4"/>
      <c r="AY1174" s="4"/>
      <c r="AZ1174" s="4"/>
      <c r="BA1174" s="4"/>
      <c r="BB1174" s="4"/>
      <c r="BC1174" s="4"/>
      <c r="BD1174" s="4"/>
      <c r="BE1174" s="4"/>
      <c r="BF1174" s="4"/>
      <c r="BG1174" s="4"/>
      <c r="BH1174" s="4"/>
      <c r="BI1174" s="4"/>
      <c r="BJ1174" s="4"/>
      <c r="BK1174" s="4"/>
      <c r="BL1174" s="4"/>
      <c r="BM1174" s="4"/>
      <c r="BN1174" s="4"/>
      <c r="BO1174" s="4"/>
      <c r="BP1174" s="39"/>
      <c r="BQ1174" s="39"/>
    </row>
    <row r="1175" spans="3:69" ht="15.75" customHeight="1">
      <c r="C1175" s="4"/>
      <c r="D1175" s="4"/>
      <c r="E1175" s="38"/>
      <c r="F1175" s="38"/>
      <c r="G1175" s="4"/>
      <c r="H1175" s="4"/>
      <c r="I1175" s="4"/>
      <c r="J1175" s="4"/>
      <c r="K1175" s="4"/>
      <c r="L1175" s="4"/>
      <c r="M1175" s="4"/>
      <c r="N1175" s="38"/>
      <c r="O1175" s="4"/>
      <c r="P1175" s="4"/>
      <c r="Q1175" s="4"/>
      <c r="R1175" s="4"/>
      <c r="S1175" s="4"/>
      <c r="T1175" s="38"/>
      <c r="U1175" s="4"/>
      <c r="V1175" s="4"/>
      <c r="W1175" s="4"/>
      <c r="X1175" s="4"/>
      <c r="Y1175" s="4"/>
      <c r="Z1175" s="4"/>
      <c r="AA1175" s="4"/>
      <c r="AB1175" s="4"/>
      <c r="AC1175" s="4"/>
      <c r="AD1175" s="4"/>
      <c r="AE1175" s="4"/>
      <c r="AF1175" s="4"/>
      <c r="AG1175" s="4"/>
      <c r="AH1175" s="4"/>
      <c r="AI1175" s="4"/>
      <c r="AJ1175" s="4"/>
      <c r="AK1175" s="4"/>
      <c r="AL1175" s="4"/>
      <c r="AM1175" s="38"/>
      <c r="AN1175" s="4"/>
      <c r="AO1175" s="4"/>
      <c r="AP1175" s="4"/>
      <c r="AQ1175" s="4"/>
      <c r="AR1175" s="4"/>
      <c r="AS1175" s="4"/>
      <c r="AT1175" s="4"/>
      <c r="AU1175" s="4"/>
      <c r="AV1175" s="4"/>
      <c r="AW1175" s="4"/>
      <c r="AX1175" s="4"/>
      <c r="AY1175" s="4"/>
      <c r="AZ1175" s="4"/>
      <c r="BA1175" s="4"/>
      <c r="BB1175" s="4"/>
      <c r="BC1175" s="4"/>
      <c r="BD1175" s="4"/>
      <c r="BE1175" s="4"/>
      <c r="BF1175" s="4"/>
      <c r="BG1175" s="4"/>
      <c r="BH1175" s="4"/>
      <c r="BI1175" s="4"/>
      <c r="BJ1175" s="4"/>
      <c r="BK1175" s="4"/>
      <c r="BL1175" s="4"/>
      <c r="BM1175" s="4"/>
      <c r="BN1175" s="4"/>
      <c r="BO1175" s="4"/>
      <c r="BP1175" s="39"/>
      <c r="BQ1175" s="39"/>
    </row>
    <row r="1176" spans="3:69" ht="15.75" customHeight="1">
      <c r="C1176" s="4"/>
      <c r="D1176" s="4"/>
      <c r="E1176" s="38"/>
      <c r="F1176" s="38"/>
      <c r="G1176" s="4"/>
      <c r="H1176" s="4"/>
      <c r="I1176" s="4"/>
      <c r="J1176" s="4"/>
      <c r="K1176" s="4"/>
      <c r="L1176" s="4"/>
      <c r="M1176" s="4"/>
      <c r="N1176" s="38"/>
      <c r="O1176" s="4"/>
      <c r="P1176" s="4"/>
      <c r="Q1176" s="4"/>
      <c r="R1176" s="4"/>
      <c r="S1176" s="4"/>
      <c r="T1176" s="38"/>
      <c r="U1176" s="4"/>
      <c r="V1176" s="4"/>
      <c r="W1176" s="4"/>
      <c r="X1176" s="4"/>
      <c r="Y1176" s="4"/>
      <c r="Z1176" s="4"/>
      <c r="AA1176" s="4"/>
      <c r="AB1176" s="4"/>
      <c r="AC1176" s="4"/>
      <c r="AD1176" s="4"/>
      <c r="AE1176" s="4"/>
      <c r="AF1176" s="4"/>
      <c r="AG1176" s="4"/>
      <c r="AH1176" s="4"/>
      <c r="AI1176" s="4"/>
      <c r="AJ1176" s="4"/>
      <c r="AK1176" s="4"/>
      <c r="AL1176" s="4"/>
      <c r="AM1176" s="38"/>
      <c r="AN1176" s="4"/>
      <c r="AO1176" s="4"/>
      <c r="AP1176" s="4"/>
      <c r="AQ1176" s="4"/>
      <c r="AR1176" s="4"/>
      <c r="AS1176" s="4"/>
      <c r="AT1176" s="4"/>
      <c r="AU1176" s="4"/>
      <c r="AV1176" s="4"/>
      <c r="AW1176" s="4"/>
      <c r="AX1176" s="4"/>
      <c r="AY1176" s="4"/>
      <c r="AZ1176" s="4"/>
      <c r="BA1176" s="4"/>
      <c r="BB1176" s="4"/>
      <c r="BC1176" s="4"/>
      <c r="BD1176" s="4"/>
      <c r="BE1176" s="4"/>
      <c r="BF1176" s="4"/>
      <c r="BG1176" s="4"/>
      <c r="BH1176" s="4"/>
      <c r="BI1176" s="4"/>
      <c r="BJ1176" s="4"/>
      <c r="BK1176" s="4"/>
      <c r="BL1176" s="4"/>
      <c r="BM1176" s="4"/>
      <c r="BN1176" s="4"/>
      <c r="BO1176" s="4"/>
      <c r="BP1176" s="39"/>
      <c r="BQ1176" s="39"/>
    </row>
    <row r="1177" spans="3:69" ht="15.75" customHeight="1">
      <c r="C1177" s="4"/>
      <c r="D1177" s="4"/>
      <c r="E1177" s="38"/>
      <c r="F1177" s="38"/>
      <c r="G1177" s="4"/>
      <c r="H1177" s="4"/>
      <c r="I1177" s="4"/>
      <c r="J1177" s="4"/>
      <c r="K1177" s="4"/>
      <c r="L1177" s="4"/>
      <c r="M1177" s="4"/>
      <c r="N1177" s="38"/>
      <c r="O1177" s="4"/>
      <c r="P1177" s="4"/>
      <c r="Q1177" s="4"/>
      <c r="R1177" s="4"/>
      <c r="S1177" s="4"/>
      <c r="T1177" s="38"/>
      <c r="U1177" s="4"/>
      <c r="V1177" s="4"/>
      <c r="W1177" s="4"/>
      <c r="X1177" s="4"/>
      <c r="Y1177" s="4"/>
      <c r="Z1177" s="4"/>
      <c r="AA1177" s="4"/>
      <c r="AB1177" s="4"/>
      <c r="AC1177" s="4"/>
      <c r="AD1177" s="4"/>
      <c r="AE1177" s="4"/>
      <c r="AF1177" s="4"/>
      <c r="AG1177" s="4"/>
      <c r="AH1177" s="4"/>
      <c r="AI1177" s="4"/>
      <c r="AJ1177" s="4"/>
      <c r="AK1177" s="4"/>
      <c r="AL1177" s="4"/>
      <c r="AM1177" s="38"/>
      <c r="AN1177" s="4"/>
      <c r="AO1177" s="4"/>
      <c r="AP1177" s="4"/>
      <c r="AQ1177" s="4"/>
      <c r="AR1177" s="4"/>
      <c r="AS1177" s="4"/>
      <c r="AT1177" s="4"/>
      <c r="AU1177" s="4"/>
      <c r="AV1177" s="4"/>
      <c r="AW1177" s="4"/>
      <c r="AX1177" s="4"/>
      <c r="AY1177" s="4"/>
      <c r="AZ1177" s="4"/>
      <c r="BA1177" s="4"/>
      <c r="BB1177" s="4"/>
      <c r="BC1177" s="4"/>
      <c r="BD1177" s="4"/>
      <c r="BE1177" s="4"/>
      <c r="BF1177" s="4"/>
      <c r="BG1177" s="4"/>
      <c r="BH1177" s="4"/>
      <c r="BI1177" s="4"/>
      <c r="BJ1177" s="4"/>
      <c r="BK1177" s="4"/>
      <c r="BL1177" s="4"/>
      <c r="BM1177" s="4"/>
      <c r="BN1177" s="4"/>
      <c r="BO1177" s="4"/>
      <c r="BP1177" s="39"/>
      <c r="BQ1177" s="39"/>
    </row>
    <row r="1178" spans="3:69" ht="15.75" customHeight="1">
      <c r="C1178" s="4"/>
      <c r="D1178" s="4"/>
      <c r="E1178" s="38"/>
      <c r="F1178" s="38"/>
      <c r="G1178" s="4"/>
      <c r="H1178" s="4"/>
      <c r="I1178" s="4"/>
      <c r="J1178" s="4"/>
      <c r="K1178" s="4"/>
      <c r="L1178" s="4"/>
      <c r="M1178" s="4"/>
      <c r="N1178" s="38"/>
      <c r="O1178" s="4"/>
      <c r="P1178" s="4"/>
      <c r="Q1178" s="4"/>
      <c r="R1178" s="4"/>
      <c r="S1178" s="4"/>
      <c r="T1178" s="38"/>
      <c r="U1178" s="4"/>
      <c r="V1178" s="4"/>
      <c r="W1178" s="4"/>
      <c r="X1178" s="4"/>
      <c r="Y1178" s="4"/>
      <c r="Z1178" s="4"/>
      <c r="AA1178" s="4"/>
      <c r="AB1178" s="4"/>
      <c r="AC1178" s="4"/>
      <c r="AD1178" s="4"/>
      <c r="AE1178" s="4"/>
      <c r="AF1178" s="4"/>
      <c r="AG1178" s="4"/>
      <c r="AH1178" s="4"/>
      <c r="AI1178" s="4"/>
      <c r="AJ1178" s="4"/>
      <c r="AK1178" s="4"/>
      <c r="AL1178" s="4"/>
      <c r="AM1178" s="38"/>
      <c r="AN1178" s="4"/>
      <c r="AO1178" s="4"/>
      <c r="AP1178" s="4"/>
      <c r="AQ1178" s="4"/>
      <c r="AR1178" s="4"/>
      <c r="AS1178" s="4"/>
      <c r="AT1178" s="4"/>
      <c r="AU1178" s="4"/>
      <c r="AV1178" s="4"/>
      <c r="AW1178" s="4"/>
      <c r="AX1178" s="4"/>
      <c r="AY1178" s="4"/>
      <c r="AZ1178" s="4"/>
      <c r="BA1178" s="4"/>
      <c r="BB1178" s="4"/>
      <c r="BC1178" s="4"/>
      <c r="BD1178" s="4"/>
      <c r="BE1178" s="4"/>
      <c r="BF1178" s="4"/>
      <c r="BG1178" s="4"/>
      <c r="BH1178" s="4"/>
      <c r="BI1178" s="4"/>
      <c r="BJ1178" s="4"/>
      <c r="BK1178" s="4"/>
      <c r="BL1178" s="4"/>
      <c r="BM1178" s="4"/>
      <c r="BN1178" s="4"/>
      <c r="BO1178" s="4"/>
      <c r="BP1178" s="39"/>
      <c r="BQ1178" s="39"/>
    </row>
    <row r="1179" spans="3:69" ht="15.75" customHeight="1">
      <c r="C1179" s="4"/>
      <c r="D1179" s="4"/>
      <c r="E1179" s="38"/>
      <c r="F1179" s="38"/>
      <c r="G1179" s="4"/>
      <c r="H1179" s="4"/>
      <c r="I1179" s="4"/>
      <c r="J1179" s="4"/>
      <c r="K1179" s="4"/>
      <c r="L1179" s="4"/>
      <c r="M1179" s="4"/>
      <c r="N1179" s="38"/>
      <c r="O1179" s="4"/>
      <c r="P1179" s="4"/>
      <c r="Q1179" s="4"/>
      <c r="R1179" s="4"/>
      <c r="S1179" s="4"/>
      <c r="T1179" s="38"/>
      <c r="U1179" s="4"/>
      <c r="V1179" s="4"/>
      <c r="W1179" s="4"/>
      <c r="X1179" s="4"/>
      <c r="Y1179" s="4"/>
      <c r="Z1179" s="4"/>
      <c r="AA1179" s="4"/>
      <c r="AB1179" s="4"/>
      <c r="AC1179" s="4"/>
      <c r="AD1179" s="4"/>
      <c r="AE1179" s="4"/>
      <c r="AF1179" s="4"/>
      <c r="AG1179" s="4"/>
      <c r="AH1179" s="4"/>
      <c r="AI1179" s="4"/>
      <c r="AJ1179" s="4"/>
      <c r="AK1179" s="4"/>
      <c r="AL1179" s="4"/>
      <c r="AM1179" s="38"/>
      <c r="AN1179" s="4"/>
      <c r="AO1179" s="4"/>
      <c r="AP1179" s="4"/>
      <c r="AQ1179" s="4"/>
      <c r="AR1179" s="4"/>
      <c r="AS1179" s="4"/>
      <c r="AT1179" s="4"/>
      <c r="AU1179" s="4"/>
      <c r="AV1179" s="4"/>
      <c r="AW1179" s="4"/>
      <c r="AX1179" s="4"/>
      <c r="AY1179" s="4"/>
      <c r="AZ1179" s="4"/>
      <c r="BA1179" s="4"/>
      <c r="BB1179" s="4"/>
      <c r="BC1179" s="4"/>
      <c r="BD1179" s="4"/>
      <c r="BE1179" s="4"/>
      <c r="BF1179" s="4"/>
      <c r="BG1179" s="4"/>
      <c r="BH1179" s="4"/>
      <c r="BI1179" s="4"/>
      <c r="BJ1179" s="4"/>
      <c r="BK1179" s="4"/>
      <c r="BL1179" s="4"/>
      <c r="BM1179" s="4"/>
      <c r="BN1179" s="4"/>
      <c r="BO1179" s="4"/>
      <c r="BP1179" s="39"/>
      <c r="BQ1179" s="39"/>
    </row>
    <row r="1180" spans="3:69" ht="15.75" customHeight="1">
      <c r="C1180" s="4"/>
      <c r="D1180" s="4"/>
      <c r="E1180" s="38"/>
      <c r="F1180" s="38"/>
      <c r="G1180" s="4"/>
      <c r="H1180" s="4"/>
      <c r="I1180" s="4"/>
      <c r="J1180" s="4"/>
      <c r="K1180" s="4"/>
      <c r="L1180" s="4"/>
      <c r="M1180" s="4"/>
      <c r="N1180" s="38"/>
      <c r="O1180" s="4"/>
      <c r="P1180" s="4"/>
      <c r="Q1180" s="4"/>
      <c r="R1180" s="4"/>
      <c r="S1180" s="4"/>
      <c r="T1180" s="38"/>
      <c r="U1180" s="4"/>
      <c r="V1180" s="4"/>
      <c r="W1180" s="4"/>
      <c r="X1180" s="4"/>
      <c r="Y1180" s="4"/>
      <c r="Z1180" s="4"/>
      <c r="AA1180" s="4"/>
      <c r="AB1180" s="4"/>
      <c r="AC1180" s="4"/>
      <c r="AD1180" s="4"/>
      <c r="AE1180" s="4"/>
      <c r="AF1180" s="4"/>
      <c r="AG1180" s="4"/>
      <c r="AH1180" s="4"/>
      <c r="AI1180" s="4"/>
      <c r="AJ1180" s="4"/>
      <c r="AK1180" s="4"/>
      <c r="AL1180" s="4"/>
      <c r="AM1180" s="38"/>
      <c r="AN1180" s="4"/>
      <c r="AO1180" s="4"/>
      <c r="AP1180" s="4"/>
      <c r="AQ1180" s="4"/>
      <c r="AR1180" s="4"/>
      <c r="AS1180" s="4"/>
      <c r="AT1180" s="4"/>
      <c r="AU1180" s="4"/>
      <c r="AV1180" s="4"/>
      <c r="AW1180" s="4"/>
      <c r="AX1180" s="4"/>
      <c r="AY1180" s="4"/>
      <c r="AZ1180" s="4"/>
      <c r="BA1180" s="4"/>
      <c r="BB1180" s="4"/>
      <c r="BC1180" s="4"/>
      <c r="BD1180" s="4"/>
      <c r="BE1180" s="4"/>
      <c r="BF1180" s="4"/>
      <c r="BG1180" s="4"/>
      <c r="BH1180" s="4"/>
      <c r="BI1180" s="4"/>
      <c r="BJ1180" s="4"/>
      <c r="BK1180" s="4"/>
      <c r="BL1180" s="4"/>
      <c r="BM1180" s="4"/>
      <c r="BN1180" s="4"/>
      <c r="BO1180" s="4"/>
      <c r="BP1180" s="39"/>
      <c r="BQ1180" s="39"/>
    </row>
    <row r="1181" spans="3:69" ht="15.75" customHeight="1">
      <c r="C1181" s="4"/>
      <c r="D1181" s="4"/>
      <c r="E1181" s="38"/>
      <c r="F1181" s="38"/>
      <c r="G1181" s="4"/>
      <c r="H1181" s="4"/>
      <c r="I1181" s="4"/>
      <c r="J1181" s="4"/>
      <c r="K1181" s="4"/>
      <c r="L1181" s="4"/>
      <c r="M1181" s="4"/>
      <c r="N1181" s="38"/>
      <c r="O1181" s="4"/>
      <c r="P1181" s="4"/>
      <c r="Q1181" s="4"/>
      <c r="R1181" s="4"/>
      <c r="S1181" s="4"/>
      <c r="T1181" s="38"/>
      <c r="U1181" s="4"/>
      <c r="V1181" s="4"/>
      <c r="W1181" s="4"/>
      <c r="X1181" s="4"/>
      <c r="Y1181" s="4"/>
      <c r="Z1181" s="4"/>
      <c r="AA1181" s="4"/>
      <c r="AB1181" s="4"/>
      <c r="AC1181" s="4"/>
      <c r="AD1181" s="4"/>
      <c r="AE1181" s="4"/>
      <c r="AF1181" s="4"/>
      <c r="AG1181" s="4"/>
      <c r="AH1181" s="4"/>
      <c r="AI1181" s="4"/>
      <c r="AJ1181" s="4"/>
      <c r="AK1181" s="4"/>
      <c r="AL1181" s="4"/>
      <c r="AM1181" s="38"/>
      <c r="AN1181" s="4"/>
      <c r="AO1181" s="4"/>
      <c r="AP1181" s="4"/>
      <c r="AQ1181" s="4"/>
      <c r="AR1181" s="4"/>
      <c r="AS1181" s="4"/>
      <c r="AT1181" s="4"/>
      <c r="AU1181" s="4"/>
      <c r="AV1181" s="4"/>
      <c r="AW1181" s="4"/>
      <c r="AX1181" s="4"/>
      <c r="AY1181" s="4"/>
      <c r="AZ1181" s="4"/>
      <c r="BA1181" s="4"/>
      <c r="BB1181" s="4"/>
      <c r="BC1181" s="4"/>
      <c r="BD1181" s="4"/>
      <c r="BE1181" s="4"/>
      <c r="BF1181" s="4"/>
      <c r="BG1181" s="4"/>
      <c r="BH1181" s="4"/>
      <c r="BI1181" s="4"/>
      <c r="BJ1181" s="4"/>
      <c r="BK1181" s="4"/>
      <c r="BL1181" s="4"/>
      <c r="BM1181" s="4"/>
      <c r="BN1181" s="4"/>
      <c r="BO1181" s="4"/>
      <c r="BP1181" s="39"/>
      <c r="BQ1181" s="39"/>
    </row>
    <row r="1182" spans="3:69" ht="15.75" customHeight="1">
      <c r="C1182" s="4"/>
      <c r="D1182" s="4"/>
      <c r="E1182" s="38"/>
      <c r="F1182" s="38"/>
      <c r="G1182" s="4"/>
      <c r="H1182" s="4"/>
      <c r="I1182" s="4"/>
      <c r="J1182" s="4"/>
      <c r="K1182" s="4"/>
      <c r="L1182" s="4"/>
      <c r="M1182" s="4"/>
      <c r="N1182" s="38"/>
      <c r="O1182" s="4"/>
      <c r="P1182" s="4"/>
      <c r="Q1182" s="4"/>
      <c r="R1182" s="4"/>
      <c r="S1182" s="4"/>
      <c r="T1182" s="38"/>
      <c r="U1182" s="4"/>
      <c r="V1182" s="4"/>
      <c r="W1182" s="4"/>
      <c r="X1182" s="4"/>
      <c r="Y1182" s="4"/>
      <c r="Z1182" s="4"/>
      <c r="AA1182" s="4"/>
      <c r="AB1182" s="4"/>
      <c r="AC1182" s="4"/>
      <c r="AD1182" s="4"/>
      <c r="AE1182" s="4"/>
      <c r="AF1182" s="4"/>
      <c r="AG1182" s="4"/>
      <c r="AH1182" s="4"/>
      <c r="AI1182" s="4"/>
      <c r="AJ1182" s="4"/>
      <c r="AK1182" s="4"/>
      <c r="AL1182" s="4"/>
      <c r="AM1182" s="38"/>
      <c r="AN1182" s="4"/>
      <c r="AO1182" s="4"/>
      <c r="AP1182" s="4"/>
      <c r="AQ1182" s="4"/>
      <c r="AR1182" s="4"/>
      <c r="AS1182" s="4"/>
      <c r="AT1182" s="4"/>
      <c r="AU1182" s="4"/>
      <c r="AV1182" s="4"/>
      <c r="AW1182" s="4"/>
      <c r="AX1182" s="4"/>
      <c r="AY1182" s="4"/>
      <c r="AZ1182" s="4"/>
      <c r="BA1182" s="4"/>
      <c r="BB1182" s="4"/>
      <c r="BC1182" s="4"/>
      <c r="BD1182" s="4"/>
      <c r="BE1182" s="4"/>
      <c r="BF1182" s="4"/>
      <c r="BG1182" s="4"/>
      <c r="BH1182" s="4"/>
      <c r="BI1182" s="4"/>
      <c r="BJ1182" s="4"/>
      <c r="BK1182" s="4"/>
      <c r="BL1182" s="4"/>
      <c r="BM1182" s="4"/>
      <c r="BN1182" s="4"/>
      <c r="BO1182" s="4"/>
      <c r="BP1182" s="39"/>
      <c r="BQ1182" s="39"/>
    </row>
    <row r="1183" spans="3:69" ht="15.75" customHeight="1">
      <c r="C1183" s="4"/>
      <c r="D1183" s="4"/>
      <c r="E1183" s="38"/>
      <c r="F1183" s="38"/>
      <c r="G1183" s="4"/>
      <c r="H1183" s="4"/>
      <c r="I1183" s="4"/>
      <c r="J1183" s="4"/>
      <c r="K1183" s="4"/>
      <c r="L1183" s="4"/>
      <c r="M1183" s="4"/>
      <c r="N1183" s="38"/>
      <c r="O1183" s="4"/>
      <c r="P1183" s="4"/>
      <c r="Q1183" s="4"/>
      <c r="R1183" s="4"/>
      <c r="S1183" s="4"/>
      <c r="T1183" s="38"/>
      <c r="U1183" s="4"/>
      <c r="V1183" s="4"/>
      <c r="W1183" s="4"/>
      <c r="X1183" s="4"/>
      <c r="Y1183" s="4"/>
      <c r="Z1183" s="4"/>
      <c r="AA1183" s="4"/>
      <c r="AB1183" s="4"/>
      <c r="AC1183" s="4"/>
      <c r="AD1183" s="4"/>
      <c r="AE1183" s="4"/>
      <c r="AF1183" s="4"/>
      <c r="AG1183" s="4"/>
      <c r="AH1183" s="4"/>
      <c r="AI1183" s="4"/>
      <c r="AJ1183" s="4"/>
      <c r="AK1183" s="4"/>
      <c r="AL1183" s="4"/>
      <c r="AM1183" s="38"/>
      <c r="AN1183" s="4"/>
      <c r="AO1183" s="4"/>
      <c r="AP1183" s="4"/>
      <c r="AQ1183" s="4"/>
      <c r="AR1183" s="4"/>
      <c r="AS1183" s="4"/>
      <c r="AT1183" s="4"/>
      <c r="AU1183" s="4"/>
      <c r="AV1183" s="4"/>
      <c r="AW1183" s="4"/>
      <c r="AX1183" s="4"/>
      <c r="AY1183" s="4"/>
      <c r="AZ1183" s="4"/>
      <c r="BA1183" s="4"/>
      <c r="BB1183" s="4"/>
      <c r="BC1183" s="4"/>
      <c r="BD1183" s="4"/>
      <c r="BE1183" s="4"/>
      <c r="BF1183" s="4"/>
      <c r="BG1183" s="4"/>
      <c r="BH1183" s="4"/>
      <c r="BI1183" s="4"/>
      <c r="BJ1183" s="4"/>
      <c r="BK1183" s="4"/>
      <c r="BL1183" s="4"/>
      <c r="BM1183" s="4"/>
      <c r="BN1183" s="4"/>
      <c r="BO1183" s="4"/>
      <c r="BP1183" s="39"/>
      <c r="BQ1183" s="39"/>
    </row>
    <row r="1184" spans="3:69" ht="15.75" customHeight="1">
      <c r="C1184" s="4"/>
      <c r="D1184" s="4"/>
      <c r="E1184" s="38"/>
      <c r="F1184" s="38"/>
      <c r="G1184" s="4"/>
      <c r="H1184" s="4"/>
      <c r="I1184" s="4"/>
      <c r="J1184" s="4"/>
      <c r="K1184" s="4"/>
      <c r="L1184" s="4"/>
      <c r="M1184" s="4"/>
      <c r="N1184" s="38"/>
      <c r="O1184" s="4"/>
      <c r="P1184" s="4"/>
      <c r="Q1184" s="4"/>
      <c r="R1184" s="4"/>
      <c r="S1184" s="4"/>
      <c r="T1184" s="38"/>
      <c r="U1184" s="4"/>
      <c r="V1184" s="4"/>
      <c r="W1184" s="4"/>
      <c r="X1184" s="4"/>
      <c r="Y1184" s="4"/>
      <c r="Z1184" s="4"/>
      <c r="AA1184" s="4"/>
      <c r="AB1184" s="4"/>
      <c r="AC1184" s="4"/>
      <c r="AD1184" s="4"/>
      <c r="AE1184" s="4"/>
      <c r="AF1184" s="4"/>
      <c r="AG1184" s="4"/>
      <c r="AH1184" s="4"/>
      <c r="AI1184" s="4"/>
      <c r="AJ1184" s="4"/>
      <c r="AK1184" s="4"/>
      <c r="AL1184" s="4"/>
      <c r="AM1184" s="38"/>
      <c r="AN1184" s="4"/>
      <c r="AO1184" s="4"/>
      <c r="AP1184" s="4"/>
      <c r="AQ1184" s="4"/>
      <c r="AR1184" s="4"/>
      <c r="AS1184" s="4"/>
      <c r="AT1184" s="4"/>
      <c r="AU1184" s="4"/>
      <c r="AV1184" s="4"/>
      <c r="AW1184" s="4"/>
      <c r="AX1184" s="4"/>
      <c r="AY1184" s="4"/>
      <c r="AZ1184" s="4"/>
      <c r="BA1184" s="4"/>
      <c r="BB1184" s="4"/>
      <c r="BC1184" s="4"/>
      <c r="BD1184" s="4"/>
      <c r="BE1184" s="4"/>
      <c r="BF1184" s="4"/>
      <c r="BG1184" s="4"/>
      <c r="BH1184" s="4"/>
      <c r="BI1184" s="4"/>
      <c r="BJ1184" s="4"/>
      <c r="BK1184" s="4"/>
      <c r="BL1184" s="4"/>
      <c r="BM1184" s="4"/>
      <c r="BN1184" s="4"/>
      <c r="BO1184" s="4"/>
      <c r="BP1184" s="39"/>
      <c r="BQ1184" s="39"/>
    </row>
    <row r="1185" spans="3:69" ht="15.75" customHeight="1">
      <c r="C1185" s="4"/>
      <c r="D1185" s="4"/>
      <c r="E1185" s="38"/>
      <c r="F1185" s="38"/>
      <c r="G1185" s="4"/>
      <c r="H1185" s="4"/>
      <c r="I1185" s="4"/>
      <c r="J1185" s="4"/>
      <c r="K1185" s="4"/>
      <c r="L1185" s="4"/>
      <c r="M1185" s="4"/>
      <c r="N1185" s="38"/>
      <c r="O1185" s="4"/>
      <c r="P1185" s="4"/>
      <c r="Q1185" s="4"/>
      <c r="R1185" s="4"/>
      <c r="S1185" s="4"/>
      <c r="T1185" s="38"/>
      <c r="U1185" s="4"/>
      <c r="V1185" s="4"/>
      <c r="W1185" s="4"/>
      <c r="X1185" s="4"/>
      <c r="Y1185" s="4"/>
      <c r="Z1185" s="4"/>
      <c r="AA1185" s="4"/>
      <c r="AB1185" s="4"/>
      <c r="AC1185" s="4"/>
      <c r="AD1185" s="4"/>
      <c r="AE1185" s="4"/>
      <c r="AF1185" s="4"/>
      <c r="AG1185" s="4"/>
      <c r="AH1185" s="4"/>
      <c r="AI1185" s="4"/>
      <c r="AJ1185" s="4"/>
      <c r="AK1185" s="4"/>
      <c r="AL1185" s="4"/>
      <c r="AM1185" s="38"/>
      <c r="AN1185" s="4"/>
      <c r="AO1185" s="4"/>
      <c r="AP1185" s="4"/>
      <c r="AQ1185" s="4"/>
      <c r="AR1185" s="4"/>
      <c r="AS1185" s="4"/>
      <c r="AT1185" s="4"/>
      <c r="AU1185" s="4"/>
      <c r="AV1185" s="4"/>
      <c r="AW1185" s="4"/>
      <c r="AX1185" s="4"/>
      <c r="AY1185" s="4"/>
      <c r="AZ1185" s="4"/>
      <c r="BA1185" s="4"/>
      <c r="BB1185" s="4"/>
      <c r="BC1185" s="4"/>
      <c r="BD1185" s="4"/>
      <c r="BE1185" s="4"/>
      <c r="BF1185" s="4"/>
      <c r="BG1185" s="4"/>
      <c r="BH1185" s="4"/>
      <c r="BI1185" s="4"/>
      <c r="BJ1185" s="4"/>
      <c r="BK1185" s="4"/>
      <c r="BL1185" s="4"/>
      <c r="BM1185" s="4"/>
      <c r="BN1185" s="4"/>
      <c r="BO1185" s="4"/>
      <c r="BP1185" s="39"/>
      <c r="BQ1185" s="39"/>
    </row>
    <row r="1186" spans="3:69" ht="15.75" customHeight="1">
      <c r="C1186" s="4"/>
      <c r="D1186" s="4"/>
      <c r="E1186" s="38"/>
      <c r="F1186" s="38"/>
      <c r="G1186" s="4"/>
      <c r="H1186" s="4"/>
      <c r="I1186" s="4"/>
      <c r="J1186" s="4"/>
      <c r="K1186" s="4"/>
      <c r="L1186" s="4"/>
      <c r="M1186" s="4"/>
      <c r="N1186" s="38"/>
      <c r="O1186" s="4"/>
      <c r="P1186" s="4"/>
      <c r="Q1186" s="4"/>
      <c r="R1186" s="4"/>
      <c r="S1186" s="4"/>
      <c r="T1186" s="38"/>
      <c r="U1186" s="4"/>
      <c r="V1186" s="4"/>
      <c r="W1186" s="4"/>
      <c r="X1186" s="4"/>
      <c r="Y1186" s="4"/>
      <c r="Z1186" s="4"/>
      <c r="AA1186" s="4"/>
      <c r="AB1186" s="4"/>
      <c r="AC1186" s="4"/>
      <c r="AD1186" s="4"/>
      <c r="AE1186" s="4"/>
      <c r="AF1186" s="4"/>
      <c r="AG1186" s="4"/>
      <c r="AH1186" s="4"/>
      <c r="AI1186" s="4"/>
      <c r="AJ1186" s="4"/>
      <c r="AK1186" s="4"/>
      <c r="AL1186" s="4"/>
      <c r="AM1186" s="38"/>
      <c r="AN1186" s="4"/>
      <c r="AO1186" s="4"/>
      <c r="AP1186" s="4"/>
      <c r="AQ1186" s="4"/>
      <c r="AR1186" s="4"/>
      <c r="AS1186" s="4"/>
      <c r="AT1186" s="4"/>
      <c r="AU1186" s="4"/>
      <c r="AV1186" s="4"/>
      <c r="AW1186" s="4"/>
      <c r="AX1186" s="4"/>
      <c r="AY1186" s="4"/>
      <c r="AZ1186" s="4"/>
      <c r="BA1186" s="4"/>
      <c r="BB1186" s="4"/>
      <c r="BC1186" s="4"/>
      <c r="BD1186" s="4"/>
      <c r="BE1186" s="4"/>
      <c r="BF1186" s="4"/>
      <c r="BG1186" s="4"/>
      <c r="BH1186" s="4"/>
      <c r="BI1186" s="4"/>
      <c r="BJ1186" s="4"/>
      <c r="BK1186" s="4"/>
      <c r="BL1186" s="4"/>
      <c r="BM1186" s="4"/>
      <c r="BN1186" s="4"/>
      <c r="BO1186" s="4"/>
      <c r="BP1186" s="39"/>
      <c r="BQ1186" s="39"/>
    </row>
    <row r="1187" spans="3:69" ht="15.75" customHeight="1">
      <c r="C1187" s="4"/>
      <c r="D1187" s="4"/>
      <c r="E1187" s="38"/>
      <c r="F1187" s="38"/>
      <c r="G1187" s="4"/>
      <c r="H1187" s="4"/>
      <c r="I1187" s="4"/>
      <c r="J1187" s="4"/>
      <c r="K1187" s="4"/>
      <c r="L1187" s="4"/>
      <c r="M1187" s="4"/>
      <c r="N1187" s="38"/>
      <c r="O1187" s="4"/>
      <c r="P1187" s="4"/>
      <c r="Q1187" s="4"/>
      <c r="R1187" s="4"/>
      <c r="S1187" s="4"/>
      <c r="T1187" s="38"/>
      <c r="U1187" s="4"/>
      <c r="V1187" s="4"/>
      <c r="W1187" s="4"/>
      <c r="X1187" s="4"/>
      <c r="Y1187" s="4"/>
      <c r="Z1187" s="4"/>
      <c r="AA1187" s="4"/>
      <c r="AB1187" s="4"/>
      <c r="AC1187" s="4"/>
      <c r="AD1187" s="4"/>
      <c r="AE1187" s="4"/>
      <c r="AF1187" s="4"/>
      <c r="AG1187" s="4"/>
      <c r="AH1187" s="4"/>
      <c r="AI1187" s="4"/>
      <c r="AJ1187" s="4"/>
      <c r="AK1187" s="4"/>
      <c r="AL1187" s="4"/>
      <c r="AM1187" s="38"/>
      <c r="AN1187" s="4"/>
      <c r="AO1187" s="4"/>
      <c r="AP1187" s="4"/>
      <c r="AQ1187" s="4"/>
      <c r="AR1187" s="4"/>
      <c r="AS1187" s="4"/>
      <c r="AT1187" s="4"/>
      <c r="AU1187" s="4"/>
      <c r="AV1187" s="4"/>
      <c r="AW1187" s="4"/>
      <c r="AX1187" s="4"/>
      <c r="AY1187" s="4"/>
      <c r="AZ1187" s="4"/>
      <c r="BA1187" s="4"/>
      <c r="BB1187" s="4"/>
      <c r="BC1187" s="4"/>
      <c r="BD1187" s="4"/>
      <c r="BE1187" s="4"/>
      <c r="BF1187" s="4"/>
      <c r="BG1187" s="4"/>
      <c r="BH1187" s="4"/>
      <c r="BI1187" s="4"/>
      <c r="BJ1187" s="4"/>
      <c r="BK1187" s="4"/>
      <c r="BL1187" s="4"/>
      <c r="BM1187" s="4"/>
      <c r="BN1187" s="4"/>
      <c r="BO1187" s="4"/>
      <c r="BP1187" s="39"/>
      <c r="BQ1187" s="39"/>
    </row>
    <row r="1188" spans="3:69" ht="15.75" customHeight="1">
      <c r="C1188" s="4"/>
      <c r="D1188" s="4"/>
      <c r="E1188" s="38"/>
      <c r="F1188" s="38"/>
      <c r="G1188" s="4"/>
      <c r="H1188" s="4"/>
      <c r="I1188" s="4"/>
      <c r="J1188" s="4"/>
      <c r="K1188" s="4"/>
      <c r="L1188" s="4"/>
      <c r="M1188" s="4"/>
      <c r="N1188" s="38"/>
      <c r="O1188" s="4"/>
      <c r="P1188" s="4"/>
      <c r="Q1188" s="4"/>
      <c r="R1188" s="4"/>
      <c r="S1188" s="4"/>
      <c r="T1188" s="38"/>
      <c r="U1188" s="4"/>
      <c r="V1188" s="4"/>
      <c r="W1188" s="4"/>
      <c r="X1188" s="4"/>
      <c r="Y1188" s="4"/>
      <c r="Z1188" s="4"/>
      <c r="AA1188" s="4"/>
      <c r="AB1188" s="4"/>
      <c r="AC1188" s="4"/>
      <c r="AD1188" s="4"/>
      <c r="AE1188" s="4"/>
      <c r="AF1188" s="4"/>
      <c r="AG1188" s="4"/>
      <c r="AH1188" s="4"/>
      <c r="AI1188" s="4"/>
      <c r="AJ1188" s="4"/>
      <c r="AK1188" s="4"/>
      <c r="AL1188" s="4"/>
      <c r="AM1188" s="38"/>
      <c r="AN1188" s="4"/>
      <c r="AO1188" s="4"/>
      <c r="AP1188" s="4"/>
      <c r="AQ1188" s="4"/>
      <c r="AR1188" s="4"/>
      <c r="AS1188" s="4"/>
      <c r="AT1188" s="4"/>
      <c r="AU1188" s="4"/>
      <c r="AV1188" s="4"/>
      <c r="AW1188" s="4"/>
      <c r="AX1188" s="4"/>
      <c r="AY1188" s="4"/>
      <c r="AZ1188" s="4"/>
      <c r="BA1188" s="4"/>
      <c r="BB1188" s="4"/>
      <c r="BC1188" s="4"/>
      <c r="BD1188" s="4"/>
      <c r="BE1188" s="4"/>
      <c r="BF1188" s="4"/>
      <c r="BG1188" s="4"/>
      <c r="BH1188" s="4"/>
      <c r="BI1188" s="4"/>
      <c r="BJ1188" s="4"/>
      <c r="BK1188" s="4"/>
      <c r="BL1188" s="4"/>
      <c r="BM1188" s="4"/>
      <c r="BN1188" s="4"/>
      <c r="BO1188" s="4"/>
      <c r="BP1188" s="39"/>
      <c r="BQ1188" s="39"/>
    </row>
    <row r="1189" spans="3:69" ht="15.75" customHeight="1">
      <c r="C1189" s="4"/>
      <c r="D1189" s="4"/>
      <c r="E1189" s="38"/>
      <c r="F1189" s="38"/>
      <c r="G1189" s="4"/>
      <c r="H1189" s="4"/>
      <c r="I1189" s="4"/>
      <c r="J1189" s="4"/>
      <c r="K1189" s="4"/>
      <c r="L1189" s="4"/>
      <c r="M1189" s="4"/>
      <c r="N1189" s="38"/>
      <c r="O1189" s="4"/>
      <c r="P1189" s="4"/>
      <c r="Q1189" s="4"/>
      <c r="R1189" s="4"/>
      <c r="S1189" s="4"/>
      <c r="T1189" s="38"/>
      <c r="U1189" s="4"/>
      <c r="V1189" s="4"/>
      <c r="W1189" s="4"/>
      <c r="X1189" s="4"/>
      <c r="Y1189" s="4"/>
      <c r="Z1189" s="4"/>
      <c r="AA1189" s="4"/>
      <c r="AB1189" s="4"/>
      <c r="AC1189" s="4"/>
      <c r="AD1189" s="4"/>
      <c r="AE1189" s="4"/>
      <c r="AF1189" s="4"/>
      <c r="AG1189" s="4"/>
      <c r="AH1189" s="4"/>
      <c r="AI1189" s="4"/>
      <c r="AJ1189" s="4"/>
      <c r="AK1189" s="4"/>
      <c r="AL1189" s="4"/>
      <c r="AM1189" s="38"/>
      <c r="AN1189" s="4"/>
      <c r="AO1189" s="4"/>
      <c r="AP1189" s="4"/>
      <c r="AQ1189" s="4"/>
      <c r="AR1189" s="4"/>
      <c r="AS1189" s="4"/>
      <c r="AT1189" s="4"/>
      <c r="AU1189" s="4"/>
      <c r="AV1189" s="4"/>
      <c r="AW1189" s="4"/>
      <c r="AX1189" s="4"/>
      <c r="AY1189" s="4"/>
      <c r="AZ1189" s="4"/>
      <c r="BA1189" s="4"/>
      <c r="BB1189" s="4"/>
      <c r="BC1189" s="4"/>
      <c r="BD1189" s="4"/>
      <c r="BE1189" s="4"/>
      <c r="BF1189" s="4"/>
      <c r="BG1189" s="4"/>
      <c r="BH1189" s="4"/>
      <c r="BI1189" s="4"/>
      <c r="BJ1189" s="4"/>
      <c r="BK1189" s="4"/>
      <c r="BL1189" s="4"/>
      <c r="BM1189" s="4"/>
      <c r="BN1189" s="4"/>
      <c r="BO1189" s="4"/>
      <c r="BP1189" s="39"/>
      <c r="BQ1189" s="39"/>
    </row>
    <row r="1190" spans="3:69" ht="15.75" customHeight="1">
      <c r="C1190" s="4"/>
      <c r="D1190" s="4"/>
      <c r="E1190" s="38"/>
      <c r="F1190" s="38"/>
      <c r="G1190" s="4"/>
      <c r="H1190" s="4"/>
      <c r="I1190" s="4"/>
      <c r="J1190" s="4"/>
      <c r="K1190" s="4"/>
      <c r="L1190" s="4"/>
      <c r="M1190" s="4"/>
      <c r="N1190" s="38"/>
      <c r="O1190" s="4"/>
      <c r="P1190" s="4"/>
      <c r="Q1190" s="4"/>
      <c r="R1190" s="4"/>
      <c r="S1190" s="4"/>
      <c r="T1190" s="38"/>
      <c r="U1190" s="4"/>
      <c r="V1190" s="4"/>
      <c r="W1190" s="4"/>
      <c r="X1190" s="4"/>
      <c r="Y1190" s="4"/>
      <c r="Z1190" s="4"/>
      <c r="AA1190" s="4"/>
      <c r="AB1190" s="4"/>
      <c r="AC1190" s="4"/>
      <c r="AD1190" s="4"/>
      <c r="AE1190" s="4"/>
      <c r="AF1190" s="4"/>
      <c r="AG1190" s="4"/>
      <c r="AH1190" s="4"/>
      <c r="AI1190" s="4"/>
      <c r="AJ1190" s="4"/>
      <c r="AK1190" s="4"/>
      <c r="AL1190" s="4"/>
      <c r="AM1190" s="38"/>
      <c r="AN1190" s="4"/>
      <c r="AO1190" s="4"/>
      <c r="AP1190" s="4"/>
      <c r="AQ1190" s="4"/>
      <c r="AR1190" s="4"/>
      <c r="AS1190" s="4"/>
      <c r="AT1190" s="4"/>
      <c r="AU1190" s="4"/>
      <c r="AV1190" s="4"/>
      <c r="AW1190" s="4"/>
      <c r="AX1190" s="4"/>
      <c r="AY1190" s="4"/>
      <c r="AZ1190" s="4"/>
      <c r="BA1190" s="4"/>
      <c r="BB1190" s="4"/>
      <c r="BC1190" s="4"/>
      <c r="BD1190" s="4"/>
      <c r="BE1190" s="4"/>
      <c r="BF1190" s="4"/>
      <c r="BG1190" s="4"/>
      <c r="BH1190" s="4"/>
      <c r="BI1190" s="4"/>
      <c r="BJ1190" s="4"/>
      <c r="BK1190" s="4"/>
      <c r="BL1190" s="4"/>
      <c r="BM1190" s="4"/>
      <c r="BN1190" s="4"/>
      <c r="BO1190" s="4"/>
      <c r="BP1190" s="39"/>
      <c r="BQ1190" s="39"/>
    </row>
    <row r="1191" spans="3:69" ht="15.75" customHeight="1">
      <c r="C1191" s="4"/>
      <c r="D1191" s="4"/>
      <c r="E1191" s="38"/>
      <c r="F1191" s="38"/>
      <c r="G1191" s="4"/>
      <c r="H1191" s="4"/>
      <c r="I1191" s="4"/>
      <c r="J1191" s="4"/>
      <c r="K1191" s="4"/>
      <c r="L1191" s="4"/>
      <c r="M1191" s="4"/>
      <c r="N1191" s="38"/>
      <c r="O1191" s="4"/>
      <c r="P1191" s="4"/>
      <c r="Q1191" s="4"/>
      <c r="R1191" s="4"/>
      <c r="S1191" s="4"/>
      <c r="T1191" s="38"/>
      <c r="U1191" s="4"/>
      <c r="V1191" s="4"/>
      <c r="W1191" s="4"/>
      <c r="X1191" s="4"/>
      <c r="Y1191" s="4"/>
      <c r="Z1191" s="4"/>
      <c r="AA1191" s="4"/>
      <c r="AB1191" s="4"/>
      <c r="AC1191" s="4"/>
      <c r="AD1191" s="4"/>
      <c r="AE1191" s="4"/>
      <c r="AF1191" s="4"/>
      <c r="AG1191" s="4"/>
      <c r="AH1191" s="4"/>
      <c r="AI1191" s="4"/>
      <c r="AJ1191" s="4"/>
      <c r="AK1191" s="4"/>
      <c r="AL1191" s="4"/>
      <c r="AM1191" s="38"/>
      <c r="AN1191" s="4"/>
      <c r="AO1191" s="4"/>
      <c r="AP1191" s="4"/>
      <c r="AQ1191" s="4"/>
      <c r="AR1191" s="4"/>
      <c r="AS1191" s="4"/>
      <c r="AT1191" s="4"/>
      <c r="AU1191" s="4"/>
      <c r="AV1191" s="4"/>
      <c r="AW1191" s="4"/>
      <c r="AX1191" s="4"/>
      <c r="AY1191" s="4"/>
      <c r="AZ1191" s="4"/>
      <c r="BA1191" s="4"/>
      <c r="BB1191" s="4"/>
      <c r="BC1191" s="4"/>
      <c r="BD1191" s="4"/>
      <c r="BE1191" s="4"/>
      <c r="BF1191" s="4"/>
      <c r="BG1191" s="4"/>
      <c r="BH1191" s="4"/>
      <c r="BI1191" s="4"/>
      <c r="BJ1191" s="4"/>
      <c r="BK1191" s="4"/>
      <c r="BL1191" s="4"/>
      <c r="BM1191" s="4"/>
      <c r="BN1191" s="4"/>
      <c r="BO1191" s="4"/>
      <c r="BP1191" s="39"/>
      <c r="BQ1191" s="39"/>
    </row>
    <row r="1192" spans="3:69" ht="15.75" customHeight="1">
      <c r="C1192" s="4"/>
      <c r="D1192" s="4"/>
      <c r="E1192" s="38"/>
      <c r="F1192" s="38"/>
      <c r="G1192" s="4"/>
      <c r="H1192" s="4"/>
      <c r="I1192" s="4"/>
      <c r="J1192" s="4"/>
      <c r="K1192" s="4"/>
      <c r="L1192" s="4"/>
      <c r="M1192" s="4"/>
      <c r="N1192" s="38"/>
      <c r="O1192" s="4"/>
      <c r="P1192" s="4"/>
      <c r="Q1192" s="4"/>
      <c r="R1192" s="4"/>
      <c r="S1192" s="4"/>
      <c r="T1192" s="38"/>
      <c r="U1192" s="4"/>
      <c r="V1192" s="4"/>
      <c r="W1192" s="4"/>
      <c r="X1192" s="4"/>
      <c r="Y1192" s="4"/>
      <c r="Z1192" s="4"/>
      <c r="AA1192" s="4"/>
      <c r="AB1192" s="4"/>
      <c r="AC1192" s="4"/>
      <c r="AD1192" s="4"/>
      <c r="AE1192" s="4"/>
      <c r="AF1192" s="4"/>
      <c r="AG1192" s="4"/>
      <c r="AH1192" s="4"/>
      <c r="AI1192" s="4"/>
      <c r="AJ1192" s="4"/>
      <c r="AK1192" s="4"/>
      <c r="AL1192" s="4"/>
      <c r="AM1192" s="38"/>
      <c r="AN1192" s="4"/>
      <c r="AO1192" s="4"/>
      <c r="AP1192" s="4"/>
      <c r="AQ1192" s="4"/>
      <c r="AR1192" s="4"/>
      <c r="AS1192" s="4"/>
      <c r="AT1192" s="4"/>
      <c r="AU1192" s="4"/>
      <c r="AV1192" s="4"/>
      <c r="AW1192" s="4"/>
      <c r="AX1192" s="4"/>
      <c r="AY1192" s="4"/>
      <c r="AZ1192" s="4"/>
      <c r="BA1192" s="4"/>
      <c r="BB1192" s="4"/>
      <c r="BC1192" s="4"/>
      <c r="BD1192" s="4"/>
      <c r="BE1192" s="4"/>
      <c r="BF1192" s="4"/>
      <c r="BG1192" s="4"/>
      <c r="BH1192" s="4"/>
      <c r="BI1192" s="4"/>
      <c r="BJ1192" s="4"/>
      <c r="BK1192" s="4"/>
      <c r="BL1192" s="4"/>
      <c r="BM1192" s="4"/>
      <c r="BN1192" s="4"/>
      <c r="BO1192" s="4"/>
      <c r="BP1192" s="39"/>
      <c r="BQ1192" s="39"/>
    </row>
    <row r="1193" spans="3:69" ht="15.75" customHeight="1">
      <c r="C1193" s="4"/>
      <c r="D1193" s="4"/>
      <c r="E1193" s="38"/>
      <c r="F1193" s="38"/>
      <c r="G1193" s="4"/>
      <c r="H1193" s="4"/>
      <c r="I1193" s="4"/>
      <c r="J1193" s="4"/>
      <c r="K1193" s="4"/>
      <c r="L1193" s="4"/>
      <c r="M1193" s="4"/>
      <c r="N1193" s="38"/>
      <c r="O1193" s="4"/>
      <c r="P1193" s="4"/>
      <c r="Q1193" s="4"/>
      <c r="R1193" s="4"/>
      <c r="S1193" s="4"/>
      <c r="T1193" s="38"/>
      <c r="U1193" s="4"/>
      <c r="V1193" s="4"/>
      <c r="W1193" s="4"/>
      <c r="X1193" s="4"/>
      <c r="Y1193" s="4"/>
      <c r="Z1193" s="4"/>
      <c r="AA1193" s="4"/>
      <c r="AB1193" s="4"/>
      <c r="AC1193" s="4"/>
      <c r="AD1193" s="4"/>
      <c r="AE1193" s="4"/>
      <c r="AF1193" s="4"/>
      <c r="AG1193" s="4"/>
      <c r="AH1193" s="4"/>
      <c r="AI1193" s="4"/>
      <c r="AJ1193" s="4"/>
      <c r="AK1193" s="4"/>
      <c r="AL1193" s="4"/>
      <c r="AM1193" s="38"/>
      <c r="AN1193" s="4"/>
      <c r="AO1193" s="4"/>
      <c r="AP1193" s="4"/>
      <c r="AQ1193" s="4"/>
      <c r="AR1193" s="4"/>
      <c r="AS1193" s="4"/>
      <c r="AT1193" s="4"/>
      <c r="AU1193" s="4"/>
      <c r="AV1193" s="4"/>
      <c r="AW1193" s="4"/>
      <c r="AX1193" s="4"/>
      <c r="AY1193" s="4"/>
      <c r="AZ1193" s="4"/>
      <c r="BA1193" s="4"/>
      <c r="BB1193" s="4"/>
      <c r="BC1193" s="4"/>
      <c r="BD1193" s="4"/>
      <c r="BE1193" s="4"/>
      <c r="BF1193" s="4"/>
      <c r="BG1193" s="4"/>
      <c r="BH1193" s="4"/>
      <c r="BI1193" s="4"/>
      <c r="BJ1193" s="4"/>
      <c r="BK1193" s="4"/>
      <c r="BL1193" s="4"/>
      <c r="BM1193" s="4"/>
      <c r="BN1193" s="4"/>
      <c r="BO1193" s="4"/>
      <c r="BP1193" s="39"/>
      <c r="BQ1193" s="39"/>
    </row>
    <row r="1194" spans="3:69" ht="15.75" customHeight="1">
      <c r="C1194" s="4"/>
      <c r="D1194" s="4"/>
      <c r="E1194" s="38"/>
      <c r="F1194" s="38"/>
      <c r="G1194" s="4"/>
      <c r="H1194" s="4"/>
      <c r="I1194" s="4"/>
      <c r="J1194" s="4"/>
      <c r="K1194" s="4"/>
      <c r="L1194" s="4"/>
      <c r="M1194" s="4"/>
      <c r="N1194" s="38"/>
      <c r="O1194" s="4"/>
      <c r="P1194" s="4"/>
      <c r="Q1194" s="4"/>
      <c r="R1194" s="4"/>
      <c r="S1194" s="4"/>
      <c r="T1194" s="38"/>
      <c r="U1194" s="4"/>
      <c r="V1194" s="4"/>
      <c r="W1194" s="4"/>
      <c r="X1194" s="4"/>
      <c r="Y1194" s="4"/>
      <c r="Z1194" s="4"/>
      <c r="AA1194" s="4"/>
      <c r="AB1194" s="4"/>
      <c r="AC1194" s="4"/>
      <c r="AD1194" s="4"/>
      <c r="AE1194" s="4"/>
      <c r="AF1194" s="4"/>
      <c r="AG1194" s="4"/>
      <c r="AH1194" s="4"/>
      <c r="AI1194" s="4"/>
      <c r="AJ1194" s="4"/>
      <c r="AK1194" s="4"/>
      <c r="AL1194" s="4"/>
      <c r="AM1194" s="38"/>
      <c r="AN1194" s="4"/>
      <c r="AO1194" s="4"/>
      <c r="AP1194" s="4"/>
      <c r="AQ1194" s="4"/>
      <c r="AR1194" s="4"/>
      <c r="AS1194" s="4"/>
      <c r="AT1194" s="4"/>
      <c r="AU1194" s="4"/>
      <c r="AV1194" s="4"/>
      <c r="AW1194" s="4"/>
      <c r="AX1194" s="4"/>
      <c r="AY1194" s="4"/>
      <c r="AZ1194" s="4"/>
      <c r="BA1194" s="4"/>
      <c r="BB1194" s="4"/>
      <c r="BC1194" s="4"/>
      <c r="BD1194" s="4"/>
      <c r="BE1194" s="4"/>
      <c r="BF1194" s="4"/>
      <c r="BG1194" s="4"/>
      <c r="BH1194" s="4"/>
      <c r="BI1194" s="4"/>
      <c r="BJ1194" s="4"/>
      <c r="BK1194" s="4"/>
      <c r="BL1194" s="4"/>
      <c r="BM1194" s="4"/>
      <c r="BN1194" s="4"/>
      <c r="BO1194" s="4"/>
      <c r="BP1194" s="39"/>
      <c r="BQ1194" s="39"/>
    </row>
    <row r="1195" spans="3:69" ht="15.75" customHeight="1">
      <c r="C1195" s="4"/>
      <c r="D1195" s="4"/>
      <c r="E1195" s="38"/>
      <c r="F1195" s="38"/>
      <c r="G1195" s="4"/>
      <c r="H1195" s="4"/>
      <c r="I1195" s="4"/>
      <c r="J1195" s="4"/>
      <c r="K1195" s="4"/>
      <c r="L1195" s="4"/>
      <c r="M1195" s="4"/>
      <c r="N1195" s="38"/>
      <c r="O1195" s="4"/>
      <c r="P1195" s="4"/>
      <c r="Q1195" s="4"/>
      <c r="R1195" s="4"/>
      <c r="S1195" s="4"/>
      <c r="T1195" s="38"/>
      <c r="U1195" s="4"/>
      <c r="V1195" s="4"/>
      <c r="W1195" s="4"/>
      <c r="X1195" s="4"/>
      <c r="Y1195" s="4"/>
      <c r="Z1195" s="4"/>
      <c r="AA1195" s="4"/>
      <c r="AB1195" s="4"/>
      <c r="AC1195" s="4"/>
      <c r="AD1195" s="4"/>
      <c r="AE1195" s="4"/>
      <c r="AF1195" s="4"/>
      <c r="AG1195" s="4"/>
      <c r="AH1195" s="4"/>
      <c r="AI1195" s="4"/>
      <c r="AJ1195" s="4"/>
      <c r="AK1195" s="4"/>
      <c r="AL1195" s="4"/>
      <c r="AM1195" s="38"/>
      <c r="AN1195" s="4"/>
      <c r="AO1195" s="4"/>
      <c r="AP1195" s="4"/>
      <c r="AQ1195" s="4"/>
      <c r="AR1195" s="4"/>
      <c r="AS1195" s="4"/>
      <c r="AT1195" s="4"/>
      <c r="AU1195" s="4"/>
      <c r="AV1195" s="4"/>
      <c r="AW1195" s="4"/>
      <c r="AX1195" s="4"/>
      <c r="AY1195" s="4"/>
      <c r="AZ1195" s="4"/>
      <c r="BA1195" s="4"/>
      <c r="BB1195" s="4"/>
      <c r="BC1195" s="4"/>
      <c r="BD1195" s="4"/>
      <c r="BE1195" s="4"/>
      <c r="BF1195" s="4"/>
      <c r="BG1195" s="4"/>
      <c r="BH1195" s="4"/>
      <c r="BI1195" s="4"/>
      <c r="BJ1195" s="4"/>
      <c r="BK1195" s="4"/>
      <c r="BL1195" s="4"/>
      <c r="BM1195" s="4"/>
      <c r="BN1195" s="4"/>
      <c r="BO1195" s="4"/>
      <c r="BP1195" s="39"/>
      <c r="BQ1195" s="39"/>
    </row>
    <row r="1196" spans="3:69" ht="15.75" customHeight="1">
      <c r="C1196" s="4"/>
      <c r="D1196" s="4"/>
      <c r="E1196" s="38"/>
      <c r="F1196" s="38"/>
      <c r="G1196" s="4"/>
      <c r="H1196" s="4"/>
      <c r="I1196" s="4"/>
      <c r="J1196" s="4"/>
      <c r="K1196" s="4"/>
      <c r="L1196" s="4"/>
      <c r="M1196" s="4"/>
      <c r="N1196" s="38"/>
      <c r="O1196" s="4"/>
      <c r="P1196" s="4"/>
      <c r="Q1196" s="4"/>
      <c r="R1196" s="4"/>
      <c r="S1196" s="4"/>
      <c r="T1196" s="38"/>
      <c r="U1196" s="4"/>
      <c r="V1196" s="4"/>
      <c r="W1196" s="4"/>
      <c r="X1196" s="4"/>
      <c r="Y1196" s="4"/>
      <c r="Z1196" s="4"/>
      <c r="AA1196" s="4"/>
      <c r="AB1196" s="4"/>
      <c r="AC1196" s="4"/>
      <c r="AD1196" s="4"/>
      <c r="AE1196" s="4"/>
      <c r="AF1196" s="4"/>
      <c r="AG1196" s="4"/>
      <c r="AH1196" s="4"/>
      <c r="AI1196" s="4"/>
      <c r="AJ1196" s="4"/>
      <c r="AK1196" s="4"/>
      <c r="AL1196" s="4"/>
      <c r="AM1196" s="38"/>
      <c r="AN1196" s="4"/>
      <c r="AO1196" s="4"/>
      <c r="AP1196" s="4"/>
      <c r="AQ1196" s="4"/>
      <c r="AR1196" s="4"/>
      <c r="AS1196" s="4"/>
      <c r="AT1196" s="4"/>
      <c r="AU1196" s="4"/>
      <c r="AV1196" s="4"/>
      <c r="AW1196" s="4"/>
      <c r="AX1196" s="4"/>
      <c r="AY1196" s="4"/>
      <c r="AZ1196" s="4"/>
      <c r="BA1196" s="4"/>
      <c r="BB1196" s="4"/>
      <c r="BC1196" s="4"/>
      <c r="BD1196" s="4"/>
      <c r="BE1196" s="4"/>
      <c r="BF1196" s="4"/>
      <c r="BG1196" s="4"/>
      <c r="BH1196" s="4"/>
      <c r="BI1196" s="4"/>
      <c r="BJ1196" s="4"/>
      <c r="BK1196" s="4"/>
      <c r="BL1196" s="4"/>
      <c r="BM1196" s="4"/>
      <c r="BN1196" s="4"/>
      <c r="BO1196" s="4"/>
      <c r="BP1196" s="39"/>
      <c r="BQ1196" s="39"/>
    </row>
    <row r="1197" spans="3:69" ht="15.75" customHeight="1">
      <c r="C1197" s="4"/>
      <c r="D1197" s="4"/>
      <c r="E1197" s="38"/>
      <c r="F1197" s="38"/>
      <c r="G1197" s="4"/>
      <c r="H1197" s="4"/>
      <c r="I1197" s="4"/>
      <c r="J1197" s="4"/>
      <c r="K1197" s="4"/>
      <c r="L1197" s="4"/>
      <c r="M1197" s="4"/>
      <c r="N1197" s="38"/>
      <c r="O1197" s="4"/>
      <c r="P1197" s="4"/>
      <c r="Q1197" s="4"/>
      <c r="R1197" s="4"/>
      <c r="S1197" s="4"/>
      <c r="T1197" s="38"/>
      <c r="U1197" s="4"/>
      <c r="V1197" s="4"/>
      <c r="W1197" s="4"/>
      <c r="X1197" s="4"/>
      <c r="Y1197" s="4"/>
      <c r="Z1197" s="4"/>
      <c r="AA1197" s="4"/>
      <c r="AB1197" s="4"/>
      <c r="AC1197" s="4"/>
      <c r="AD1197" s="4"/>
      <c r="AE1197" s="4"/>
      <c r="AF1197" s="4"/>
      <c r="AG1197" s="4"/>
      <c r="AH1197" s="4"/>
      <c r="AI1197" s="4"/>
      <c r="AJ1197" s="4"/>
      <c r="AK1197" s="4"/>
      <c r="AL1197" s="4"/>
      <c r="AM1197" s="38"/>
      <c r="AN1197" s="4"/>
      <c r="AO1197" s="4"/>
      <c r="AP1197" s="4"/>
      <c r="AQ1197" s="4"/>
      <c r="AR1197" s="4"/>
      <c r="AS1197" s="4"/>
      <c r="AT1197" s="4"/>
      <c r="AU1197" s="4"/>
      <c r="AV1197" s="4"/>
      <c r="AW1197" s="4"/>
      <c r="AX1197" s="4"/>
      <c r="AY1197" s="4"/>
      <c r="AZ1197" s="4"/>
      <c r="BA1197" s="4"/>
      <c r="BB1197" s="4"/>
      <c r="BC1197" s="4"/>
      <c r="BD1197" s="4"/>
      <c r="BE1197" s="4"/>
      <c r="BF1197" s="4"/>
      <c r="BG1197" s="4"/>
      <c r="BH1197" s="4"/>
      <c r="BI1197" s="4"/>
      <c r="BJ1197" s="4"/>
      <c r="BK1197" s="4"/>
      <c r="BL1197" s="4"/>
      <c r="BM1197" s="4"/>
      <c r="BN1197" s="4"/>
      <c r="BO1197" s="4"/>
      <c r="BP1197" s="39"/>
      <c r="BQ1197" s="39"/>
    </row>
    <row r="1198" spans="3:69" ht="15.75" customHeight="1">
      <c r="C1198" s="4"/>
      <c r="D1198" s="4"/>
      <c r="E1198" s="38"/>
      <c r="F1198" s="38"/>
      <c r="G1198" s="4"/>
      <c r="H1198" s="4"/>
      <c r="I1198" s="4"/>
      <c r="J1198" s="4"/>
      <c r="K1198" s="4"/>
      <c r="L1198" s="4"/>
      <c r="M1198" s="4"/>
      <c r="N1198" s="38"/>
      <c r="O1198" s="4"/>
      <c r="P1198" s="4"/>
      <c r="Q1198" s="4"/>
      <c r="R1198" s="4"/>
      <c r="S1198" s="4"/>
      <c r="T1198" s="38"/>
      <c r="U1198" s="4"/>
      <c r="V1198" s="4"/>
      <c r="W1198" s="4"/>
      <c r="X1198" s="4"/>
      <c r="Y1198" s="4"/>
      <c r="Z1198" s="4"/>
      <c r="AA1198" s="4"/>
      <c r="AB1198" s="4"/>
      <c r="AC1198" s="4"/>
      <c r="AD1198" s="4"/>
      <c r="AE1198" s="4"/>
      <c r="AF1198" s="4"/>
      <c r="AG1198" s="4"/>
      <c r="AH1198" s="4"/>
      <c r="AI1198" s="4"/>
      <c r="AJ1198" s="4"/>
      <c r="AK1198" s="4"/>
      <c r="AL1198" s="4"/>
      <c r="AM1198" s="38"/>
      <c r="AN1198" s="4"/>
      <c r="AO1198" s="4"/>
      <c r="AP1198" s="4"/>
      <c r="AQ1198" s="4"/>
      <c r="AR1198" s="4"/>
      <c r="AS1198" s="4"/>
      <c r="AT1198" s="4"/>
      <c r="AU1198" s="4"/>
      <c r="AV1198" s="4"/>
      <c r="AW1198" s="4"/>
      <c r="AX1198" s="4"/>
      <c r="AY1198" s="4"/>
      <c r="AZ1198" s="4"/>
      <c r="BA1198" s="4"/>
      <c r="BB1198" s="4"/>
      <c r="BC1198" s="4"/>
      <c r="BD1198" s="4"/>
      <c r="BE1198" s="4"/>
      <c r="BF1198" s="4"/>
      <c r="BG1198" s="4"/>
      <c r="BH1198" s="4"/>
      <c r="BI1198" s="4"/>
      <c r="BJ1198" s="4"/>
      <c r="BK1198" s="4"/>
      <c r="BL1198" s="4"/>
      <c r="BM1198" s="4"/>
      <c r="BN1198" s="4"/>
      <c r="BO1198" s="4"/>
      <c r="BP1198" s="39"/>
      <c r="BQ1198" s="39"/>
    </row>
    <row r="1199" spans="3:69" ht="15.75" customHeight="1">
      <c r="C1199" s="4"/>
      <c r="D1199" s="4"/>
      <c r="E1199" s="38"/>
      <c r="F1199" s="38"/>
      <c r="G1199" s="4"/>
      <c r="H1199" s="4"/>
      <c r="I1199" s="4"/>
      <c r="J1199" s="4"/>
      <c r="K1199" s="4"/>
      <c r="L1199" s="4"/>
      <c r="M1199" s="4"/>
      <c r="N1199" s="38"/>
      <c r="O1199" s="4"/>
      <c r="P1199" s="4"/>
      <c r="Q1199" s="4"/>
      <c r="R1199" s="4"/>
      <c r="S1199" s="4"/>
      <c r="T1199" s="38"/>
      <c r="U1199" s="4"/>
      <c r="V1199" s="4"/>
      <c r="W1199" s="4"/>
      <c r="X1199" s="4"/>
      <c r="Y1199" s="4"/>
      <c r="Z1199" s="4"/>
      <c r="AA1199" s="4"/>
      <c r="AB1199" s="4"/>
      <c r="AC1199" s="4"/>
      <c r="AD1199" s="4"/>
      <c r="AE1199" s="4"/>
      <c r="AF1199" s="4"/>
      <c r="AG1199" s="4"/>
      <c r="AH1199" s="4"/>
      <c r="AI1199" s="4"/>
      <c r="AJ1199" s="4"/>
      <c r="AK1199" s="4"/>
      <c r="AL1199" s="4"/>
      <c r="AM1199" s="38"/>
      <c r="AN1199" s="4"/>
      <c r="AO1199" s="4"/>
      <c r="AP1199" s="4"/>
      <c r="AQ1199" s="4"/>
      <c r="AR1199" s="4"/>
      <c r="AS1199" s="4"/>
      <c r="AT1199" s="4"/>
      <c r="AU1199" s="4"/>
      <c r="AV1199" s="4"/>
      <c r="AW1199" s="4"/>
      <c r="AX1199" s="4"/>
      <c r="AY1199" s="4"/>
      <c r="AZ1199" s="4"/>
      <c r="BA1199" s="4"/>
      <c r="BB1199" s="4"/>
      <c r="BC1199" s="4"/>
      <c r="BD1199" s="4"/>
      <c r="BE1199" s="4"/>
      <c r="BF1199" s="4"/>
      <c r="BG1199" s="4"/>
      <c r="BH1199" s="4"/>
      <c r="BI1199" s="4"/>
      <c r="BJ1199" s="4"/>
      <c r="BK1199" s="4"/>
      <c r="BL1199" s="4"/>
      <c r="BM1199" s="4"/>
      <c r="BN1199" s="4"/>
      <c r="BO1199" s="4"/>
      <c r="BP1199" s="39"/>
      <c r="BQ1199" s="39"/>
    </row>
    <row r="1200" spans="3:69" ht="15.75" customHeight="1">
      <c r="C1200" s="4"/>
      <c r="D1200" s="4"/>
      <c r="E1200" s="38"/>
      <c r="F1200" s="38"/>
      <c r="G1200" s="4"/>
      <c r="H1200" s="4"/>
      <c r="I1200" s="4"/>
      <c r="J1200" s="4"/>
      <c r="K1200" s="4"/>
      <c r="L1200" s="4"/>
      <c r="M1200" s="4"/>
      <c r="N1200" s="38"/>
      <c r="O1200" s="4"/>
      <c r="P1200" s="4"/>
      <c r="Q1200" s="4"/>
      <c r="R1200" s="4"/>
      <c r="S1200" s="4"/>
      <c r="T1200" s="38"/>
      <c r="U1200" s="4"/>
      <c r="V1200" s="4"/>
      <c r="W1200" s="4"/>
      <c r="X1200" s="4"/>
      <c r="Y1200" s="4"/>
      <c r="Z1200" s="4"/>
      <c r="AA1200" s="4"/>
      <c r="AB1200" s="4"/>
      <c r="AC1200" s="4"/>
      <c r="AD1200" s="4"/>
      <c r="AE1200" s="4"/>
      <c r="AF1200" s="4"/>
      <c r="AG1200" s="4"/>
      <c r="AH1200" s="4"/>
      <c r="AI1200" s="4"/>
      <c r="AJ1200" s="4"/>
      <c r="AK1200" s="4"/>
      <c r="AL1200" s="4"/>
      <c r="AM1200" s="38"/>
      <c r="AN1200" s="4"/>
      <c r="AO1200" s="4"/>
      <c r="AP1200" s="4"/>
      <c r="AQ1200" s="4"/>
      <c r="AR1200" s="4"/>
      <c r="AS1200" s="4"/>
      <c r="AT1200" s="4"/>
      <c r="AU1200" s="4"/>
      <c r="AV1200" s="4"/>
      <c r="AW1200" s="4"/>
      <c r="AX1200" s="4"/>
      <c r="AY1200" s="4"/>
      <c r="AZ1200" s="4"/>
      <c r="BA1200" s="4"/>
      <c r="BB1200" s="4"/>
      <c r="BC1200" s="4"/>
      <c r="BD1200" s="4"/>
      <c r="BE1200" s="4"/>
      <c r="BF1200" s="4"/>
      <c r="BG1200" s="4"/>
      <c r="BH1200" s="4"/>
      <c r="BI1200" s="4"/>
      <c r="BJ1200" s="4"/>
      <c r="BK1200" s="4"/>
      <c r="BL1200" s="4"/>
      <c r="BM1200" s="4"/>
      <c r="BN1200" s="4"/>
      <c r="BO1200" s="4"/>
      <c r="BP1200" s="39"/>
      <c r="BQ1200" s="39"/>
    </row>
    <row r="1201" spans="3:69" ht="15.75" customHeight="1">
      <c r="C1201" s="4"/>
      <c r="D1201" s="4"/>
      <c r="E1201" s="38"/>
      <c r="F1201" s="38"/>
      <c r="G1201" s="4"/>
      <c r="H1201" s="4"/>
      <c r="I1201" s="4"/>
      <c r="J1201" s="4"/>
      <c r="K1201" s="4"/>
      <c r="L1201" s="4"/>
      <c r="M1201" s="4"/>
      <c r="N1201" s="38"/>
      <c r="O1201" s="4"/>
      <c r="P1201" s="4"/>
      <c r="Q1201" s="4"/>
      <c r="R1201" s="4"/>
      <c r="S1201" s="4"/>
      <c r="T1201" s="38"/>
      <c r="U1201" s="4"/>
      <c r="V1201" s="4"/>
      <c r="W1201" s="4"/>
      <c r="X1201" s="4"/>
      <c r="Y1201" s="4"/>
      <c r="Z1201" s="4"/>
      <c r="AA1201" s="4"/>
      <c r="AB1201" s="4"/>
      <c r="AC1201" s="4"/>
      <c r="AD1201" s="4"/>
      <c r="AE1201" s="4"/>
      <c r="AF1201" s="4"/>
      <c r="AG1201" s="4"/>
      <c r="AH1201" s="4"/>
      <c r="AI1201" s="4"/>
      <c r="AJ1201" s="4"/>
      <c r="AK1201" s="4"/>
      <c r="AL1201" s="4"/>
      <c r="AM1201" s="38"/>
      <c r="AN1201" s="4"/>
      <c r="AO1201" s="4"/>
      <c r="AP1201" s="4"/>
      <c r="AQ1201" s="4"/>
      <c r="AR1201" s="4"/>
      <c r="AS1201" s="4"/>
      <c r="AT1201" s="4"/>
      <c r="AU1201" s="4"/>
      <c r="AV1201" s="4"/>
      <c r="AW1201" s="4"/>
      <c r="AX1201" s="4"/>
      <c r="AY1201" s="4"/>
      <c r="AZ1201" s="4"/>
      <c r="BA1201" s="4"/>
      <c r="BB1201" s="4"/>
      <c r="BC1201" s="4"/>
      <c r="BD1201" s="4"/>
      <c r="BE1201" s="4"/>
      <c r="BF1201" s="4"/>
      <c r="BG1201" s="4"/>
      <c r="BH1201" s="4"/>
      <c r="BI1201" s="4"/>
      <c r="BJ1201" s="4"/>
      <c r="BK1201" s="4"/>
      <c r="BL1201" s="4"/>
      <c r="BM1201" s="4"/>
      <c r="BN1201" s="4"/>
      <c r="BO1201" s="4"/>
      <c r="BP1201" s="39"/>
      <c r="BQ1201" s="39"/>
    </row>
    <row r="1202" spans="3:69" ht="15.75" customHeight="1">
      <c r="C1202" s="4"/>
      <c r="D1202" s="4"/>
      <c r="E1202" s="38"/>
      <c r="F1202" s="38"/>
      <c r="G1202" s="4"/>
      <c r="H1202" s="4"/>
      <c r="I1202" s="4"/>
      <c r="J1202" s="4"/>
      <c r="K1202" s="4"/>
      <c r="L1202" s="4"/>
      <c r="M1202" s="4"/>
      <c r="N1202" s="38"/>
      <c r="O1202" s="4"/>
      <c r="P1202" s="4"/>
      <c r="Q1202" s="4"/>
      <c r="R1202" s="4"/>
      <c r="S1202" s="4"/>
      <c r="T1202" s="38"/>
      <c r="U1202" s="4"/>
      <c r="V1202" s="4"/>
      <c r="W1202" s="4"/>
      <c r="X1202" s="4"/>
      <c r="Y1202" s="4"/>
      <c r="Z1202" s="4"/>
      <c r="AA1202" s="4"/>
      <c r="AB1202" s="4"/>
      <c r="AC1202" s="4"/>
      <c r="AD1202" s="4"/>
      <c r="AE1202" s="4"/>
      <c r="AF1202" s="4"/>
      <c r="AG1202" s="4"/>
      <c r="AH1202" s="4"/>
      <c r="AI1202" s="4"/>
      <c r="AJ1202" s="4"/>
      <c r="AK1202" s="4"/>
      <c r="AL1202" s="4"/>
      <c r="AM1202" s="38"/>
      <c r="AN1202" s="4"/>
      <c r="AO1202" s="4"/>
      <c r="AP1202" s="4"/>
      <c r="AQ1202" s="4"/>
      <c r="AR1202" s="4"/>
      <c r="AS1202" s="4"/>
      <c r="AT1202" s="4"/>
      <c r="AU1202" s="4"/>
      <c r="AV1202" s="4"/>
      <c r="AW1202" s="4"/>
      <c r="AX1202" s="4"/>
      <c r="AY1202" s="4"/>
      <c r="AZ1202" s="4"/>
      <c r="BA1202" s="4"/>
      <c r="BB1202" s="4"/>
      <c r="BC1202" s="4"/>
      <c r="BD1202" s="4"/>
      <c r="BE1202" s="4"/>
      <c r="BF1202" s="4"/>
      <c r="BG1202" s="4"/>
      <c r="BH1202" s="4"/>
      <c r="BI1202" s="4"/>
      <c r="BJ1202" s="4"/>
      <c r="BK1202" s="4"/>
      <c r="BL1202" s="4"/>
      <c r="BM1202" s="4"/>
      <c r="BN1202" s="4"/>
      <c r="BO1202" s="4"/>
      <c r="BP1202" s="39"/>
      <c r="BQ1202" s="39"/>
    </row>
    <row r="1203" spans="3:69" ht="15.75" customHeight="1">
      <c r="C1203" s="4"/>
      <c r="D1203" s="4"/>
      <c r="E1203" s="38"/>
      <c r="F1203" s="38"/>
      <c r="G1203" s="4"/>
      <c r="H1203" s="4"/>
      <c r="I1203" s="4"/>
      <c r="J1203" s="4"/>
      <c r="K1203" s="4"/>
      <c r="L1203" s="4"/>
      <c r="M1203" s="4"/>
      <c r="N1203" s="38"/>
      <c r="O1203" s="4"/>
      <c r="P1203" s="4"/>
      <c r="Q1203" s="4"/>
      <c r="R1203" s="4"/>
      <c r="S1203" s="4"/>
      <c r="T1203" s="38"/>
      <c r="U1203" s="4"/>
      <c r="V1203" s="4"/>
      <c r="W1203" s="4"/>
      <c r="X1203" s="4"/>
      <c r="Y1203" s="4"/>
      <c r="Z1203" s="4"/>
      <c r="AA1203" s="4"/>
      <c r="AB1203" s="4"/>
      <c r="AC1203" s="4"/>
      <c r="AD1203" s="4"/>
      <c r="AE1203" s="4"/>
      <c r="AF1203" s="4"/>
      <c r="AG1203" s="4"/>
      <c r="AH1203" s="4"/>
      <c r="AI1203" s="4"/>
      <c r="AJ1203" s="4"/>
      <c r="AK1203" s="4"/>
      <c r="AL1203" s="4"/>
      <c r="AM1203" s="38"/>
      <c r="AN1203" s="4"/>
      <c r="AO1203" s="4"/>
      <c r="AP1203" s="4"/>
      <c r="AQ1203" s="4"/>
      <c r="AR1203" s="4"/>
      <c r="AS1203" s="4"/>
      <c r="AT1203" s="4"/>
      <c r="AU1203" s="4"/>
      <c r="AV1203" s="4"/>
      <c r="AW1203" s="4"/>
      <c r="AX1203" s="4"/>
      <c r="AY1203" s="4"/>
      <c r="AZ1203" s="4"/>
      <c r="BA1203" s="4"/>
      <c r="BB1203" s="4"/>
      <c r="BC1203" s="4"/>
      <c r="BD1203" s="4"/>
      <c r="BE1203" s="4"/>
      <c r="BF1203" s="4"/>
      <c r="BG1203" s="4"/>
      <c r="BH1203" s="4"/>
      <c r="BI1203" s="4"/>
      <c r="BJ1203" s="4"/>
      <c r="BK1203" s="4"/>
      <c r="BL1203" s="4"/>
      <c r="BM1203" s="4"/>
      <c r="BN1203" s="4"/>
      <c r="BO1203" s="4"/>
      <c r="BP1203" s="39"/>
      <c r="BQ1203" s="39"/>
    </row>
    <row r="1204" spans="3:69" ht="15.75" customHeight="1">
      <c r="C1204" s="4"/>
      <c r="D1204" s="4"/>
      <c r="E1204" s="38"/>
      <c r="F1204" s="38"/>
      <c r="G1204" s="4"/>
      <c r="H1204" s="4"/>
      <c r="I1204" s="4"/>
      <c r="J1204" s="4"/>
      <c r="K1204" s="4"/>
      <c r="L1204" s="4"/>
      <c r="M1204" s="4"/>
      <c r="N1204" s="38"/>
      <c r="O1204" s="4"/>
      <c r="P1204" s="4"/>
      <c r="Q1204" s="4"/>
      <c r="R1204" s="4"/>
      <c r="S1204" s="4"/>
      <c r="T1204" s="38"/>
      <c r="U1204" s="4"/>
      <c r="V1204" s="4"/>
      <c r="W1204" s="4"/>
      <c r="X1204" s="4"/>
      <c r="Y1204" s="4"/>
      <c r="Z1204" s="4"/>
      <c r="AA1204" s="4"/>
      <c r="AB1204" s="4"/>
      <c r="AC1204" s="4"/>
      <c r="AD1204" s="4"/>
      <c r="AE1204" s="4"/>
      <c r="AF1204" s="4"/>
      <c r="AG1204" s="4"/>
      <c r="AH1204" s="4"/>
      <c r="AI1204" s="4"/>
      <c r="AJ1204" s="4"/>
      <c r="AK1204" s="4"/>
      <c r="AL1204" s="4"/>
      <c r="AM1204" s="38"/>
      <c r="AN1204" s="4"/>
      <c r="AO1204" s="4"/>
      <c r="AP1204" s="4"/>
      <c r="AQ1204" s="4"/>
      <c r="AR1204" s="4"/>
      <c r="AS1204" s="4"/>
      <c r="AT1204" s="4"/>
      <c r="AU1204" s="4"/>
      <c r="AV1204" s="4"/>
      <c r="AW1204" s="4"/>
      <c r="AX1204" s="4"/>
      <c r="AY1204" s="4"/>
      <c r="AZ1204" s="4"/>
      <c r="BA1204" s="4"/>
      <c r="BB1204" s="4"/>
      <c r="BC1204" s="4"/>
      <c r="BD1204" s="4"/>
      <c r="BE1204" s="4"/>
      <c r="BF1204" s="4"/>
      <c r="BG1204" s="4"/>
      <c r="BH1204" s="4"/>
      <c r="BI1204" s="4"/>
      <c r="BJ1204" s="4"/>
      <c r="BK1204" s="4"/>
      <c r="BL1204" s="4"/>
      <c r="BM1204" s="4"/>
      <c r="BN1204" s="4"/>
      <c r="BO1204" s="4"/>
      <c r="BP1204" s="39"/>
      <c r="BQ1204" s="39"/>
    </row>
    <row r="1205" spans="3:69" ht="15.75" customHeight="1">
      <c r="C1205" s="4"/>
      <c r="D1205" s="4"/>
      <c r="E1205" s="38"/>
      <c r="F1205" s="38"/>
      <c r="G1205" s="4"/>
      <c r="H1205" s="4"/>
      <c r="I1205" s="4"/>
      <c r="J1205" s="4"/>
      <c r="K1205" s="4"/>
      <c r="L1205" s="4"/>
      <c r="M1205" s="4"/>
      <c r="N1205" s="38"/>
      <c r="O1205" s="4"/>
      <c r="P1205" s="4"/>
      <c r="Q1205" s="4"/>
      <c r="R1205" s="4"/>
      <c r="S1205" s="4"/>
      <c r="T1205" s="38"/>
      <c r="U1205" s="4"/>
      <c r="V1205" s="4"/>
      <c r="W1205" s="4"/>
      <c r="X1205" s="4"/>
      <c r="Y1205" s="4"/>
      <c r="Z1205" s="4"/>
      <c r="AA1205" s="4"/>
      <c r="AB1205" s="4"/>
      <c r="AC1205" s="4"/>
      <c r="AD1205" s="4"/>
      <c r="AE1205" s="4"/>
      <c r="AF1205" s="4"/>
      <c r="AG1205" s="4"/>
      <c r="AH1205" s="4"/>
      <c r="AI1205" s="4"/>
      <c r="AJ1205" s="4"/>
      <c r="AK1205" s="4"/>
      <c r="AL1205" s="4"/>
      <c r="AM1205" s="38"/>
      <c r="AN1205" s="4"/>
      <c r="AO1205" s="4"/>
      <c r="AP1205" s="4"/>
      <c r="AQ1205" s="4"/>
      <c r="AR1205" s="4"/>
      <c r="AS1205" s="4"/>
      <c r="AT1205" s="4"/>
      <c r="AU1205" s="4"/>
      <c r="AV1205" s="4"/>
      <c r="AW1205" s="4"/>
      <c r="AX1205" s="4"/>
      <c r="AY1205" s="4"/>
      <c r="AZ1205" s="4"/>
      <c r="BA1205" s="4"/>
      <c r="BB1205" s="4"/>
      <c r="BC1205" s="4"/>
      <c r="BD1205" s="4"/>
      <c r="BE1205" s="4"/>
      <c r="BF1205" s="4"/>
      <c r="BG1205" s="4"/>
      <c r="BH1205" s="4"/>
      <c r="BI1205" s="4"/>
      <c r="BJ1205" s="4"/>
      <c r="BK1205" s="4"/>
      <c r="BL1205" s="4"/>
      <c r="BM1205" s="4"/>
      <c r="BN1205" s="4"/>
      <c r="BO1205" s="4"/>
      <c r="BP1205" s="39"/>
      <c r="BQ1205" s="39"/>
    </row>
    <row r="1206" spans="3:69" ht="15.75" customHeight="1">
      <c r="C1206" s="4"/>
      <c r="D1206" s="4"/>
      <c r="E1206" s="38"/>
      <c r="F1206" s="38"/>
      <c r="G1206" s="4"/>
      <c r="H1206" s="4"/>
      <c r="I1206" s="4"/>
      <c r="J1206" s="4"/>
      <c r="K1206" s="4"/>
      <c r="L1206" s="4"/>
      <c r="M1206" s="4"/>
      <c r="N1206" s="38"/>
      <c r="O1206" s="4"/>
      <c r="P1206" s="4"/>
      <c r="Q1206" s="4"/>
      <c r="R1206" s="4"/>
      <c r="S1206" s="4"/>
      <c r="T1206" s="38"/>
      <c r="U1206" s="4"/>
      <c r="V1206" s="4"/>
      <c r="W1206" s="4"/>
      <c r="X1206" s="4"/>
      <c r="Y1206" s="4"/>
      <c r="Z1206" s="4"/>
      <c r="AA1206" s="4"/>
      <c r="AB1206" s="4"/>
      <c r="AC1206" s="4"/>
      <c r="AD1206" s="4"/>
      <c r="AE1206" s="4"/>
      <c r="AF1206" s="4"/>
      <c r="AG1206" s="4"/>
      <c r="AH1206" s="4"/>
      <c r="AI1206" s="4"/>
      <c r="AJ1206" s="4"/>
      <c r="AK1206" s="4"/>
      <c r="AL1206" s="4"/>
      <c r="AM1206" s="38"/>
      <c r="AN1206" s="4"/>
      <c r="AO1206" s="4"/>
      <c r="AP1206" s="4"/>
      <c r="AQ1206" s="4"/>
      <c r="AR1206" s="4"/>
      <c r="AS1206" s="4"/>
      <c r="AT1206" s="4"/>
      <c r="AU1206" s="4"/>
      <c r="AV1206" s="4"/>
      <c r="AW1206" s="4"/>
      <c r="AX1206" s="4"/>
      <c r="AY1206" s="4"/>
      <c r="AZ1206" s="4"/>
      <c r="BA1206" s="4"/>
      <c r="BB1206" s="4"/>
      <c r="BC1206" s="4"/>
      <c r="BD1206" s="4"/>
      <c r="BE1206" s="4"/>
      <c r="BF1206" s="4"/>
      <c r="BG1206" s="4"/>
      <c r="BH1206" s="4"/>
      <c r="BI1206" s="4"/>
      <c r="BJ1206" s="4"/>
      <c r="BK1206" s="4"/>
      <c r="BL1206" s="4"/>
      <c r="BM1206" s="4"/>
      <c r="BN1206" s="4"/>
      <c r="BO1206" s="4"/>
      <c r="BP1206" s="39"/>
      <c r="BQ1206" s="39"/>
    </row>
    <row r="1207" spans="3:69" ht="15.75" customHeight="1">
      <c r="C1207" s="4"/>
      <c r="D1207" s="4"/>
      <c r="E1207" s="38"/>
      <c r="F1207" s="38"/>
      <c r="G1207" s="4"/>
      <c r="H1207" s="4"/>
      <c r="I1207" s="4"/>
      <c r="J1207" s="4"/>
      <c r="K1207" s="4"/>
      <c r="L1207" s="4"/>
      <c r="M1207" s="4"/>
      <c r="N1207" s="38"/>
      <c r="O1207" s="4"/>
      <c r="P1207" s="4"/>
      <c r="Q1207" s="4"/>
      <c r="R1207" s="4"/>
      <c r="S1207" s="4"/>
      <c r="T1207" s="38"/>
      <c r="U1207" s="4"/>
      <c r="V1207" s="4"/>
      <c r="W1207" s="4"/>
      <c r="X1207" s="4"/>
      <c r="Y1207" s="4"/>
      <c r="Z1207" s="4"/>
      <c r="AA1207" s="4"/>
      <c r="AB1207" s="4"/>
      <c r="AC1207" s="4"/>
      <c r="AD1207" s="4"/>
      <c r="AE1207" s="4"/>
      <c r="AF1207" s="4"/>
      <c r="AG1207" s="4"/>
      <c r="AH1207" s="4"/>
      <c r="AI1207" s="4"/>
      <c r="AJ1207" s="4"/>
      <c r="AK1207" s="4"/>
      <c r="AL1207" s="4"/>
      <c r="AM1207" s="38"/>
      <c r="AN1207" s="4"/>
      <c r="AO1207" s="4"/>
      <c r="AP1207" s="4"/>
      <c r="AQ1207" s="4"/>
      <c r="AR1207" s="4"/>
      <c r="AS1207" s="4"/>
      <c r="AT1207" s="4"/>
      <c r="AU1207" s="4"/>
      <c r="AV1207" s="4"/>
      <c r="AW1207" s="4"/>
      <c r="AX1207" s="4"/>
      <c r="AY1207" s="4"/>
      <c r="AZ1207" s="4"/>
      <c r="BA1207" s="4"/>
      <c r="BB1207" s="4"/>
      <c r="BC1207" s="4"/>
      <c r="BD1207" s="4"/>
      <c r="BE1207" s="4"/>
      <c r="BF1207" s="4"/>
      <c r="BG1207" s="4"/>
      <c r="BH1207" s="4"/>
      <c r="BI1207" s="4"/>
      <c r="BJ1207" s="4"/>
      <c r="BK1207" s="4"/>
      <c r="BL1207" s="4"/>
      <c r="BM1207" s="4"/>
      <c r="BN1207" s="4"/>
      <c r="BO1207" s="4"/>
      <c r="BP1207" s="39"/>
      <c r="BQ1207" s="39"/>
    </row>
    <row r="1208" spans="3:69" ht="15.75" customHeight="1">
      <c r="C1208" s="4"/>
      <c r="D1208" s="4"/>
      <c r="E1208" s="38"/>
      <c r="F1208" s="38"/>
      <c r="G1208" s="4"/>
      <c r="H1208" s="4"/>
      <c r="I1208" s="4"/>
      <c r="J1208" s="4"/>
      <c r="K1208" s="4"/>
      <c r="L1208" s="4"/>
      <c r="M1208" s="4"/>
      <c r="N1208" s="38"/>
      <c r="O1208" s="4"/>
      <c r="P1208" s="4"/>
      <c r="Q1208" s="4"/>
      <c r="R1208" s="4"/>
      <c r="S1208" s="4"/>
      <c r="T1208" s="38"/>
      <c r="U1208" s="4"/>
      <c r="V1208" s="4"/>
      <c r="W1208" s="4"/>
      <c r="X1208" s="4"/>
      <c r="Y1208" s="4"/>
      <c r="Z1208" s="4"/>
      <c r="AA1208" s="4"/>
      <c r="AB1208" s="4"/>
      <c r="AC1208" s="4"/>
      <c r="AD1208" s="4"/>
      <c r="AE1208" s="4"/>
      <c r="AF1208" s="4"/>
      <c r="AG1208" s="4"/>
      <c r="AH1208" s="4"/>
      <c r="AI1208" s="4"/>
      <c r="AJ1208" s="4"/>
      <c r="AK1208" s="4"/>
      <c r="AL1208" s="4"/>
      <c r="AM1208" s="38"/>
      <c r="AN1208" s="4"/>
      <c r="AO1208" s="4"/>
      <c r="AP1208" s="4"/>
      <c r="AQ1208" s="4"/>
      <c r="AR1208" s="4"/>
      <c r="AS1208" s="4"/>
      <c r="AT1208" s="4"/>
      <c r="AU1208" s="4"/>
      <c r="AV1208" s="4"/>
      <c r="AW1208" s="4"/>
      <c r="AX1208" s="4"/>
      <c r="AY1208" s="4"/>
      <c r="AZ1208" s="4"/>
      <c r="BA1208" s="4"/>
      <c r="BB1208" s="4"/>
      <c r="BC1208" s="4"/>
      <c r="BD1208" s="4"/>
      <c r="BE1208" s="4"/>
      <c r="BF1208" s="4"/>
      <c r="BG1208" s="4"/>
      <c r="BH1208" s="4"/>
      <c r="BI1208" s="4"/>
      <c r="BJ1208" s="4"/>
      <c r="BK1208" s="4"/>
      <c r="BL1208" s="4"/>
      <c r="BM1208" s="4"/>
      <c r="BN1208" s="4"/>
      <c r="BO1208" s="4"/>
      <c r="BP1208" s="39"/>
      <c r="BQ1208" s="39"/>
    </row>
    <row r="1209" spans="3:69" ht="15.75" customHeight="1">
      <c r="C1209" s="4"/>
      <c r="D1209" s="4"/>
      <c r="E1209" s="38"/>
      <c r="F1209" s="38"/>
      <c r="G1209" s="4"/>
      <c r="H1209" s="4"/>
      <c r="I1209" s="4"/>
      <c r="J1209" s="4"/>
      <c r="K1209" s="4"/>
      <c r="L1209" s="4"/>
      <c r="M1209" s="4"/>
      <c r="N1209" s="38"/>
      <c r="O1209" s="4"/>
      <c r="P1209" s="4"/>
      <c r="Q1209" s="4"/>
      <c r="R1209" s="4"/>
      <c r="S1209" s="4"/>
      <c r="T1209" s="38"/>
      <c r="U1209" s="4"/>
      <c r="V1209" s="4"/>
      <c r="W1209" s="4"/>
      <c r="X1209" s="4"/>
      <c r="Y1209" s="4"/>
      <c r="Z1209" s="4"/>
      <c r="AA1209" s="4"/>
      <c r="AB1209" s="4"/>
      <c r="AC1209" s="4"/>
      <c r="AD1209" s="4"/>
      <c r="AE1209" s="4"/>
      <c r="AF1209" s="4"/>
      <c r="AG1209" s="4"/>
      <c r="AH1209" s="4"/>
      <c r="AI1209" s="4"/>
      <c r="AJ1209" s="4"/>
      <c r="AK1209" s="4"/>
      <c r="AL1209" s="4"/>
      <c r="AM1209" s="38"/>
      <c r="AN1209" s="4"/>
      <c r="AO1209" s="4"/>
      <c r="AP1209" s="4"/>
      <c r="AQ1209" s="4"/>
      <c r="AR1209" s="4"/>
      <c r="AS1209" s="4"/>
      <c r="AT1209" s="4"/>
      <c r="AU1209" s="4"/>
      <c r="AV1209" s="4"/>
      <c r="AW1209" s="4"/>
      <c r="AX1209" s="4"/>
      <c r="AY1209" s="4"/>
      <c r="AZ1209" s="4"/>
      <c r="BA1209" s="4"/>
      <c r="BB1209" s="4"/>
      <c r="BC1209" s="4"/>
      <c r="BD1209" s="4"/>
      <c r="BE1209" s="4"/>
      <c r="BF1209" s="4"/>
      <c r="BG1209" s="4"/>
      <c r="BH1209" s="4"/>
      <c r="BI1209" s="4"/>
      <c r="BJ1209" s="4"/>
      <c r="BK1209" s="4"/>
      <c r="BL1209" s="4"/>
      <c r="BM1209" s="4"/>
      <c r="BN1209" s="4"/>
      <c r="BO1209" s="4"/>
      <c r="BP1209" s="39"/>
      <c r="BQ1209" s="39"/>
    </row>
    <row r="1210" spans="3:69" ht="15.75" customHeight="1">
      <c r="C1210" s="4"/>
      <c r="D1210" s="4"/>
      <c r="E1210" s="38"/>
      <c r="F1210" s="38"/>
      <c r="G1210" s="4"/>
      <c r="H1210" s="4"/>
      <c r="I1210" s="4"/>
      <c r="J1210" s="4"/>
      <c r="K1210" s="4"/>
      <c r="L1210" s="4"/>
      <c r="M1210" s="4"/>
      <c r="N1210" s="38"/>
      <c r="O1210" s="4"/>
      <c r="P1210" s="4"/>
      <c r="Q1210" s="4"/>
      <c r="R1210" s="4"/>
      <c r="S1210" s="4"/>
      <c r="T1210" s="38"/>
      <c r="U1210" s="4"/>
      <c r="V1210" s="4"/>
      <c r="W1210" s="4"/>
      <c r="X1210" s="4"/>
      <c r="Y1210" s="4"/>
      <c r="Z1210" s="4"/>
      <c r="AA1210" s="4"/>
      <c r="AB1210" s="4"/>
      <c r="AC1210" s="4"/>
      <c r="AD1210" s="4"/>
      <c r="AE1210" s="4"/>
      <c r="AF1210" s="4"/>
      <c r="AG1210" s="4"/>
      <c r="AH1210" s="4"/>
      <c r="AI1210" s="4"/>
      <c r="AJ1210" s="4"/>
      <c r="AK1210" s="4"/>
      <c r="AL1210" s="4"/>
      <c r="AM1210" s="38"/>
      <c r="AN1210" s="4"/>
      <c r="AO1210" s="4"/>
      <c r="AP1210" s="4"/>
      <c r="AQ1210" s="4"/>
      <c r="AR1210" s="4"/>
      <c r="AS1210" s="4"/>
      <c r="AT1210" s="4"/>
      <c r="AU1210" s="4"/>
      <c r="AV1210" s="4"/>
      <c r="AW1210" s="4"/>
      <c r="AX1210" s="4"/>
      <c r="AY1210" s="4"/>
      <c r="AZ1210" s="4"/>
      <c r="BA1210" s="4"/>
      <c r="BB1210" s="4"/>
      <c r="BC1210" s="4"/>
      <c r="BD1210" s="4"/>
      <c r="BE1210" s="4"/>
      <c r="BF1210" s="4"/>
      <c r="BG1210" s="4"/>
      <c r="BH1210" s="4"/>
      <c r="BI1210" s="4"/>
      <c r="BJ1210" s="4"/>
      <c r="BK1210" s="4"/>
      <c r="BL1210" s="4"/>
      <c r="BM1210" s="4"/>
      <c r="BN1210" s="4"/>
      <c r="BO1210" s="4"/>
      <c r="BP1210" s="39"/>
      <c r="BQ1210" s="39"/>
    </row>
    <row r="1211" spans="3:69" ht="15.75" customHeight="1">
      <c r="C1211" s="4"/>
      <c r="D1211" s="4"/>
      <c r="E1211" s="38"/>
      <c r="F1211" s="38"/>
      <c r="G1211" s="4"/>
      <c r="H1211" s="4"/>
      <c r="I1211" s="4"/>
      <c r="J1211" s="4"/>
      <c r="K1211" s="4"/>
      <c r="L1211" s="4"/>
      <c r="M1211" s="4"/>
      <c r="N1211" s="38"/>
      <c r="O1211" s="4"/>
      <c r="P1211" s="4"/>
      <c r="Q1211" s="4"/>
      <c r="R1211" s="4"/>
      <c r="S1211" s="4"/>
      <c r="T1211" s="38"/>
      <c r="U1211" s="4"/>
      <c r="V1211" s="4"/>
      <c r="W1211" s="4"/>
      <c r="X1211" s="4"/>
      <c r="Y1211" s="4"/>
      <c r="Z1211" s="4"/>
      <c r="AA1211" s="4"/>
      <c r="AB1211" s="4"/>
      <c r="AC1211" s="4"/>
      <c r="AD1211" s="4"/>
      <c r="AE1211" s="4"/>
      <c r="AF1211" s="4"/>
      <c r="AG1211" s="4"/>
      <c r="AH1211" s="4"/>
      <c r="AI1211" s="4"/>
      <c r="AJ1211" s="4"/>
      <c r="AK1211" s="4"/>
      <c r="AL1211" s="4"/>
      <c r="AM1211" s="38"/>
      <c r="AN1211" s="4"/>
      <c r="AO1211" s="4"/>
      <c r="AP1211" s="4"/>
      <c r="AQ1211" s="4"/>
      <c r="AR1211" s="4"/>
      <c r="AS1211" s="4"/>
      <c r="AT1211" s="4"/>
      <c r="AU1211" s="4"/>
      <c r="AV1211" s="4"/>
      <c r="AW1211" s="4"/>
      <c r="AX1211" s="4"/>
      <c r="AY1211" s="4"/>
      <c r="AZ1211" s="4"/>
      <c r="BA1211" s="4"/>
      <c r="BB1211" s="4"/>
      <c r="BC1211" s="4"/>
      <c r="BD1211" s="4"/>
      <c r="BE1211" s="4"/>
      <c r="BF1211" s="4"/>
      <c r="BG1211" s="4"/>
      <c r="BH1211" s="4"/>
      <c r="BI1211" s="4"/>
      <c r="BJ1211" s="4"/>
      <c r="BK1211" s="4"/>
      <c r="BL1211" s="4"/>
      <c r="BM1211" s="4"/>
      <c r="BN1211" s="4"/>
      <c r="BO1211" s="4"/>
      <c r="BP1211" s="39"/>
      <c r="BQ1211" s="39"/>
    </row>
    <row r="1212" spans="3:69" ht="15.75" customHeight="1">
      <c r="C1212" s="4"/>
      <c r="D1212" s="4"/>
      <c r="E1212" s="38"/>
      <c r="F1212" s="38"/>
      <c r="G1212" s="4"/>
      <c r="H1212" s="4"/>
      <c r="I1212" s="4"/>
      <c r="J1212" s="4"/>
      <c r="K1212" s="4"/>
      <c r="L1212" s="4"/>
      <c r="M1212" s="4"/>
      <c r="N1212" s="38"/>
      <c r="O1212" s="4"/>
      <c r="P1212" s="4"/>
      <c r="Q1212" s="4"/>
      <c r="R1212" s="4"/>
      <c r="S1212" s="4"/>
      <c r="T1212" s="38"/>
      <c r="U1212" s="4"/>
      <c r="V1212" s="4"/>
      <c r="W1212" s="4"/>
      <c r="X1212" s="4"/>
      <c r="Y1212" s="4"/>
      <c r="Z1212" s="4"/>
      <c r="AA1212" s="4"/>
      <c r="AB1212" s="4"/>
      <c r="AC1212" s="4"/>
      <c r="AD1212" s="4"/>
      <c r="AE1212" s="4"/>
      <c r="AF1212" s="4"/>
      <c r="AG1212" s="4"/>
      <c r="AH1212" s="4"/>
      <c r="AI1212" s="4"/>
      <c r="AJ1212" s="4"/>
      <c r="AK1212" s="4"/>
      <c r="AL1212" s="4"/>
      <c r="AM1212" s="38"/>
      <c r="AN1212" s="4"/>
      <c r="AO1212" s="4"/>
      <c r="AP1212" s="4"/>
      <c r="AQ1212" s="4"/>
      <c r="AR1212" s="4"/>
      <c r="AS1212" s="4"/>
      <c r="AT1212" s="4"/>
      <c r="AU1212" s="4"/>
      <c r="AV1212" s="4"/>
      <c r="AW1212" s="4"/>
      <c r="AX1212" s="4"/>
      <c r="AY1212" s="4"/>
      <c r="AZ1212" s="4"/>
      <c r="BA1212" s="4"/>
      <c r="BB1212" s="4"/>
      <c r="BC1212" s="4"/>
      <c r="BD1212" s="4"/>
      <c r="BE1212" s="4"/>
      <c r="BF1212" s="4"/>
      <c r="BG1212" s="4"/>
      <c r="BH1212" s="4"/>
      <c r="BI1212" s="4"/>
      <c r="BJ1212" s="4"/>
      <c r="BK1212" s="4"/>
      <c r="BL1212" s="4"/>
      <c r="BM1212" s="4"/>
      <c r="BN1212" s="4"/>
      <c r="BO1212" s="4"/>
      <c r="BP1212" s="39"/>
      <c r="BQ1212" s="39"/>
    </row>
    <row r="1213" spans="3:69" ht="15.75" customHeight="1">
      <c r="C1213" s="4"/>
      <c r="D1213" s="4"/>
      <c r="E1213" s="38"/>
      <c r="F1213" s="38"/>
      <c r="G1213" s="4"/>
      <c r="H1213" s="4"/>
      <c r="I1213" s="4"/>
      <c r="J1213" s="4"/>
      <c r="K1213" s="4"/>
      <c r="L1213" s="4"/>
      <c r="M1213" s="4"/>
      <c r="N1213" s="38"/>
      <c r="O1213" s="4"/>
      <c r="P1213" s="4"/>
      <c r="Q1213" s="4"/>
      <c r="R1213" s="4"/>
      <c r="S1213" s="4"/>
      <c r="T1213" s="38"/>
      <c r="U1213" s="4"/>
      <c r="V1213" s="4"/>
      <c r="W1213" s="4"/>
      <c r="X1213" s="4"/>
      <c r="Y1213" s="4"/>
      <c r="Z1213" s="4"/>
      <c r="AA1213" s="4"/>
      <c r="AB1213" s="4"/>
      <c r="AC1213" s="4"/>
      <c r="AD1213" s="4"/>
      <c r="AE1213" s="4"/>
      <c r="AF1213" s="4"/>
      <c r="AG1213" s="4"/>
      <c r="AH1213" s="4"/>
      <c r="AI1213" s="4"/>
      <c r="AJ1213" s="4"/>
      <c r="AK1213" s="4"/>
      <c r="AL1213" s="4"/>
      <c r="AM1213" s="38"/>
      <c r="AN1213" s="4"/>
      <c r="AO1213" s="4"/>
      <c r="AP1213" s="4"/>
      <c r="AQ1213" s="4"/>
      <c r="AR1213" s="4"/>
      <c r="AS1213" s="4"/>
      <c r="AT1213" s="4"/>
      <c r="AU1213" s="4"/>
      <c r="AV1213" s="4"/>
      <c r="AW1213" s="4"/>
      <c r="AX1213" s="4"/>
      <c r="AY1213" s="4"/>
      <c r="AZ1213" s="4"/>
      <c r="BA1213" s="4"/>
      <c r="BB1213" s="4"/>
      <c r="BC1213" s="4"/>
      <c r="BD1213" s="4"/>
      <c r="BE1213" s="4"/>
      <c r="BF1213" s="4"/>
      <c r="BG1213" s="4"/>
      <c r="BH1213" s="4"/>
      <c r="BI1213" s="4"/>
      <c r="BJ1213" s="4"/>
      <c r="BK1213" s="4"/>
      <c r="BL1213" s="4"/>
      <c r="BM1213" s="4"/>
      <c r="BN1213" s="4"/>
      <c r="BO1213" s="4"/>
      <c r="BP1213" s="39"/>
      <c r="BQ1213" s="39"/>
    </row>
    <row r="1214" spans="3:69" ht="15.75" customHeight="1">
      <c r="C1214" s="4"/>
      <c r="D1214" s="4"/>
      <c r="E1214" s="38"/>
      <c r="F1214" s="38"/>
      <c r="G1214" s="4"/>
      <c r="H1214" s="4"/>
      <c r="I1214" s="4"/>
      <c r="J1214" s="4"/>
      <c r="K1214" s="4"/>
      <c r="L1214" s="4"/>
      <c r="M1214" s="4"/>
      <c r="N1214" s="38"/>
      <c r="O1214" s="4"/>
      <c r="P1214" s="4"/>
      <c r="Q1214" s="4"/>
      <c r="R1214" s="4"/>
      <c r="S1214" s="4"/>
      <c r="T1214" s="38"/>
      <c r="U1214" s="4"/>
      <c r="V1214" s="4"/>
      <c r="W1214" s="4"/>
      <c r="X1214" s="4"/>
      <c r="Y1214" s="4"/>
      <c r="Z1214" s="4"/>
      <c r="AA1214" s="4"/>
      <c r="AB1214" s="4"/>
      <c r="AC1214" s="4"/>
      <c r="AD1214" s="4"/>
      <c r="AE1214" s="4"/>
      <c r="AF1214" s="4"/>
      <c r="AG1214" s="4"/>
      <c r="AH1214" s="4"/>
      <c r="AI1214" s="4"/>
      <c r="AJ1214" s="4"/>
      <c r="AK1214" s="4"/>
      <c r="AL1214" s="4"/>
      <c r="AM1214" s="38"/>
      <c r="AN1214" s="4"/>
      <c r="AO1214" s="4"/>
      <c r="AP1214" s="4"/>
      <c r="AQ1214" s="4"/>
      <c r="AR1214" s="4"/>
      <c r="AS1214" s="4"/>
      <c r="AT1214" s="4"/>
      <c r="AU1214" s="4"/>
      <c r="AV1214" s="4"/>
      <c r="AW1214" s="4"/>
      <c r="AX1214" s="4"/>
      <c r="AY1214" s="4"/>
      <c r="AZ1214" s="4"/>
      <c r="BA1214" s="4"/>
      <c r="BB1214" s="4"/>
      <c r="BC1214" s="4"/>
      <c r="BD1214" s="4"/>
      <c r="BE1214" s="4"/>
      <c r="BF1214" s="4"/>
      <c r="BG1214" s="4"/>
      <c r="BH1214" s="4"/>
      <c r="BI1214" s="4"/>
      <c r="BJ1214" s="4"/>
      <c r="BK1214" s="4"/>
      <c r="BL1214" s="4"/>
      <c r="BM1214" s="4"/>
      <c r="BN1214" s="4"/>
      <c r="BO1214" s="4"/>
      <c r="BP1214" s="39"/>
      <c r="BQ1214" s="39"/>
    </row>
    <row r="1215" spans="3:69" ht="15.75" customHeight="1">
      <c r="C1215" s="4"/>
      <c r="D1215" s="4"/>
      <c r="E1215" s="38"/>
      <c r="F1215" s="38"/>
      <c r="G1215" s="4"/>
      <c r="H1215" s="4"/>
      <c r="I1215" s="4"/>
      <c r="J1215" s="4"/>
      <c r="K1215" s="4"/>
      <c r="L1215" s="4"/>
      <c r="M1215" s="4"/>
      <c r="N1215" s="38"/>
      <c r="O1215" s="4"/>
      <c r="P1215" s="4"/>
      <c r="Q1215" s="4"/>
      <c r="R1215" s="4"/>
      <c r="S1215" s="4"/>
      <c r="T1215" s="38"/>
      <c r="U1215" s="4"/>
      <c r="V1215" s="4"/>
      <c r="W1215" s="4"/>
      <c r="X1215" s="4"/>
      <c r="Y1215" s="4"/>
      <c r="Z1215" s="4"/>
      <c r="AA1215" s="4"/>
      <c r="AB1215" s="4"/>
      <c r="AC1215" s="4"/>
      <c r="AD1215" s="4"/>
      <c r="AE1215" s="4"/>
      <c r="AF1215" s="4"/>
      <c r="AG1215" s="4"/>
      <c r="AH1215" s="4"/>
      <c r="AI1215" s="4"/>
      <c r="AJ1215" s="4"/>
      <c r="AK1215" s="4"/>
      <c r="AL1215" s="4"/>
      <c r="AM1215" s="38"/>
      <c r="AN1215" s="4"/>
      <c r="AO1215" s="4"/>
      <c r="AP1215" s="4"/>
      <c r="AQ1215" s="4"/>
      <c r="AR1215" s="4"/>
      <c r="AS1215" s="4"/>
      <c r="AT1215" s="4"/>
      <c r="AU1215" s="4"/>
      <c r="AV1215" s="4"/>
      <c r="AW1215" s="4"/>
      <c r="AX1215" s="4"/>
      <c r="AY1215" s="4"/>
      <c r="AZ1215" s="4"/>
      <c r="BA1215" s="4"/>
      <c r="BB1215" s="4"/>
      <c r="BC1215" s="4"/>
      <c r="BD1215" s="4"/>
      <c r="BE1215" s="4"/>
      <c r="BF1215" s="4"/>
      <c r="BG1215" s="4"/>
      <c r="BH1215" s="4"/>
      <c r="BI1215" s="4"/>
      <c r="BJ1215" s="4"/>
      <c r="BK1215" s="4"/>
      <c r="BL1215" s="4"/>
      <c r="BM1215" s="4"/>
      <c r="BN1215" s="4"/>
      <c r="BO1215" s="4"/>
      <c r="BP1215" s="39"/>
      <c r="BQ1215" s="39"/>
    </row>
    <row r="1216" spans="3:69" ht="15.75" customHeight="1">
      <c r="C1216" s="4"/>
      <c r="D1216" s="4"/>
      <c r="E1216" s="38"/>
      <c r="F1216" s="38"/>
      <c r="G1216" s="4"/>
      <c r="H1216" s="4"/>
      <c r="I1216" s="4"/>
      <c r="J1216" s="4"/>
      <c r="K1216" s="4"/>
      <c r="L1216" s="4"/>
      <c r="M1216" s="4"/>
      <c r="N1216" s="38"/>
      <c r="O1216" s="4"/>
      <c r="P1216" s="4"/>
      <c r="Q1216" s="4"/>
      <c r="R1216" s="4"/>
      <c r="S1216" s="4"/>
      <c r="T1216" s="38"/>
      <c r="U1216" s="4"/>
      <c r="V1216" s="4"/>
      <c r="W1216" s="4"/>
      <c r="X1216" s="4"/>
      <c r="Y1216" s="4"/>
      <c r="Z1216" s="4"/>
      <c r="AA1216" s="4"/>
      <c r="AB1216" s="4"/>
      <c r="AC1216" s="4"/>
      <c r="AD1216" s="4"/>
      <c r="AE1216" s="4"/>
      <c r="AF1216" s="4"/>
      <c r="AG1216" s="4"/>
      <c r="AH1216" s="4"/>
      <c r="AI1216" s="4"/>
      <c r="AJ1216" s="4"/>
      <c r="AK1216" s="4"/>
      <c r="AL1216" s="4"/>
      <c r="AM1216" s="38"/>
      <c r="AN1216" s="4"/>
      <c r="AO1216" s="4"/>
      <c r="AP1216" s="4"/>
      <c r="AQ1216" s="4"/>
      <c r="AR1216" s="4"/>
      <c r="AS1216" s="4"/>
      <c r="AT1216" s="4"/>
      <c r="AU1216" s="4"/>
      <c r="AV1216" s="4"/>
      <c r="AW1216" s="4"/>
      <c r="AX1216" s="4"/>
      <c r="AY1216" s="4"/>
      <c r="AZ1216" s="4"/>
      <c r="BA1216" s="4"/>
      <c r="BB1216" s="4"/>
      <c r="BC1216" s="4"/>
      <c r="BD1216" s="4"/>
      <c r="BE1216" s="4"/>
      <c r="BF1216" s="4"/>
      <c r="BG1216" s="4"/>
      <c r="BH1216" s="4"/>
      <c r="BI1216" s="4"/>
      <c r="BJ1216" s="4"/>
      <c r="BK1216" s="4"/>
      <c r="BL1216" s="4"/>
      <c r="BM1216" s="4"/>
      <c r="BN1216" s="4"/>
      <c r="BO1216" s="4"/>
      <c r="BP1216" s="39"/>
      <c r="BQ1216" s="39"/>
    </row>
    <row r="1217" spans="3:69" ht="15.75" customHeight="1">
      <c r="C1217" s="4"/>
      <c r="D1217" s="4"/>
      <c r="E1217" s="38"/>
      <c r="F1217" s="38"/>
      <c r="G1217" s="4"/>
      <c r="H1217" s="4"/>
      <c r="I1217" s="4"/>
      <c r="J1217" s="4"/>
      <c r="K1217" s="4"/>
      <c r="L1217" s="4"/>
      <c r="M1217" s="4"/>
      <c r="N1217" s="38"/>
      <c r="O1217" s="4"/>
      <c r="P1217" s="4"/>
      <c r="Q1217" s="4"/>
      <c r="R1217" s="4"/>
      <c r="S1217" s="4"/>
      <c r="T1217" s="38"/>
      <c r="U1217" s="4"/>
      <c r="V1217" s="4"/>
      <c r="W1217" s="4"/>
      <c r="X1217" s="4"/>
      <c r="Y1217" s="4"/>
      <c r="Z1217" s="4"/>
      <c r="AA1217" s="4"/>
      <c r="AB1217" s="4"/>
      <c r="AC1217" s="4"/>
      <c r="AD1217" s="4"/>
      <c r="AE1217" s="4"/>
      <c r="AF1217" s="4"/>
      <c r="AG1217" s="4"/>
      <c r="AH1217" s="4"/>
      <c r="AI1217" s="4"/>
      <c r="AJ1217" s="4"/>
      <c r="AK1217" s="4"/>
      <c r="AL1217" s="4"/>
      <c r="AM1217" s="38"/>
      <c r="AN1217" s="4"/>
      <c r="AO1217" s="4"/>
      <c r="AP1217" s="4"/>
      <c r="AQ1217" s="4"/>
      <c r="AR1217" s="4"/>
      <c r="AS1217" s="4"/>
      <c r="AT1217" s="4"/>
      <c r="AU1217" s="4"/>
      <c r="AV1217" s="4"/>
      <c r="AW1217" s="4"/>
      <c r="AX1217" s="4"/>
      <c r="AY1217" s="4"/>
      <c r="AZ1217" s="4"/>
      <c r="BA1217" s="4"/>
      <c r="BB1217" s="4"/>
      <c r="BC1217" s="4"/>
      <c r="BD1217" s="4"/>
      <c r="BE1217" s="4"/>
      <c r="BF1217" s="4"/>
      <c r="BG1217" s="4"/>
      <c r="BH1217" s="4"/>
      <c r="BI1217" s="4"/>
      <c r="BJ1217" s="4"/>
      <c r="BK1217" s="4"/>
      <c r="BL1217" s="4"/>
      <c r="BM1217" s="4"/>
      <c r="BN1217" s="4"/>
      <c r="BO1217" s="4"/>
      <c r="BP1217" s="39"/>
      <c r="BQ1217" s="39"/>
    </row>
    <row r="1218" spans="3:69" ht="15.75" customHeight="1">
      <c r="C1218" s="4"/>
      <c r="D1218" s="4"/>
      <c r="E1218" s="38"/>
      <c r="F1218" s="38"/>
      <c r="G1218" s="4"/>
      <c r="H1218" s="4"/>
      <c r="I1218" s="4"/>
      <c r="J1218" s="4"/>
      <c r="K1218" s="4"/>
      <c r="L1218" s="4"/>
      <c r="M1218" s="4"/>
      <c r="N1218" s="38"/>
      <c r="O1218" s="4"/>
      <c r="P1218" s="4"/>
      <c r="Q1218" s="4"/>
      <c r="R1218" s="4"/>
      <c r="S1218" s="4"/>
      <c r="T1218" s="38"/>
      <c r="U1218" s="4"/>
      <c r="V1218" s="4"/>
      <c r="W1218" s="4"/>
      <c r="X1218" s="4"/>
      <c r="Y1218" s="4"/>
      <c r="Z1218" s="4"/>
      <c r="AA1218" s="4"/>
      <c r="AB1218" s="4"/>
      <c r="AC1218" s="4"/>
      <c r="AD1218" s="4"/>
      <c r="AE1218" s="4"/>
      <c r="AF1218" s="4"/>
      <c r="AG1218" s="4"/>
      <c r="AH1218" s="4"/>
      <c r="AI1218" s="4"/>
      <c r="AJ1218" s="4"/>
      <c r="AK1218" s="4"/>
      <c r="AL1218" s="4"/>
      <c r="AM1218" s="38"/>
      <c r="AN1218" s="4"/>
      <c r="AO1218" s="4"/>
      <c r="AP1218" s="4"/>
      <c r="AQ1218" s="4"/>
      <c r="AR1218" s="4"/>
      <c r="AS1218" s="4"/>
      <c r="AT1218" s="4"/>
      <c r="AU1218" s="4"/>
      <c r="AV1218" s="4"/>
      <c r="AW1218" s="4"/>
      <c r="AX1218" s="4"/>
      <c r="AY1218" s="4"/>
      <c r="AZ1218" s="4"/>
      <c r="BA1218" s="4"/>
      <c r="BB1218" s="4"/>
      <c r="BC1218" s="4"/>
      <c r="BD1218" s="4"/>
      <c r="BE1218" s="4"/>
      <c r="BF1218" s="4"/>
      <c r="BG1218" s="4"/>
      <c r="BH1218" s="4"/>
      <c r="BI1218" s="4"/>
      <c r="BJ1218" s="4"/>
      <c r="BK1218" s="4"/>
      <c r="BL1218" s="4"/>
      <c r="BM1218" s="4"/>
      <c r="BN1218" s="4"/>
      <c r="BO1218" s="4"/>
      <c r="BP1218" s="39"/>
      <c r="BQ1218" s="39"/>
    </row>
    <row r="1219" spans="3:69" ht="15.75" customHeight="1">
      <c r="C1219" s="4"/>
      <c r="D1219" s="4"/>
      <c r="E1219" s="38"/>
      <c r="F1219" s="38"/>
      <c r="G1219" s="4"/>
      <c r="H1219" s="4"/>
      <c r="I1219" s="4"/>
      <c r="J1219" s="4"/>
      <c r="K1219" s="4"/>
      <c r="L1219" s="4"/>
      <c r="M1219" s="4"/>
      <c r="N1219" s="38"/>
      <c r="O1219" s="4"/>
      <c r="P1219" s="4"/>
      <c r="Q1219" s="4"/>
      <c r="R1219" s="4"/>
      <c r="S1219" s="4"/>
      <c r="T1219" s="38"/>
      <c r="U1219" s="4"/>
      <c r="V1219" s="4"/>
      <c r="W1219" s="4"/>
      <c r="X1219" s="4"/>
      <c r="Y1219" s="4"/>
      <c r="Z1219" s="4"/>
      <c r="AA1219" s="4"/>
      <c r="AB1219" s="4"/>
      <c r="AC1219" s="4"/>
      <c r="AD1219" s="4"/>
      <c r="AE1219" s="4"/>
      <c r="AF1219" s="4"/>
      <c r="AG1219" s="4"/>
      <c r="AH1219" s="4"/>
      <c r="AI1219" s="4"/>
      <c r="AJ1219" s="4"/>
      <c r="AK1219" s="4"/>
      <c r="AL1219" s="4"/>
      <c r="AM1219" s="38"/>
      <c r="AN1219" s="4"/>
      <c r="AO1219" s="4"/>
      <c r="AP1219" s="4"/>
      <c r="AQ1219" s="4"/>
      <c r="AR1219" s="4"/>
      <c r="AS1219" s="4"/>
      <c r="AT1219" s="4"/>
      <c r="AU1219" s="4"/>
      <c r="AV1219" s="4"/>
      <c r="AW1219" s="4"/>
      <c r="AX1219" s="4"/>
      <c r="AY1219" s="4"/>
      <c r="AZ1219" s="4"/>
      <c r="BA1219" s="4"/>
      <c r="BB1219" s="4"/>
      <c r="BC1219" s="4"/>
      <c r="BD1219" s="4"/>
      <c r="BE1219" s="4"/>
      <c r="BF1219" s="4"/>
      <c r="BG1219" s="4"/>
      <c r="BH1219" s="4"/>
      <c r="BI1219" s="4"/>
      <c r="BJ1219" s="4"/>
      <c r="BK1219" s="4"/>
      <c r="BL1219" s="4"/>
      <c r="BM1219" s="4"/>
      <c r="BN1219" s="4"/>
      <c r="BO1219" s="4"/>
      <c r="BP1219" s="39"/>
      <c r="BQ1219" s="39"/>
    </row>
    <row r="1220" spans="3:69" ht="15.75" customHeight="1">
      <c r="C1220" s="4"/>
      <c r="D1220" s="4"/>
      <c r="E1220" s="38"/>
      <c r="F1220" s="38"/>
      <c r="G1220" s="4"/>
      <c r="H1220" s="4"/>
      <c r="I1220" s="4"/>
      <c r="J1220" s="4"/>
      <c r="K1220" s="4"/>
      <c r="L1220" s="4"/>
      <c r="M1220" s="4"/>
      <c r="N1220" s="38"/>
      <c r="O1220" s="4"/>
      <c r="P1220" s="4"/>
      <c r="Q1220" s="4"/>
      <c r="R1220" s="4"/>
      <c r="S1220" s="4"/>
      <c r="T1220" s="38"/>
      <c r="U1220" s="4"/>
      <c r="V1220" s="4"/>
      <c r="W1220" s="4"/>
      <c r="X1220" s="4"/>
      <c r="Y1220" s="4"/>
      <c r="Z1220" s="4"/>
      <c r="AA1220" s="4"/>
      <c r="AB1220" s="4"/>
      <c r="AC1220" s="4"/>
      <c r="AD1220" s="4"/>
      <c r="AE1220" s="4"/>
      <c r="AF1220" s="4"/>
      <c r="AG1220" s="4"/>
      <c r="AH1220" s="4"/>
      <c r="AI1220" s="4"/>
      <c r="AJ1220" s="4"/>
      <c r="AK1220" s="4"/>
      <c r="AL1220" s="4"/>
      <c r="AM1220" s="38"/>
      <c r="AN1220" s="4"/>
      <c r="AO1220" s="4"/>
      <c r="AP1220" s="4"/>
      <c r="AQ1220" s="4"/>
      <c r="AR1220" s="4"/>
      <c r="AS1220" s="4"/>
      <c r="AT1220" s="4"/>
      <c r="AU1220" s="4"/>
      <c r="AV1220" s="4"/>
      <c r="AW1220" s="4"/>
      <c r="AX1220" s="4"/>
      <c r="AY1220" s="4"/>
      <c r="AZ1220" s="4"/>
      <c r="BA1220" s="4"/>
      <c r="BB1220" s="4"/>
      <c r="BC1220" s="4"/>
      <c r="BD1220" s="4"/>
      <c r="BE1220" s="4"/>
      <c r="BF1220" s="4"/>
      <c r="BG1220" s="4"/>
      <c r="BH1220" s="4"/>
      <c r="BI1220" s="4"/>
      <c r="BJ1220" s="4"/>
      <c r="BK1220" s="4"/>
      <c r="BL1220" s="4"/>
      <c r="BM1220" s="4"/>
      <c r="BN1220" s="4"/>
      <c r="BO1220" s="4"/>
      <c r="BP1220" s="39"/>
      <c r="BQ1220" s="39"/>
    </row>
    <row r="1221" spans="3:69" ht="15.75" customHeight="1">
      <c r="C1221" s="4"/>
      <c r="D1221" s="4"/>
      <c r="E1221" s="38"/>
      <c r="F1221" s="38"/>
      <c r="G1221" s="4"/>
      <c r="H1221" s="4"/>
      <c r="I1221" s="4"/>
      <c r="J1221" s="4"/>
      <c r="K1221" s="4"/>
      <c r="L1221" s="4"/>
      <c r="M1221" s="4"/>
      <c r="N1221" s="38"/>
      <c r="O1221" s="4"/>
      <c r="P1221" s="4"/>
      <c r="Q1221" s="4"/>
      <c r="R1221" s="4"/>
      <c r="S1221" s="4"/>
      <c r="T1221" s="38"/>
      <c r="U1221" s="4"/>
      <c r="V1221" s="4"/>
      <c r="W1221" s="4"/>
      <c r="X1221" s="4"/>
      <c r="Y1221" s="4"/>
      <c r="Z1221" s="4"/>
      <c r="AA1221" s="4"/>
      <c r="AB1221" s="4"/>
      <c r="AC1221" s="4"/>
      <c r="AD1221" s="4"/>
      <c r="AE1221" s="4"/>
      <c r="AF1221" s="4"/>
      <c r="AG1221" s="4"/>
      <c r="AH1221" s="4"/>
      <c r="AI1221" s="4"/>
      <c r="AJ1221" s="4"/>
      <c r="AK1221" s="4"/>
      <c r="AL1221" s="4"/>
      <c r="AM1221" s="38"/>
      <c r="AN1221" s="4"/>
      <c r="AO1221" s="4"/>
      <c r="AP1221" s="4"/>
      <c r="AQ1221" s="4"/>
      <c r="AR1221" s="4"/>
      <c r="AS1221" s="4"/>
      <c r="AT1221" s="4"/>
      <c r="AU1221" s="4"/>
      <c r="AV1221" s="4"/>
      <c r="AW1221" s="4"/>
      <c r="AX1221" s="4"/>
      <c r="AY1221" s="4"/>
      <c r="AZ1221" s="4"/>
      <c r="BA1221" s="4"/>
      <c r="BB1221" s="4"/>
      <c r="BC1221" s="4"/>
      <c r="BD1221" s="4"/>
      <c r="BE1221" s="4"/>
      <c r="BF1221" s="4"/>
      <c r="BG1221" s="4"/>
      <c r="BH1221" s="4"/>
      <c r="BI1221" s="4"/>
      <c r="BJ1221" s="4"/>
      <c r="BK1221" s="4"/>
      <c r="BL1221" s="4"/>
      <c r="BM1221" s="4"/>
      <c r="BN1221" s="4"/>
      <c r="BO1221" s="4"/>
      <c r="BP1221" s="39"/>
      <c r="BQ1221" s="39"/>
    </row>
    <row r="1222" spans="3:69" ht="15.75" customHeight="1">
      <c r="C1222" s="4"/>
      <c r="D1222" s="4"/>
      <c r="E1222" s="38"/>
      <c r="F1222" s="38"/>
      <c r="G1222" s="4"/>
      <c r="H1222" s="4"/>
      <c r="I1222" s="4"/>
      <c r="J1222" s="4"/>
      <c r="K1222" s="4"/>
      <c r="L1222" s="4"/>
      <c r="M1222" s="4"/>
      <c r="N1222" s="38"/>
      <c r="O1222" s="4"/>
      <c r="P1222" s="4"/>
      <c r="Q1222" s="4"/>
      <c r="R1222" s="4"/>
      <c r="S1222" s="4"/>
      <c r="T1222" s="38"/>
      <c r="U1222" s="4"/>
      <c r="V1222" s="4"/>
      <c r="W1222" s="4"/>
      <c r="X1222" s="4"/>
      <c r="Y1222" s="4"/>
      <c r="Z1222" s="4"/>
      <c r="AA1222" s="4"/>
      <c r="AB1222" s="4"/>
      <c r="AC1222" s="4"/>
      <c r="AD1222" s="4"/>
      <c r="AE1222" s="4"/>
      <c r="AF1222" s="4"/>
      <c r="AG1222" s="4"/>
      <c r="AH1222" s="4"/>
      <c r="AI1222" s="4"/>
      <c r="AJ1222" s="4"/>
      <c r="AK1222" s="4"/>
      <c r="AL1222" s="4"/>
      <c r="AM1222" s="38"/>
      <c r="AN1222" s="4"/>
      <c r="AO1222" s="4"/>
      <c r="AP1222" s="4"/>
      <c r="AQ1222" s="4"/>
      <c r="AR1222" s="4"/>
      <c r="AS1222" s="4"/>
      <c r="AT1222" s="4"/>
      <c r="AU1222" s="4"/>
      <c r="AV1222" s="4"/>
      <c r="AW1222" s="4"/>
      <c r="AX1222" s="4"/>
      <c r="AY1222" s="4"/>
      <c r="AZ1222" s="4"/>
      <c r="BA1222" s="4"/>
      <c r="BB1222" s="4"/>
      <c r="BC1222" s="4"/>
      <c r="BD1222" s="4"/>
      <c r="BE1222" s="4"/>
      <c r="BF1222" s="4"/>
      <c r="BG1222" s="4"/>
      <c r="BH1222" s="4"/>
      <c r="BI1222" s="4"/>
      <c r="BJ1222" s="4"/>
      <c r="BK1222" s="4"/>
      <c r="BL1222" s="4"/>
      <c r="BM1222" s="4"/>
      <c r="BN1222" s="4"/>
      <c r="BO1222" s="4"/>
      <c r="BP1222" s="39"/>
      <c r="BQ1222" s="39"/>
    </row>
    <row r="1223" spans="3:69" ht="15.75" customHeight="1">
      <c r="C1223" s="4"/>
      <c r="D1223" s="4"/>
      <c r="E1223" s="38"/>
      <c r="F1223" s="38"/>
      <c r="G1223" s="4"/>
      <c r="H1223" s="4"/>
      <c r="I1223" s="4"/>
      <c r="J1223" s="4"/>
      <c r="K1223" s="4"/>
      <c r="L1223" s="4"/>
      <c r="M1223" s="4"/>
      <c r="N1223" s="38"/>
      <c r="O1223" s="4"/>
      <c r="P1223" s="4"/>
      <c r="Q1223" s="4"/>
      <c r="R1223" s="4"/>
      <c r="S1223" s="4"/>
      <c r="T1223" s="38"/>
      <c r="U1223" s="4"/>
      <c r="V1223" s="4"/>
      <c r="W1223" s="4"/>
      <c r="X1223" s="4"/>
      <c r="Y1223" s="4"/>
      <c r="Z1223" s="4"/>
      <c r="AA1223" s="4"/>
      <c r="AB1223" s="4"/>
      <c r="AC1223" s="4"/>
      <c r="AD1223" s="4"/>
      <c r="AE1223" s="4"/>
      <c r="AF1223" s="4"/>
      <c r="AG1223" s="4"/>
      <c r="AH1223" s="4"/>
      <c r="AI1223" s="4"/>
      <c r="AJ1223" s="4"/>
      <c r="AK1223" s="4"/>
      <c r="AL1223" s="4"/>
      <c r="AM1223" s="38"/>
      <c r="AN1223" s="4"/>
      <c r="AO1223" s="4"/>
      <c r="AP1223" s="4"/>
      <c r="AQ1223" s="4"/>
      <c r="AR1223" s="4"/>
      <c r="AS1223" s="4"/>
      <c r="AT1223" s="4"/>
      <c r="AU1223" s="4"/>
      <c r="AV1223" s="4"/>
      <c r="AW1223" s="4"/>
      <c r="AX1223" s="4"/>
      <c r="AY1223" s="4"/>
      <c r="AZ1223" s="4"/>
      <c r="BA1223" s="4"/>
      <c r="BB1223" s="4"/>
      <c r="BC1223" s="4"/>
      <c r="BD1223" s="4"/>
      <c r="BE1223" s="4"/>
      <c r="BF1223" s="4"/>
      <c r="BG1223" s="4"/>
      <c r="BH1223" s="4"/>
      <c r="BI1223" s="4"/>
      <c r="BJ1223" s="4"/>
      <c r="BK1223" s="4"/>
      <c r="BL1223" s="4"/>
      <c r="BM1223" s="4"/>
      <c r="BN1223" s="4"/>
      <c r="BO1223" s="4"/>
      <c r="BP1223" s="39"/>
      <c r="BQ1223" s="39"/>
    </row>
    <row r="1224" spans="3:69" ht="15.75" customHeight="1">
      <c r="C1224" s="4"/>
      <c r="D1224" s="4"/>
      <c r="E1224" s="38"/>
      <c r="F1224" s="38"/>
      <c r="G1224" s="4"/>
      <c r="H1224" s="4"/>
      <c r="I1224" s="4"/>
      <c r="J1224" s="4"/>
      <c r="K1224" s="4"/>
      <c r="L1224" s="4"/>
      <c r="M1224" s="4"/>
      <c r="N1224" s="38"/>
      <c r="O1224" s="4"/>
      <c r="P1224" s="4"/>
      <c r="Q1224" s="4"/>
      <c r="R1224" s="4"/>
      <c r="S1224" s="4"/>
      <c r="T1224" s="38"/>
      <c r="U1224" s="4"/>
      <c r="V1224" s="4"/>
      <c r="W1224" s="4"/>
      <c r="X1224" s="4"/>
      <c r="Y1224" s="4"/>
      <c r="Z1224" s="4"/>
      <c r="AA1224" s="4"/>
      <c r="AB1224" s="4"/>
      <c r="AC1224" s="4"/>
      <c r="AD1224" s="4"/>
      <c r="AE1224" s="4"/>
      <c r="AF1224" s="4"/>
      <c r="AG1224" s="4"/>
      <c r="AH1224" s="4"/>
      <c r="AI1224" s="4"/>
      <c r="AJ1224" s="4"/>
      <c r="AK1224" s="4"/>
      <c r="AL1224" s="4"/>
      <c r="AM1224" s="38"/>
      <c r="AN1224" s="4"/>
      <c r="AO1224" s="4"/>
      <c r="AP1224" s="4"/>
      <c r="AQ1224" s="4"/>
      <c r="AR1224" s="4"/>
      <c r="AS1224" s="4"/>
      <c r="AT1224" s="4"/>
      <c r="AU1224" s="4"/>
      <c r="AV1224" s="4"/>
      <c r="AW1224" s="4"/>
      <c r="AX1224" s="4"/>
      <c r="AY1224" s="4"/>
      <c r="AZ1224" s="4"/>
      <c r="BA1224" s="4"/>
      <c r="BB1224" s="4"/>
      <c r="BC1224" s="4"/>
      <c r="BD1224" s="4"/>
      <c r="BE1224" s="4"/>
      <c r="BF1224" s="4"/>
      <c r="BG1224" s="4"/>
      <c r="BH1224" s="4"/>
      <c r="BI1224" s="4"/>
      <c r="BJ1224" s="4"/>
      <c r="BK1224" s="4"/>
      <c r="BL1224" s="4"/>
      <c r="BM1224" s="4"/>
      <c r="BN1224" s="4"/>
      <c r="BO1224" s="4"/>
      <c r="BP1224" s="39"/>
      <c r="BQ1224" s="39"/>
    </row>
    <row r="1225" spans="3:69" ht="15.75" customHeight="1">
      <c r="C1225" s="4"/>
      <c r="D1225" s="4"/>
      <c r="E1225" s="38"/>
      <c r="F1225" s="38"/>
      <c r="G1225" s="4"/>
      <c r="H1225" s="4"/>
      <c r="I1225" s="4"/>
      <c r="J1225" s="4"/>
      <c r="K1225" s="4"/>
      <c r="L1225" s="4"/>
      <c r="M1225" s="4"/>
      <c r="N1225" s="38"/>
      <c r="O1225" s="4"/>
      <c r="P1225" s="4"/>
      <c r="Q1225" s="4"/>
      <c r="R1225" s="4"/>
      <c r="S1225" s="4"/>
      <c r="T1225" s="38"/>
      <c r="U1225" s="4"/>
      <c r="V1225" s="4"/>
      <c r="W1225" s="4"/>
      <c r="X1225" s="4"/>
      <c r="Y1225" s="4"/>
      <c r="Z1225" s="4"/>
      <c r="AA1225" s="4"/>
      <c r="AB1225" s="4"/>
      <c r="AC1225" s="4"/>
      <c r="AD1225" s="4"/>
      <c r="AE1225" s="4"/>
      <c r="AF1225" s="4"/>
      <c r="AG1225" s="4"/>
      <c r="AH1225" s="4"/>
      <c r="AI1225" s="4"/>
      <c r="AJ1225" s="4"/>
      <c r="AK1225" s="4"/>
      <c r="AL1225" s="4"/>
      <c r="AM1225" s="38"/>
      <c r="AN1225" s="4"/>
      <c r="AO1225" s="4"/>
      <c r="AP1225" s="4"/>
      <c r="AQ1225" s="4"/>
      <c r="AR1225" s="4"/>
      <c r="AS1225" s="4"/>
      <c r="AT1225" s="4"/>
      <c r="AU1225" s="4"/>
      <c r="AV1225" s="4"/>
      <c r="AW1225" s="4"/>
      <c r="AX1225" s="4"/>
      <c r="AY1225" s="4"/>
      <c r="AZ1225" s="4"/>
      <c r="BA1225" s="4"/>
      <c r="BB1225" s="4"/>
      <c r="BC1225" s="4"/>
      <c r="BD1225" s="4"/>
      <c r="BE1225" s="4"/>
      <c r="BF1225" s="4"/>
      <c r="BG1225" s="4"/>
      <c r="BH1225" s="4"/>
      <c r="BI1225" s="4"/>
      <c r="BJ1225" s="4"/>
      <c r="BK1225" s="4"/>
      <c r="BL1225" s="4"/>
      <c r="BM1225" s="4"/>
      <c r="BN1225" s="4"/>
      <c r="BO1225" s="4"/>
      <c r="BP1225" s="39"/>
      <c r="BQ1225" s="39"/>
    </row>
    <row r="1226" spans="3:69" ht="15.75" customHeight="1">
      <c r="C1226" s="4"/>
      <c r="D1226" s="4"/>
      <c r="E1226" s="38"/>
      <c r="F1226" s="38"/>
      <c r="G1226" s="4"/>
      <c r="H1226" s="4"/>
      <c r="I1226" s="4"/>
      <c r="J1226" s="4"/>
      <c r="K1226" s="4"/>
      <c r="L1226" s="4"/>
      <c r="M1226" s="4"/>
      <c r="N1226" s="38"/>
      <c r="O1226" s="4"/>
      <c r="P1226" s="4"/>
      <c r="Q1226" s="4"/>
      <c r="R1226" s="4"/>
      <c r="S1226" s="4"/>
      <c r="T1226" s="38"/>
      <c r="U1226" s="4"/>
      <c r="V1226" s="4"/>
      <c r="W1226" s="4"/>
      <c r="X1226" s="4"/>
      <c r="Y1226" s="4"/>
      <c r="Z1226" s="4"/>
      <c r="AA1226" s="4"/>
      <c r="AB1226" s="4"/>
      <c r="AC1226" s="4"/>
      <c r="AD1226" s="4"/>
      <c r="AE1226" s="4"/>
      <c r="AF1226" s="4"/>
      <c r="AG1226" s="4"/>
      <c r="AH1226" s="4"/>
      <c r="AI1226" s="4"/>
      <c r="AJ1226" s="4"/>
      <c r="AK1226" s="4"/>
      <c r="AL1226" s="4"/>
      <c r="AM1226" s="38"/>
      <c r="AN1226" s="4"/>
      <c r="AO1226" s="4"/>
      <c r="AP1226" s="4"/>
      <c r="AQ1226" s="4"/>
      <c r="AR1226" s="4"/>
      <c r="AS1226" s="4"/>
      <c r="AT1226" s="4"/>
      <c r="AU1226" s="4"/>
      <c r="AV1226" s="4"/>
      <c r="AW1226" s="4"/>
      <c r="AX1226" s="4"/>
      <c r="AY1226" s="4"/>
      <c r="AZ1226" s="4"/>
      <c r="BA1226" s="4"/>
      <c r="BB1226" s="4"/>
      <c r="BC1226" s="4"/>
      <c r="BD1226" s="4"/>
      <c r="BE1226" s="4"/>
      <c r="BF1226" s="4"/>
      <c r="BG1226" s="4"/>
      <c r="BH1226" s="4"/>
      <c r="BI1226" s="4"/>
      <c r="BJ1226" s="4"/>
      <c r="BK1226" s="4"/>
      <c r="BL1226" s="4"/>
      <c r="BM1226" s="4"/>
      <c r="BN1226" s="4"/>
      <c r="BO1226" s="4"/>
      <c r="BP1226" s="39"/>
      <c r="BQ1226" s="39"/>
    </row>
    <row r="1227" spans="3:69" ht="15.75" customHeight="1">
      <c r="C1227" s="4"/>
      <c r="D1227" s="4"/>
      <c r="E1227" s="38"/>
      <c r="F1227" s="38"/>
      <c r="G1227" s="4"/>
      <c r="H1227" s="4"/>
      <c r="I1227" s="4"/>
      <c r="J1227" s="4"/>
      <c r="K1227" s="4"/>
      <c r="L1227" s="4"/>
      <c r="M1227" s="4"/>
      <c r="N1227" s="38"/>
      <c r="O1227" s="4"/>
      <c r="P1227" s="4"/>
      <c r="Q1227" s="4"/>
      <c r="R1227" s="4"/>
      <c r="S1227" s="4"/>
      <c r="T1227" s="38"/>
      <c r="U1227" s="4"/>
      <c r="V1227" s="4"/>
      <c r="W1227" s="4"/>
      <c r="X1227" s="4"/>
      <c r="Y1227" s="4"/>
      <c r="Z1227" s="4"/>
      <c r="AA1227" s="4"/>
      <c r="AB1227" s="4"/>
      <c r="AC1227" s="4"/>
      <c r="AD1227" s="4"/>
      <c r="AE1227" s="4"/>
      <c r="AF1227" s="4"/>
      <c r="AG1227" s="4"/>
      <c r="AH1227" s="4"/>
      <c r="AI1227" s="4"/>
      <c r="AJ1227" s="4"/>
      <c r="AK1227" s="4"/>
      <c r="AL1227" s="4"/>
      <c r="AM1227" s="38"/>
      <c r="AN1227" s="4"/>
      <c r="AO1227" s="4"/>
      <c r="AP1227" s="4"/>
      <c r="AQ1227" s="4"/>
      <c r="AR1227" s="4"/>
      <c r="AS1227" s="4"/>
      <c r="AT1227" s="4"/>
      <c r="AU1227" s="4"/>
      <c r="AV1227" s="4"/>
      <c r="AW1227" s="4"/>
      <c r="AX1227" s="4"/>
      <c r="AY1227" s="4"/>
      <c r="AZ1227" s="4"/>
      <c r="BA1227" s="4"/>
      <c r="BB1227" s="4"/>
      <c r="BC1227" s="4"/>
      <c r="BD1227" s="4"/>
      <c r="BE1227" s="4"/>
      <c r="BF1227" s="4"/>
      <c r="BG1227" s="4"/>
      <c r="BH1227" s="4"/>
      <c r="BI1227" s="4"/>
      <c r="BJ1227" s="4"/>
      <c r="BK1227" s="4"/>
      <c r="BL1227" s="4"/>
      <c r="BM1227" s="4"/>
      <c r="BN1227" s="4"/>
      <c r="BO1227" s="4"/>
      <c r="BP1227" s="39"/>
      <c r="BQ1227" s="39"/>
    </row>
    <row r="1228" spans="3:69" ht="15.75" customHeight="1">
      <c r="C1228" s="4"/>
      <c r="D1228" s="4"/>
      <c r="E1228" s="38"/>
      <c r="F1228" s="38"/>
      <c r="G1228" s="4"/>
      <c r="H1228" s="4"/>
      <c r="I1228" s="4"/>
      <c r="J1228" s="4"/>
      <c r="K1228" s="4"/>
      <c r="L1228" s="4"/>
      <c r="M1228" s="4"/>
      <c r="N1228" s="38"/>
      <c r="O1228" s="4"/>
      <c r="P1228" s="4"/>
      <c r="Q1228" s="4"/>
      <c r="R1228" s="4"/>
      <c r="S1228" s="4"/>
      <c r="T1228" s="38"/>
      <c r="U1228" s="4"/>
      <c r="V1228" s="4"/>
      <c r="W1228" s="4"/>
      <c r="X1228" s="4"/>
      <c r="Y1228" s="4"/>
      <c r="Z1228" s="4"/>
      <c r="AA1228" s="4"/>
      <c r="AB1228" s="4"/>
      <c r="AC1228" s="4"/>
      <c r="AD1228" s="4"/>
      <c r="AE1228" s="4"/>
      <c r="AF1228" s="4"/>
      <c r="AG1228" s="4"/>
      <c r="AH1228" s="4"/>
      <c r="AI1228" s="4"/>
      <c r="AJ1228" s="4"/>
      <c r="AK1228" s="4"/>
      <c r="AL1228" s="4"/>
      <c r="AM1228" s="38"/>
      <c r="AN1228" s="4"/>
      <c r="AO1228" s="4"/>
      <c r="AP1228" s="4"/>
      <c r="AQ1228" s="4"/>
      <c r="AR1228" s="4"/>
      <c r="AS1228" s="4"/>
      <c r="AT1228" s="4"/>
      <c r="AU1228" s="4"/>
      <c r="AV1228" s="4"/>
      <c r="AW1228" s="4"/>
      <c r="AX1228" s="4"/>
      <c r="AY1228" s="4"/>
      <c r="AZ1228" s="4"/>
      <c r="BA1228" s="4"/>
      <c r="BB1228" s="4"/>
      <c r="BC1228" s="4"/>
      <c r="BD1228" s="4"/>
      <c r="BE1228" s="4"/>
      <c r="BF1228" s="4"/>
      <c r="BG1228" s="4"/>
      <c r="BH1228" s="4"/>
      <c r="BI1228" s="4"/>
      <c r="BJ1228" s="4"/>
      <c r="BK1228" s="4"/>
      <c r="BL1228" s="4"/>
      <c r="BM1228" s="4"/>
      <c r="BN1228" s="4"/>
      <c r="BO1228" s="4"/>
      <c r="BP1228" s="39"/>
      <c r="BQ1228" s="39"/>
    </row>
    <row r="1229" spans="3:69" ht="15.75" customHeight="1">
      <c r="C1229" s="4"/>
      <c r="D1229" s="4"/>
      <c r="E1229" s="38"/>
      <c r="F1229" s="38"/>
      <c r="G1229" s="4"/>
      <c r="H1229" s="4"/>
      <c r="I1229" s="4"/>
      <c r="J1229" s="4"/>
      <c r="K1229" s="4"/>
      <c r="L1229" s="4"/>
      <c r="M1229" s="4"/>
      <c r="N1229" s="38"/>
      <c r="O1229" s="4"/>
      <c r="P1229" s="4"/>
      <c r="Q1229" s="4"/>
      <c r="R1229" s="4"/>
      <c r="S1229" s="4"/>
      <c r="T1229" s="38"/>
      <c r="U1229" s="4"/>
      <c r="V1229" s="4"/>
      <c r="W1229" s="4"/>
      <c r="X1229" s="4"/>
      <c r="Y1229" s="4"/>
      <c r="Z1229" s="4"/>
      <c r="AA1229" s="4"/>
      <c r="AB1229" s="4"/>
      <c r="AC1229" s="4"/>
      <c r="AD1229" s="4"/>
      <c r="AE1229" s="4"/>
      <c r="AF1229" s="4"/>
      <c r="AG1229" s="4"/>
      <c r="AH1229" s="4"/>
      <c r="AI1229" s="4"/>
      <c r="AJ1229" s="4"/>
      <c r="AK1229" s="4"/>
      <c r="AL1229" s="4"/>
      <c r="AM1229" s="38"/>
      <c r="AN1229" s="4"/>
      <c r="AO1229" s="4"/>
      <c r="AP1229" s="4"/>
      <c r="AQ1229" s="4"/>
      <c r="AR1229" s="4"/>
      <c r="AS1229" s="4"/>
      <c r="AT1229" s="4"/>
      <c r="AU1229" s="4"/>
      <c r="AV1229" s="4"/>
      <c r="AW1229" s="4"/>
      <c r="AX1229" s="4"/>
      <c r="AY1229" s="4"/>
      <c r="AZ1229" s="4"/>
      <c r="BA1229" s="4"/>
      <c r="BB1229" s="4"/>
      <c r="BC1229" s="4"/>
      <c r="BD1229" s="4"/>
      <c r="BE1229" s="4"/>
      <c r="BF1229" s="4"/>
      <c r="BG1229" s="4"/>
      <c r="BH1229" s="4"/>
      <c r="BI1229" s="4"/>
      <c r="BJ1229" s="4"/>
      <c r="BK1229" s="4"/>
      <c r="BL1229" s="4"/>
      <c r="BM1229" s="4"/>
      <c r="BN1229" s="4"/>
      <c r="BO1229" s="4"/>
      <c r="BP1229" s="39"/>
      <c r="BQ1229" s="39"/>
    </row>
    <row r="1230" spans="3:69" ht="15.75" customHeight="1">
      <c r="C1230" s="4"/>
      <c r="D1230" s="4"/>
      <c r="E1230" s="38"/>
      <c r="F1230" s="38"/>
      <c r="G1230" s="4"/>
      <c r="H1230" s="4"/>
      <c r="I1230" s="4"/>
      <c r="J1230" s="4"/>
      <c r="K1230" s="4"/>
      <c r="L1230" s="4"/>
      <c r="M1230" s="4"/>
      <c r="N1230" s="38"/>
      <c r="O1230" s="4"/>
      <c r="P1230" s="4"/>
      <c r="Q1230" s="4"/>
      <c r="R1230" s="4"/>
      <c r="S1230" s="4"/>
      <c r="T1230" s="38"/>
      <c r="U1230" s="4"/>
      <c r="V1230" s="4"/>
      <c r="W1230" s="4"/>
      <c r="X1230" s="4"/>
      <c r="Y1230" s="4"/>
      <c r="Z1230" s="4"/>
      <c r="AA1230" s="4"/>
      <c r="AB1230" s="4"/>
      <c r="AC1230" s="4"/>
      <c r="AD1230" s="4"/>
      <c r="AE1230" s="4"/>
      <c r="AF1230" s="4"/>
      <c r="AG1230" s="4"/>
      <c r="AH1230" s="4"/>
      <c r="AI1230" s="4"/>
      <c r="AJ1230" s="4"/>
      <c r="AK1230" s="4"/>
      <c r="AL1230" s="4"/>
      <c r="AM1230" s="38"/>
      <c r="AN1230" s="4"/>
      <c r="AO1230" s="4"/>
      <c r="AP1230" s="4"/>
      <c r="AQ1230" s="4"/>
      <c r="AR1230" s="4"/>
      <c r="AS1230" s="4"/>
      <c r="AT1230" s="4"/>
      <c r="AU1230" s="4"/>
      <c r="AV1230" s="4"/>
      <c r="AW1230" s="4"/>
      <c r="AX1230" s="4"/>
      <c r="AY1230" s="4"/>
      <c r="AZ1230" s="4"/>
      <c r="BA1230" s="4"/>
      <c r="BB1230" s="4"/>
      <c r="BC1230" s="4"/>
      <c r="BD1230" s="4"/>
      <c r="BE1230" s="4"/>
      <c r="BF1230" s="4"/>
      <c r="BG1230" s="4"/>
      <c r="BH1230" s="4"/>
      <c r="BI1230" s="4"/>
      <c r="BJ1230" s="4"/>
      <c r="BK1230" s="4"/>
      <c r="BL1230" s="4"/>
      <c r="BM1230" s="4"/>
      <c r="BN1230" s="4"/>
      <c r="BO1230" s="4"/>
      <c r="BP1230" s="39"/>
      <c r="BQ1230" s="39"/>
    </row>
    <row r="1231" spans="3:69" ht="15.75" customHeight="1">
      <c r="C1231" s="4"/>
      <c r="D1231" s="4"/>
      <c r="E1231" s="38"/>
      <c r="F1231" s="38"/>
      <c r="G1231" s="4"/>
      <c r="H1231" s="4"/>
      <c r="I1231" s="4"/>
      <c r="J1231" s="4"/>
      <c r="K1231" s="4"/>
      <c r="L1231" s="4"/>
      <c r="M1231" s="4"/>
      <c r="N1231" s="38"/>
      <c r="O1231" s="4"/>
      <c r="P1231" s="4"/>
      <c r="Q1231" s="4"/>
      <c r="R1231" s="4"/>
      <c r="S1231" s="4"/>
      <c r="T1231" s="38"/>
      <c r="U1231" s="4"/>
      <c r="V1231" s="4"/>
      <c r="W1231" s="4"/>
      <c r="X1231" s="4"/>
      <c r="Y1231" s="4"/>
      <c r="Z1231" s="4"/>
      <c r="AA1231" s="4"/>
      <c r="AB1231" s="4"/>
      <c r="AC1231" s="4"/>
      <c r="AD1231" s="4"/>
      <c r="AE1231" s="4"/>
      <c r="AF1231" s="4"/>
      <c r="AG1231" s="4"/>
      <c r="AH1231" s="4"/>
      <c r="AI1231" s="4"/>
      <c r="AJ1231" s="4"/>
      <c r="AK1231" s="4"/>
      <c r="AL1231" s="4"/>
      <c r="AM1231" s="38"/>
      <c r="AN1231" s="4"/>
      <c r="AO1231" s="4"/>
      <c r="AP1231" s="4"/>
      <c r="AQ1231" s="4"/>
      <c r="AR1231" s="4"/>
      <c r="AS1231" s="4"/>
      <c r="AT1231" s="4"/>
      <c r="AU1231" s="4"/>
      <c r="AV1231" s="4"/>
      <c r="AW1231" s="4"/>
      <c r="AX1231" s="4"/>
      <c r="AY1231" s="4"/>
      <c r="AZ1231" s="4"/>
      <c r="BA1231" s="4"/>
      <c r="BB1231" s="4"/>
      <c r="BC1231" s="4"/>
      <c r="BD1231" s="4"/>
      <c r="BE1231" s="4"/>
      <c r="BF1231" s="4"/>
      <c r="BG1231" s="4"/>
      <c r="BH1231" s="4"/>
      <c r="BI1231" s="4"/>
      <c r="BJ1231" s="4"/>
      <c r="BK1231" s="4"/>
      <c r="BL1231" s="4"/>
      <c r="BM1231" s="4"/>
      <c r="BN1231" s="4"/>
      <c r="BO1231" s="4"/>
      <c r="BP1231" s="39"/>
      <c r="BQ1231" s="39"/>
    </row>
    <row r="1232" spans="3:69" ht="15.75" customHeight="1">
      <c r="C1232" s="4"/>
      <c r="D1232" s="4"/>
      <c r="E1232" s="38"/>
      <c r="F1232" s="38"/>
      <c r="G1232" s="4"/>
      <c r="H1232" s="4"/>
      <c r="I1232" s="4"/>
      <c r="J1232" s="4"/>
      <c r="K1232" s="4"/>
      <c r="L1232" s="4"/>
      <c r="M1232" s="4"/>
      <c r="N1232" s="38"/>
      <c r="O1232" s="4"/>
      <c r="P1232" s="4"/>
      <c r="Q1232" s="4"/>
      <c r="R1232" s="4"/>
      <c r="S1232" s="4"/>
      <c r="T1232" s="38"/>
      <c r="U1232" s="4"/>
      <c r="V1232" s="4"/>
      <c r="W1232" s="4"/>
      <c r="X1232" s="4"/>
      <c r="Y1232" s="4"/>
      <c r="Z1232" s="4"/>
      <c r="AA1232" s="4"/>
      <c r="AB1232" s="4"/>
      <c r="AC1232" s="4"/>
      <c r="AD1232" s="4"/>
      <c r="AE1232" s="4"/>
      <c r="AF1232" s="4"/>
      <c r="AG1232" s="4"/>
      <c r="AH1232" s="4"/>
      <c r="AI1232" s="4"/>
      <c r="AJ1232" s="4"/>
      <c r="AK1232" s="4"/>
      <c r="AL1232" s="4"/>
      <c r="AM1232" s="38"/>
      <c r="AN1232" s="4"/>
      <c r="AO1232" s="4"/>
      <c r="AP1232" s="4"/>
      <c r="AQ1232" s="4"/>
      <c r="AR1232" s="4"/>
      <c r="AS1232" s="4"/>
      <c r="AT1232" s="4"/>
      <c r="AU1232" s="4"/>
      <c r="AV1232" s="4"/>
      <c r="AW1232" s="4"/>
      <c r="AX1232" s="4"/>
      <c r="AY1232" s="4"/>
      <c r="AZ1232" s="4"/>
      <c r="BA1232" s="4"/>
      <c r="BB1232" s="4"/>
      <c r="BC1232" s="4"/>
      <c r="BD1232" s="4"/>
      <c r="BE1232" s="4"/>
      <c r="BF1232" s="4"/>
      <c r="BG1232" s="4"/>
      <c r="BH1232" s="4"/>
      <c r="BI1232" s="4"/>
      <c r="BJ1232" s="4"/>
      <c r="BK1232" s="4"/>
      <c r="BL1232" s="4"/>
      <c r="BM1232" s="4"/>
      <c r="BN1232" s="4"/>
      <c r="BO1232" s="4"/>
      <c r="BP1232" s="39"/>
      <c r="BQ1232" s="39"/>
    </row>
    <row r="1233" spans="3:69" ht="15.75" customHeight="1">
      <c r="C1233" s="4"/>
      <c r="D1233" s="4"/>
      <c r="E1233" s="38"/>
      <c r="F1233" s="38"/>
      <c r="G1233" s="4"/>
      <c r="H1233" s="4"/>
      <c r="I1233" s="4"/>
      <c r="J1233" s="4"/>
      <c r="K1233" s="4"/>
      <c r="L1233" s="4"/>
      <c r="M1233" s="4"/>
      <c r="N1233" s="38"/>
      <c r="O1233" s="4"/>
      <c r="P1233" s="4"/>
      <c r="Q1233" s="4"/>
      <c r="R1233" s="4"/>
      <c r="S1233" s="4"/>
      <c r="T1233" s="38"/>
      <c r="U1233" s="4"/>
      <c r="V1233" s="4"/>
      <c r="W1233" s="4"/>
      <c r="X1233" s="4"/>
      <c r="Y1233" s="4"/>
      <c r="Z1233" s="4"/>
      <c r="AA1233" s="4"/>
      <c r="AB1233" s="4"/>
      <c r="AC1233" s="4"/>
      <c r="AD1233" s="4"/>
      <c r="AE1233" s="4"/>
      <c r="AF1233" s="4"/>
      <c r="AG1233" s="4"/>
      <c r="AH1233" s="4"/>
      <c r="AI1233" s="4"/>
      <c r="AJ1233" s="4"/>
      <c r="AK1233" s="4"/>
      <c r="AL1233" s="4"/>
      <c r="AM1233" s="38"/>
      <c r="AN1233" s="4"/>
      <c r="AO1233" s="4"/>
      <c r="AP1233" s="4"/>
      <c r="AQ1233" s="4"/>
      <c r="AR1233" s="4"/>
      <c r="AS1233" s="4"/>
      <c r="AT1233" s="4"/>
      <c r="AU1233" s="4"/>
      <c r="AV1233" s="4"/>
      <c r="AW1233" s="4"/>
      <c r="AX1233" s="4"/>
      <c r="AY1233" s="4"/>
      <c r="AZ1233" s="4"/>
      <c r="BA1233" s="4"/>
      <c r="BB1233" s="4"/>
      <c r="BC1233" s="4"/>
      <c r="BD1233" s="4"/>
      <c r="BE1233" s="4"/>
      <c r="BF1233" s="4"/>
      <c r="BG1233" s="4"/>
      <c r="BH1233" s="4"/>
      <c r="BI1233" s="4"/>
      <c r="BJ1233" s="4"/>
      <c r="BK1233" s="4"/>
      <c r="BL1233" s="4"/>
      <c r="BM1233" s="4"/>
      <c r="BN1233" s="4"/>
      <c r="BO1233" s="4"/>
      <c r="BP1233" s="39"/>
      <c r="BQ1233" s="39"/>
    </row>
    <row r="1234" spans="3:69" ht="15.75" customHeight="1">
      <c r="C1234" s="4"/>
      <c r="D1234" s="4"/>
      <c r="E1234" s="38"/>
      <c r="F1234" s="38"/>
      <c r="G1234" s="4"/>
      <c r="H1234" s="4"/>
      <c r="I1234" s="4"/>
      <c r="J1234" s="4"/>
      <c r="K1234" s="4"/>
      <c r="L1234" s="4"/>
      <c r="M1234" s="4"/>
      <c r="N1234" s="38"/>
      <c r="O1234" s="4"/>
      <c r="P1234" s="4"/>
      <c r="Q1234" s="4"/>
      <c r="R1234" s="4"/>
      <c r="S1234" s="4"/>
      <c r="T1234" s="38"/>
      <c r="U1234" s="4"/>
      <c r="V1234" s="4"/>
      <c r="W1234" s="4"/>
      <c r="X1234" s="4"/>
      <c r="Y1234" s="4"/>
      <c r="Z1234" s="4"/>
      <c r="AA1234" s="4"/>
      <c r="AB1234" s="4"/>
      <c r="AC1234" s="4"/>
      <c r="AD1234" s="4"/>
      <c r="AE1234" s="4"/>
      <c r="AF1234" s="4"/>
      <c r="AG1234" s="4"/>
      <c r="AH1234" s="4"/>
      <c r="AI1234" s="4"/>
      <c r="AJ1234" s="4"/>
      <c r="AK1234" s="4"/>
      <c r="AL1234" s="4"/>
      <c r="AM1234" s="38"/>
      <c r="AN1234" s="4"/>
      <c r="AO1234" s="4"/>
      <c r="AP1234" s="4"/>
      <c r="AQ1234" s="4"/>
      <c r="AR1234" s="4"/>
      <c r="AS1234" s="4"/>
      <c r="AT1234" s="4"/>
      <c r="AU1234" s="4"/>
      <c r="AV1234" s="4"/>
      <c r="AW1234" s="4"/>
      <c r="AX1234" s="4"/>
      <c r="AY1234" s="4"/>
      <c r="AZ1234" s="4"/>
      <c r="BA1234" s="4"/>
      <c r="BB1234" s="4"/>
      <c r="BC1234" s="4"/>
      <c r="BD1234" s="4"/>
      <c r="BE1234" s="4"/>
      <c r="BF1234" s="4"/>
      <c r="BG1234" s="4"/>
      <c r="BH1234" s="4"/>
      <c r="BI1234" s="4"/>
      <c r="BJ1234" s="4"/>
      <c r="BK1234" s="4"/>
      <c r="BL1234" s="4"/>
      <c r="BM1234" s="4"/>
      <c r="BN1234" s="4"/>
      <c r="BO1234" s="4"/>
      <c r="BP1234" s="39"/>
      <c r="BQ1234" s="39"/>
    </row>
    <row r="1235" spans="3:69" ht="15.75" customHeight="1">
      <c r="C1235" s="4"/>
      <c r="D1235" s="4"/>
      <c r="E1235" s="38"/>
      <c r="F1235" s="38"/>
      <c r="G1235" s="4"/>
      <c r="H1235" s="4"/>
      <c r="I1235" s="4"/>
      <c r="J1235" s="4"/>
      <c r="K1235" s="4"/>
      <c r="L1235" s="4"/>
      <c r="M1235" s="4"/>
      <c r="N1235" s="38"/>
      <c r="O1235" s="4"/>
      <c r="P1235" s="4"/>
      <c r="Q1235" s="4"/>
      <c r="R1235" s="4"/>
      <c r="S1235" s="4"/>
      <c r="T1235" s="38"/>
      <c r="U1235" s="4"/>
      <c r="V1235" s="4"/>
      <c r="W1235" s="4"/>
      <c r="X1235" s="4"/>
      <c r="Y1235" s="4"/>
      <c r="Z1235" s="4"/>
      <c r="AA1235" s="4"/>
      <c r="AB1235" s="4"/>
      <c r="AC1235" s="4"/>
      <c r="AD1235" s="4"/>
      <c r="AE1235" s="4"/>
      <c r="AF1235" s="4"/>
      <c r="AG1235" s="4"/>
      <c r="AH1235" s="4"/>
      <c r="AI1235" s="4"/>
      <c r="AJ1235" s="4"/>
      <c r="AK1235" s="4"/>
      <c r="AL1235" s="4"/>
      <c r="AM1235" s="38"/>
      <c r="AN1235" s="4"/>
      <c r="AO1235" s="4"/>
      <c r="AP1235" s="4"/>
      <c r="AQ1235" s="4"/>
      <c r="AR1235" s="4"/>
      <c r="AS1235" s="4"/>
      <c r="AT1235" s="4"/>
      <c r="AU1235" s="4"/>
      <c r="AV1235" s="4"/>
      <c r="AW1235" s="4"/>
      <c r="AX1235" s="4"/>
      <c r="AY1235" s="4"/>
      <c r="AZ1235" s="4"/>
      <c r="BA1235" s="4"/>
      <c r="BB1235" s="4"/>
      <c r="BC1235" s="4"/>
      <c r="BD1235" s="4"/>
      <c r="BE1235" s="4"/>
      <c r="BF1235" s="4"/>
      <c r="BG1235" s="4"/>
      <c r="BH1235" s="4"/>
      <c r="BI1235" s="4"/>
      <c r="BJ1235" s="4"/>
      <c r="BK1235" s="4"/>
      <c r="BL1235" s="4"/>
      <c r="BM1235" s="4"/>
      <c r="BN1235" s="4"/>
      <c r="BO1235" s="4"/>
      <c r="BP1235" s="39"/>
      <c r="BQ1235" s="39"/>
    </row>
    <row r="1236" spans="3:69" ht="15.75" customHeight="1">
      <c r="C1236" s="4"/>
      <c r="D1236" s="4"/>
      <c r="E1236" s="38"/>
      <c r="F1236" s="38"/>
      <c r="G1236" s="4"/>
      <c r="H1236" s="4"/>
      <c r="I1236" s="4"/>
      <c r="J1236" s="4"/>
      <c r="K1236" s="4"/>
      <c r="L1236" s="4"/>
      <c r="M1236" s="4"/>
      <c r="N1236" s="38"/>
      <c r="O1236" s="4"/>
      <c r="P1236" s="4"/>
      <c r="Q1236" s="4"/>
      <c r="R1236" s="4"/>
      <c r="S1236" s="4"/>
      <c r="T1236" s="38"/>
      <c r="U1236" s="4"/>
      <c r="V1236" s="4"/>
      <c r="W1236" s="4"/>
      <c r="X1236" s="4"/>
      <c r="Y1236" s="4"/>
      <c r="Z1236" s="4"/>
      <c r="AA1236" s="4"/>
      <c r="AB1236" s="4"/>
      <c r="AC1236" s="4"/>
      <c r="AD1236" s="4"/>
      <c r="AE1236" s="4"/>
      <c r="AF1236" s="4"/>
      <c r="AG1236" s="4"/>
      <c r="AH1236" s="4"/>
      <c r="AI1236" s="4"/>
      <c r="AJ1236" s="4"/>
      <c r="AK1236" s="4"/>
      <c r="AL1236" s="4"/>
      <c r="AM1236" s="38"/>
      <c r="AN1236" s="4"/>
      <c r="AO1236" s="4"/>
      <c r="AP1236" s="4"/>
      <c r="AQ1236" s="4"/>
      <c r="AR1236" s="4"/>
      <c r="AS1236" s="4"/>
      <c r="AT1236" s="4"/>
      <c r="AU1236" s="4"/>
      <c r="AV1236" s="4"/>
      <c r="AW1236" s="4"/>
      <c r="AX1236" s="4"/>
      <c r="AY1236" s="4"/>
      <c r="AZ1236" s="4"/>
      <c r="BA1236" s="4"/>
      <c r="BB1236" s="4"/>
      <c r="BC1236" s="4"/>
      <c r="BD1236" s="4"/>
      <c r="BE1236" s="4"/>
      <c r="BF1236" s="4"/>
      <c r="BG1236" s="4"/>
      <c r="BH1236" s="4"/>
      <c r="BI1236" s="4"/>
      <c r="BJ1236" s="4"/>
      <c r="BK1236" s="4"/>
      <c r="BL1236" s="4"/>
      <c r="BM1236" s="4"/>
      <c r="BN1236" s="4"/>
      <c r="BO1236" s="4"/>
      <c r="BP1236" s="39"/>
      <c r="BQ1236" s="39"/>
    </row>
    <row r="1237" spans="3:69" ht="15.75" customHeight="1">
      <c r="C1237" s="4"/>
      <c r="D1237" s="4"/>
      <c r="E1237" s="38"/>
      <c r="F1237" s="38"/>
      <c r="G1237" s="4"/>
      <c r="H1237" s="4"/>
      <c r="I1237" s="4"/>
      <c r="J1237" s="4"/>
      <c r="K1237" s="4"/>
      <c r="L1237" s="4"/>
      <c r="M1237" s="4"/>
      <c r="N1237" s="38"/>
      <c r="O1237" s="4"/>
      <c r="P1237" s="4"/>
      <c r="Q1237" s="4"/>
      <c r="R1237" s="4"/>
      <c r="S1237" s="4"/>
      <c r="T1237" s="38"/>
      <c r="U1237" s="4"/>
      <c r="V1237" s="4"/>
      <c r="W1237" s="4"/>
      <c r="X1237" s="4"/>
      <c r="Y1237" s="4"/>
      <c r="Z1237" s="4"/>
      <c r="AA1237" s="4"/>
      <c r="AB1237" s="4"/>
      <c r="AC1237" s="4"/>
      <c r="AD1237" s="4"/>
      <c r="AE1237" s="4"/>
      <c r="AF1237" s="4"/>
      <c r="AG1237" s="4"/>
      <c r="AH1237" s="4"/>
      <c r="AI1237" s="4"/>
      <c r="AJ1237" s="4"/>
      <c r="AK1237" s="4"/>
      <c r="AL1237" s="4"/>
      <c r="AM1237" s="38"/>
      <c r="AN1237" s="4"/>
      <c r="AO1237" s="4"/>
      <c r="AP1237" s="4"/>
      <c r="AQ1237" s="4"/>
      <c r="AR1237" s="4"/>
      <c r="AS1237" s="4"/>
      <c r="AT1237" s="4"/>
      <c r="AU1237" s="4"/>
      <c r="AV1237" s="4"/>
      <c r="AW1237" s="4"/>
      <c r="AX1237" s="4"/>
      <c r="AY1237" s="4"/>
      <c r="AZ1237" s="4"/>
      <c r="BA1237" s="4"/>
      <c r="BB1237" s="4"/>
      <c r="BC1237" s="4"/>
      <c r="BD1237" s="4"/>
      <c r="BE1237" s="4"/>
      <c r="BF1237" s="4"/>
      <c r="BG1237" s="4"/>
      <c r="BH1237" s="4"/>
      <c r="BI1237" s="4"/>
      <c r="BJ1237" s="4"/>
      <c r="BK1237" s="4"/>
      <c r="BL1237" s="4"/>
      <c r="BM1237" s="4"/>
      <c r="BN1237" s="4"/>
      <c r="BO1237" s="4"/>
      <c r="BP1237" s="39"/>
      <c r="BQ1237" s="39"/>
    </row>
    <row r="1238" spans="3:69" ht="15.75" customHeight="1">
      <c r="C1238" s="4"/>
      <c r="D1238" s="4"/>
      <c r="E1238" s="38"/>
      <c r="F1238" s="38"/>
      <c r="G1238" s="4"/>
      <c r="H1238" s="4"/>
      <c r="I1238" s="4"/>
      <c r="J1238" s="4"/>
      <c r="K1238" s="4"/>
      <c r="L1238" s="4"/>
      <c r="M1238" s="4"/>
      <c r="N1238" s="38"/>
      <c r="O1238" s="4"/>
      <c r="P1238" s="4"/>
      <c r="Q1238" s="4"/>
      <c r="R1238" s="4"/>
      <c r="S1238" s="4"/>
      <c r="T1238" s="38"/>
      <c r="U1238" s="4"/>
      <c r="V1238" s="4"/>
      <c r="W1238" s="4"/>
      <c r="X1238" s="4"/>
      <c r="Y1238" s="4"/>
      <c r="Z1238" s="4"/>
      <c r="AA1238" s="4"/>
      <c r="AB1238" s="4"/>
      <c r="AC1238" s="4"/>
      <c r="AD1238" s="4"/>
      <c r="AE1238" s="4"/>
      <c r="AF1238" s="4"/>
      <c r="AG1238" s="4"/>
      <c r="AH1238" s="4"/>
      <c r="AI1238" s="4"/>
      <c r="AJ1238" s="4"/>
      <c r="AK1238" s="4"/>
      <c r="AL1238" s="4"/>
      <c r="AM1238" s="38"/>
      <c r="AN1238" s="4"/>
      <c r="AO1238" s="4"/>
      <c r="AP1238" s="4"/>
      <c r="AQ1238" s="4"/>
      <c r="AR1238" s="4"/>
      <c r="AS1238" s="4"/>
      <c r="AT1238" s="4"/>
      <c r="AU1238" s="4"/>
      <c r="AV1238" s="4"/>
      <c r="AW1238" s="4"/>
      <c r="AX1238" s="4"/>
      <c r="AY1238" s="4"/>
      <c r="AZ1238" s="4"/>
      <c r="BA1238" s="4"/>
      <c r="BB1238" s="4"/>
      <c r="BC1238" s="4"/>
      <c r="BD1238" s="4"/>
      <c r="BE1238" s="4"/>
      <c r="BF1238" s="4"/>
      <c r="BG1238" s="4"/>
      <c r="BH1238" s="4"/>
      <c r="BI1238" s="4"/>
      <c r="BJ1238" s="4"/>
      <c r="BK1238" s="4"/>
      <c r="BL1238" s="4"/>
      <c r="BM1238" s="4"/>
      <c r="BN1238" s="4"/>
      <c r="BO1238" s="4"/>
      <c r="BP1238" s="39"/>
      <c r="BQ1238" s="39"/>
    </row>
    <row r="1239" spans="3:69" ht="15.75" customHeight="1">
      <c r="C1239" s="4"/>
      <c r="D1239" s="4"/>
      <c r="E1239" s="38"/>
      <c r="F1239" s="38"/>
      <c r="G1239" s="4"/>
      <c r="H1239" s="4"/>
      <c r="I1239" s="4"/>
      <c r="J1239" s="4"/>
      <c r="K1239" s="4"/>
      <c r="L1239" s="4"/>
      <c r="M1239" s="4"/>
      <c r="N1239" s="38"/>
      <c r="O1239" s="4"/>
      <c r="P1239" s="4"/>
      <c r="Q1239" s="4"/>
      <c r="R1239" s="4"/>
      <c r="S1239" s="4"/>
      <c r="T1239" s="38"/>
      <c r="U1239" s="4"/>
      <c r="V1239" s="4"/>
      <c r="W1239" s="4"/>
      <c r="X1239" s="4"/>
      <c r="Y1239" s="4"/>
      <c r="Z1239" s="4"/>
      <c r="AA1239" s="4"/>
      <c r="AB1239" s="4"/>
      <c r="AC1239" s="4"/>
      <c r="AD1239" s="4"/>
      <c r="AE1239" s="4"/>
      <c r="AF1239" s="4"/>
      <c r="AG1239" s="4"/>
      <c r="AH1239" s="4"/>
      <c r="AI1239" s="4"/>
      <c r="AJ1239" s="4"/>
      <c r="AK1239" s="4"/>
      <c r="AL1239" s="4"/>
      <c r="AM1239" s="38"/>
      <c r="AN1239" s="4"/>
      <c r="AO1239" s="4"/>
      <c r="AP1239" s="4"/>
      <c r="AQ1239" s="4"/>
      <c r="AR1239" s="4"/>
      <c r="AS1239" s="4"/>
      <c r="AT1239" s="4"/>
      <c r="AU1239" s="4"/>
      <c r="AV1239" s="4"/>
      <c r="AW1239" s="4"/>
      <c r="AX1239" s="4"/>
      <c r="AY1239" s="4"/>
      <c r="AZ1239" s="4"/>
      <c r="BA1239" s="4"/>
      <c r="BB1239" s="4"/>
      <c r="BC1239" s="4"/>
      <c r="BD1239" s="4"/>
      <c r="BE1239" s="4"/>
      <c r="BF1239" s="4"/>
      <c r="BG1239" s="4"/>
      <c r="BH1239" s="4"/>
      <c r="BI1239" s="4"/>
      <c r="BJ1239" s="4"/>
      <c r="BK1239" s="4"/>
      <c r="BL1239" s="4"/>
      <c r="BM1239" s="4"/>
      <c r="BN1239" s="4"/>
      <c r="BO1239" s="4"/>
      <c r="BP1239" s="39"/>
      <c r="BQ1239" s="39"/>
    </row>
    <row r="1240" spans="3:69" ht="15.75" customHeight="1">
      <c r="C1240" s="4"/>
      <c r="D1240" s="4"/>
      <c r="E1240" s="38"/>
      <c r="F1240" s="38"/>
      <c r="G1240" s="4"/>
      <c r="H1240" s="4"/>
      <c r="I1240" s="4"/>
      <c r="J1240" s="4"/>
      <c r="K1240" s="4"/>
      <c r="L1240" s="4"/>
      <c r="M1240" s="4"/>
      <c r="N1240" s="38"/>
      <c r="O1240" s="4"/>
      <c r="P1240" s="4"/>
      <c r="Q1240" s="4"/>
      <c r="R1240" s="4"/>
      <c r="S1240" s="4"/>
      <c r="T1240" s="38"/>
      <c r="U1240" s="4"/>
      <c r="V1240" s="4"/>
      <c r="W1240" s="4"/>
      <c r="X1240" s="4"/>
      <c r="Y1240" s="4"/>
      <c r="Z1240" s="4"/>
      <c r="AA1240" s="4"/>
      <c r="AB1240" s="4"/>
      <c r="AC1240" s="4"/>
      <c r="AD1240" s="4"/>
      <c r="AE1240" s="4"/>
      <c r="AF1240" s="4"/>
      <c r="AG1240" s="4"/>
      <c r="AH1240" s="4"/>
      <c r="AI1240" s="4"/>
      <c r="AJ1240" s="4"/>
      <c r="AK1240" s="4"/>
      <c r="AL1240" s="4"/>
      <c r="AM1240" s="38"/>
      <c r="AN1240" s="4"/>
      <c r="AO1240" s="4"/>
      <c r="AP1240" s="4"/>
      <c r="AQ1240" s="4"/>
      <c r="AR1240" s="4"/>
      <c r="AS1240" s="4"/>
      <c r="AT1240" s="4"/>
      <c r="AU1240" s="4"/>
      <c r="AV1240" s="4"/>
      <c r="AW1240" s="4"/>
      <c r="AX1240" s="4"/>
      <c r="AY1240" s="4"/>
      <c r="AZ1240" s="4"/>
      <c r="BA1240" s="4"/>
      <c r="BB1240" s="4"/>
      <c r="BC1240" s="4"/>
      <c r="BD1240" s="4"/>
      <c r="BE1240" s="4"/>
      <c r="BF1240" s="4"/>
      <c r="BG1240" s="4"/>
      <c r="BH1240" s="4"/>
      <c r="BI1240" s="4"/>
      <c r="BJ1240" s="4"/>
      <c r="BK1240" s="4"/>
      <c r="BL1240" s="4"/>
      <c r="BM1240" s="4"/>
      <c r="BN1240" s="4"/>
      <c r="BO1240" s="4"/>
      <c r="BP1240" s="39"/>
      <c r="BQ1240" s="39"/>
    </row>
    <row r="1241" spans="3:69" ht="15.75" customHeight="1">
      <c r="C1241" s="4"/>
      <c r="D1241" s="4"/>
      <c r="E1241" s="38"/>
      <c r="F1241" s="38"/>
      <c r="G1241" s="4"/>
      <c r="H1241" s="4"/>
      <c r="I1241" s="4"/>
      <c r="J1241" s="4"/>
      <c r="K1241" s="4"/>
      <c r="L1241" s="4"/>
      <c r="M1241" s="4"/>
      <c r="N1241" s="38"/>
      <c r="O1241" s="4"/>
      <c r="P1241" s="4"/>
      <c r="Q1241" s="4"/>
      <c r="R1241" s="4"/>
      <c r="S1241" s="4"/>
      <c r="T1241" s="38"/>
      <c r="U1241" s="4"/>
      <c r="V1241" s="4"/>
      <c r="W1241" s="4"/>
      <c r="X1241" s="4"/>
      <c r="Y1241" s="4"/>
      <c r="Z1241" s="4"/>
      <c r="AA1241" s="4"/>
      <c r="AB1241" s="4"/>
      <c r="AC1241" s="4"/>
      <c r="AD1241" s="4"/>
      <c r="AE1241" s="4"/>
      <c r="AF1241" s="4"/>
      <c r="AG1241" s="4"/>
      <c r="AH1241" s="4"/>
      <c r="AI1241" s="4"/>
      <c r="AJ1241" s="4"/>
      <c r="AK1241" s="4"/>
      <c r="AL1241" s="4"/>
      <c r="AM1241" s="38"/>
      <c r="AN1241" s="4"/>
      <c r="AO1241" s="4"/>
      <c r="AP1241" s="4"/>
      <c r="AQ1241" s="4"/>
      <c r="AR1241" s="4"/>
      <c r="AS1241" s="4"/>
      <c r="AT1241" s="4"/>
      <c r="AU1241" s="4"/>
      <c r="AV1241" s="4"/>
      <c r="AW1241" s="4"/>
      <c r="AX1241" s="4"/>
      <c r="AY1241" s="4"/>
      <c r="AZ1241" s="4"/>
      <c r="BA1241" s="4"/>
      <c r="BB1241" s="4"/>
      <c r="BC1241" s="4"/>
      <c r="BD1241" s="4"/>
      <c r="BE1241" s="4"/>
      <c r="BF1241" s="4"/>
      <c r="BG1241" s="4"/>
      <c r="BH1241" s="4"/>
      <c r="BI1241" s="4"/>
      <c r="BJ1241" s="4"/>
      <c r="BK1241" s="4"/>
      <c r="BL1241" s="4"/>
      <c r="BM1241" s="4"/>
      <c r="BN1241" s="4"/>
      <c r="BO1241" s="4"/>
      <c r="BP1241" s="39"/>
      <c r="BQ1241" s="39"/>
    </row>
    <row r="1242" spans="3:69" ht="15.75" customHeight="1">
      <c r="C1242" s="4"/>
      <c r="D1242" s="4"/>
      <c r="E1242" s="38"/>
      <c r="F1242" s="38"/>
      <c r="G1242" s="4"/>
      <c r="H1242" s="4"/>
      <c r="I1242" s="4"/>
      <c r="J1242" s="4"/>
      <c r="K1242" s="4"/>
      <c r="L1242" s="4"/>
      <c r="M1242" s="4"/>
      <c r="N1242" s="38"/>
      <c r="O1242" s="4"/>
      <c r="P1242" s="4"/>
      <c r="Q1242" s="4"/>
      <c r="R1242" s="4"/>
      <c r="S1242" s="4"/>
      <c r="T1242" s="38"/>
      <c r="U1242" s="4"/>
      <c r="V1242" s="4"/>
      <c r="W1242" s="4"/>
      <c r="X1242" s="4"/>
      <c r="Y1242" s="4"/>
      <c r="Z1242" s="4"/>
      <c r="AA1242" s="4"/>
      <c r="AB1242" s="4"/>
      <c r="AC1242" s="4"/>
      <c r="AD1242" s="4"/>
      <c r="AE1242" s="4"/>
      <c r="AF1242" s="4"/>
      <c r="AG1242" s="4"/>
      <c r="AH1242" s="4"/>
      <c r="AI1242" s="4"/>
      <c r="AJ1242" s="4"/>
      <c r="AK1242" s="4"/>
      <c r="AL1242" s="4"/>
      <c r="AM1242" s="38"/>
      <c r="AN1242" s="4"/>
      <c r="AO1242" s="4"/>
      <c r="AP1242" s="4"/>
      <c r="AQ1242" s="4"/>
      <c r="AR1242" s="4"/>
      <c r="AS1242" s="4"/>
      <c r="AT1242" s="4"/>
      <c r="AU1242" s="4"/>
      <c r="AV1242" s="4"/>
      <c r="AW1242" s="4"/>
      <c r="AX1242" s="4"/>
      <c r="AY1242" s="4"/>
      <c r="AZ1242" s="4"/>
      <c r="BA1242" s="4"/>
      <c r="BB1242" s="4"/>
      <c r="BC1242" s="4"/>
      <c r="BD1242" s="4"/>
      <c r="BE1242" s="4"/>
      <c r="BF1242" s="4"/>
      <c r="BG1242" s="4"/>
      <c r="BH1242" s="4"/>
      <c r="BI1242" s="4"/>
      <c r="BJ1242" s="4"/>
      <c r="BK1242" s="4"/>
      <c r="BL1242" s="4"/>
      <c r="BM1242" s="4"/>
      <c r="BN1242" s="4"/>
      <c r="BO1242" s="4"/>
      <c r="BP1242" s="39"/>
      <c r="BQ1242" s="39"/>
    </row>
    <row r="1243" spans="3:69" ht="15.75" customHeight="1">
      <c r="C1243" s="4"/>
      <c r="D1243" s="4"/>
      <c r="E1243" s="38"/>
      <c r="F1243" s="38"/>
      <c r="G1243" s="4"/>
      <c r="H1243" s="4"/>
      <c r="I1243" s="4"/>
      <c r="J1243" s="4"/>
      <c r="K1243" s="4"/>
      <c r="L1243" s="4"/>
      <c r="M1243" s="4"/>
      <c r="N1243" s="38"/>
      <c r="O1243" s="4"/>
      <c r="P1243" s="4"/>
      <c r="Q1243" s="4"/>
      <c r="R1243" s="4"/>
      <c r="S1243" s="4"/>
      <c r="T1243" s="38"/>
      <c r="U1243" s="4"/>
      <c r="V1243" s="4"/>
      <c r="W1243" s="4"/>
      <c r="X1243" s="4"/>
      <c r="Y1243" s="4"/>
      <c r="Z1243" s="4"/>
      <c r="AA1243" s="4"/>
      <c r="AB1243" s="4"/>
      <c r="AC1243" s="4"/>
      <c r="AD1243" s="4"/>
      <c r="AE1243" s="4"/>
      <c r="AF1243" s="4"/>
      <c r="AG1243" s="4"/>
      <c r="AH1243" s="4"/>
      <c r="AI1243" s="4"/>
      <c r="AJ1243" s="4"/>
      <c r="AK1243" s="4"/>
      <c r="AL1243" s="4"/>
      <c r="AM1243" s="38"/>
      <c r="AN1243" s="4"/>
      <c r="AO1243" s="4"/>
      <c r="AP1243" s="4"/>
      <c r="AQ1243" s="4"/>
      <c r="AR1243" s="4"/>
      <c r="AS1243" s="4"/>
      <c r="AT1243" s="4"/>
      <c r="AU1243" s="4"/>
      <c r="AV1243" s="4"/>
      <c r="AW1243" s="4"/>
      <c r="AX1243" s="4"/>
      <c r="AY1243" s="4"/>
      <c r="AZ1243" s="4"/>
      <c r="BA1243" s="4"/>
      <c r="BB1243" s="4"/>
      <c r="BC1243" s="4"/>
      <c r="BD1243" s="4"/>
      <c r="BE1243" s="4"/>
      <c r="BF1243" s="4"/>
      <c r="BG1243" s="4"/>
      <c r="BH1243" s="4"/>
      <c r="BI1243" s="4"/>
      <c r="BJ1243" s="4"/>
      <c r="BK1243" s="4"/>
      <c r="BL1243" s="4"/>
      <c r="BM1243" s="4"/>
      <c r="BN1243" s="4"/>
      <c r="BO1243" s="4"/>
      <c r="BP1243" s="39"/>
      <c r="BQ1243" s="39"/>
    </row>
    <row r="1244" spans="3:69" ht="15.75" customHeight="1">
      <c r="C1244" s="4"/>
      <c r="D1244" s="4"/>
      <c r="E1244" s="38"/>
      <c r="F1244" s="38"/>
      <c r="G1244" s="4"/>
      <c r="H1244" s="4"/>
      <c r="I1244" s="4"/>
      <c r="J1244" s="4"/>
      <c r="K1244" s="4"/>
      <c r="L1244" s="4"/>
      <c r="M1244" s="4"/>
      <c r="N1244" s="38"/>
      <c r="O1244" s="4"/>
      <c r="P1244" s="4"/>
      <c r="Q1244" s="4"/>
      <c r="R1244" s="4"/>
      <c r="S1244" s="4"/>
      <c r="T1244" s="38"/>
      <c r="U1244" s="4"/>
      <c r="V1244" s="4"/>
      <c r="W1244" s="4"/>
      <c r="X1244" s="4"/>
      <c r="Y1244" s="4"/>
      <c r="Z1244" s="4"/>
      <c r="AA1244" s="4"/>
      <c r="AB1244" s="4"/>
      <c r="AC1244" s="4"/>
      <c r="AD1244" s="4"/>
      <c r="AE1244" s="4"/>
      <c r="AF1244" s="4"/>
      <c r="AG1244" s="4"/>
      <c r="AH1244" s="4"/>
      <c r="AI1244" s="4"/>
      <c r="AJ1244" s="4"/>
      <c r="AK1244" s="4"/>
      <c r="AL1244" s="4"/>
      <c r="AM1244" s="38"/>
      <c r="AN1244" s="4"/>
      <c r="AO1244" s="4"/>
      <c r="AP1244" s="4"/>
      <c r="AQ1244" s="4"/>
      <c r="AR1244" s="4"/>
      <c r="AS1244" s="4"/>
      <c r="AT1244" s="4"/>
      <c r="AU1244" s="4"/>
      <c r="AV1244" s="4"/>
      <c r="AW1244" s="4"/>
      <c r="AX1244" s="4"/>
      <c r="AY1244" s="4"/>
      <c r="AZ1244" s="4"/>
      <c r="BA1244" s="4"/>
      <c r="BB1244" s="4"/>
      <c r="BC1244" s="4"/>
      <c r="BD1244" s="4"/>
      <c r="BE1244" s="4"/>
      <c r="BF1244" s="4"/>
      <c r="BG1244" s="4"/>
      <c r="BH1244" s="4"/>
      <c r="BI1244" s="4"/>
      <c r="BJ1244" s="4"/>
      <c r="BK1244" s="4"/>
      <c r="BL1244" s="4"/>
      <c r="BM1244" s="4"/>
      <c r="BN1244" s="4"/>
      <c r="BO1244" s="4"/>
      <c r="BP1244" s="39"/>
      <c r="BQ1244" s="39"/>
    </row>
    <row r="1245" spans="3:69" ht="15.75" customHeight="1">
      <c r="C1245" s="4"/>
      <c r="D1245" s="4"/>
      <c r="E1245" s="38"/>
      <c r="F1245" s="38"/>
      <c r="G1245" s="4"/>
      <c r="H1245" s="4"/>
      <c r="I1245" s="4"/>
      <c r="J1245" s="4"/>
      <c r="K1245" s="4"/>
      <c r="L1245" s="4"/>
      <c r="M1245" s="4"/>
      <c r="N1245" s="38"/>
      <c r="O1245" s="4"/>
      <c r="P1245" s="4"/>
      <c r="Q1245" s="4"/>
      <c r="R1245" s="4"/>
      <c r="S1245" s="4"/>
      <c r="T1245" s="38"/>
      <c r="U1245" s="4"/>
      <c r="V1245" s="4"/>
      <c r="W1245" s="4"/>
      <c r="X1245" s="4"/>
      <c r="Y1245" s="4"/>
      <c r="Z1245" s="4"/>
      <c r="AA1245" s="4"/>
      <c r="AB1245" s="4"/>
      <c r="AC1245" s="4"/>
      <c r="AD1245" s="4"/>
      <c r="AE1245" s="4"/>
      <c r="AF1245" s="4"/>
      <c r="AG1245" s="4"/>
      <c r="AH1245" s="4"/>
      <c r="AI1245" s="4"/>
      <c r="AJ1245" s="4"/>
      <c r="AK1245" s="4"/>
      <c r="AL1245" s="4"/>
      <c r="AM1245" s="38"/>
      <c r="AN1245" s="4"/>
      <c r="AO1245" s="4"/>
      <c r="AP1245" s="4"/>
      <c r="AQ1245" s="4"/>
      <c r="AR1245" s="4"/>
      <c r="AS1245" s="4"/>
      <c r="AT1245" s="4"/>
      <c r="AU1245" s="4"/>
      <c r="AV1245" s="4"/>
      <c r="AW1245" s="4"/>
      <c r="AX1245" s="4"/>
      <c r="AY1245" s="4"/>
      <c r="AZ1245" s="4"/>
      <c r="BA1245" s="4"/>
      <c r="BB1245" s="4"/>
      <c r="BC1245" s="4"/>
      <c r="BD1245" s="4"/>
      <c r="BE1245" s="4"/>
      <c r="BF1245" s="4"/>
      <c r="BG1245" s="4"/>
      <c r="BH1245" s="4"/>
      <c r="BI1245" s="4"/>
      <c r="BJ1245" s="4"/>
      <c r="BK1245" s="4"/>
      <c r="BL1245" s="4"/>
      <c r="BM1245" s="4"/>
      <c r="BN1245" s="4"/>
      <c r="BO1245" s="4"/>
      <c r="BP1245" s="39"/>
      <c r="BQ1245" s="39"/>
    </row>
    <row r="1246" spans="3:69" ht="15.75" customHeight="1">
      <c r="C1246" s="4"/>
      <c r="D1246" s="4"/>
      <c r="E1246" s="38"/>
      <c r="F1246" s="38"/>
      <c r="G1246" s="4"/>
      <c r="H1246" s="4"/>
      <c r="I1246" s="4"/>
      <c r="J1246" s="4"/>
      <c r="K1246" s="4"/>
      <c r="L1246" s="4"/>
      <c r="M1246" s="4"/>
      <c r="N1246" s="38"/>
      <c r="O1246" s="4"/>
      <c r="P1246" s="4"/>
      <c r="Q1246" s="4"/>
      <c r="R1246" s="4"/>
      <c r="S1246" s="4"/>
      <c r="T1246" s="38"/>
      <c r="U1246" s="4"/>
      <c r="V1246" s="4"/>
      <c r="W1246" s="4"/>
      <c r="X1246" s="4"/>
      <c r="Y1246" s="4"/>
      <c r="Z1246" s="4"/>
      <c r="AA1246" s="4"/>
      <c r="AB1246" s="4"/>
      <c r="AC1246" s="4"/>
      <c r="AD1246" s="4"/>
      <c r="AE1246" s="4"/>
      <c r="AF1246" s="4"/>
      <c r="AG1246" s="4"/>
      <c r="AH1246" s="4"/>
      <c r="AI1246" s="4"/>
      <c r="AJ1246" s="4"/>
      <c r="AK1246" s="4"/>
      <c r="AL1246" s="4"/>
      <c r="AM1246" s="38"/>
      <c r="AN1246" s="4"/>
      <c r="AO1246" s="4"/>
      <c r="AP1246" s="4"/>
      <c r="AQ1246" s="4"/>
      <c r="AR1246" s="4"/>
      <c r="AS1246" s="4"/>
      <c r="AT1246" s="4"/>
      <c r="AU1246" s="4"/>
      <c r="AV1246" s="4"/>
      <c r="AW1246" s="4"/>
      <c r="AX1246" s="4"/>
      <c r="AY1246" s="4"/>
      <c r="AZ1246" s="4"/>
      <c r="BA1246" s="4"/>
      <c r="BB1246" s="4"/>
      <c r="BC1246" s="4"/>
      <c r="BD1246" s="4"/>
      <c r="BE1246" s="4"/>
      <c r="BF1246" s="4"/>
      <c r="BG1246" s="4"/>
      <c r="BH1246" s="4"/>
      <c r="BI1246" s="4"/>
      <c r="BJ1246" s="4"/>
      <c r="BK1246" s="4"/>
      <c r="BL1246" s="4"/>
      <c r="BM1246" s="4"/>
      <c r="BN1246" s="4"/>
      <c r="BO1246" s="4"/>
      <c r="BP1246" s="39"/>
      <c r="BQ1246" s="39"/>
    </row>
    <row r="1247" spans="3:69" ht="15.75" customHeight="1">
      <c r="C1247" s="4"/>
      <c r="D1247" s="4"/>
      <c r="E1247" s="38"/>
      <c r="F1247" s="38"/>
      <c r="G1247" s="4"/>
      <c r="H1247" s="4"/>
      <c r="I1247" s="4"/>
      <c r="J1247" s="4"/>
      <c r="K1247" s="4"/>
      <c r="L1247" s="4"/>
      <c r="M1247" s="4"/>
      <c r="N1247" s="38"/>
      <c r="O1247" s="4"/>
      <c r="P1247" s="4"/>
      <c r="Q1247" s="4"/>
      <c r="R1247" s="4"/>
      <c r="S1247" s="4"/>
      <c r="T1247" s="38"/>
      <c r="U1247" s="4"/>
      <c r="V1247" s="4"/>
      <c r="W1247" s="4"/>
      <c r="X1247" s="4"/>
      <c r="Y1247" s="4"/>
      <c r="Z1247" s="4"/>
      <c r="AA1247" s="4"/>
      <c r="AB1247" s="4"/>
      <c r="AC1247" s="4"/>
      <c r="AD1247" s="4"/>
      <c r="AE1247" s="4"/>
      <c r="AF1247" s="4"/>
      <c r="AG1247" s="4"/>
      <c r="AH1247" s="4"/>
      <c r="AI1247" s="4"/>
      <c r="AJ1247" s="4"/>
      <c r="AK1247" s="4"/>
      <c r="AL1247" s="4"/>
      <c r="AM1247" s="38"/>
      <c r="AN1247" s="4"/>
      <c r="AO1247" s="4"/>
      <c r="AP1247" s="4"/>
      <c r="AQ1247" s="4"/>
      <c r="AR1247" s="4"/>
      <c r="AS1247" s="4"/>
      <c r="AT1247" s="4"/>
      <c r="AU1247" s="4"/>
      <c r="AV1247" s="4"/>
      <c r="AW1247" s="4"/>
      <c r="AX1247" s="4"/>
      <c r="AY1247" s="4"/>
      <c r="AZ1247" s="4"/>
      <c r="BA1247" s="4"/>
      <c r="BB1247" s="4"/>
      <c r="BC1247" s="4"/>
      <c r="BD1247" s="4"/>
      <c r="BE1247" s="4"/>
      <c r="BF1247" s="4"/>
      <c r="BG1247" s="4"/>
      <c r="BH1247" s="4"/>
      <c r="BI1247" s="4"/>
      <c r="BJ1247" s="4"/>
      <c r="BK1247" s="4"/>
      <c r="BL1247" s="4"/>
      <c r="BM1247" s="4"/>
      <c r="BN1247" s="4"/>
      <c r="BO1247" s="4"/>
      <c r="BP1247" s="39"/>
      <c r="BQ1247" s="39"/>
    </row>
    <row r="1248" spans="3:69" ht="15.75" customHeight="1">
      <c r="C1248" s="4"/>
      <c r="D1248" s="4"/>
      <c r="E1248" s="38"/>
      <c r="F1248" s="38"/>
      <c r="G1248" s="4"/>
      <c r="H1248" s="4"/>
      <c r="I1248" s="4"/>
      <c r="J1248" s="4"/>
      <c r="K1248" s="4"/>
      <c r="L1248" s="4"/>
      <c r="M1248" s="4"/>
      <c r="N1248" s="38"/>
      <c r="O1248" s="4"/>
      <c r="P1248" s="4"/>
      <c r="Q1248" s="4"/>
      <c r="R1248" s="4"/>
      <c r="S1248" s="4"/>
      <c r="T1248" s="38"/>
      <c r="U1248" s="4"/>
      <c r="V1248" s="4"/>
      <c r="W1248" s="4"/>
      <c r="X1248" s="4"/>
      <c r="Y1248" s="4"/>
      <c r="Z1248" s="4"/>
      <c r="AA1248" s="4"/>
      <c r="AB1248" s="4"/>
      <c r="AC1248" s="4"/>
      <c r="AD1248" s="4"/>
      <c r="AE1248" s="4"/>
      <c r="AF1248" s="4"/>
      <c r="AG1248" s="4"/>
      <c r="AH1248" s="4"/>
      <c r="AI1248" s="4"/>
      <c r="AJ1248" s="4"/>
      <c r="AK1248" s="4"/>
      <c r="AL1248" s="4"/>
      <c r="AM1248" s="38"/>
      <c r="AN1248" s="4"/>
      <c r="AO1248" s="4"/>
      <c r="AP1248" s="4"/>
      <c r="AQ1248" s="4"/>
      <c r="AR1248" s="4"/>
      <c r="AS1248" s="4"/>
      <c r="AT1248" s="4"/>
      <c r="AU1248" s="4"/>
      <c r="AV1248" s="4"/>
      <c r="AW1248" s="4"/>
      <c r="AX1248" s="4"/>
      <c r="AY1248" s="4"/>
      <c r="AZ1248" s="4"/>
      <c r="BA1248" s="4"/>
      <c r="BB1248" s="4"/>
      <c r="BC1248" s="4"/>
      <c r="BD1248" s="4"/>
      <c r="BE1248" s="4"/>
      <c r="BF1248" s="4"/>
      <c r="BG1248" s="4"/>
      <c r="BH1248" s="4"/>
      <c r="BI1248" s="4"/>
      <c r="BJ1248" s="4"/>
      <c r="BK1248" s="4"/>
      <c r="BL1248" s="4"/>
      <c r="BM1248" s="4"/>
      <c r="BN1248" s="4"/>
      <c r="BO1248" s="4"/>
      <c r="BP1248" s="39"/>
      <c r="BQ1248" s="39"/>
    </row>
    <row r="1249" spans="3:69" ht="15.75" customHeight="1">
      <c r="C1249" s="4"/>
      <c r="D1249" s="4"/>
      <c r="E1249" s="38"/>
      <c r="F1249" s="38"/>
      <c r="G1249" s="4"/>
      <c r="H1249" s="4"/>
      <c r="I1249" s="4"/>
      <c r="J1249" s="4"/>
      <c r="K1249" s="4"/>
      <c r="L1249" s="4"/>
      <c r="M1249" s="4"/>
      <c r="N1249" s="38"/>
      <c r="O1249" s="4"/>
      <c r="P1249" s="4"/>
      <c r="Q1249" s="4"/>
      <c r="R1249" s="4"/>
      <c r="S1249" s="4"/>
      <c r="T1249" s="38"/>
      <c r="U1249" s="4"/>
      <c r="V1249" s="4"/>
      <c r="W1249" s="4"/>
      <c r="X1249" s="4"/>
      <c r="Y1249" s="4"/>
      <c r="Z1249" s="4"/>
      <c r="AA1249" s="4"/>
      <c r="AB1249" s="4"/>
      <c r="AC1249" s="4"/>
      <c r="AD1249" s="4"/>
      <c r="AE1249" s="4"/>
      <c r="AF1249" s="4"/>
      <c r="AG1249" s="4"/>
      <c r="AH1249" s="4"/>
      <c r="AI1249" s="4"/>
      <c r="AJ1249" s="4"/>
      <c r="AK1249" s="4"/>
      <c r="AL1249" s="4"/>
      <c r="AM1249" s="38"/>
      <c r="AN1249" s="4"/>
      <c r="AO1249" s="4"/>
      <c r="AP1249" s="4"/>
      <c r="AQ1249" s="4"/>
      <c r="AR1249" s="4"/>
      <c r="AS1249" s="4"/>
      <c r="AT1249" s="4"/>
      <c r="AU1249" s="4"/>
      <c r="AV1249" s="4"/>
      <c r="AW1249" s="4"/>
      <c r="AX1249" s="4"/>
      <c r="AY1249" s="4"/>
      <c r="AZ1249" s="4"/>
      <c r="BA1249" s="4"/>
      <c r="BB1249" s="4"/>
      <c r="BC1249" s="4"/>
      <c r="BD1249" s="4"/>
      <c r="BE1249" s="4"/>
      <c r="BF1249" s="4"/>
      <c r="BG1249" s="4"/>
      <c r="BH1249" s="4"/>
      <c r="BI1249" s="4"/>
      <c r="BJ1249" s="4"/>
      <c r="BK1249" s="4"/>
      <c r="BL1249" s="4"/>
      <c r="BM1249" s="4"/>
      <c r="BN1249" s="4"/>
      <c r="BO1249" s="4"/>
      <c r="BP1249" s="39"/>
      <c r="BQ1249" s="39"/>
    </row>
    <row r="1250" spans="3:69" ht="15.75" customHeight="1">
      <c r="C1250" s="4"/>
      <c r="D1250" s="4"/>
      <c r="E1250" s="38"/>
      <c r="F1250" s="38"/>
      <c r="G1250" s="4"/>
      <c r="H1250" s="4"/>
      <c r="I1250" s="4"/>
      <c r="J1250" s="4"/>
      <c r="K1250" s="4"/>
      <c r="L1250" s="4"/>
      <c r="M1250" s="4"/>
      <c r="N1250" s="38"/>
      <c r="O1250" s="4"/>
      <c r="P1250" s="4"/>
      <c r="Q1250" s="4"/>
      <c r="R1250" s="4"/>
      <c r="S1250" s="4"/>
      <c r="T1250" s="38"/>
      <c r="U1250" s="4"/>
      <c r="V1250" s="4"/>
      <c r="W1250" s="4"/>
      <c r="X1250" s="4"/>
      <c r="Y1250" s="4"/>
      <c r="Z1250" s="4"/>
      <c r="AA1250" s="4"/>
      <c r="AB1250" s="4"/>
      <c r="AC1250" s="4"/>
      <c r="AD1250" s="4"/>
      <c r="AE1250" s="4"/>
      <c r="AF1250" s="4"/>
      <c r="AG1250" s="4"/>
      <c r="AH1250" s="4"/>
      <c r="AI1250" s="4"/>
      <c r="AJ1250" s="4"/>
      <c r="AK1250" s="4"/>
      <c r="AL1250" s="4"/>
      <c r="AM1250" s="38"/>
      <c r="AN1250" s="4"/>
      <c r="AO1250" s="4"/>
      <c r="AP1250" s="4"/>
      <c r="AQ1250" s="4"/>
      <c r="AR1250" s="4"/>
      <c r="AS1250" s="4"/>
      <c r="AT1250" s="4"/>
      <c r="AU1250" s="4"/>
      <c r="AV1250" s="4"/>
      <c r="AW1250" s="4"/>
      <c r="AX1250" s="4"/>
      <c r="AY1250" s="4"/>
      <c r="AZ1250" s="4"/>
      <c r="BA1250" s="4"/>
      <c r="BB1250" s="4"/>
      <c r="BC1250" s="4"/>
      <c r="BD1250" s="4"/>
      <c r="BE1250" s="4"/>
      <c r="BF1250" s="4"/>
      <c r="BG1250" s="4"/>
      <c r="BH1250" s="4"/>
      <c r="BI1250" s="4"/>
      <c r="BJ1250" s="4"/>
      <c r="BK1250" s="4"/>
      <c r="BL1250" s="4"/>
      <c r="BM1250" s="4"/>
      <c r="BN1250" s="4"/>
      <c r="BO1250" s="4"/>
      <c r="BP1250" s="39"/>
      <c r="BQ1250" s="39"/>
    </row>
    <row r="1251" spans="3:69" ht="15.75" customHeight="1">
      <c r="C1251" s="4"/>
      <c r="D1251" s="4"/>
      <c r="E1251" s="38"/>
      <c r="F1251" s="38"/>
      <c r="G1251" s="4"/>
      <c r="H1251" s="4"/>
      <c r="I1251" s="4"/>
      <c r="J1251" s="4"/>
      <c r="K1251" s="4"/>
      <c r="L1251" s="4"/>
      <c r="M1251" s="4"/>
      <c r="N1251" s="38"/>
      <c r="O1251" s="4"/>
      <c r="P1251" s="4"/>
      <c r="Q1251" s="4"/>
      <c r="R1251" s="4"/>
      <c r="S1251" s="4"/>
      <c r="T1251" s="38"/>
      <c r="U1251" s="4"/>
      <c r="V1251" s="4"/>
      <c r="W1251" s="4"/>
      <c r="X1251" s="4"/>
      <c r="Y1251" s="4"/>
      <c r="Z1251" s="4"/>
      <c r="AA1251" s="4"/>
      <c r="AB1251" s="4"/>
      <c r="AC1251" s="4"/>
      <c r="AD1251" s="4"/>
      <c r="AE1251" s="4"/>
      <c r="AF1251" s="4"/>
      <c r="AG1251" s="4"/>
      <c r="AH1251" s="4"/>
      <c r="AI1251" s="4"/>
      <c r="AJ1251" s="4"/>
      <c r="AK1251" s="4"/>
      <c r="AL1251" s="4"/>
      <c r="AM1251" s="38"/>
      <c r="AN1251" s="4"/>
      <c r="AO1251" s="4"/>
      <c r="AP1251" s="4"/>
      <c r="AQ1251" s="4"/>
      <c r="AR1251" s="4"/>
      <c r="AS1251" s="4"/>
      <c r="AT1251" s="4"/>
      <c r="AU1251" s="4"/>
      <c r="AV1251" s="4"/>
      <c r="AW1251" s="4"/>
      <c r="AX1251" s="4"/>
      <c r="AY1251" s="4"/>
      <c r="AZ1251" s="4"/>
      <c r="BA1251" s="4"/>
      <c r="BB1251" s="4"/>
      <c r="BC1251" s="4"/>
      <c r="BD1251" s="4"/>
      <c r="BE1251" s="4"/>
      <c r="BF1251" s="4"/>
      <c r="BG1251" s="4"/>
      <c r="BH1251" s="4"/>
      <c r="BI1251" s="4"/>
      <c r="BJ1251" s="4"/>
      <c r="BK1251" s="4"/>
      <c r="BL1251" s="4"/>
      <c r="BM1251" s="4"/>
      <c r="BN1251" s="4"/>
      <c r="BO1251" s="4"/>
      <c r="BP1251" s="39"/>
      <c r="BQ1251" s="39"/>
    </row>
    <row r="1252" spans="3:69" ht="15.75" customHeight="1">
      <c r="C1252" s="4"/>
      <c r="D1252" s="4"/>
      <c r="E1252" s="38"/>
      <c r="F1252" s="38"/>
      <c r="G1252" s="4"/>
      <c r="H1252" s="4"/>
      <c r="I1252" s="4"/>
      <c r="J1252" s="4"/>
      <c r="K1252" s="4"/>
      <c r="L1252" s="4"/>
      <c r="M1252" s="4"/>
      <c r="N1252" s="38"/>
      <c r="O1252" s="4"/>
      <c r="P1252" s="4"/>
      <c r="Q1252" s="4"/>
      <c r="R1252" s="4"/>
      <c r="S1252" s="4"/>
      <c r="T1252" s="38"/>
      <c r="U1252" s="4"/>
      <c r="V1252" s="4"/>
      <c r="W1252" s="4"/>
      <c r="X1252" s="4"/>
      <c r="Y1252" s="4"/>
      <c r="Z1252" s="4"/>
      <c r="AA1252" s="4"/>
      <c r="AB1252" s="4"/>
      <c r="AC1252" s="4"/>
      <c r="AD1252" s="4"/>
      <c r="AE1252" s="4"/>
      <c r="AF1252" s="4"/>
      <c r="AG1252" s="4"/>
      <c r="AH1252" s="4"/>
      <c r="AI1252" s="4"/>
      <c r="AJ1252" s="4"/>
      <c r="AK1252" s="4"/>
      <c r="AL1252" s="4"/>
      <c r="AM1252" s="38"/>
      <c r="AN1252" s="4"/>
      <c r="AO1252" s="4"/>
      <c r="AP1252" s="4"/>
      <c r="AQ1252" s="4"/>
      <c r="AR1252" s="4"/>
      <c r="AS1252" s="4"/>
      <c r="AT1252" s="4"/>
      <c r="AU1252" s="4"/>
      <c r="AV1252" s="4"/>
      <c r="AW1252" s="4"/>
      <c r="AX1252" s="4"/>
      <c r="AY1252" s="4"/>
      <c r="AZ1252" s="4"/>
      <c r="BA1252" s="4"/>
      <c r="BB1252" s="4"/>
      <c r="BC1252" s="4"/>
      <c r="BD1252" s="4"/>
      <c r="BE1252" s="4"/>
      <c r="BF1252" s="4"/>
      <c r="BG1252" s="4"/>
      <c r="BH1252" s="4"/>
      <c r="BI1252" s="4"/>
      <c r="BJ1252" s="4"/>
      <c r="BK1252" s="4"/>
      <c r="BL1252" s="4"/>
      <c r="BM1252" s="4"/>
      <c r="BN1252" s="4"/>
      <c r="BO1252" s="4"/>
      <c r="BP1252" s="39"/>
      <c r="BQ1252" s="39"/>
    </row>
    <row r="1253" spans="3:69" ht="15.75" customHeight="1">
      <c r="C1253" s="4"/>
      <c r="D1253" s="4"/>
      <c r="E1253" s="38"/>
      <c r="F1253" s="38"/>
      <c r="G1253" s="4"/>
      <c r="H1253" s="4"/>
      <c r="I1253" s="4"/>
      <c r="J1253" s="4"/>
      <c r="K1253" s="4"/>
      <c r="L1253" s="4"/>
      <c r="M1253" s="4"/>
      <c r="N1253" s="38"/>
      <c r="O1253" s="4"/>
      <c r="P1253" s="4"/>
      <c r="Q1253" s="4"/>
      <c r="R1253" s="4"/>
      <c r="S1253" s="4"/>
      <c r="T1253" s="38"/>
      <c r="U1253" s="4"/>
      <c r="V1253" s="4"/>
      <c r="W1253" s="4"/>
      <c r="X1253" s="4"/>
      <c r="Y1253" s="4"/>
      <c r="Z1253" s="4"/>
      <c r="AA1253" s="4"/>
      <c r="AB1253" s="4"/>
      <c r="AC1253" s="4"/>
      <c r="AD1253" s="4"/>
      <c r="AE1253" s="4"/>
      <c r="AF1253" s="4"/>
      <c r="AG1253" s="4"/>
      <c r="AH1253" s="4"/>
      <c r="AI1253" s="4"/>
      <c r="AJ1253" s="4"/>
      <c r="AK1253" s="4"/>
      <c r="AL1253" s="4"/>
      <c r="AM1253" s="38"/>
      <c r="AN1253" s="4"/>
      <c r="AO1253" s="4"/>
      <c r="AP1253" s="4"/>
      <c r="AQ1253" s="4"/>
      <c r="AR1253" s="4"/>
      <c r="AS1253" s="4"/>
      <c r="AT1253" s="4"/>
      <c r="AU1253" s="4"/>
      <c r="AV1253" s="4"/>
      <c r="AW1253" s="4"/>
      <c r="AX1253" s="4"/>
      <c r="AY1253" s="4"/>
      <c r="AZ1253" s="4"/>
      <c r="BA1253" s="4"/>
      <c r="BB1253" s="4"/>
      <c r="BC1253" s="4"/>
      <c r="BD1253" s="4"/>
      <c r="BE1253" s="4"/>
      <c r="BF1253" s="4"/>
      <c r="BG1253" s="4"/>
      <c r="BH1253" s="4"/>
      <c r="BI1253" s="4"/>
      <c r="BJ1253" s="4"/>
      <c r="BK1253" s="4"/>
      <c r="BL1253" s="4"/>
      <c r="BM1253" s="4"/>
      <c r="BN1253" s="4"/>
      <c r="BO1253" s="4"/>
      <c r="BP1253" s="39"/>
      <c r="BQ1253" s="39"/>
    </row>
    <row r="1254" spans="3:69" ht="15.75" customHeight="1">
      <c r="C1254" s="4"/>
      <c r="D1254" s="4"/>
      <c r="E1254" s="38"/>
      <c r="F1254" s="38"/>
      <c r="G1254" s="4"/>
      <c r="H1254" s="4"/>
      <c r="I1254" s="4"/>
      <c r="J1254" s="4"/>
      <c r="K1254" s="4"/>
      <c r="L1254" s="4"/>
      <c r="M1254" s="4"/>
      <c r="N1254" s="38"/>
      <c r="O1254" s="4"/>
      <c r="P1254" s="4"/>
      <c r="Q1254" s="4"/>
      <c r="R1254" s="4"/>
      <c r="S1254" s="4"/>
      <c r="T1254" s="38"/>
      <c r="U1254" s="4"/>
      <c r="V1254" s="4"/>
      <c r="W1254" s="4"/>
      <c r="X1254" s="4"/>
      <c r="Y1254" s="4"/>
      <c r="Z1254" s="4"/>
      <c r="AA1254" s="4"/>
      <c r="AB1254" s="4"/>
      <c r="AC1254" s="4"/>
      <c r="AD1254" s="4"/>
      <c r="AE1254" s="4"/>
      <c r="AF1254" s="4"/>
      <c r="AG1254" s="4"/>
      <c r="AH1254" s="4"/>
      <c r="AI1254" s="4"/>
      <c r="AJ1254" s="4"/>
      <c r="AK1254" s="4"/>
      <c r="AL1254" s="4"/>
      <c r="AM1254" s="38"/>
      <c r="AN1254" s="4"/>
      <c r="AO1254" s="4"/>
      <c r="AP1254" s="4"/>
      <c r="AQ1254" s="4"/>
      <c r="AR1254" s="4"/>
      <c r="AS1254" s="4"/>
      <c r="AT1254" s="4"/>
      <c r="AU1254" s="4"/>
      <c r="AV1254" s="4"/>
      <c r="AW1254" s="4"/>
      <c r="AX1254" s="4"/>
      <c r="AY1254" s="4"/>
      <c r="AZ1254" s="4"/>
      <c r="BA1254" s="4"/>
      <c r="BB1254" s="4"/>
      <c r="BC1254" s="4"/>
      <c r="BD1254" s="4"/>
      <c r="BE1254" s="4"/>
      <c r="BF1254" s="4"/>
      <c r="BG1254" s="4"/>
      <c r="BH1254" s="4"/>
      <c r="BI1254" s="4"/>
      <c r="BJ1254" s="4"/>
      <c r="BK1254" s="4"/>
      <c r="BL1254" s="4"/>
      <c r="BM1254" s="4"/>
      <c r="BN1254" s="4"/>
      <c r="BO1254" s="4"/>
      <c r="BP1254" s="39"/>
      <c r="BQ1254" s="39"/>
    </row>
    <row r="1255" spans="3:69" ht="15.75" customHeight="1">
      <c r="C1255" s="4"/>
      <c r="D1255" s="4"/>
      <c r="E1255" s="38"/>
      <c r="F1255" s="38"/>
      <c r="G1255" s="4"/>
      <c r="H1255" s="4"/>
      <c r="I1255" s="4"/>
      <c r="J1255" s="4"/>
      <c r="K1255" s="4"/>
      <c r="L1255" s="4"/>
      <c r="M1255" s="4"/>
      <c r="N1255" s="38"/>
      <c r="O1255" s="4"/>
      <c r="P1255" s="4"/>
      <c r="Q1255" s="4"/>
      <c r="R1255" s="4"/>
      <c r="S1255" s="4"/>
      <c r="T1255" s="38"/>
      <c r="U1255" s="4"/>
      <c r="V1255" s="4"/>
      <c r="W1255" s="4"/>
      <c r="X1255" s="4"/>
      <c r="Y1255" s="4"/>
      <c r="Z1255" s="4"/>
      <c r="AA1255" s="4"/>
      <c r="AB1255" s="4"/>
      <c r="AC1255" s="4"/>
      <c r="AD1255" s="4"/>
      <c r="AE1255" s="4"/>
      <c r="AF1255" s="4"/>
      <c r="AG1255" s="4"/>
      <c r="AH1255" s="4"/>
      <c r="AI1255" s="4"/>
      <c r="AJ1255" s="4"/>
      <c r="AK1255" s="4"/>
      <c r="AL1255" s="4"/>
      <c r="AM1255" s="38"/>
      <c r="AN1255" s="4"/>
      <c r="AO1255" s="4"/>
      <c r="AP1255" s="4"/>
      <c r="AQ1255" s="4"/>
      <c r="AR1255" s="4"/>
      <c r="AS1255" s="4"/>
      <c r="AT1255" s="4"/>
      <c r="AU1255" s="4"/>
      <c r="AV1255" s="4"/>
      <c r="AW1255" s="4"/>
      <c r="AX1255" s="4"/>
      <c r="AY1255" s="4"/>
      <c r="AZ1255" s="4"/>
      <c r="BA1255" s="4"/>
      <c r="BB1255" s="4"/>
      <c r="BC1255" s="4"/>
      <c r="BD1255" s="4"/>
      <c r="BE1255" s="4"/>
      <c r="BF1255" s="4"/>
      <c r="BG1255" s="4"/>
      <c r="BH1255" s="4"/>
      <c r="BI1255" s="4"/>
      <c r="BJ1255" s="4"/>
      <c r="BK1255" s="4"/>
      <c r="BL1255" s="4"/>
      <c r="BM1255" s="4"/>
      <c r="BN1255" s="4"/>
      <c r="BO1255" s="4"/>
      <c r="BP1255" s="39"/>
      <c r="BQ1255" s="39"/>
    </row>
    <row r="1256" spans="3:69" ht="15.75" customHeight="1">
      <c r="C1256" s="4"/>
      <c r="D1256" s="4"/>
      <c r="E1256" s="38"/>
      <c r="F1256" s="38"/>
      <c r="G1256" s="4"/>
      <c r="H1256" s="4"/>
      <c r="I1256" s="4"/>
      <c r="J1256" s="4"/>
      <c r="K1256" s="4"/>
      <c r="L1256" s="4"/>
      <c r="M1256" s="4"/>
      <c r="N1256" s="38"/>
      <c r="O1256" s="4"/>
      <c r="P1256" s="4"/>
      <c r="Q1256" s="4"/>
      <c r="R1256" s="4"/>
      <c r="S1256" s="4"/>
      <c r="T1256" s="38"/>
      <c r="U1256" s="4"/>
      <c r="V1256" s="4"/>
      <c r="W1256" s="4"/>
      <c r="X1256" s="4"/>
      <c r="Y1256" s="4"/>
      <c r="Z1256" s="4"/>
      <c r="AA1256" s="4"/>
      <c r="AB1256" s="4"/>
      <c r="AC1256" s="4"/>
      <c r="AD1256" s="4"/>
      <c r="AE1256" s="4"/>
      <c r="AF1256" s="4"/>
      <c r="AG1256" s="4"/>
      <c r="AH1256" s="4"/>
      <c r="AI1256" s="4"/>
      <c r="AJ1256" s="4"/>
      <c r="AK1256" s="4"/>
      <c r="AL1256" s="4"/>
      <c r="AM1256" s="38"/>
      <c r="AN1256" s="4"/>
      <c r="AO1256" s="4"/>
      <c r="AP1256" s="4"/>
      <c r="AQ1256" s="4"/>
      <c r="AR1256" s="4"/>
      <c r="AS1256" s="4"/>
      <c r="AT1256" s="4"/>
      <c r="AU1256" s="4"/>
      <c r="AV1256" s="4"/>
      <c r="AW1256" s="4"/>
      <c r="AX1256" s="4"/>
      <c r="AY1256" s="4"/>
      <c r="AZ1256" s="4"/>
      <c r="BA1256" s="4"/>
      <c r="BB1256" s="4"/>
      <c r="BC1256" s="4"/>
      <c r="BD1256" s="4"/>
      <c r="BE1256" s="4"/>
      <c r="BF1256" s="4"/>
      <c r="BG1256" s="4"/>
      <c r="BH1256" s="4"/>
      <c r="BI1256" s="4"/>
      <c r="BJ1256" s="4"/>
      <c r="BK1256" s="4"/>
      <c r="BL1256" s="4"/>
      <c r="BM1256" s="4"/>
      <c r="BN1256" s="4"/>
      <c r="BO1256" s="4"/>
      <c r="BP1256" s="39"/>
      <c r="BQ1256" s="39"/>
    </row>
    <row r="1257" spans="3:69" ht="15.75" customHeight="1">
      <c r="C1257" s="4"/>
      <c r="D1257" s="4"/>
      <c r="E1257" s="38"/>
      <c r="F1257" s="38"/>
      <c r="G1257" s="4"/>
      <c r="H1257" s="4"/>
      <c r="I1257" s="4"/>
      <c r="J1257" s="4"/>
      <c r="K1257" s="4"/>
      <c r="L1257" s="4"/>
      <c r="M1257" s="4"/>
      <c r="N1257" s="38"/>
      <c r="O1257" s="4"/>
      <c r="P1257" s="4"/>
      <c r="Q1257" s="4"/>
      <c r="R1257" s="4"/>
      <c r="S1257" s="4"/>
      <c r="T1257" s="38"/>
      <c r="U1257" s="4"/>
      <c r="V1257" s="4"/>
      <c r="W1257" s="4"/>
      <c r="X1257" s="4"/>
      <c r="Y1257" s="4"/>
      <c r="Z1257" s="4"/>
      <c r="AA1257" s="4"/>
      <c r="AB1257" s="4"/>
      <c r="AC1257" s="4"/>
      <c r="AD1257" s="4"/>
      <c r="AE1257" s="4"/>
      <c r="AF1257" s="4"/>
      <c r="AG1257" s="4"/>
      <c r="AH1257" s="4"/>
      <c r="AI1257" s="4"/>
      <c r="AJ1257" s="4"/>
      <c r="AK1257" s="4"/>
      <c r="AL1257" s="4"/>
      <c r="AM1257" s="38"/>
      <c r="AN1257" s="4"/>
      <c r="AO1257" s="4"/>
      <c r="AP1257" s="4"/>
      <c r="AQ1257" s="4"/>
      <c r="AR1257" s="4"/>
      <c r="AS1257" s="4"/>
      <c r="AT1257" s="4"/>
      <c r="AU1257" s="4"/>
      <c r="AV1257" s="4"/>
      <c r="AW1257" s="4"/>
      <c r="AX1257" s="4"/>
      <c r="AY1257" s="4"/>
      <c r="AZ1257" s="4"/>
      <c r="BA1257" s="4"/>
      <c r="BB1257" s="4"/>
      <c r="BC1257" s="4"/>
      <c r="BD1257" s="4"/>
      <c r="BE1257" s="4"/>
      <c r="BF1257" s="4"/>
      <c r="BG1257" s="4"/>
      <c r="BH1257" s="4"/>
      <c r="BI1257" s="4"/>
      <c r="BJ1257" s="4"/>
      <c r="BK1257" s="4"/>
      <c r="BL1257" s="4"/>
      <c r="BM1257" s="4"/>
      <c r="BN1257" s="4"/>
      <c r="BO1257" s="4"/>
      <c r="BP1257" s="39"/>
      <c r="BQ1257" s="39"/>
    </row>
    <row r="1258" spans="3:69" ht="15.75" customHeight="1">
      <c r="C1258" s="4"/>
      <c r="D1258" s="4"/>
      <c r="E1258" s="38"/>
      <c r="F1258" s="38"/>
      <c r="G1258" s="4"/>
      <c r="H1258" s="4"/>
      <c r="I1258" s="4"/>
      <c r="J1258" s="4"/>
      <c r="K1258" s="4"/>
      <c r="L1258" s="4"/>
      <c r="M1258" s="4"/>
      <c r="N1258" s="38"/>
      <c r="O1258" s="4"/>
      <c r="P1258" s="4"/>
      <c r="Q1258" s="4"/>
      <c r="R1258" s="4"/>
      <c r="S1258" s="4"/>
      <c r="T1258" s="38"/>
      <c r="U1258" s="4"/>
      <c r="V1258" s="4"/>
      <c r="W1258" s="4"/>
      <c r="X1258" s="4"/>
      <c r="Y1258" s="4"/>
      <c r="Z1258" s="4"/>
      <c r="AA1258" s="4"/>
      <c r="AB1258" s="4"/>
      <c r="AC1258" s="4"/>
      <c r="AD1258" s="4"/>
      <c r="AE1258" s="4"/>
      <c r="AF1258" s="4"/>
      <c r="AG1258" s="4"/>
      <c r="AH1258" s="4"/>
      <c r="AI1258" s="4"/>
      <c r="AJ1258" s="4"/>
      <c r="AK1258" s="4"/>
      <c r="AL1258" s="4"/>
      <c r="AM1258" s="38"/>
      <c r="AN1258" s="4"/>
      <c r="AO1258" s="4"/>
      <c r="AP1258" s="4"/>
      <c r="AQ1258" s="4"/>
      <c r="AR1258" s="4"/>
      <c r="AS1258" s="4"/>
      <c r="AT1258" s="4"/>
      <c r="AU1258" s="4"/>
      <c r="AV1258" s="4"/>
      <c r="AW1258" s="4"/>
      <c r="AX1258" s="4"/>
      <c r="AY1258" s="4"/>
      <c r="AZ1258" s="4"/>
      <c r="BA1258" s="4"/>
      <c r="BB1258" s="4"/>
      <c r="BC1258" s="4"/>
      <c r="BD1258" s="4"/>
      <c r="BE1258" s="4"/>
      <c r="BF1258" s="4"/>
      <c r="BG1258" s="4"/>
      <c r="BH1258" s="4"/>
      <c r="BI1258" s="4"/>
      <c r="BJ1258" s="4"/>
      <c r="BK1258" s="4"/>
      <c r="BL1258" s="4"/>
      <c r="BM1258" s="4"/>
      <c r="BN1258" s="4"/>
      <c r="BO1258" s="4"/>
      <c r="BP1258" s="39"/>
      <c r="BQ1258" s="39"/>
    </row>
    <row r="1259" spans="3:69" ht="15.75" customHeight="1">
      <c r="C1259" s="4"/>
      <c r="D1259" s="4"/>
      <c r="E1259" s="38"/>
      <c r="F1259" s="38"/>
      <c r="G1259" s="4"/>
      <c r="H1259" s="4"/>
      <c r="I1259" s="4"/>
      <c r="J1259" s="4"/>
      <c r="K1259" s="4"/>
      <c r="L1259" s="4"/>
      <c r="M1259" s="4"/>
      <c r="N1259" s="38"/>
      <c r="O1259" s="4"/>
      <c r="P1259" s="4"/>
      <c r="Q1259" s="4"/>
      <c r="R1259" s="4"/>
      <c r="S1259" s="4"/>
      <c r="T1259" s="38"/>
      <c r="U1259" s="4"/>
      <c r="V1259" s="4"/>
      <c r="W1259" s="4"/>
      <c r="X1259" s="4"/>
      <c r="Y1259" s="4"/>
      <c r="Z1259" s="4"/>
      <c r="AA1259" s="4"/>
      <c r="AB1259" s="4"/>
      <c r="AC1259" s="4"/>
      <c r="AD1259" s="4"/>
      <c r="AE1259" s="4"/>
      <c r="AF1259" s="4"/>
      <c r="AG1259" s="4"/>
      <c r="AH1259" s="4"/>
      <c r="AI1259" s="4"/>
      <c r="AJ1259" s="4"/>
      <c r="AK1259" s="4"/>
      <c r="AL1259" s="4"/>
      <c r="AM1259" s="38"/>
      <c r="AN1259" s="4"/>
      <c r="AO1259" s="4"/>
      <c r="AP1259" s="4"/>
      <c r="AQ1259" s="4"/>
      <c r="AR1259" s="4"/>
      <c r="AS1259" s="4"/>
      <c r="AT1259" s="4"/>
      <c r="AU1259" s="4"/>
      <c r="AV1259" s="4"/>
      <c r="AW1259" s="4"/>
      <c r="AX1259" s="4"/>
      <c r="AY1259" s="4"/>
      <c r="AZ1259" s="4"/>
      <c r="BA1259" s="4"/>
      <c r="BB1259" s="4"/>
      <c r="BC1259" s="4"/>
      <c r="BD1259" s="4"/>
      <c r="BE1259" s="4"/>
      <c r="BF1259" s="4"/>
      <c r="BG1259" s="4"/>
      <c r="BH1259" s="4"/>
      <c r="BI1259" s="4"/>
      <c r="BJ1259" s="4"/>
      <c r="BK1259" s="4"/>
      <c r="BL1259" s="4"/>
      <c r="BM1259" s="4"/>
      <c r="BN1259" s="4"/>
      <c r="BO1259" s="4"/>
      <c r="BP1259" s="39"/>
      <c r="BQ1259" s="39"/>
    </row>
    <row r="1260" spans="3:69" ht="15.75" customHeight="1">
      <c r="C1260" s="4"/>
      <c r="D1260" s="4"/>
      <c r="E1260" s="38"/>
      <c r="F1260" s="38"/>
      <c r="G1260" s="4"/>
      <c r="H1260" s="4"/>
      <c r="I1260" s="4"/>
      <c r="J1260" s="4"/>
      <c r="K1260" s="4"/>
      <c r="L1260" s="4"/>
      <c r="M1260" s="4"/>
      <c r="N1260" s="38"/>
      <c r="O1260" s="4"/>
      <c r="P1260" s="4"/>
      <c r="Q1260" s="4"/>
      <c r="R1260" s="4"/>
      <c r="S1260" s="4"/>
      <c r="T1260" s="38"/>
      <c r="U1260" s="4"/>
      <c r="V1260" s="4"/>
      <c r="W1260" s="4"/>
      <c r="X1260" s="4"/>
      <c r="Y1260" s="4"/>
      <c r="Z1260" s="4"/>
      <c r="AA1260" s="4"/>
      <c r="AB1260" s="4"/>
      <c r="AC1260" s="4"/>
      <c r="AD1260" s="4"/>
      <c r="AE1260" s="4"/>
      <c r="AF1260" s="4"/>
      <c r="AG1260" s="4"/>
      <c r="AH1260" s="4"/>
      <c r="AI1260" s="4"/>
      <c r="AJ1260" s="4"/>
      <c r="AK1260" s="4"/>
      <c r="AL1260" s="4"/>
      <c r="AM1260" s="38"/>
      <c r="AN1260" s="4"/>
      <c r="AO1260" s="4"/>
      <c r="AP1260" s="4"/>
      <c r="AQ1260" s="4"/>
      <c r="AR1260" s="4"/>
      <c r="AS1260" s="4"/>
      <c r="AT1260" s="4"/>
      <c r="AU1260" s="4"/>
      <c r="AV1260" s="4"/>
      <c r="AW1260" s="4"/>
      <c r="AX1260" s="4"/>
      <c r="AY1260" s="4"/>
      <c r="AZ1260" s="4"/>
      <c r="BA1260" s="4"/>
      <c r="BB1260" s="4"/>
      <c r="BC1260" s="4"/>
      <c r="BD1260" s="4"/>
      <c r="BE1260" s="4"/>
      <c r="BF1260" s="4"/>
      <c r="BG1260" s="4"/>
      <c r="BH1260" s="4"/>
      <c r="BI1260" s="4"/>
      <c r="BJ1260" s="4"/>
      <c r="BK1260" s="4"/>
      <c r="BL1260" s="4"/>
      <c r="BM1260" s="4"/>
      <c r="BN1260" s="4"/>
      <c r="BO1260" s="4"/>
      <c r="BP1260" s="39"/>
      <c r="BQ1260" s="39"/>
    </row>
    <row r="1261" spans="3:69" ht="15.75" customHeight="1">
      <c r="C1261" s="4"/>
      <c r="D1261" s="4"/>
      <c r="E1261" s="38"/>
      <c r="F1261" s="38"/>
      <c r="G1261" s="4"/>
      <c r="H1261" s="4"/>
      <c r="I1261" s="4"/>
      <c r="J1261" s="4"/>
      <c r="K1261" s="4"/>
      <c r="L1261" s="4"/>
      <c r="M1261" s="4"/>
      <c r="N1261" s="38"/>
      <c r="O1261" s="4"/>
      <c r="P1261" s="4"/>
      <c r="Q1261" s="4"/>
      <c r="R1261" s="4"/>
      <c r="S1261" s="4"/>
      <c r="T1261" s="38"/>
      <c r="U1261" s="4"/>
      <c r="V1261" s="4"/>
      <c r="W1261" s="4"/>
      <c r="X1261" s="4"/>
      <c r="Y1261" s="4"/>
      <c r="Z1261" s="4"/>
      <c r="AA1261" s="4"/>
      <c r="AB1261" s="4"/>
      <c r="AC1261" s="4"/>
      <c r="AD1261" s="4"/>
      <c r="AE1261" s="4"/>
      <c r="AF1261" s="4"/>
      <c r="AG1261" s="4"/>
      <c r="AH1261" s="4"/>
      <c r="AI1261" s="4"/>
      <c r="AJ1261" s="4"/>
      <c r="AK1261" s="4"/>
      <c r="AL1261" s="4"/>
      <c r="AM1261" s="38"/>
      <c r="AN1261" s="4"/>
      <c r="AO1261" s="4"/>
      <c r="AP1261" s="4"/>
      <c r="AQ1261" s="4"/>
      <c r="AR1261" s="4"/>
      <c r="AS1261" s="4"/>
      <c r="AT1261" s="4"/>
      <c r="AU1261" s="4"/>
      <c r="AV1261" s="4"/>
      <c r="AW1261" s="4"/>
      <c r="AX1261" s="4"/>
      <c r="AY1261" s="4"/>
      <c r="AZ1261" s="4"/>
      <c r="BA1261" s="4"/>
      <c r="BB1261" s="4"/>
      <c r="BC1261" s="4"/>
      <c r="BD1261" s="4"/>
      <c r="BE1261" s="4"/>
      <c r="BF1261" s="4"/>
      <c r="BG1261" s="4"/>
      <c r="BH1261" s="4"/>
      <c r="BI1261" s="4"/>
      <c r="BJ1261" s="4"/>
      <c r="BK1261" s="4"/>
      <c r="BL1261" s="4"/>
      <c r="BM1261" s="4"/>
      <c r="BN1261" s="4"/>
      <c r="BO1261" s="4"/>
      <c r="BP1261" s="39"/>
      <c r="BQ1261" s="39"/>
    </row>
    <row r="1262" spans="3:69" ht="15.75" customHeight="1">
      <c r="C1262" s="4"/>
      <c r="D1262" s="4"/>
      <c r="E1262" s="38"/>
      <c r="F1262" s="38"/>
      <c r="G1262" s="4"/>
      <c r="H1262" s="4"/>
      <c r="I1262" s="4"/>
      <c r="J1262" s="4"/>
      <c r="K1262" s="4"/>
      <c r="L1262" s="4"/>
      <c r="M1262" s="4"/>
      <c r="N1262" s="38"/>
      <c r="O1262" s="4"/>
      <c r="P1262" s="4"/>
      <c r="Q1262" s="4"/>
      <c r="R1262" s="4"/>
      <c r="S1262" s="4"/>
      <c r="T1262" s="38"/>
      <c r="U1262" s="4"/>
      <c r="V1262" s="4"/>
      <c r="W1262" s="4"/>
      <c r="X1262" s="4"/>
      <c r="Y1262" s="4"/>
      <c r="Z1262" s="4"/>
      <c r="AA1262" s="4"/>
      <c r="AB1262" s="4"/>
      <c r="AC1262" s="4"/>
      <c r="AD1262" s="4"/>
      <c r="AE1262" s="4"/>
      <c r="AF1262" s="4"/>
      <c r="AG1262" s="4"/>
      <c r="AH1262" s="4"/>
      <c r="AI1262" s="4"/>
      <c r="AJ1262" s="4"/>
      <c r="AK1262" s="4"/>
      <c r="AL1262" s="4"/>
      <c r="AM1262" s="38"/>
      <c r="AN1262" s="4"/>
      <c r="AO1262" s="4"/>
      <c r="AP1262" s="4"/>
      <c r="AQ1262" s="4"/>
      <c r="AR1262" s="4"/>
      <c r="AS1262" s="4"/>
      <c r="AT1262" s="4"/>
      <c r="AU1262" s="4"/>
      <c r="AV1262" s="4"/>
      <c r="AW1262" s="4"/>
      <c r="AX1262" s="4"/>
      <c r="AY1262" s="4"/>
      <c r="AZ1262" s="4"/>
      <c r="BA1262" s="4"/>
      <c r="BB1262" s="4"/>
      <c r="BC1262" s="4"/>
      <c r="BD1262" s="4"/>
      <c r="BE1262" s="4"/>
      <c r="BF1262" s="4"/>
      <c r="BG1262" s="4"/>
      <c r="BH1262" s="4"/>
      <c r="BI1262" s="4"/>
      <c r="BJ1262" s="4"/>
      <c r="BK1262" s="4"/>
      <c r="BL1262" s="4"/>
      <c r="BM1262" s="4"/>
      <c r="BN1262" s="4"/>
      <c r="BO1262" s="4"/>
      <c r="BP1262" s="39"/>
      <c r="BQ1262" s="39"/>
    </row>
    <row r="1263" spans="3:69" ht="15.75" customHeight="1">
      <c r="C1263" s="4"/>
      <c r="D1263" s="4"/>
      <c r="E1263" s="38"/>
      <c r="F1263" s="38"/>
      <c r="G1263" s="4"/>
      <c r="H1263" s="4"/>
      <c r="I1263" s="4"/>
      <c r="J1263" s="4"/>
      <c r="K1263" s="4"/>
      <c r="L1263" s="4"/>
      <c r="M1263" s="4"/>
      <c r="N1263" s="38"/>
      <c r="O1263" s="4"/>
      <c r="P1263" s="4"/>
      <c r="Q1263" s="4"/>
      <c r="R1263" s="4"/>
      <c r="S1263" s="4"/>
      <c r="T1263" s="38"/>
      <c r="U1263" s="4"/>
      <c r="V1263" s="4"/>
      <c r="W1263" s="4"/>
      <c r="X1263" s="4"/>
      <c r="Y1263" s="4"/>
      <c r="Z1263" s="4"/>
      <c r="AA1263" s="4"/>
      <c r="AB1263" s="4"/>
      <c r="AC1263" s="4"/>
      <c r="AD1263" s="4"/>
      <c r="AE1263" s="4"/>
      <c r="AF1263" s="4"/>
      <c r="AG1263" s="4"/>
      <c r="AH1263" s="4"/>
      <c r="AI1263" s="4"/>
      <c r="AJ1263" s="4"/>
      <c r="AK1263" s="4"/>
      <c r="AL1263" s="4"/>
      <c r="AM1263" s="38"/>
      <c r="AN1263" s="4"/>
      <c r="AO1263" s="4"/>
      <c r="AP1263" s="4"/>
      <c r="AQ1263" s="4"/>
      <c r="AR1263" s="4"/>
      <c r="AS1263" s="4"/>
      <c r="AT1263" s="4"/>
      <c r="AU1263" s="4"/>
      <c r="AV1263" s="4"/>
      <c r="AW1263" s="4"/>
      <c r="AX1263" s="4"/>
      <c r="AY1263" s="4"/>
      <c r="AZ1263" s="4"/>
      <c r="BA1263" s="4"/>
      <c r="BB1263" s="4"/>
      <c r="BC1263" s="4"/>
      <c r="BD1263" s="4"/>
      <c r="BE1263" s="4"/>
      <c r="BF1263" s="4"/>
      <c r="BG1263" s="4"/>
      <c r="BH1263" s="4"/>
      <c r="BI1263" s="4"/>
      <c r="BJ1263" s="4"/>
      <c r="BK1263" s="4"/>
      <c r="BL1263" s="4"/>
      <c r="BM1263" s="4"/>
      <c r="BN1263" s="4"/>
      <c r="BO1263" s="4"/>
      <c r="BP1263" s="39"/>
      <c r="BQ1263" s="39"/>
    </row>
    <row r="1264" spans="3:69" ht="15.75" customHeight="1">
      <c r="C1264" s="4"/>
      <c r="D1264" s="4"/>
      <c r="E1264" s="38"/>
      <c r="F1264" s="38"/>
      <c r="G1264" s="4"/>
      <c r="H1264" s="4"/>
      <c r="I1264" s="4"/>
      <c r="J1264" s="4"/>
      <c r="K1264" s="4"/>
      <c r="L1264" s="4"/>
      <c r="M1264" s="4"/>
      <c r="N1264" s="38"/>
      <c r="O1264" s="4"/>
      <c r="P1264" s="4"/>
      <c r="Q1264" s="4"/>
      <c r="R1264" s="4"/>
      <c r="S1264" s="4"/>
      <c r="T1264" s="38"/>
      <c r="U1264" s="4"/>
      <c r="V1264" s="4"/>
      <c r="W1264" s="4"/>
      <c r="X1264" s="4"/>
      <c r="Y1264" s="4"/>
      <c r="Z1264" s="4"/>
      <c r="AA1264" s="4"/>
      <c r="AB1264" s="4"/>
      <c r="AC1264" s="4"/>
      <c r="AD1264" s="4"/>
      <c r="AE1264" s="4"/>
      <c r="AF1264" s="4"/>
      <c r="AG1264" s="4"/>
      <c r="AH1264" s="4"/>
      <c r="AI1264" s="4"/>
      <c r="AJ1264" s="4"/>
      <c r="AK1264" s="4"/>
      <c r="AL1264" s="4"/>
      <c r="AM1264" s="38"/>
      <c r="AN1264" s="4"/>
      <c r="AO1264" s="4"/>
      <c r="AP1264" s="4"/>
      <c r="AQ1264" s="4"/>
      <c r="AR1264" s="4"/>
      <c r="AS1264" s="4"/>
      <c r="AT1264" s="4"/>
      <c r="AU1264" s="4"/>
      <c r="AV1264" s="4"/>
      <c r="AW1264" s="4"/>
      <c r="AX1264" s="4"/>
      <c r="AY1264" s="4"/>
      <c r="AZ1264" s="4"/>
      <c r="BA1264" s="4"/>
      <c r="BB1264" s="4"/>
      <c r="BC1264" s="4"/>
      <c r="BD1264" s="4"/>
      <c r="BE1264" s="4"/>
      <c r="BF1264" s="4"/>
      <c r="BG1264" s="4"/>
      <c r="BH1264" s="4"/>
      <c r="BI1264" s="4"/>
      <c r="BJ1264" s="4"/>
      <c r="BK1264" s="4"/>
      <c r="BL1264" s="4"/>
      <c r="BM1264" s="4"/>
      <c r="BN1264" s="4"/>
      <c r="BO1264" s="4"/>
      <c r="BP1264" s="39"/>
      <c r="BQ1264" s="39"/>
    </row>
    <row r="1265" spans="3:69" ht="15.75" customHeight="1">
      <c r="C1265" s="4"/>
      <c r="D1265" s="4"/>
      <c r="E1265" s="38"/>
      <c r="F1265" s="38"/>
      <c r="G1265" s="4"/>
      <c r="H1265" s="4"/>
      <c r="I1265" s="4"/>
      <c r="J1265" s="4"/>
      <c r="K1265" s="4"/>
      <c r="L1265" s="4"/>
      <c r="M1265" s="4"/>
      <c r="N1265" s="38"/>
      <c r="O1265" s="4"/>
      <c r="P1265" s="4"/>
      <c r="Q1265" s="4"/>
      <c r="R1265" s="4"/>
      <c r="S1265" s="4"/>
      <c r="T1265" s="38"/>
      <c r="U1265" s="4"/>
      <c r="V1265" s="4"/>
      <c r="W1265" s="4"/>
      <c r="X1265" s="4"/>
      <c r="Y1265" s="4"/>
      <c r="Z1265" s="4"/>
      <c r="AA1265" s="4"/>
      <c r="AB1265" s="4"/>
      <c r="AC1265" s="4"/>
      <c r="AD1265" s="4"/>
      <c r="AE1265" s="4"/>
      <c r="AF1265" s="4"/>
      <c r="AG1265" s="4"/>
      <c r="AH1265" s="4"/>
      <c r="AI1265" s="4"/>
      <c r="AJ1265" s="4"/>
      <c r="AK1265" s="4"/>
      <c r="AL1265" s="4"/>
      <c r="AM1265" s="38"/>
      <c r="AN1265" s="4"/>
      <c r="AO1265" s="4"/>
      <c r="AP1265" s="4"/>
      <c r="AQ1265" s="4"/>
      <c r="AR1265" s="4"/>
      <c r="AS1265" s="4"/>
      <c r="AT1265" s="4"/>
      <c r="AU1265" s="4"/>
      <c r="AV1265" s="4"/>
      <c r="AW1265" s="4"/>
      <c r="AX1265" s="4"/>
      <c r="AY1265" s="4"/>
      <c r="AZ1265" s="4"/>
      <c r="BA1265" s="4"/>
      <c r="BB1265" s="4"/>
      <c r="BC1265" s="4"/>
      <c r="BD1265" s="4"/>
      <c r="BE1265" s="4"/>
      <c r="BF1265" s="4"/>
      <c r="BG1265" s="4"/>
      <c r="BH1265" s="4"/>
      <c r="BI1265" s="4"/>
      <c r="BJ1265" s="4"/>
      <c r="BK1265" s="4"/>
      <c r="BL1265" s="4"/>
      <c r="BM1265" s="4"/>
      <c r="BN1265" s="4"/>
      <c r="BO1265" s="4"/>
      <c r="BP1265" s="39"/>
      <c r="BQ1265" s="39"/>
    </row>
    <row r="1266" spans="3:69" ht="15.75" customHeight="1">
      <c r="C1266" s="4"/>
      <c r="D1266" s="4"/>
      <c r="E1266" s="38"/>
      <c r="F1266" s="38"/>
      <c r="G1266" s="4"/>
      <c r="H1266" s="4"/>
      <c r="I1266" s="4"/>
      <c r="J1266" s="4"/>
      <c r="K1266" s="4"/>
      <c r="L1266" s="4"/>
      <c r="M1266" s="4"/>
      <c r="N1266" s="38"/>
      <c r="O1266" s="4"/>
      <c r="P1266" s="4"/>
      <c r="Q1266" s="4"/>
      <c r="R1266" s="4"/>
      <c r="S1266" s="4"/>
      <c r="T1266" s="38"/>
      <c r="U1266" s="4"/>
      <c r="V1266" s="4"/>
      <c r="W1266" s="4"/>
      <c r="X1266" s="4"/>
      <c r="Y1266" s="4"/>
      <c r="Z1266" s="4"/>
      <c r="AA1266" s="4"/>
      <c r="AB1266" s="4"/>
      <c r="AC1266" s="4"/>
      <c r="AD1266" s="4"/>
      <c r="AE1266" s="4"/>
      <c r="AF1266" s="4"/>
      <c r="AG1266" s="4"/>
      <c r="AH1266" s="4"/>
      <c r="AI1266" s="4"/>
      <c r="AJ1266" s="4"/>
      <c r="AK1266" s="4"/>
      <c r="AL1266" s="4"/>
      <c r="AM1266" s="38"/>
      <c r="AN1266" s="4"/>
      <c r="AO1266" s="4"/>
      <c r="AP1266" s="4"/>
      <c r="AQ1266" s="4"/>
      <c r="AR1266" s="4"/>
      <c r="AS1266" s="4"/>
      <c r="AT1266" s="4"/>
      <c r="AU1266" s="4"/>
      <c r="AV1266" s="4"/>
      <c r="AW1266" s="4"/>
      <c r="AX1266" s="4"/>
      <c r="AY1266" s="4"/>
      <c r="AZ1266" s="4"/>
      <c r="BA1266" s="4"/>
      <c r="BB1266" s="4"/>
      <c r="BC1266" s="4"/>
      <c r="BD1266" s="4"/>
      <c r="BE1266" s="4"/>
      <c r="BF1266" s="4"/>
      <c r="BG1266" s="4"/>
      <c r="BH1266" s="4"/>
      <c r="BI1266" s="4"/>
      <c r="BJ1266" s="4"/>
      <c r="BK1266" s="4"/>
      <c r="BL1266" s="4"/>
      <c r="BM1266" s="4"/>
      <c r="BN1266" s="4"/>
      <c r="BO1266" s="4"/>
      <c r="BP1266" s="39"/>
      <c r="BQ1266" s="39"/>
    </row>
    <row r="1267" spans="3:69" ht="15.75" customHeight="1">
      <c r="C1267" s="4"/>
      <c r="D1267" s="4"/>
      <c r="E1267" s="38"/>
      <c r="F1267" s="38"/>
      <c r="G1267" s="4"/>
      <c r="H1267" s="4"/>
      <c r="I1267" s="4"/>
      <c r="J1267" s="4"/>
      <c r="K1267" s="4"/>
      <c r="L1267" s="4"/>
      <c r="M1267" s="4"/>
      <c r="N1267" s="38"/>
      <c r="O1267" s="4"/>
      <c r="P1267" s="4"/>
      <c r="Q1267" s="4"/>
      <c r="R1267" s="4"/>
      <c r="S1267" s="4"/>
      <c r="T1267" s="38"/>
      <c r="U1267" s="4"/>
      <c r="V1267" s="4"/>
      <c r="W1267" s="4"/>
      <c r="X1267" s="4"/>
      <c r="Y1267" s="4"/>
      <c r="Z1267" s="4"/>
      <c r="AA1267" s="4"/>
      <c r="AB1267" s="4"/>
      <c r="AC1267" s="4"/>
      <c r="AD1267" s="4"/>
      <c r="AE1267" s="4"/>
      <c r="AF1267" s="4"/>
      <c r="AG1267" s="4"/>
      <c r="AH1267" s="4"/>
      <c r="AI1267" s="4"/>
      <c r="AJ1267" s="4"/>
      <c r="AK1267" s="4"/>
      <c r="AL1267" s="4"/>
      <c r="AM1267" s="38"/>
      <c r="AN1267" s="4"/>
      <c r="AO1267" s="4"/>
      <c r="AP1267" s="4"/>
      <c r="AQ1267" s="4"/>
      <c r="AR1267" s="4"/>
      <c r="AS1267" s="4"/>
      <c r="AT1267" s="4"/>
      <c r="AU1267" s="4"/>
      <c r="AV1267" s="4"/>
      <c r="AW1267" s="4"/>
      <c r="AX1267" s="4"/>
      <c r="AY1267" s="4"/>
      <c r="AZ1267" s="4"/>
      <c r="BA1267" s="4"/>
      <c r="BB1267" s="4"/>
      <c r="BC1267" s="4"/>
      <c r="BD1267" s="4"/>
      <c r="BE1267" s="4"/>
      <c r="BF1267" s="4"/>
      <c r="BG1267" s="4"/>
      <c r="BH1267" s="4"/>
      <c r="BI1267" s="4"/>
      <c r="BJ1267" s="4"/>
      <c r="BK1267" s="4"/>
      <c r="BL1267" s="4"/>
      <c r="BM1267" s="4"/>
      <c r="BN1267" s="4"/>
      <c r="BO1267" s="4"/>
      <c r="BP1267" s="39"/>
      <c r="BQ1267" s="39"/>
    </row>
    <row r="1268" spans="3:69" ht="15.75" customHeight="1">
      <c r="C1268" s="4"/>
      <c r="D1268" s="4"/>
      <c r="E1268" s="38"/>
      <c r="F1268" s="38"/>
      <c r="G1268" s="4"/>
      <c r="H1268" s="4"/>
      <c r="I1268" s="4"/>
      <c r="J1268" s="4"/>
      <c r="K1268" s="4"/>
      <c r="L1268" s="4"/>
      <c r="M1268" s="4"/>
      <c r="N1268" s="38"/>
      <c r="O1268" s="4"/>
      <c r="P1268" s="4"/>
      <c r="Q1268" s="4"/>
      <c r="R1268" s="4"/>
      <c r="S1268" s="4"/>
      <c r="T1268" s="38"/>
      <c r="U1268" s="4"/>
      <c r="V1268" s="4"/>
      <c r="W1268" s="4"/>
      <c r="X1268" s="4"/>
      <c r="Y1268" s="4"/>
      <c r="Z1268" s="4"/>
      <c r="AA1268" s="4"/>
      <c r="AB1268" s="4"/>
      <c r="AC1268" s="4"/>
      <c r="AD1268" s="4"/>
      <c r="AE1268" s="4"/>
      <c r="AF1268" s="4"/>
      <c r="AG1268" s="4"/>
      <c r="AH1268" s="4"/>
      <c r="AI1268" s="4"/>
      <c r="AJ1268" s="4"/>
      <c r="AK1268" s="4"/>
      <c r="AL1268" s="4"/>
      <c r="AM1268" s="38"/>
      <c r="AN1268" s="4"/>
      <c r="AO1268" s="4"/>
      <c r="AP1268" s="4"/>
      <c r="AQ1268" s="4"/>
      <c r="AR1268" s="4"/>
      <c r="AS1268" s="4"/>
      <c r="AT1268" s="4"/>
      <c r="AU1268" s="4"/>
      <c r="AV1268" s="4"/>
      <c r="AW1268" s="4"/>
      <c r="AX1268" s="4"/>
      <c r="AY1268" s="4"/>
      <c r="AZ1268" s="4"/>
      <c r="BA1268" s="4"/>
      <c r="BB1268" s="4"/>
      <c r="BC1268" s="4"/>
      <c r="BD1268" s="4"/>
      <c r="BE1268" s="4"/>
      <c r="BF1268" s="4"/>
      <c r="BG1268" s="4"/>
      <c r="BH1268" s="4"/>
      <c r="BI1268" s="4"/>
      <c r="BJ1268" s="4"/>
      <c r="BK1268" s="4"/>
      <c r="BL1268" s="4"/>
      <c r="BM1268" s="4"/>
      <c r="BN1268" s="4"/>
      <c r="BO1268" s="4"/>
      <c r="BP1268" s="39"/>
      <c r="BQ1268" s="39"/>
    </row>
    <row r="1269" spans="3:69" ht="15.75" customHeight="1">
      <c r="C1269" s="4"/>
      <c r="D1269" s="4"/>
      <c r="E1269" s="38"/>
      <c r="F1269" s="38"/>
      <c r="G1269" s="4"/>
      <c r="H1269" s="4"/>
      <c r="I1269" s="4"/>
      <c r="J1269" s="4"/>
      <c r="K1269" s="4"/>
      <c r="L1269" s="4"/>
      <c r="M1269" s="4"/>
      <c r="N1269" s="38"/>
      <c r="O1269" s="4"/>
      <c r="P1269" s="4"/>
      <c r="Q1269" s="4"/>
      <c r="R1269" s="4"/>
      <c r="S1269" s="4"/>
      <c r="T1269" s="38"/>
      <c r="U1269" s="4"/>
      <c r="V1269" s="4"/>
      <c r="W1269" s="4"/>
      <c r="X1269" s="4"/>
      <c r="Y1269" s="4"/>
      <c r="Z1269" s="4"/>
      <c r="AA1269" s="4"/>
      <c r="AB1269" s="4"/>
      <c r="AC1269" s="4"/>
      <c r="AD1269" s="4"/>
      <c r="AE1269" s="4"/>
      <c r="AF1269" s="4"/>
      <c r="AG1269" s="4"/>
      <c r="AH1269" s="4"/>
      <c r="AI1269" s="4"/>
      <c r="AJ1269" s="4"/>
      <c r="AK1269" s="4"/>
      <c r="AL1269" s="4"/>
      <c r="AM1269" s="38"/>
      <c r="AN1269" s="4"/>
      <c r="AO1269" s="4"/>
      <c r="AP1269" s="4"/>
      <c r="AQ1269" s="4"/>
      <c r="AR1269" s="4"/>
      <c r="AS1269" s="4"/>
      <c r="AT1269" s="4"/>
      <c r="AU1269" s="4"/>
      <c r="AV1269" s="4"/>
      <c r="AW1269" s="4"/>
      <c r="AX1269" s="4"/>
      <c r="AY1269" s="4"/>
      <c r="AZ1269" s="4"/>
      <c r="BA1269" s="4"/>
      <c r="BB1269" s="4"/>
      <c r="BC1269" s="4"/>
      <c r="BD1269" s="4"/>
      <c r="BE1269" s="4"/>
      <c r="BF1269" s="4"/>
      <c r="BG1269" s="4"/>
      <c r="BH1269" s="4"/>
      <c r="BI1269" s="4"/>
      <c r="BJ1269" s="4"/>
      <c r="BK1269" s="4"/>
      <c r="BL1269" s="4"/>
      <c r="BM1269" s="4"/>
      <c r="BN1269" s="4"/>
      <c r="BO1269" s="4"/>
      <c r="BP1269" s="39"/>
      <c r="BQ1269" s="39"/>
    </row>
    <row r="1270" spans="3:69" ht="15.75" customHeight="1">
      <c r="C1270" s="4"/>
      <c r="D1270" s="4"/>
      <c r="E1270" s="38"/>
      <c r="F1270" s="38"/>
      <c r="G1270" s="4"/>
      <c r="H1270" s="4"/>
      <c r="I1270" s="4"/>
      <c r="J1270" s="4"/>
      <c r="K1270" s="4"/>
      <c r="L1270" s="4"/>
      <c r="M1270" s="4"/>
      <c r="N1270" s="38"/>
      <c r="O1270" s="4"/>
      <c r="P1270" s="4"/>
      <c r="Q1270" s="4"/>
      <c r="R1270" s="4"/>
      <c r="S1270" s="4"/>
      <c r="T1270" s="38"/>
      <c r="U1270" s="4"/>
      <c r="V1270" s="4"/>
      <c r="W1270" s="4"/>
      <c r="X1270" s="4"/>
      <c r="Y1270" s="4"/>
      <c r="Z1270" s="4"/>
      <c r="AA1270" s="4"/>
      <c r="AB1270" s="4"/>
      <c r="AC1270" s="4"/>
      <c r="AD1270" s="4"/>
      <c r="AE1270" s="4"/>
      <c r="AF1270" s="4"/>
      <c r="AG1270" s="4"/>
      <c r="AH1270" s="4"/>
      <c r="AI1270" s="4"/>
      <c r="AJ1270" s="4"/>
      <c r="AK1270" s="4"/>
      <c r="AL1270" s="4"/>
      <c r="AM1270" s="38"/>
      <c r="AN1270" s="4"/>
      <c r="AO1270" s="4"/>
      <c r="AP1270" s="4"/>
      <c r="AQ1270" s="4"/>
      <c r="AR1270" s="4"/>
      <c r="AS1270" s="4"/>
      <c r="AT1270" s="4"/>
      <c r="AU1270" s="4"/>
      <c r="AV1270" s="4"/>
      <c r="AW1270" s="4"/>
      <c r="AX1270" s="4"/>
      <c r="AY1270" s="4"/>
      <c r="AZ1270" s="4"/>
      <c r="BA1270" s="4"/>
      <c r="BB1270" s="4"/>
      <c r="BC1270" s="4"/>
      <c r="BD1270" s="4"/>
      <c r="BE1270" s="4"/>
      <c r="BF1270" s="4"/>
      <c r="BG1270" s="4"/>
      <c r="BH1270" s="4"/>
      <c r="BI1270" s="4"/>
      <c r="BJ1270" s="4"/>
      <c r="BK1270" s="4"/>
      <c r="BL1270" s="4"/>
      <c r="BM1270" s="4"/>
      <c r="BN1270" s="4"/>
      <c r="BO1270" s="4"/>
      <c r="BP1270" s="39"/>
      <c r="BQ1270" s="39"/>
    </row>
    <row r="1271" spans="3:69" ht="15.75" customHeight="1">
      <c r="C1271" s="4"/>
      <c r="D1271" s="4"/>
      <c r="E1271" s="38"/>
      <c r="F1271" s="38"/>
      <c r="G1271" s="4"/>
      <c r="H1271" s="4"/>
      <c r="I1271" s="4"/>
      <c r="J1271" s="4"/>
      <c r="K1271" s="4"/>
      <c r="L1271" s="4"/>
      <c r="M1271" s="4"/>
      <c r="N1271" s="38"/>
      <c r="O1271" s="4"/>
      <c r="P1271" s="4"/>
      <c r="Q1271" s="4"/>
      <c r="R1271" s="4"/>
      <c r="S1271" s="4"/>
      <c r="T1271" s="38"/>
      <c r="U1271" s="4"/>
      <c r="V1271" s="4"/>
      <c r="W1271" s="4"/>
      <c r="X1271" s="4"/>
      <c r="Y1271" s="4"/>
      <c r="Z1271" s="4"/>
      <c r="AA1271" s="4"/>
      <c r="AB1271" s="4"/>
      <c r="AC1271" s="4"/>
      <c r="AD1271" s="4"/>
      <c r="AE1271" s="4"/>
      <c r="AF1271" s="4"/>
      <c r="AG1271" s="4"/>
      <c r="AH1271" s="4"/>
      <c r="AI1271" s="4"/>
      <c r="AJ1271" s="4"/>
      <c r="AK1271" s="4"/>
      <c r="AL1271" s="4"/>
      <c r="AM1271" s="38"/>
      <c r="AN1271" s="4"/>
      <c r="AO1271" s="4"/>
      <c r="AP1271" s="4"/>
      <c r="AQ1271" s="4"/>
      <c r="AR1271" s="4"/>
      <c r="AS1271" s="4"/>
      <c r="AT1271" s="4"/>
      <c r="AU1271" s="4"/>
      <c r="AV1271" s="4"/>
      <c r="AW1271" s="4"/>
      <c r="AX1271" s="4"/>
      <c r="AY1271" s="4"/>
      <c r="AZ1271" s="4"/>
      <c r="BA1271" s="4"/>
      <c r="BB1271" s="4"/>
      <c r="BC1271" s="4"/>
      <c r="BD1271" s="4"/>
      <c r="BE1271" s="4"/>
      <c r="BF1271" s="4"/>
      <c r="BG1271" s="4"/>
      <c r="BH1271" s="4"/>
      <c r="BI1271" s="4"/>
      <c r="BJ1271" s="4"/>
      <c r="BK1271" s="4"/>
      <c r="BL1271" s="4"/>
      <c r="BM1271" s="4"/>
      <c r="BN1271" s="4"/>
      <c r="BO1271" s="4"/>
      <c r="BP1271" s="39"/>
      <c r="BQ1271" s="39"/>
    </row>
    <row r="1272" spans="3:69" ht="15.75" customHeight="1">
      <c r="C1272" s="4"/>
      <c r="D1272" s="4"/>
      <c r="E1272" s="38"/>
      <c r="F1272" s="38"/>
      <c r="G1272" s="4"/>
      <c r="H1272" s="4"/>
      <c r="I1272" s="4"/>
      <c r="J1272" s="4"/>
      <c r="K1272" s="4"/>
      <c r="L1272" s="4"/>
      <c r="M1272" s="4"/>
      <c r="N1272" s="38"/>
      <c r="O1272" s="4"/>
      <c r="P1272" s="4"/>
      <c r="Q1272" s="4"/>
      <c r="R1272" s="4"/>
      <c r="S1272" s="4"/>
      <c r="T1272" s="38"/>
      <c r="U1272" s="4"/>
      <c r="V1272" s="4"/>
      <c r="W1272" s="4"/>
      <c r="X1272" s="4"/>
      <c r="Y1272" s="4"/>
      <c r="Z1272" s="4"/>
      <c r="AA1272" s="4"/>
      <c r="AB1272" s="4"/>
      <c r="AC1272" s="4"/>
      <c r="AD1272" s="4"/>
      <c r="AE1272" s="4"/>
      <c r="AF1272" s="4"/>
      <c r="AG1272" s="4"/>
      <c r="AH1272" s="4"/>
      <c r="AI1272" s="4"/>
      <c r="AJ1272" s="4"/>
      <c r="AK1272" s="4"/>
      <c r="AL1272" s="4"/>
      <c r="AM1272" s="38"/>
      <c r="AN1272" s="4"/>
      <c r="AO1272" s="4"/>
      <c r="AP1272" s="4"/>
      <c r="AQ1272" s="4"/>
      <c r="AR1272" s="4"/>
      <c r="AS1272" s="4"/>
      <c r="AT1272" s="4"/>
      <c r="AU1272" s="4"/>
      <c r="AV1272" s="4"/>
      <c r="AW1272" s="4"/>
      <c r="AX1272" s="4"/>
      <c r="AY1272" s="4"/>
      <c r="AZ1272" s="4"/>
      <c r="BA1272" s="4"/>
      <c r="BB1272" s="4"/>
      <c r="BC1272" s="4"/>
      <c r="BD1272" s="4"/>
      <c r="BE1272" s="4"/>
      <c r="BF1272" s="4"/>
      <c r="BG1272" s="4"/>
      <c r="BH1272" s="4"/>
      <c r="BI1272" s="4"/>
      <c r="BJ1272" s="4"/>
      <c r="BK1272" s="4"/>
      <c r="BL1272" s="4"/>
      <c r="BM1272" s="4"/>
      <c r="BN1272" s="4"/>
      <c r="BO1272" s="4"/>
      <c r="BP1272" s="39"/>
      <c r="BQ1272" s="39"/>
    </row>
    <row r="1273" spans="3:69" ht="15.75" customHeight="1">
      <c r="C1273" s="4"/>
      <c r="D1273" s="4"/>
      <c r="E1273" s="38"/>
      <c r="F1273" s="38"/>
      <c r="G1273" s="4"/>
      <c r="H1273" s="4"/>
      <c r="I1273" s="4"/>
      <c r="J1273" s="4"/>
      <c r="K1273" s="4"/>
      <c r="L1273" s="4"/>
      <c r="M1273" s="4"/>
      <c r="N1273" s="38"/>
      <c r="O1273" s="4"/>
      <c r="P1273" s="4"/>
      <c r="Q1273" s="4"/>
      <c r="R1273" s="4"/>
      <c r="S1273" s="4"/>
      <c r="T1273" s="38"/>
      <c r="U1273" s="4"/>
      <c r="V1273" s="4"/>
      <c r="W1273" s="4"/>
      <c r="X1273" s="4"/>
      <c r="Y1273" s="4"/>
      <c r="Z1273" s="4"/>
      <c r="AA1273" s="4"/>
      <c r="AB1273" s="4"/>
      <c r="AC1273" s="4"/>
      <c r="AD1273" s="4"/>
      <c r="AE1273" s="4"/>
      <c r="AF1273" s="4"/>
      <c r="AG1273" s="4"/>
      <c r="AH1273" s="4"/>
      <c r="AI1273" s="4"/>
      <c r="AJ1273" s="4"/>
      <c r="AK1273" s="4"/>
      <c r="AL1273" s="4"/>
      <c r="AM1273" s="38"/>
      <c r="AN1273" s="4"/>
      <c r="AO1273" s="4"/>
      <c r="AP1273" s="4"/>
      <c r="AQ1273" s="4"/>
      <c r="AR1273" s="4"/>
      <c r="AS1273" s="4"/>
      <c r="AT1273" s="4"/>
      <c r="AU1273" s="4"/>
      <c r="AV1273" s="4"/>
      <c r="AW1273" s="4"/>
      <c r="AX1273" s="4"/>
      <c r="AY1273" s="4"/>
      <c r="AZ1273" s="4"/>
      <c r="BA1273" s="4"/>
      <c r="BB1273" s="4"/>
      <c r="BC1273" s="4"/>
      <c r="BD1273" s="4"/>
      <c r="BE1273" s="4"/>
      <c r="BF1273" s="4"/>
      <c r="BG1273" s="4"/>
      <c r="BH1273" s="4"/>
      <c r="BI1273" s="4"/>
      <c r="BJ1273" s="4"/>
      <c r="BK1273" s="4"/>
      <c r="BL1273" s="4"/>
      <c r="BM1273" s="4"/>
      <c r="BN1273" s="4"/>
      <c r="BO1273" s="4"/>
      <c r="BP1273" s="39"/>
      <c r="BQ1273" s="39"/>
    </row>
    <row r="1274" spans="3:69" ht="15.75" customHeight="1">
      <c r="C1274" s="4"/>
      <c r="D1274" s="4"/>
      <c r="E1274" s="38"/>
      <c r="F1274" s="38"/>
      <c r="G1274" s="4"/>
      <c r="H1274" s="4"/>
      <c r="I1274" s="4"/>
      <c r="J1274" s="4"/>
      <c r="K1274" s="4"/>
      <c r="L1274" s="4"/>
      <c r="M1274" s="4"/>
      <c r="N1274" s="38"/>
      <c r="O1274" s="4"/>
      <c r="P1274" s="4"/>
      <c r="Q1274" s="4"/>
      <c r="R1274" s="4"/>
      <c r="S1274" s="4"/>
      <c r="T1274" s="38"/>
      <c r="U1274" s="4"/>
      <c r="V1274" s="4"/>
      <c r="W1274" s="4"/>
      <c r="X1274" s="4"/>
      <c r="Y1274" s="4"/>
      <c r="Z1274" s="4"/>
      <c r="AA1274" s="4"/>
      <c r="AB1274" s="4"/>
      <c r="AC1274" s="4"/>
      <c r="AD1274" s="4"/>
      <c r="AE1274" s="4"/>
      <c r="AF1274" s="4"/>
      <c r="AG1274" s="4"/>
      <c r="AH1274" s="4"/>
      <c r="AI1274" s="4"/>
      <c r="AJ1274" s="4"/>
      <c r="AK1274" s="4"/>
      <c r="AL1274" s="4"/>
      <c r="AM1274" s="38"/>
      <c r="AN1274" s="4"/>
      <c r="AO1274" s="4"/>
      <c r="AP1274" s="4"/>
      <c r="AQ1274" s="4"/>
      <c r="AR1274" s="4"/>
      <c r="AS1274" s="4"/>
      <c r="AT1274" s="4"/>
      <c r="AU1274" s="4"/>
      <c r="AV1274" s="4"/>
      <c r="AW1274" s="4"/>
      <c r="AX1274" s="4"/>
      <c r="AY1274" s="4"/>
      <c r="AZ1274" s="4"/>
      <c r="BA1274" s="4"/>
      <c r="BB1274" s="4"/>
      <c r="BC1274" s="4"/>
      <c r="BD1274" s="4"/>
      <c r="BE1274" s="4"/>
      <c r="BF1274" s="4"/>
      <c r="BG1274" s="4"/>
      <c r="BH1274" s="4"/>
      <c r="BI1274" s="4"/>
      <c r="BJ1274" s="4"/>
      <c r="BK1274" s="4"/>
      <c r="BL1274" s="4"/>
      <c r="BM1274" s="4"/>
      <c r="BN1274" s="4"/>
      <c r="BO1274" s="4"/>
      <c r="BP1274" s="39"/>
      <c r="BQ1274" s="39"/>
    </row>
    <row r="1275" spans="3:69" ht="15.75" customHeight="1">
      <c r="C1275" s="4"/>
      <c r="D1275" s="4"/>
      <c r="E1275" s="38"/>
      <c r="F1275" s="38"/>
      <c r="G1275" s="4"/>
      <c r="H1275" s="4"/>
      <c r="I1275" s="4"/>
      <c r="J1275" s="4"/>
      <c r="K1275" s="4"/>
      <c r="L1275" s="4"/>
      <c r="M1275" s="4"/>
      <c r="N1275" s="38"/>
      <c r="O1275" s="4"/>
      <c r="P1275" s="4"/>
      <c r="Q1275" s="4"/>
      <c r="R1275" s="4"/>
      <c r="S1275" s="4"/>
      <c r="T1275" s="38"/>
      <c r="U1275" s="4"/>
      <c r="V1275" s="4"/>
      <c r="W1275" s="4"/>
      <c r="X1275" s="4"/>
      <c r="Y1275" s="4"/>
      <c r="Z1275" s="4"/>
      <c r="AA1275" s="4"/>
      <c r="AB1275" s="4"/>
      <c r="AC1275" s="4"/>
      <c r="AD1275" s="4"/>
      <c r="AE1275" s="4"/>
      <c r="AF1275" s="4"/>
      <c r="AG1275" s="4"/>
      <c r="AH1275" s="4"/>
      <c r="AI1275" s="4"/>
      <c r="AJ1275" s="4"/>
      <c r="AK1275" s="4"/>
      <c r="AL1275" s="4"/>
      <c r="AM1275" s="38"/>
      <c r="AN1275" s="4"/>
      <c r="AO1275" s="4"/>
      <c r="AP1275" s="4"/>
      <c r="AQ1275" s="4"/>
      <c r="AR1275" s="4"/>
      <c r="AS1275" s="4"/>
      <c r="AT1275" s="4"/>
      <c r="AU1275" s="4"/>
      <c r="AV1275" s="4"/>
      <c r="AW1275" s="4"/>
      <c r="AX1275" s="4"/>
      <c r="AY1275" s="4"/>
      <c r="AZ1275" s="4"/>
      <c r="BA1275" s="4"/>
      <c r="BB1275" s="4"/>
      <c r="BC1275" s="4"/>
      <c r="BD1275" s="4"/>
      <c r="BE1275" s="4"/>
      <c r="BF1275" s="4"/>
      <c r="BG1275" s="4"/>
      <c r="BH1275" s="4"/>
      <c r="BI1275" s="4"/>
      <c r="BJ1275" s="4"/>
      <c r="BK1275" s="4"/>
      <c r="BL1275" s="4"/>
      <c r="BM1275" s="4"/>
      <c r="BN1275" s="4"/>
      <c r="BO1275" s="4"/>
      <c r="BP1275" s="39"/>
      <c r="BQ1275" s="39"/>
    </row>
    <row r="1276" spans="3:69" ht="15.75" customHeight="1">
      <c r="C1276" s="4"/>
      <c r="D1276" s="4"/>
      <c r="E1276" s="38"/>
      <c r="F1276" s="38"/>
      <c r="G1276" s="4"/>
      <c r="H1276" s="4"/>
      <c r="I1276" s="4"/>
      <c r="J1276" s="4"/>
      <c r="K1276" s="4"/>
      <c r="L1276" s="4"/>
      <c r="M1276" s="4"/>
      <c r="N1276" s="38"/>
      <c r="O1276" s="4"/>
      <c r="P1276" s="4"/>
      <c r="Q1276" s="4"/>
      <c r="R1276" s="4"/>
      <c r="S1276" s="4"/>
      <c r="T1276" s="38"/>
      <c r="U1276" s="4"/>
      <c r="V1276" s="4"/>
      <c r="W1276" s="4"/>
      <c r="X1276" s="4"/>
      <c r="Y1276" s="4"/>
      <c r="Z1276" s="4"/>
      <c r="AA1276" s="4"/>
      <c r="AB1276" s="4"/>
      <c r="AC1276" s="4"/>
      <c r="AD1276" s="4"/>
      <c r="AE1276" s="4"/>
      <c r="AF1276" s="4"/>
      <c r="AG1276" s="4"/>
      <c r="AH1276" s="4"/>
      <c r="AI1276" s="4"/>
      <c r="AJ1276" s="4"/>
      <c r="AK1276" s="4"/>
      <c r="AL1276" s="4"/>
      <c r="AM1276" s="38"/>
      <c r="AN1276" s="4"/>
      <c r="AO1276" s="4"/>
      <c r="AP1276" s="4"/>
      <c r="AQ1276" s="4"/>
      <c r="AR1276" s="4"/>
      <c r="AS1276" s="4"/>
      <c r="AT1276" s="4"/>
      <c r="AU1276" s="4"/>
      <c r="AV1276" s="4"/>
      <c r="AW1276" s="4"/>
      <c r="AX1276" s="4"/>
      <c r="AY1276" s="4"/>
      <c r="AZ1276" s="4"/>
      <c r="BA1276" s="4"/>
      <c r="BB1276" s="4"/>
      <c r="BC1276" s="4"/>
      <c r="BD1276" s="4"/>
      <c r="BE1276" s="4"/>
      <c r="BF1276" s="4"/>
      <c r="BG1276" s="4"/>
      <c r="BH1276" s="4"/>
      <c r="BI1276" s="4"/>
      <c r="BJ1276" s="4"/>
      <c r="BK1276" s="4"/>
      <c r="BL1276" s="4"/>
      <c r="BM1276" s="4"/>
      <c r="BN1276" s="4"/>
      <c r="BO1276" s="4"/>
      <c r="BP1276" s="39"/>
      <c r="BQ1276" s="39"/>
    </row>
    <row r="1277" spans="3:69" ht="15.75" customHeight="1">
      <c r="C1277" s="4"/>
      <c r="D1277" s="4"/>
      <c r="E1277" s="38"/>
      <c r="F1277" s="38"/>
      <c r="G1277" s="4"/>
      <c r="H1277" s="4"/>
      <c r="I1277" s="4"/>
      <c r="J1277" s="4"/>
      <c r="K1277" s="4"/>
      <c r="L1277" s="4"/>
      <c r="M1277" s="4"/>
      <c r="N1277" s="38"/>
      <c r="O1277" s="4"/>
      <c r="P1277" s="4"/>
      <c r="Q1277" s="4"/>
      <c r="R1277" s="4"/>
      <c r="S1277" s="4"/>
      <c r="T1277" s="38"/>
      <c r="U1277" s="4"/>
      <c r="V1277" s="4"/>
      <c r="W1277" s="4"/>
      <c r="X1277" s="4"/>
      <c r="Y1277" s="4"/>
      <c r="Z1277" s="4"/>
      <c r="AA1277" s="4"/>
      <c r="AB1277" s="4"/>
      <c r="AC1277" s="4"/>
      <c r="AD1277" s="4"/>
      <c r="AE1277" s="4"/>
      <c r="AF1277" s="4"/>
      <c r="AG1277" s="4"/>
      <c r="AH1277" s="4"/>
      <c r="AI1277" s="4"/>
      <c r="AJ1277" s="4"/>
      <c r="AK1277" s="4"/>
      <c r="AL1277" s="4"/>
      <c r="AM1277" s="38"/>
      <c r="AN1277" s="4"/>
      <c r="AO1277" s="4"/>
      <c r="AP1277" s="4"/>
      <c r="AQ1277" s="4"/>
      <c r="AR1277" s="4"/>
      <c r="AS1277" s="4"/>
      <c r="AT1277" s="4"/>
      <c r="AU1277" s="4"/>
      <c r="AV1277" s="4"/>
      <c r="AW1277" s="4"/>
      <c r="AX1277" s="4"/>
      <c r="AY1277" s="4"/>
      <c r="AZ1277" s="4"/>
      <c r="BA1277" s="4"/>
      <c r="BB1277" s="4"/>
      <c r="BC1277" s="4"/>
      <c r="BD1277" s="4"/>
      <c r="BE1277" s="4"/>
      <c r="BF1277" s="4"/>
      <c r="BG1277" s="4"/>
      <c r="BH1277" s="4"/>
      <c r="BI1277" s="4"/>
      <c r="BJ1277" s="4"/>
      <c r="BK1277" s="4"/>
      <c r="BL1277" s="4"/>
      <c r="BM1277" s="4"/>
      <c r="BN1277" s="4"/>
      <c r="BO1277" s="4"/>
      <c r="BP1277" s="39"/>
      <c r="BQ1277" s="39"/>
    </row>
    <row r="1278" spans="3:69" ht="15.75" customHeight="1">
      <c r="C1278" s="4"/>
      <c r="D1278" s="4"/>
      <c r="E1278" s="38"/>
      <c r="F1278" s="38"/>
      <c r="G1278" s="4"/>
      <c r="H1278" s="4"/>
      <c r="I1278" s="4"/>
      <c r="J1278" s="4"/>
      <c r="K1278" s="4"/>
      <c r="L1278" s="4"/>
      <c r="M1278" s="4"/>
      <c r="N1278" s="38"/>
      <c r="O1278" s="4"/>
      <c r="P1278" s="4"/>
      <c r="Q1278" s="4"/>
      <c r="R1278" s="4"/>
      <c r="S1278" s="4"/>
      <c r="T1278" s="38"/>
      <c r="U1278" s="4"/>
      <c r="V1278" s="4"/>
      <c r="W1278" s="4"/>
      <c r="X1278" s="4"/>
      <c r="Y1278" s="4"/>
      <c r="Z1278" s="4"/>
      <c r="AA1278" s="4"/>
      <c r="AB1278" s="4"/>
      <c r="AC1278" s="4"/>
      <c r="AD1278" s="4"/>
      <c r="AE1278" s="4"/>
      <c r="AF1278" s="4"/>
      <c r="AG1278" s="4"/>
      <c r="AH1278" s="4"/>
      <c r="AI1278" s="4"/>
      <c r="AJ1278" s="4"/>
      <c r="AK1278" s="4"/>
      <c r="AL1278" s="4"/>
      <c r="AM1278" s="38"/>
      <c r="AN1278" s="4"/>
      <c r="AO1278" s="4"/>
      <c r="AP1278" s="4"/>
      <c r="AQ1278" s="4"/>
      <c r="AR1278" s="4"/>
      <c r="AS1278" s="4"/>
      <c r="AT1278" s="4"/>
      <c r="AU1278" s="4"/>
      <c r="AV1278" s="4"/>
      <c r="AW1278" s="4"/>
      <c r="AX1278" s="4"/>
      <c r="AY1278" s="4"/>
      <c r="AZ1278" s="4"/>
      <c r="BA1278" s="4"/>
      <c r="BB1278" s="4"/>
      <c r="BC1278" s="4"/>
      <c r="BD1278" s="4"/>
      <c r="BE1278" s="4"/>
      <c r="BF1278" s="4"/>
      <c r="BG1278" s="4"/>
      <c r="BH1278" s="4"/>
      <c r="BI1278" s="4"/>
      <c r="BJ1278" s="4"/>
      <c r="BK1278" s="4"/>
      <c r="BL1278" s="4"/>
      <c r="BM1278" s="4"/>
      <c r="BN1278" s="4"/>
      <c r="BO1278" s="4"/>
      <c r="BP1278" s="39"/>
      <c r="BQ1278" s="39"/>
    </row>
    <row r="1279" spans="3:69" ht="15.75" customHeight="1">
      <c r="C1279" s="4"/>
      <c r="D1279" s="4"/>
      <c r="E1279" s="38"/>
      <c r="F1279" s="38"/>
      <c r="G1279" s="4"/>
      <c r="H1279" s="4"/>
      <c r="I1279" s="4"/>
      <c r="J1279" s="4"/>
      <c r="K1279" s="4"/>
      <c r="L1279" s="4"/>
      <c r="M1279" s="4"/>
      <c r="N1279" s="38"/>
      <c r="O1279" s="4"/>
      <c r="P1279" s="4"/>
      <c r="Q1279" s="4"/>
      <c r="R1279" s="4"/>
      <c r="S1279" s="4"/>
      <c r="T1279" s="38"/>
      <c r="U1279" s="4"/>
      <c r="V1279" s="4"/>
      <c r="W1279" s="4"/>
      <c r="X1279" s="4"/>
      <c r="Y1279" s="4"/>
      <c r="Z1279" s="4"/>
      <c r="AA1279" s="4"/>
      <c r="AB1279" s="4"/>
      <c r="AC1279" s="4"/>
      <c r="AD1279" s="4"/>
      <c r="AE1279" s="4"/>
      <c r="AF1279" s="4"/>
      <c r="AG1279" s="4"/>
      <c r="AH1279" s="4"/>
      <c r="AI1279" s="4"/>
      <c r="AJ1279" s="4"/>
      <c r="AK1279" s="4"/>
      <c r="AL1279" s="4"/>
      <c r="AM1279" s="38"/>
      <c r="AN1279" s="4"/>
      <c r="AO1279" s="4"/>
      <c r="AP1279" s="4"/>
      <c r="AQ1279" s="4"/>
      <c r="AR1279" s="4"/>
      <c r="AS1279" s="4"/>
      <c r="AT1279" s="4"/>
      <c r="AU1279" s="4"/>
      <c r="AV1279" s="4"/>
      <c r="AW1279" s="4"/>
      <c r="AX1279" s="4"/>
      <c r="AY1279" s="4"/>
      <c r="AZ1279" s="4"/>
      <c r="BA1279" s="4"/>
      <c r="BB1279" s="4"/>
      <c r="BC1279" s="4"/>
      <c r="BD1279" s="4"/>
      <c r="BE1279" s="4"/>
      <c r="BF1279" s="4"/>
      <c r="BG1279" s="4"/>
      <c r="BH1279" s="4"/>
      <c r="BI1279" s="4"/>
      <c r="BJ1279" s="4"/>
      <c r="BK1279" s="4"/>
      <c r="BL1279" s="4"/>
      <c r="BM1279" s="4"/>
      <c r="BN1279" s="4"/>
      <c r="BO1279" s="4"/>
      <c r="BP1279" s="39"/>
      <c r="BQ1279" s="39"/>
    </row>
    <row r="1280" spans="3:69" ht="15.75" customHeight="1">
      <c r="C1280" s="4"/>
      <c r="D1280" s="4"/>
      <c r="E1280" s="38"/>
      <c r="F1280" s="38"/>
      <c r="G1280" s="4"/>
      <c r="H1280" s="4"/>
      <c r="I1280" s="4"/>
      <c r="J1280" s="4"/>
      <c r="K1280" s="4"/>
      <c r="L1280" s="4"/>
      <c r="M1280" s="4"/>
      <c r="N1280" s="38"/>
      <c r="O1280" s="4"/>
      <c r="P1280" s="4"/>
      <c r="Q1280" s="4"/>
      <c r="R1280" s="4"/>
      <c r="S1280" s="4"/>
      <c r="T1280" s="38"/>
      <c r="U1280" s="4"/>
      <c r="V1280" s="4"/>
      <c r="W1280" s="4"/>
      <c r="X1280" s="4"/>
      <c r="Y1280" s="4"/>
      <c r="Z1280" s="4"/>
      <c r="AA1280" s="4"/>
      <c r="AB1280" s="4"/>
      <c r="AC1280" s="4"/>
      <c r="AD1280" s="4"/>
      <c r="AE1280" s="4"/>
      <c r="AF1280" s="4"/>
      <c r="AG1280" s="4"/>
      <c r="AH1280" s="4"/>
      <c r="AI1280" s="4"/>
      <c r="AJ1280" s="4"/>
      <c r="AK1280" s="4"/>
      <c r="AL1280" s="4"/>
      <c r="AM1280" s="38"/>
      <c r="AN1280" s="4"/>
      <c r="AO1280" s="4"/>
      <c r="AP1280" s="4"/>
      <c r="AQ1280" s="4"/>
      <c r="AR1280" s="4"/>
      <c r="AS1280" s="4"/>
      <c r="AT1280" s="4"/>
      <c r="AU1280" s="4"/>
      <c r="AV1280" s="4"/>
      <c r="AW1280" s="4"/>
      <c r="AX1280" s="4"/>
      <c r="AY1280" s="4"/>
      <c r="AZ1280" s="4"/>
      <c r="BA1280" s="4"/>
      <c r="BB1280" s="4"/>
      <c r="BC1280" s="4"/>
      <c r="BD1280" s="4"/>
      <c r="BE1280" s="4"/>
      <c r="BF1280" s="4"/>
      <c r="BG1280" s="4"/>
      <c r="BH1280" s="4"/>
      <c r="BI1280" s="4"/>
      <c r="BJ1280" s="4"/>
      <c r="BK1280" s="4"/>
      <c r="BL1280" s="4"/>
      <c r="BM1280" s="4"/>
      <c r="BN1280" s="4"/>
      <c r="BO1280" s="4"/>
      <c r="BP1280" s="39"/>
      <c r="BQ1280" s="39"/>
    </row>
    <row r="1281" spans="3:69" ht="15.75" customHeight="1">
      <c r="C1281" s="4"/>
      <c r="D1281" s="4"/>
      <c r="E1281" s="38"/>
      <c r="F1281" s="38"/>
      <c r="G1281" s="4"/>
      <c r="H1281" s="4"/>
      <c r="I1281" s="4"/>
      <c r="J1281" s="4"/>
      <c r="K1281" s="4"/>
      <c r="L1281" s="4"/>
      <c r="M1281" s="4"/>
      <c r="N1281" s="38"/>
      <c r="O1281" s="4"/>
      <c r="P1281" s="4"/>
      <c r="Q1281" s="4"/>
      <c r="R1281" s="4"/>
      <c r="S1281" s="4"/>
      <c r="T1281" s="38"/>
      <c r="U1281" s="4"/>
      <c r="V1281" s="4"/>
      <c r="W1281" s="4"/>
      <c r="X1281" s="4"/>
      <c r="Y1281" s="4"/>
      <c r="Z1281" s="4"/>
      <c r="AA1281" s="4"/>
      <c r="AB1281" s="4"/>
      <c r="AC1281" s="4"/>
      <c r="AD1281" s="4"/>
      <c r="AE1281" s="4"/>
      <c r="AF1281" s="4"/>
      <c r="AG1281" s="4"/>
      <c r="AH1281" s="4"/>
      <c r="AI1281" s="4"/>
      <c r="AJ1281" s="4"/>
      <c r="AK1281" s="4"/>
      <c r="AL1281" s="4"/>
      <c r="AM1281" s="38"/>
      <c r="AN1281" s="4"/>
      <c r="AO1281" s="4"/>
      <c r="AP1281" s="4"/>
      <c r="AQ1281" s="4"/>
      <c r="AR1281" s="4"/>
      <c r="AS1281" s="4"/>
      <c r="AT1281" s="4"/>
      <c r="AU1281" s="4"/>
      <c r="AV1281" s="4"/>
      <c r="AW1281" s="4"/>
      <c r="AX1281" s="4"/>
      <c r="AY1281" s="4"/>
      <c r="AZ1281" s="4"/>
      <c r="BA1281" s="4"/>
      <c r="BB1281" s="4"/>
      <c r="BC1281" s="4"/>
      <c r="BD1281" s="4"/>
      <c r="BE1281" s="4"/>
      <c r="BF1281" s="4"/>
      <c r="BG1281" s="4"/>
      <c r="BH1281" s="4"/>
      <c r="BI1281" s="4"/>
      <c r="BJ1281" s="4"/>
      <c r="BK1281" s="4"/>
      <c r="BL1281" s="4"/>
      <c r="BM1281" s="4"/>
      <c r="BN1281" s="4"/>
      <c r="BO1281" s="4"/>
      <c r="BP1281" s="39"/>
      <c r="BQ1281" s="39"/>
    </row>
    <row r="1282" spans="3:69" ht="15.75" customHeight="1">
      <c r="C1282" s="4"/>
      <c r="D1282" s="4"/>
      <c r="E1282" s="38"/>
      <c r="F1282" s="38"/>
      <c r="G1282" s="4"/>
      <c r="H1282" s="4"/>
      <c r="I1282" s="4"/>
      <c r="J1282" s="4"/>
      <c r="K1282" s="4"/>
      <c r="L1282" s="4"/>
      <c r="M1282" s="4"/>
      <c r="N1282" s="38"/>
      <c r="O1282" s="4"/>
      <c r="P1282" s="4"/>
      <c r="Q1282" s="4"/>
      <c r="R1282" s="4"/>
      <c r="S1282" s="4"/>
      <c r="T1282" s="38"/>
      <c r="U1282" s="4"/>
      <c r="V1282" s="4"/>
      <c r="W1282" s="4"/>
      <c r="X1282" s="4"/>
      <c r="Y1282" s="4"/>
      <c r="Z1282" s="4"/>
      <c r="AA1282" s="4"/>
      <c r="AB1282" s="4"/>
      <c r="AC1282" s="4"/>
      <c r="AD1282" s="4"/>
      <c r="AE1282" s="4"/>
      <c r="AF1282" s="4"/>
      <c r="AG1282" s="4"/>
      <c r="AH1282" s="4"/>
      <c r="AI1282" s="4"/>
      <c r="AJ1282" s="4"/>
      <c r="AK1282" s="4"/>
      <c r="AL1282" s="4"/>
      <c r="AM1282" s="38"/>
      <c r="AN1282" s="4"/>
      <c r="AO1282" s="4"/>
      <c r="AP1282" s="4"/>
      <c r="AQ1282" s="4"/>
      <c r="AR1282" s="4"/>
      <c r="AS1282" s="4"/>
      <c r="AT1282" s="4"/>
      <c r="AU1282" s="4"/>
      <c r="AV1282" s="4"/>
      <c r="AW1282" s="4"/>
      <c r="AX1282" s="4"/>
      <c r="AY1282" s="4"/>
      <c r="AZ1282" s="4"/>
      <c r="BA1282" s="4"/>
      <c r="BB1282" s="4"/>
      <c r="BC1282" s="4"/>
      <c r="BD1282" s="4"/>
      <c r="BE1282" s="4"/>
      <c r="BF1282" s="4"/>
      <c r="BG1282" s="4"/>
      <c r="BH1282" s="4"/>
      <c r="BI1282" s="4"/>
      <c r="BJ1282" s="4"/>
      <c r="BK1282" s="4"/>
      <c r="BL1282" s="4"/>
      <c r="BM1282" s="4"/>
      <c r="BN1282" s="4"/>
      <c r="BO1282" s="4"/>
      <c r="BP1282" s="39"/>
      <c r="BQ1282" s="39"/>
    </row>
    <row r="1283" spans="3:69" ht="15.75" customHeight="1">
      <c r="C1283" s="4"/>
      <c r="D1283" s="4"/>
      <c r="E1283" s="38"/>
      <c r="F1283" s="38"/>
      <c r="G1283" s="4"/>
      <c r="H1283" s="4"/>
      <c r="I1283" s="4"/>
      <c r="J1283" s="4"/>
      <c r="K1283" s="4"/>
      <c r="L1283" s="4"/>
      <c r="M1283" s="4"/>
      <c r="N1283" s="38"/>
      <c r="O1283" s="4"/>
      <c r="P1283" s="4"/>
      <c r="Q1283" s="4"/>
      <c r="R1283" s="4"/>
      <c r="S1283" s="4"/>
      <c r="T1283" s="38"/>
      <c r="U1283" s="4"/>
      <c r="V1283" s="4"/>
      <c r="W1283" s="4"/>
      <c r="X1283" s="4"/>
      <c r="Y1283" s="4"/>
      <c r="Z1283" s="4"/>
      <c r="AA1283" s="4"/>
      <c r="AB1283" s="4"/>
      <c r="AC1283" s="4"/>
      <c r="AD1283" s="4"/>
      <c r="AE1283" s="4"/>
      <c r="AF1283" s="4"/>
      <c r="AG1283" s="4"/>
      <c r="AH1283" s="4"/>
      <c r="AI1283" s="4"/>
      <c r="AJ1283" s="4"/>
      <c r="AK1283" s="4"/>
      <c r="AL1283" s="4"/>
      <c r="AM1283" s="38"/>
      <c r="AN1283" s="4"/>
      <c r="AO1283" s="4"/>
      <c r="AP1283" s="4"/>
      <c r="AQ1283" s="4"/>
      <c r="AR1283" s="4"/>
      <c r="AS1283" s="4"/>
      <c r="AT1283" s="4"/>
      <c r="AU1283" s="4"/>
      <c r="AV1283" s="4"/>
      <c r="AW1283" s="4"/>
      <c r="AX1283" s="4"/>
      <c r="AY1283" s="4"/>
      <c r="AZ1283" s="4"/>
      <c r="BA1283" s="4"/>
      <c r="BB1283" s="4"/>
      <c r="BC1283" s="4"/>
      <c r="BD1283" s="4"/>
      <c r="BE1283" s="4"/>
      <c r="BF1283" s="4"/>
      <c r="BG1283" s="4"/>
      <c r="BH1283" s="4"/>
      <c r="BI1283" s="4"/>
      <c r="BJ1283" s="4"/>
      <c r="BK1283" s="4"/>
      <c r="BL1283" s="4"/>
      <c r="BM1283" s="4"/>
      <c r="BN1283" s="4"/>
      <c r="BO1283" s="4"/>
      <c r="BP1283" s="39"/>
      <c r="BQ1283" s="39"/>
    </row>
    <row r="1284" spans="3:69" ht="15.75" customHeight="1">
      <c r="C1284" s="4"/>
      <c r="D1284" s="4"/>
      <c r="E1284" s="38"/>
      <c r="F1284" s="38"/>
      <c r="G1284" s="4"/>
      <c r="H1284" s="4"/>
      <c r="I1284" s="4"/>
      <c r="J1284" s="4"/>
      <c r="K1284" s="4"/>
      <c r="L1284" s="4"/>
      <c r="M1284" s="4"/>
      <c r="N1284" s="38"/>
      <c r="O1284" s="4"/>
      <c r="P1284" s="4"/>
      <c r="Q1284" s="4"/>
      <c r="R1284" s="4"/>
      <c r="S1284" s="4"/>
      <c r="T1284" s="38"/>
      <c r="U1284" s="4"/>
      <c r="V1284" s="4"/>
      <c r="W1284" s="4"/>
      <c r="X1284" s="4"/>
      <c r="Y1284" s="4"/>
      <c r="Z1284" s="4"/>
      <c r="AA1284" s="4"/>
      <c r="AB1284" s="4"/>
      <c r="AC1284" s="4"/>
      <c r="AD1284" s="4"/>
      <c r="AE1284" s="4"/>
      <c r="AF1284" s="4"/>
      <c r="AG1284" s="4"/>
      <c r="AH1284" s="4"/>
      <c r="AI1284" s="4"/>
      <c r="AJ1284" s="4"/>
      <c r="AK1284" s="4"/>
      <c r="AL1284" s="4"/>
      <c r="AM1284" s="38"/>
      <c r="AN1284" s="4"/>
      <c r="AO1284" s="4"/>
      <c r="AP1284" s="4"/>
      <c r="AQ1284" s="4"/>
      <c r="AR1284" s="4"/>
      <c r="AS1284" s="4"/>
      <c r="AT1284" s="4"/>
      <c r="AU1284" s="4"/>
      <c r="AV1284" s="4"/>
      <c r="AW1284" s="4"/>
      <c r="AX1284" s="4"/>
      <c r="AY1284" s="4"/>
      <c r="AZ1284" s="4"/>
      <c r="BA1284" s="4"/>
      <c r="BB1284" s="4"/>
      <c r="BC1284" s="4"/>
      <c r="BD1284" s="4"/>
      <c r="BE1284" s="4"/>
      <c r="BF1284" s="4"/>
      <c r="BG1284" s="4"/>
      <c r="BH1284" s="4"/>
      <c r="BI1284" s="4"/>
      <c r="BJ1284" s="4"/>
      <c r="BK1284" s="4"/>
      <c r="BL1284" s="4"/>
      <c r="BM1284" s="4"/>
      <c r="BN1284" s="4"/>
      <c r="BO1284" s="4"/>
      <c r="BP1284" s="39"/>
      <c r="BQ1284" s="39"/>
    </row>
    <row r="1285" spans="3:69" ht="15.75" customHeight="1">
      <c r="C1285" s="4"/>
      <c r="D1285" s="4"/>
      <c r="E1285" s="38"/>
      <c r="F1285" s="38"/>
      <c r="G1285" s="4"/>
      <c r="H1285" s="4"/>
      <c r="I1285" s="4"/>
      <c r="J1285" s="4"/>
      <c r="K1285" s="4"/>
      <c r="L1285" s="4"/>
      <c r="M1285" s="4"/>
      <c r="N1285" s="38"/>
      <c r="O1285" s="4"/>
      <c r="P1285" s="4"/>
      <c r="Q1285" s="4"/>
      <c r="R1285" s="4"/>
      <c r="S1285" s="4"/>
      <c r="T1285" s="38"/>
      <c r="U1285" s="4"/>
      <c r="V1285" s="4"/>
      <c r="W1285" s="4"/>
      <c r="X1285" s="4"/>
      <c r="Y1285" s="4"/>
      <c r="Z1285" s="4"/>
      <c r="AA1285" s="4"/>
      <c r="AB1285" s="4"/>
      <c r="AC1285" s="4"/>
      <c r="AD1285" s="4"/>
      <c r="AE1285" s="4"/>
      <c r="AF1285" s="4"/>
      <c r="AG1285" s="4"/>
      <c r="AH1285" s="4"/>
      <c r="AI1285" s="4"/>
      <c r="AJ1285" s="4"/>
      <c r="AK1285" s="4"/>
      <c r="AL1285" s="4"/>
      <c r="AM1285" s="38"/>
      <c r="AN1285" s="4"/>
      <c r="AO1285" s="4"/>
      <c r="AP1285" s="4"/>
      <c r="AQ1285" s="4"/>
      <c r="AR1285" s="4"/>
      <c r="AS1285" s="4"/>
      <c r="AT1285" s="4"/>
      <c r="AU1285" s="4"/>
      <c r="AV1285" s="4"/>
      <c r="AW1285" s="4"/>
      <c r="AX1285" s="4"/>
      <c r="AY1285" s="4"/>
      <c r="AZ1285" s="4"/>
      <c r="BA1285" s="4"/>
      <c r="BB1285" s="4"/>
      <c r="BC1285" s="4"/>
      <c r="BD1285" s="4"/>
      <c r="BE1285" s="4"/>
      <c r="BF1285" s="4"/>
      <c r="BG1285" s="4"/>
      <c r="BH1285" s="4"/>
      <c r="BI1285" s="4"/>
      <c r="BJ1285" s="4"/>
      <c r="BK1285" s="4"/>
      <c r="BL1285" s="4"/>
      <c r="BM1285" s="4"/>
      <c r="BN1285" s="4"/>
      <c r="BO1285" s="4"/>
      <c r="BP1285" s="39"/>
      <c r="BQ1285" s="39"/>
    </row>
    <row r="1286" spans="3:69" ht="15.75" customHeight="1">
      <c r="C1286" s="4"/>
      <c r="D1286" s="4"/>
      <c r="E1286" s="38"/>
      <c r="F1286" s="38"/>
      <c r="G1286" s="4"/>
      <c r="H1286" s="4"/>
      <c r="I1286" s="4"/>
      <c r="J1286" s="4"/>
      <c r="K1286" s="4"/>
      <c r="L1286" s="4"/>
      <c r="M1286" s="4"/>
      <c r="N1286" s="38"/>
      <c r="O1286" s="4"/>
      <c r="P1286" s="4"/>
      <c r="Q1286" s="4"/>
      <c r="R1286" s="4"/>
      <c r="S1286" s="4"/>
      <c r="T1286" s="38"/>
      <c r="U1286" s="4"/>
      <c r="V1286" s="4"/>
      <c r="W1286" s="4"/>
      <c r="X1286" s="4"/>
      <c r="Y1286" s="4"/>
      <c r="Z1286" s="4"/>
      <c r="AA1286" s="4"/>
      <c r="AB1286" s="4"/>
      <c r="AC1286" s="4"/>
      <c r="AD1286" s="4"/>
      <c r="AE1286" s="4"/>
      <c r="AF1286" s="4"/>
      <c r="AG1286" s="4"/>
      <c r="AH1286" s="4"/>
      <c r="AI1286" s="4"/>
      <c r="AJ1286" s="4"/>
      <c r="AK1286" s="4"/>
      <c r="AL1286" s="4"/>
      <c r="AM1286" s="38"/>
      <c r="AN1286" s="4"/>
      <c r="AO1286" s="4"/>
      <c r="AP1286" s="4"/>
      <c r="AQ1286" s="4"/>
      <c r="AR1286" s="4"/>
      <c r="AS1286" s="4"/>
      <c r="AT1286" s="4"/>
      <c r="AU1286" s="4"/>
      <c r="AV1286" s="4"/>
      <c r="AW1286" s="4"/>
      <c r="AX1286" s="4"/>
      <c r="AY1286" s="4"/>
      <c r="AZ1286" s="4"/>
      <c r="BA1286" s="4"/>
      <c r="BB1286" s="4"/>
      <c r="BC1286" s="4"/>
      <c r="BD1286" s="4"/>
      <c r="BE1286" s="4"/>
      <c r="BF1286" s="4"/>
      <c r="BG1286" s="4"/>
      <c r="BH1286" s="4"/>
      <c r="BI1286" s="4"/>
      <c r="BJ1286" s="4"/>
      <c r="BK1286" s="4"/>
      <c r="BL1286" s="4"/>
      <c r="BM1286" s="4"/>
      <c r="BN1286" s="4"/>
      <c r="BO1286" s="4"/>
      <c r="BP1286" s="39"/>
      <c r="BQ1286" s="39"/>
    </row>
    <row r="1287" spans="3:69" ht="15.75" customHeight="1">
      <c r="C1287" s="4"/>
      <c r="D1287" s="4"/>
      <c r="E1287" s="38"/>
      <c r="F1287" s="38"/>
      <c r="G1287" s="4"/>
      <c r="H1287" s="4"/>
      <c r="I1287" s="4"/>
      <c r="J1287" s="4"/>
      <c r="K1287" s="4"/>
      <c r="L1287" s="4"/>
      <c r="M1287" s="4"/>
      <c r="N1287" s="38"/>
      <c r="O1287" s="4"/>
      <c r="P1287" s="4"/>
      <c r="Q1287" s="4"/>
      <c r="R1287" s="4"/>
      <c r="S1287" s="4"/>
      <c r="T1287" s="38"/>
      <c r="U1287" s="4"/>
      <c r="V1287" s="4"/>
      <c r="W1287" s="4"/>
      <c r="X1287" s="4"/>
      <c r="Y1287" s="4"/>
      <c r="Z1287" s="4"/>
      <c r="AA1287" s="4"/>
      <c r="AB1287" s="4"/>
      <c r="AC1287" s="4"/>
      <c r="AD1287" s="4"/>
      <c r="AE1287" s="4"/>
      <c r="AF1287" s="4"/>
      <c r="AG1287" s="4"/>
      <c r="AH1287" s="4"/>
      <c r="AI1287" s="4"/>
      <c r="AJ1287" s="4"/>
      <c r="AK1287" s="4"/>
      <c r="AL1287" s="4"/>
      <c r="AM1287" s="38"/>
      <c r="AN1287" s="4"/>
      <c r="AO1287" s="4"/>
      <c r="AP1287" s="4"/>
      <c r="AQ1287" s="4"/>
      <c r="AR1287" s="4"/>
      <c r="AS1287" s="4"/>
      <c r="AT1287" s="4"/>
      <c r="AU1287" s="4"/>
      <c r="AV1287" s="4"/>
      <c r="AW1287" s="4"/>
      <c r="AX1287" s="4"/>
      <c r="AY1287" s="4"/>
      <c r="AZ1287" s="4"/>
      <c r="BA1287" s="4"/>
      <c r="BB1287" s="4"/>
      <c r="BC1287" s="4"/>
      <c r="BD1287" s="4"/>
      <c r="BE1287" s="4"/>
      <c r="BF1287" s="4"/>
      <c r="BG1287" s="4"/>
      <c r="BH1287" s="4"/>
      <c r="BI1287" s="4"/>
      <c r="BJ1287" s="4"/>
      <c r="BK1287" s="4"/>
      <c r="BL1287" s="4"/>
      <c r="BM1287" s="4"/>
      <c r="BN1287" s="4"/>
      <c r="BO1287" s="4"/>
      <c r="BP1287" s="39"/>
      <c r="BQ1287" s="39"/>
    </row>
    <row r="1288" spans="3:69" ht="15.75" customHeight="1">
      <c r="C1288" s="4"/>
      <c r="D1288" s="4"/>
      <c r="E1288" s="38"/>
      <c r="F1288" s="38"/>
      <c r="G1288" s="4"/>
      <c r="H1288" s="4"/>
      <c r="I1288" s="4"/>
      <c r="J1288" s="4"/>
      <c r="K1288" s="4"/>
      <c r="L1288" s="4"/>
      <c r="M1288" s="4"/>
      <c r="N1288" s="38"/>
      <c r="O1288" s="4"/>
      <c r="P1288" s="4"/>
      <c r="Q1288" s="4"/>
      <c r="R1288" s="4"/>
      <c r="S1288" s="4"/>
      <c r="T1288" s="38"/>
      <c r="U1288" s="4"/>
      <c r="V1288" s="4"/>
      <c r="W1288" s="4"/>
      <c r="X1288" s="4"/>
      <c r="Y1288" s="4"/>
      <c r="Z1288" s="4"/>
      <c r="AA1288" s="4"/>
      <c r="AB1288" s="4"/>
      <c r="AC1288" s="4"/>
      <c r="AD1288" s="4"/>
      <c r="AE1288" s="4"/>
      <c r="AF1288" s="4"/>
      <c r="AG1288" s="4"/>
      <c r="AH1288" s="4"/>
      <c r="AI1288" s="4"/>
      <c r="AJ1288" s="4"/>
      <c r="AK1288" s="4"/>
      <c r="AL1288" s="4"/>
      <c r="AM1288" s="38"/>
      <c r="AN1288" s="4"/>
      <c r="AO1288" s="4"/>
      <c r="AP1288" s="4"/>
      <c r="AQ1288" s="4"/>
      <c r="AR1288" s="4"/>
      <c r="AS1288" s="4"/>
      <c r="AT1288" s="4"/>
      <c r="AU1288" s="4"/>
      <c r="AV1288" s="4"/>
      <c r="AW1288" s="4"/>
      <c r="AX1288" s="4"/>
      <c r="AY1288" s="4"/>
      <c r="AZ1288" s="4"/>
      <c r="BA1288" s="4"/>
      <c r="BB1288" s="4"/>
      <c r="BC1288" s="4"/>
      <c r="BD1288" s="4"/>
      <c r="BE1288" s="4"/>
      <c r="BF1288" s="4"/>
      <c r="BG1288" s="4"/>
      <c r="BH1288" s="4"/>
      <c r="BI1288" s="4"/>
      <c r="BJ1288" s="4"/>
      <c r="BK1288" s="4"/>
      <c r="BL1288" s="4"/>
      <c r="BM1288" s="4"/>
      <c r="BN1288" s="4"/>
      <c r="BO1288" s="4"/>
      <c r="BP1288" s="39"/>
      <c r="BQ1288" s="39"/>
    </row>
    <row r="1289" spans="3:69" ht="15.75" customHeight="1">
      <c r="C1289" s="4"/>
      <c r="D1289" s="4"/>
      <c r="E1289" s="38"/>
      <c r="F1289" s="38"/>
      <c r="G1289" s="4"/>
      <c r="H1289" s="4"/>
      <c r="I1289" s="4"/>
      <c r="J1289" s="4"/>
      <c r="K1289" s="4"/>
      <c r="L1289" s="4"/>
      <c r="M1289" s="4"/>
      <c r="N1289" s="38"/>
      <c r="O1289" s="4"/>
      <c r="P1289" s="4"/>
      <c r="Q1289" s="4"/>
      <c r="R1289" s="4"/>
      <c r="S1289" s="4"/>
      <c r="T1289" s="38"/>
      <c r="U1289" s="4"/>
      <c r="V1289" s="4"/>
      <c r="W1289" s="4"/>
      <c r="X1289" s="4"/>
      <c r="Y1289" s="4"/>
      <c r="Z1289" s="4"/>
      <c r="AA1289" s="4"/>
      <c r="AB1289" s="4"/>
      <c r="AC1289" s="4"/>
      <c r="AD1289" s="4"/>
      <c r="AE1289" s="4"/>
      <c r="AF1289" s="4"/>
      <c r="AG1289" s="4"/>
      <c r="AH1289" s="4"/>
      <c r="AI1289" s="4"/>
      <c r="AJ1289" s="4"/>
      <c r="AK1289" s="4"/>
      <c r="AL1289" s="4"/>
      <c r="AM1289" s="38"/>
      <c r="AN1289" s="4"/>
      <c r="AO1289" s="4"/>
      <c r="AP1289" s="4"/>
      <c r="AQ1289" s="4"/>
      <c r="AR1289" s="4"/>
      <c r="AS1289" s="4"/>
      <c r="AT1289" s="4"/>
      <c r="AU1289" s="4"/>
      <c r="AV1289" s="4"/>
      <c r="AW1289" s="4"/>
      <c r="AX1289" s="4"/>
      <c r="AY1289" s="4"/>
      <c r="AZ1289" s="4"/>
      <c r="BA1289" s="4"/>
      <c r="BB1289" s="4"/>
      <c r="BC1289" s="4"/>
      <c r="BD1289" s="4"/>
      <c r="BE1289" s="4"/>
      <c r="BF1289" s="4"/>
      <c r="BG1289" s="4"/>
      <c r="BH1289" s="4"/>
      <c r="BI1289" s="4"/>
      <c r="BJ1289" s="4"/>
      <c r="BK1289" s="4"/>
      <c r="BL1289" s="4"/>
      <c r="BM1289" s="4"/>
      <c r="BN1289" s="4"/>
      <c r="BO1289" s="4"/>
      <c r="BP1289" s="39"/>
      <c r="BQ1289" s="39"/>
    </row>
    <row r="1290" spans="3:69" ht="15.75" customHeight="1">
      <c r="C1290" s="4"/>
      <c r="D1290" s="4"/>
      <c r="E1290" s="38"/>
      <c r="F1290" s="38"/>
      <c r="G1290" s="4"/>
      <c r="H1290" s="4"/>
      <c r="I1290" s="4"/>
      <c r="J1290" s="4"/>
      <c r="K1290" s="4"/>
      <c r="L1290" s="4"/>
      <c r="M1290" s="4"/>
      <c r="N1290" s="38"/>
      <c r="O1290" s="4"/>
      <c r="P1290" s="4"/>
      <c r="Q1290" s="4"/>
      <c r="R1290" s="4"/>
      <c r="S1290" s="4"/>
      <c r="T1290" s="38"/>
      <c r="U1290" s="4"/>
      <c r="V1290" s="4"/>
      <c r="W1290" s="4"/>
      <c r="X1290" s="4"/>
      <c r="Y1290" s="4"/>
      <c r="Z1290" s="4"/>
      <c r="AA1290" s="4"/>
      <c r="AB1290" s="4"/>
      <c r="AC1290" s="4"/>
      <c r="AD1290" s="4"/>
      <c r="AE1290" s="4"/>
      <c r="AF1290" s="4"/>
      <c r="AG1290" s="4"/>
      <c r="AH1290" s="4"/>
      <c r="AI1290" s="4"/>
      <c r="AJ1290" s="4"/>
      <c r="AK1290" s="4"/>
      <c r="AL1290" s="4"/>
      <c r="AM1290" s="38"/>
      <c r="AN1290" s="4"/>
      <c r="AO1290" s="4"/>
      <c r="AP1290" s="4"/>
      <c r="AQ1290" s="4"/>
      <c r="AR1290" s="4"/>
      <c r="AS1290" s="4"/>
      <c r="AT1290" s="4"/>
      <c r="AU1290" s="4"/>
      <c r="AV1290" s="4"/>
      <c r="AW1290" s="4"/>
      <c r="AX1290" s="4"/>
      <c r="AY1290" s="4"/>
      <c r="AZ1290" s="4"/>
      <c r="BA1290" s="4"/>
      <c r="BB1290" s="4"/>
      <c r="BC1290" s="4"/>
      <c r="BD1290" s="4"/>
      <c r="BE1290" s="4"/>
      <c r="BF1290" s="4"/>
      <c r="BG1290" s="4"/>
      <c r="BH1290" s="4"/>
      <c r="BI1290" s="4"/>
      <c r="BJ1290" s="4"/>
      <c r="BK1290" s="4"/>
      <c r="BL1290" s="4"/>
      <c r="BM1290" s="4"/>
      <c r="BN1290" s="4"/>
      <c r="BO1290" s="4"/>
      <c r="BP1290" s="39"/>
      <c r="BQ1290" s="39"/>
    </row>
    <row r="1291" spans="3:69" ht="15.75" customHeight="1">
      <c r="C1291" s="4"/>
      <c r="D1291" s="4"/>
      <c r="E1291" s="38"/>
      <c r="F1291" s="38"/>
      <c r="G1291" s="4"/>
      <c r="H1291" s="4"/>
      <c r="I1291" s="4"/>
      <c r="J1291" s="4"/>
      <c r="K1291" s="4"/>
      <c r="L1291" s="4"/>
      <c r="M1291" s="4"/>
      <c r="N1291" s="38"/>
      <c r="O1291" s="4"/>
      <c r="P1291" s="4"/>
      <c r="Q1291" s="4"/>
      <c r="R1291" s="4"/>
      <c r="S1291" s="4"/>
      <c r="T1291" s="38"/>
      <c r="U1291" s="4"/>
      <c r="V1291" s="4"/>
      <c r="W1291" s="4"/>
      <c r="X1291" s="4"/>
      <c r="Y1291" s="4"/>
      <c r="Z1291" s="4"/>
      <c r="AA1291" s="4"/>
      <c r="AB1291" s="4"/>
      <c r="AC1291" s="4"/>
      <c r="AD1291" s="4"/>
      <c r="AE1291" s="4"/>
      <c r="AF1291" s="4"/>
      <c r="AG1291" s="4"/>
      <c r="AH1291" s="4"/>
      <c r="AI1291" s="4"/>
      <c r="AJ1291" s="4"/>
      <c r="AK1291" s="4"/>
      <c r="AL1291" s="4"/>
      <c r="AM1291" s="38"/>
      <c r="AN1291" s="4"/>
      <c r="AO1291" s="4"/>
      <c r="AP1291" s="4"/>
      <c r="AQ1291" s="4"/>
      <c r="AR1291" s="4"/>
      <c r="AS1291" s="4"/>
      <c r="AT1291" s="4"/>
      <c r="AU1291" s="4"/>
      <c r="AV1291" s="4"/>
      <c r="AW1291" s="4"/>
      <c r="AX1291" s="4"/>
      <c r="AY1291" s="4"/>
      <c r="AZ1291" s="4"/>
      <c r="BA1291" s="4"/>
      <c r="BB1291" s="4"/>
      <c r="BC1291" s="4"/>
      <c r="BD1291" s="4"/>
      <c r="BE1291" s="4"/>
      <c r="BF1291" s="4"/>
      <c r="BG1291" s="4"/>
      <c r="BH1291" s="4"/>
      <c r="BI1291" s="4"/>
      <c r="BJ1291" s="4"/>
      <c r="BK1291" s="4"/>
      <c r="BL1291" s="4"/>
      <c r="BM1291" s="4"/>
      <c r="BN1291" s="4"/>
      <c r="BO1291" s="4"/>
      <c r="BP1291" s="39"/>
      <c r="BQ1291" s="39"/>
    </row>
    <row r="1292" spans="3:69" ht="15.75" customHeight="1">
      <c r="C1292" s="4"/>
      <c r="D1292" s="4"/>
      <c r="E1292" s="38"/>
      <c r="F1292" s="38"/>
      <c r="G1292" s="4"/>
      <c r="H1292" s="4"/>
      <c r="I1292" s="4"/>
      <c r="J1292" s="4"/>
      <c r="K1292" s="4"/>
      <c r="L1292" s="4"/>
      <c r="M1292" s="4"/>
      <c r="N1292" s="38"/>
      <c r="O1292" s="4"/>
      <c r="P1292" s="4"/>
      <c r="Q1292" s="4"/>
      <c r="R1292" s="4"/>
      <c r="S1292" s="4"/>
      <c r="T1292" s="38"/>
      <c r="U1292" s="4"/>
      <c r="V1292" s="4"/>
      <c r="W1292" s="4"/>
      <c r="X1292" s="4"/>
      <c r="Y1292" s="4"/>
      <c r="Z1292" s="4"/>
      <c r="AA1292" s="4"/>
      <c r="AB1292" s="4"/>
      <c r="AC1292" s="4"/>
      <c r="AD1292" s="4"/>
      <c r="AE1292" s="4"/>
      <c r="AF1292" s="4"/>
      <c r="AG1292" s="4"/>
      <c r="AH1292" s="4"/>
      <c r="AI1292" s="4"/>
      <c r="AJ1292" s="4"/>
      <c r="AK1292" s="4"/>
      <c r="AL1292" s="4"/>
      <c r="AM1292" s="38"/>
      <c r="AN1292" s="4"/>
      <c r="AO1292" s="4"/>
      <c r="AP1292" s="4"/>
      <c r="AQ1292" s="4"/>
      <c r="AR1292" s="4"/>
      <c r="AS1292" s="4"/>
      <c r="AT1292" s="4"/>
      <c r="AU1292" s="4"/>
      <c r="AV1292" s="4"/>
      <c r="AW1292" s="4"/>
      <c r="AX1292" s="4"/>
      <c r="AY1292" s="4"/>
      <c r="AZ1292" s="4"/>
      <c r="BA1292" s="4"/>
      <c r="BB1292" s="4"/>
      <c r="BC1292" s="4"/>
      <c r="BD1292" s="4"/>
      <c r="BE1292" s="4"/>
      <c r="BF1292" s="4"/>
      <c r="BG1292" s="4"/>
      <c r="BH1292" s="4"/>
      <c r="BI1292" s="4"/>
      <c r="BJ1292" s="4"/>
      <c r="BK1292" s="4"/>
      <c r="BL1292" s="4"/>
      <c r="BM1292" s="4"/>
      <c r="BN1292" s="4"/>
      <c r="BO1292" s="4"/>
      <c r="BP1292" s="39"/>
      <c r="BQ1292" s="39"/>
    </row>
    <row r="1293" spans="3:69" ht="15.75" customHeight="1">
      <c r="C1293" s="4"/>
      <c r="D1293" s="4"/>
      <c r="E1293" s="38"/>
      <c r="F1293" s="38"/>
      <c r="G1293" s="4"/>
      <c r="H1293" s="4"/>
      <c r="I1293" s="4"/>
      <c r="J1293" s="4"/>
      <c r="K1293" s="4"/>
      <c r="L1293" s="4"/>
      <c r="M1293" s="4"/>
      <c r="N1293" s="38"/>
      <c r="O1293" s="4"/>
      <c r="P1293" s="4"/>
      <c r="Q1293" s="4"/>
      <c r="R1293" s="4"/>
      <c r="S1293" s="4"/>
      <c r="T1293" s="38"/>
      <c r="U1293" s="4"/>
      <c r="V1293" s="4"/>
      <c r="W1293" s="4"/>
      <c r="X1293" s="4"/>
      <c r="Y1293" s="4"/>
      <c r="Z1293" s="4"/>
      <c r="AA1293" s="4"/>
      <c r="AB1293" s="4"/>
      <c r="AC1293" s="4"/>
      <c r="AD1293" s="4"/>
      <c r="AE1293" s="4"/>
      <c r="AF1293" s="4"/>
      <c r="AG1293" s="4"/>
      <c r="AH1293" s="4"/>
      <c r="AI1293" s="4"/>
      <c r="AJ1293" s="4"/>
      <c r="AK1293" s="4"/>
      <c r="AL1293" s="4"/>
      <c r="AM1293" s="38"/>
      <c r="AN1293" s="4"/>
      <c r="AO1293" s="4"/>
      <c r="AP1293" s="4"/>
      <c r="AQ1293" s="4"/>
      <c r="AR1293" s="4"/>
      <c r="AS1293" s="4"/>
      <c r="AT1293" s="4"/>
      <c r="AU1293" s="4"/>
      <c r="AV1293" s="4"/>
      <c r="AW1293" s="4"/>
      <c r="AX1293" s="4"/>
      <c r="AY1293" s="4"/>
      <c r="AZ1293" s="4"/>
      <c r="BA1293" s="4"/>
      <c r="BB1293" s="4"/>
      <c r="BC1293" s="4"/>
      <c r="BD1293" s="4"/>
      <c r="BE1293" s="4"/>
      <c r="BF1293" s="4"/>
      <c r="BG1293" s="4"/>
      <c r="BH1293" s="4"/>
      <c r="BI1293" s="4"/>
      <c r="BJ1293" s="4"/>
      <c r="BK1293" s="4"/>
      <c r="BL1293" s="4"/>
      <c r="BM1293" s="4"/>
      <c r="BN1293" s="4"/>
      <c r="BO1293" s="4"/>
      <c r="BP1293" s="39"/>
      <c r="BQ1293" s="39"/>
    </row>
    <row r="1294" spans="3:69" ht="15.75" customHeight="1">
      <c r="C1294" s="4"/>
      <c r="D1294" s="4"/>
      <c r="E1294" s="38"/>
      <c r="F1294" s="38"/>
      <c r="G1294" s="4"/>
      <c r="H1294" s="4"/>
      <c r="I1294" s="4"/>
      <c r="J1294" s="4"/>
      <c r="K1294" s="4"/>
      <c r="L1294" s="4"/>
      <c r="M1294" s="4"/>
      <c r="N1294" s="38"/>
      <c r="O1294" s="4"/>
      <c r="P1294" s="4"/>
      <c r="Q1294" s="4"/>
      <c r="R1294" s="4"/>
      <c r="S1294" s="4"/>
      <c r="T1294" s="38"/>
      <c r="U1294" s="4"/>
      <c r="V1294" s="4"/>
      <c r="W1294" s="4"/>
      <c r="X1294" s="4"/>
      <c r="Y1294" s="4"/>
      <c r="Z1294" s="4"/>
      <c r="AA1294" s="4"/>
      <c r="AB1294" s="4"/>
      <c r="AC1294" s="4"/>
      <c r="AD1294" s="4"/>
      <c r="AE1294" s="4"/>
      <c r="AF1294" s="4"/>
      <c r="AG1294" s="4"/>
      <c r="AH1294" s="4"/>
      <c r="AI1294" s="4"/>
      <c r="AJ1294" s="4"/>
      <c r="AK1294" s="4"/>
      <c r="AL1294" s="4"/>
      <c r="AM1294" s="38"/>
      <c r="AN1294" s="4"/>
      <c r="AO1294" s="4"/>
      <c r="AP1294" s="4"/>
      <c r="AQ1294" s="4"/>
      <c r="AR1294" s="4"/>
      <c r="AS1294" s="4"/>
      <c r="AT1294" s="4"/>
      <c r="AU1294" s="4"/>
      <c r="AV1294" s="4"/>
      <c r="AW1294" s="4"/>
      <c r="AX1294" s="4"/>
      <c r="AY1294" s="4"/>
      <c r="AZ1294" s="4"/>
      <c r="BA1294" s="4"/>
      <c r="BB1294" s="4"/>
      <c r="BC1294" s="4"/>
      <c r="BD1294" s="4"/>
      <c r="BE1294" s="4"/>
      <c r="BF1294" s="4"/>
      <c r="BG1294" s="4"/>
      <c r="BH1294" s="4"/>
      <c r="BI1294" s="4"/>
      <c r="BJ1294" s="4"/>
      <c r="BK1294" s="4"/>
      <c r="BL1294" s="4"/>
      <c r="BM1294" s="4"/>
      <c r="BN1294" s="4"/>
      <c r="BO1294" s="4"/>
      <c r="BP1294" s="39"/>
      <c r="BQ1294" s="39"/>
    </row>
    <row r="1295" spans="3:69" ht="15.75" customHeight="1">
      <c r="C1295" s="4"/>
      <c r="D1295" s="4"/>
      <c r="E1295" s="38"/>
      <c r="F1295" s="38"/>
      <c r="G1295" s="4"/>
      <c r="H1295" s="4"/>
      <c r="I1295" s="4"/>
      <c r="J1295" s="4"/>
      <c r="K1295" s="4"/>
      <c r="L1295" s="4"/>
      <c r="M1295" s="4"/>
      <c r="N1295" s="38"/>
      <c r="O1295" s="4"/>
      <c r="P1295" s="4"/>
      <c r="Q1295" s="4"/>
      <c r="R1295" s="4"/>
      <c r="S1295" s="4"/>
      <c r="T1295" s="38"/>
      <c r="U1295" s="4"/>
      <c r="V1295" s="4"/>
      <c r="W1295" s="4"/>
      <c r="X1295" s="4"/>
      <c r="Y1295" s="4"/>
      <c r="Z1295" s="4"/>
      <c r="AA1295" s="4"/>
      <c r="AB1295" s="4"/>
      <c r="AC1295" s="4"/>
      <c r="AD1295" s="4"/>
      <c r="AE1295" s="4"/>
      <c r="AF1295" s="4"/>
      <c r="AG1295" s="4"/>
      <c r="AH1295" s="4"/>
      <c r="AI1295" s="4"/>
      <c r="AJ1295" s="4"/>
      <c r="AK1295" s="4"/>
      <c r="AL1295" s="4"/>
      <c r="AM1295" s="38"/>
      <c r="AN1295" s="4"/>
      <c r="AO1295" s="4"/>
      <c r="AP1295" s="4"/>
      <c r="AQ1295" s="4"/>
      <c r="AR1295" s="4"/>
      <c r="AS1295" s="4"/>
      <c r="AT1295" s="4"/>
      <c r="AU1295" s="4"/>
      <c r="AV1295" s="4"/>
      <c r="AW1295" s="4"/>
      <c r="AX1295" s="4"/>
      <c r="AY1295" s="4"/>
      <c r="AZ1295" s="4"/>
      <c r="BA1295" s="4"/>
      <c r="BB1295" s="4"/>
      <c r="BC1295" s="4"/>
      <c r="BD1295" s="4"/>
      <c r="BE1295" s="4"/>
      <c r="BF1295" s="4"/>
      <c r="BG1295" s="4"/>
      <c r="BH1295" s="4"/>
      <c r="BI1295" s="4"/>
      <c r="BJ1295" s="4"/>
      <c r="BK1295" s="4"/>
      <c r="BL1295" s="4"/>
      <c r="BM1295" s="4"/>
      <c r="BN1295" s="4"/>
      <c r="BO1295" s="4"/>
      <c r="BP1295" s="39"/>
      <c r="BQ1295" s="39"/>
    </row>
    <row r="1296" spans="3:69" ht="15.75" customHeight="1">
      <c r="C1296" s="4"/>
      <c r="D1296" s="4"/>
      <c r="E1296" s="38"/>
      <c r="F1296" s="38"/>
      <c r="G1296" s="4"/>
      <c r="H1296" s="4"/>
      <c r="I1296" s="4"/>
      <c r="J1296" s="4"/>
      <c r="K1296" s="4"/>
      <c r="L1296" s="4"/>
      <c r="M1296" s="4"/>
      <c r="N1296" s="38"/>
      <c r="O1296" s="4"/>
      <c r="P1296" s="4"/>
      <c r="Q1296" s="4"/>
      <c r="R1296" s="4"/>
      <c r="S1296" s="4"/>
      <c r="T1296" s="38"/>
      <c r="U1296" s="4"/>
      <c r="V1296" s="4"/>
      <c r="W1296" s="4"/>
      <c r="X1296" s="4"/>
      <c r="Y1296" s="4"/>
      <c r="Z1296" s="4"/>
      <c r="AA1296" s="4"/>
      <c r="AB1296" s="4"/>
      <c r="AC1296" s="4"/>
      <c r="AD1296" s="4"/>
      <c r="AE1296" s="4"/>
      <c r="AF1296" s="4"/>
      <c r="AG1296" s="4"/>
      <c r="AH1296" s="4"/>
      <c r="AI1296" s="4"/>
      <c r="AJ1296" s="4"/>
      <c r="AK1296" s="4"/>
      <c r="AL1296" s="4"/>
      <c r="AM1296" s="38"/>
      <c r="AN1296" s="4"/>
      <c r="AO1296" s="4"/>
      <c r="AP1296" s="4"/>
      <c r="AQ1296" s="4"/>
      <c r="AR1296" s="4"/>
      <c r="AS1296" s="4"/>
      <c r="AT1296" s="4"/>
      <c r="AU1296" s="4"/>
      <c r="AV1296" s="4"/>
      <c r="AW1296" s="4"/>
      <c r="AX1296" s="4"/>
      <c r="AY1296" s="4"/>
      <c r="AZ1296" s="4"/>
      <c r="BA1296" s="4"/>
      <c r="BB1296" s="4"/>
      <c r="BC1296" s="4"/>
      <c r="BD1296" s="4"/>
      <c r="BE1296" s="4"/>
      <c r="BF1296" s="4"/>
      <c r="BG1296" s="4"/>
      <c r="BH1296" s="4"/>
      <c r="BI1296" s="4"/>
      <c r="BJ1296" s="4"/>
      <c r="BK1296" s="4"/>
      <c r="BL1296" s="4"/>
      <c r="BM1296" s="4"/>
      <c r="BN1296" s="4"/>
      <c r="BO1296" s="4"/>
      <c r="BP1296" s="39"/>
      <c r="BQ1296" s="39"/>
    </row>
    <row r="1297" spans="3:69" ht="15.75" customHeight="1">
      <c r="C1297" s="4"/>
      <c r="D1297" s="4"/>
      <c r="E1297" s="38"/>
      <c r="F1297" s="38"/>
      <c r="G1297" s="4"/>
      <c r="H1297" s="4"/>
      <c r="I1297" s="4"/>
      <c r="J1297" s="4"/>
      <c r="K1297" s="4"/>
      <c r="L1297" s="4"/>
      <c r="M1297" s="4"/>
      <c r="N1297" s="38"/>
      <c r="O1297" s="4"/>
      <c r="P1297" s="4"/>
      <c r="Q1297" s="4"/>
      <c r="R1297" s="4"/>
      <c r="S1297" s="4"/>
      <c r="T1297" s="38"/>
      <c r="U1297" s="4"/>
      <c r="V1297" s="4"/>
      <c r="W1297" s="4"/>
      <c r="X1297" s="4"/>
      <c r="Y1297" s="4"/>
      <c r="Z1297" s="4"/>
      <c r="AA1297" s="4"/>
      <c r="AB1297" s="4"/>
      <c r="AC1297" s="4"/>
      <c r="AD1297" s="4"/>
      <c r="AE1297" s="4"/>
      <c r="AF1297" s="4"/>
      <c r="AG1297" s="4"/>
      <c r="AH1297" s="4"/>
      <c r="AI1297" s="4"/>
      <c r="AJ1297" s="4"/>
      <c r="AK1297" s="4"/>
      <c r="AL1297" s="4"/>
      <c r="AM1297" s="38"/>
      <c r="AN1297" s="4"/>
      <c r="AO1297" s="4"/>
      <c r="AP1297" s="4"/>
      <c r="AQ1297" s="4"/>
      <c r="AR1297" s="4"/>
      <c r="AS1297" s="4"/>
      <c r="AT1297" s="4"/>
      <c r="AU1297" s="4"/>
      <c r="AV1297" s="4"/>
      <c r="AW1297" s="4"/>
      <c r="AX1297" s="4"/>
      <c r="AY1297" s="4"/>
      <c r="AZ1297" s="4"/>
      <c r="BA1297" s="4"/>
      <c r="BB1297" s="4"/>
      <c r="BC1297" s="4"/>
      <c r="BD1297" s="4"/>
      <c r="BE1297" s="4"/>
      <c r="BF1297" s="4"/>
      <c r="BG1297" s="4"/>
      <c r="BH1297" s="4"/>
      <c r="BI1297" s="4"/>
      <c r="BJ1297" s="4"/>
      <c r="BK1297" s="4"/>
      <c r="BL1297" s="4"/>
      <c r="BM1297" s="4"/>
      <c r="BN1297" s="4"/>
      <c r="BO1297" s="4"/>
      <c r="BP1297" s="39"/>
      <c r="BQ1297" s="39"/>
    </row>
    <row r="1298" spans="3:69" ht="15.75" customHeight="1">
      <c r="C1298" s="4"/>
      <c r="D1298" s="4"/>
      <c r="E1298" s="38"/>
      <c r="F1298" s="38"/>
      <c r="G1298" s="4"/>
      <c r="H1298" s="4"/>
      <c r="I1298" s="4"/>
      <c r="J1298" s="4"/>
      <c r="K1298" s="4"/>
      <c r="L1298" s="4"/>
      <c r="M1298" s="4"/>
      <c r="N1298" s="38"/>
      <c r="O1298" s="4"/>
      <c r="P1298" s="4"/>
      <c r="Q1298" s="4"/>
      <c r="R1298" s="4"/>
      <c r="S1298" s="4"/>
      <c r="T1298" s="38"/>
      <c r="U1298" s="4"/>
      <c r="V1298" s="4"/>
      <c r="W1298" s="4"/>
      <c r="X1298" s="4"/>
      <c r="Y1298" s="4"/>
      <c r="Z1298" s="4"/>
      <c r="AA1298" s="4"/>
      <c r="AB1298" s="4"/>
      <c r="AC1298" s="4"/>
      <c r="AD1298" s="4"/>
      <c r="AE1298" s="4"/>
      <c r="AF1298" s="4"/>
      <c r="AG1298" s="4"/>
      <c r="AH1298" s="4"/>
      <c r="AI1298" s="4"/>
      <c r="AJ1298" s="4"/>
      <c r="AK1298" s="4"/>
      <c r="AL1298" s="4"/>
      <c r="AM1298" s="38"/>
      <c r="AN1298" s="4"/>
      <c r="AO1298" s="4"/>
      <c r="AP1298" s="4"/>
      <c r="AQ1298" s="4"/>
      <c r="AR1298" s="4"/>
      <c r="AS1298" s="4"/>
      <c r="AT1298" s="4"/>
      <c r="AU1298" s="4"/>
      <c r="AV1298" s="4"/>
      <c r="AW1298" s="4"/>
      <c r="AX1298" s="4"/>
      <c r="AY1298" s="4"/>
      <c r="AZ1298" s="4"/>
      <c r="BA1298" s="4"/>
      <c r="BB1298" s="4"/>
      <c r="BC1298" s="4"/>
      <c r="BD1298" s="4"/>
      <c r="BE1298" s="4"/>
      <c r="BF1298" s="4"/>
      <c r="BG1298" s="4"/>
      <c r="BH1298" s="4"/>
      <c r="BI1298" s="4"/>
      <c r="BJ1298" s="4"/>
      <c r="BK1298" s="4"/>
      <c r="BL1298" s="4"/>
      <c r="BM1298" s="4"/>
      <c r="BN1298" s="4"/>
      <c r="BO1298" s="4"/>
      <c r="BP1298" s="39"/>
      <c r="BQ1298" s="39"/>
    </row>
    <row r="1299" spans="3:69" ht="15.75" customHeight="1">
      <c r="C1299" s="4"/>
      <c r="D1299" s="4"/>
      <c r="E1299" s="38"/>
      <c r="F1299" s="38"/>
      <c r="G1299" s="4"/>
      <c r="H1299" s="4"/>
      <c r="I1299" s="4"/>
      <c r="J1299" s="4"/>
      <c r="K1299" s="4"/>
      <c r="L1299" s="4"/>
      <c r="M1299" s="4"/>
      <c r="N1299" s="38"/>
      <c r="O1299" s="4"/>
      <c r="P1299" s="4"/>
      <c r="Q1299" s="4"/>
      <c r="R1299" s="4"/>
      <c r="S1299" s="4"/>
      <c r="T1299" s="38"/>
      <c r="U1299" s="4"/>
      <c r="V1299" s="4"/>
      <c r="W1299" s="4"/>
      <c r="X1299" s="4"/>
      <c r="Y1299" s="4"/>
      <c r="Z1299" s="4"/>
      <c r="AA1299" s="4"/>
      <c r="AB1299" s="4"/>
      <c r="AC1299" s="4"/>
      <c r="AD1299" s="4"/>
      <c r="AE1299" s="4"/>
      <c r="AF1299" s="4"/>
      <c r="AG1299" s="4"/>
      <c r="AH1299" s="4"/>
      <c r="AI1299" s="4"/>
      <c r="AJ1299" s="4"/>
      <c r="AK1299" s="4"/>
      <c r="AL1299" s="4"/>
      <c r="AM1299" s="38"/>
      <c r="AN1299" s="4"/>
      <c r="AO1299" s="4"/>
      <c r="AP1299" s="4"/>
      <c r="AQ1299" s="4"/>
      <c r="AR1299" s="4"/>
      <c r="AS1299" s="4"/>
      <c r="AT1299" s="4"/>
      <c r="AU1299" s="4"/>
      <c r="AV1299" s="4"/>
      <c r="AW1299" s="4"/>
      <c r="AX1299" s="4"/>
      <c r="AY1299" s="4"/>
      <c r="AZ1299" s="4"/>
      <c r="BA1299" s="4"/>
      <c r="BB1299" s="4"/>
      <c r="BC1299" s="4"/>
      <c r="BD1299" s="4"/>
      <c r="BE1299" s="4"/>
      <c r="BF1299" s="4"/>
      <c r="BG1299" s="4"/>
      <c r="BH1299" s="4"/>
      <c r="BI1299" s="4"/>
      <c r="BJ1299" s="4"/>
      <c r="BK1299" s="4"/>
      <c r="BL1299" s="4"/>
      <c r="BM1299" s="4"/>
      <c r="BN1299" s="4"/>
      <c r="BO1299" s="4"/>
      <c r="BP1299" s="39"/>
      <c r="BQ1299" s="39"/>
    </row>
    <row r="1300" spans="3:69" ht="15.75" customHeight="1">
      <c r="C1300" s="4"/>
      <c r="D1300" s="4"/>
      <c r="E1300" s="38"/>
      <c r="F1300" s="38"/>
      <c r="G1300" s="4"/>
      <c r="H1300" s="4"/>
      <c r="I1300" s="4"/>
      <c r="J1300" s="4"/>
      <c r="K1300" s="4"/>
      <c r="L1300" s="4"/>
      <c r="M1300" s="4"/>
      <c r="N1300" s="38"/>
      <c r="O1300" s="4"/>
      <c r="P1300" s="4"/>
      <c r="Q1300" s="4"/>
      <c r="R1300" s="4"/>
      <c r="S1300" s="4"/>
      <c r="T1300" s="38"/>
      <c r="U1300" s="4"/>
      <c r="V1300" s="4"/>
      <c r="W1300" s="4"/>
      <c r="X1300" s="4"/>
      <c r="Y1300" s="4"/>
      <c r="Z1300" s="4"/>
      <c r="AA1300" s="4"/>
      <c r="AB1300" s="4"/>
      <c r="AC1300" s="4"/>
      <c r="AD1300" s="4"/>
      <c r="AE1300" s="4"/>
      <c r="AF1300" s="4"/>
      <c r="AG1300" s="4"/>
      <c r="AH1300" s="4"/>
      <c r="AI1300" s="4"/>
      <c r="AJ1300" s="4"/>
      <c r="AK1300" s="4"/>
      <c r="AL1300" s="4"/>
      <c r="AM1300" s="38"/>
      <c r="AN1300" s="4"/>
      <c r="AO1300" s="4"/>
      <c r="AP1300" s="4"/>
      <c r="AQ1300" s="4"/>
      <c r="AR1300" s="4"/>
      <c r="AS1300" s="4"/>
      <c r="AT1300" s="4"/>
      <c r="AU1300" s="4"/>
      <c r="AV1300" s="4"/>
      <c r="AW1300" s="4"/>
      <c r="AX1300" s="4"/>
      <c r="AY1300" s="4"/>
      <c r="AZ1300" s="4"/>
      <c r="BA1300" s="4"/>
      <c r="BB1300" s="4"/>
      <c r="BC1300" s="4"/>
      <c r="BD1300" s="4"/>
      <c r="BE1300" s="4"/>
      <c r="BF1300" s="4"/>
      <c r="BG1300" s="4"/>
      <c r="BH1300" s="4"/>
      <c r="BI1300" s="4"/>
      <c r="BJ1300" s="4"/>
      <c r="BK1300" s="4"/>
      <c r="BL1300" s="4"/>
      <c r="BM1300" s="4"/>
      <c r="BN1300" s="4"/>
      <c r="BO1300" s="4"/>
      <c r="BP1300" s="39"/>
      <c r="BQ1300" s="39"/>
    </row>
    <row r="1301" spans="3:69" ht="15.75" customHeight="1">
      <c r="C1301" s="4"/>
      <c r="D1301" s="4"/>
      <c r="E1301" s="38"/>
      <c r="F1301" s="38"/>
      <c r="G1301" s="4"/>
      <c r="H1301" s="4"/>
      <c r="I1301" s="4"/>
      <c r="J1301" s="4"/>
      <c r="K1301" s="4"/>
      <c r="L1301" s="4"/>
      <c r="M1301" s="4"/>
      <c r="N1301" s="38"/>
      <c r="O1301" s="4"/>
      <c r="P1301" s="4"/>
      <c r="Q1301" s="4"/>
      <c r="R1301" s="4"/>
      <c r="S1301" s="4"/>
      <c r="T1301" s="38"/>
      <c r="U1301" s="4"/>
      <c r="V1301" s="4"/>
      <c r="W1301" s="4"/>
      <c r="X1301" s="4"/>
      <c r="Y1301" s="4"/>
      <c r="Z1301" s="4"/>
      <c r="AA1301" s="4"/>
      <c r="AB1301" s="4"/>
      <c r="AC1301" s="4"/>
      <c r="AD1301" s="4"/>
      <c r="AE1301" s="4"/>
      <c r="AF1301" s="4"/>
      <c r="AG1301" s="4"/>
      <c r="AH1301" s="4"/>
      <c r="AI1301" s="4"/>
      <c r="AJ1301" s="4"/>
      <c r="AK1301" s="4"/>
      <c r="AL1301" s="4"/>
      <c r="AM1301" s="38"/>
      <c r="AN1301" s="4"/>
      <c r="AO1301" s="4"/>
      <c r="AP1301" s="4"/>
      <c r="AQ1301" s="4"/>
      <c r="AR1301" s="4"/>
      <c r="AS1301" s="4"/>
      <c r="AT1301" s="4"/>
      <c r="AU1301" s="4"/>
      <c r="AV1301" s="4"/>
      <c r="AW1301" s="4"/>
      <c r="AX1301" s="4"/>
      <c r="AY1301" s="4"/>
      <c r="AZ1301" s="4"/>
      <c r="BA1301" s="4"/>
      <c r="BB1301" s="4"/>
      <c r="BC1301" s="4"/>
      <c r="BD1301" s="4"/>
      <c r="BE1301" s="4"/>
      <c r="BF1301" s="4"/>
      <c r="BG1301" s="4"/>
      <c r="BH1301" s="4"/>
      <c r="BI1301" s="4"/>
      <c r="BJ1301" s="4"/>
      <c r="BK1301" s="4"/>
      <c r="BL1301" s="4"/>
      <c r="BM1301" s="4"/>
      <c r="BN1301" s="4"/>
      <c r="BO1301" s="4"/>
      <c r="BP1301" s="39"/>
      <c r="BQ1301" s="39"/>
    </row>
    <row r="1302" spans="3:69" ht="15.75" customHeight="1">
      <c r="C1302" s="4"/>
      <c r="D1302" s="4"/>
      <c r="E1302" s="38"/>
      <c r="F1302" s="38"/>
      <c r="G1302" s="4"/>
      <c r="H1302" s="4"/>
      <c r="I1302" s="4"/>
      <c r="J1302" s="4"/>
      <c r="K1302" s="4"/>
      <c r="L1302" s="4"/>
      <c r="M1302" s="4"/>
      <c r="N1302" s="38"/>
      <c r="O1302" s="4"/>
      <c r="P1302" s="4"/>
      <c r="Q1302" s="4"/>
      <c r="R1302" s="4"/>
      <c r="S1302" s="4"/>
      <c r="T1302" s="38"/>
      <c r="U1302" s="4"/>
      <c r="V1302" s="4"/>
      <c r="W1302" s="4"/>
      <c r="X1302" s="4"/>
      <c r="Y1302" s="4"/>
      <c r="Z1302" s="4"/>
      <c r="AA1302" s="4"/>
      <c r="AB1302" s="4"/>
      <c r="AC1302" s="4"/>
      <c r="AD1302" s="4"/>
      <c r="AE1302" s="4"/>
      <c r="AF1302" s="4"/>
      <c r="AG1302" s="4"/>
      <c r="AH1302" s="4"/>
      <c r="AI1302" s="4"/>
      <c r="AJ1302" s="4"/>
      <c r="AK1302" s="4"/>
      <c r="AL1302" s="4"/>
      <c r="AM1302" s="38"/>
      <c r="AN1302" s="4"/>
      <c r="AO1302" s="4"/>
      <c r="AP1302" s="4"/>
      <c r="AQ1302" s="4"/>
      <c r="AR1302" s="4"/>
      <c r="AS1302" s="4"/>
      <c r="AT1302" s="4"/>
      <c r="AU1302" s="4"/>
      <c r="AV1302" s="4"/>
      <c r="AW1302" s="4"/>
      <c r="AX1302" s="4"/>
      <c r="AY1302" s="4"/>
      <c r="AZ1302" s="4"/>
      <c r="BA1302" s="4"/>
      <c r="BB1302" s="4"/>
      <c r="BC1302" s="4"/>
      <c r="BD1302" s="4"/>
      <c r="BE1302" s="4"/>
      <c r="BF1302" s="4"/>
      <c r="BG1302" s="4"/>
      <c r="BH1302" s="4"/>
      <c r="BI1302" s="4"/>
      <c r="BJ1302" s="4"/>
      <c r="BK1302" s="4"/>
      <c r="BL1302" s="4"/>
      <c r="BM1302" s="4"/>
      <c r="BN1302" s="4"/>
      <c r="BO1302" s="4"/>
      <c r="BP1302" s="39"/>
      <c r="BQ1302" s="39"/>
    </row>
    <row r="1303" spans="3:69" ht="15.75" customHeight="1">
      <c r="C1303" s="4"/>
      <c r="D1303" s="4"/>
      <c r="E1303" s="38"/>
      <c r="F1303" s="38"/>
      <c r="G1303" s="4"/>
      <c r="H1303" s="4"/>
      <c r="I1303" s="4"/>
      <c r="J1303" s="4"/>
      <c r="K1303" s="4"/>
      <c r="L1303" s="4"/>
      <c r="M1303" s="4"/>
      <c r="N1303" s="38"/>
      <c r="O1303" s="4"/>
      <c r="P1303" s="4"/>
      <c r="Q1303" s="4"/>
      <c r="R1303" s="4"/>
      <c r="S1303" s="4"/>
      <c r="T1303" s="38"/>
      <c r="U1303" s="4"/>
      <c r="V1303" s="4"/>
      <c r="W1303" s="4"/>
      <c r="X1303" s="4"/>
      <c r="Y1303" s="4"/>
      <c r="Z1303" s="4"/>
      <c r="AA1303" s="4"/>
      <c r="AB1303" s="4"/>
      <c r="AC1303" s="4"/>
      <c r="AD1303" s="4"/>
      <c r="AE1303" s="4"/>
      <c r="AF1303" s="4"/>
      <c r="AG1303" s="4"/>
      <c r="AH1303" s="4"/>
      <c r="AI1303" s="4"/>
      <c r="AJ1303" s="4"/>
      <c r="AK1303" s="4"/>
      <c r="AL1303" s="4"/>
      <c r="AM1303" s="38"/>
      <c r="AN1303" s="4"/>
      <c r="AO1303" s="4"/>
      <c r="AP1303" s="4"/>
      <c r="AQ1303" s="4"/>
      <c r="AR1303" s="4"/>
      <c r="AS1303" s="4"/>
      <c r="AT1303" s="4"/>
      <c r="AU1303" s="4"/>
      <c r="AV1303" s="4"/>
      <c r="AW1303" s="4"/>
      <c r="AX1303" s="4"/>
      <c r="AY1303" s="4"/>
      <c r="AZ1303" s="4"/>
      <c r="BA1303" s="4"/>
      <c r="BB1303" s="4"/>
      <c r="BC1303" s="4"/>
      <c r="BD1303" s="4"/>
      <c r="BE1303" s="4"/>
      <c r="BF1303" s="4"/>
      <c r="BG1303" s="4"/>
      <c r="BH1303" s="4"/>
      <c r="BI1303" s="4"/>
      <c r="BJ1303" s="4"/>
      <c r="BK1303" s="4"/>
      <c r="BL1303" s="4"/>
      <c r="BM1303" s="4"/>
      <c r="BN1303" s="4"/>
      <c r="BO1303" s="4"/>
      <c r="BP1303" s="39"/>
      <c r="BQ1303" s="39"/>
    </row>
    <row r="1304" spans="3:69" ht="15.75" customHeight="1">
      <c r="C1304" s="4"/>
      <c r="D1304" s="4"/>
      <c r="E1304" s="38"/>
      <c r="F1304" s="38"/>
      <c r="G1304" s="4"/>
      <c r="H1304" s="4"/>
      <c r="I1304" s="4"/>
      <c r="J1304" s="4"/>
      <c r="K1304" s="4"/>
      <c r="L1304" s="4"/>
      <c r="M1304" s="4"/>
      <c r="N1304" s="38"/>
      <c r="O1304" s="4"/>
      <c r="P1304" s="4"/>
      <c r="Q1304" s="4"/>
      <c r="R1304" s="4"/>
      <c r="S1304" s="4"/>
      <c r="T1304" s="38"/>
      <c r="U1304" s="4"/>
      <c r="V1304" s="4"/>
      <c r="W1304" s="4"/>
      <c r="X1304" s="4"/>
      <c r="Y1304" s="4"/>
      <c r="Z1304" s="4"/>
      <c r="AA1304" s="4"/>
      <c r="AB1304" s="4"/>
      <c r="AC1304" s="4"/>
      <c r="AD1304" s="4"/>
      <c r="AE1304" s="4"/>
      <c r="AF1304" s="4"/>
      <c r="AG1304" s="4"/>
      <c r="AH1304" s="4"/>
      <c r="AI1304" s="4"/>
      <c r="AJ1304" s="4"/>
      <c r="AK1304" s="4"/>
      <c r="AL1304" s="4"/>
      <c r="AM1304" s="38"/>
      <c r="AN1304" s="4"/>
      <c r="AO1304" s="4"/>
      <c r="AP1304" s="4"/>
      <c r="AQ1304" s="4"/>
      <c r="AR1304" s="4"/>
      <c r="AS1304" s="4"/>
      <c r="AT1304" s="4"/>
      <c r="AU1304" s="4"/>
      <c r="AV1304" s="4"/>
      <c r="AW1304" s="4"/>
      <c r="AX1304" s="4"/>
      <c r="AY1304" s="4"/>
      <c r="AZ1304" s="4"/>
      <c r="BA1304" s="4"/>
      <c r="BB1304" s="4"/>
      <c r="BC1304" s="4"/>
      <c r="BD1304" s="4"/>
      <c r="BE1304" s="4"/>
      <c r="BF1304" s="4"/>
      <c r="BG1304" s="4"/>
      <c r="BH1304" s="4"/>
      <c r="BI1304" s="4"/>
      <c r="BJ1304" s="4"/>
      <c r="BK1304" s="4"/>
      <c r="BL1304" s="4"/>
      <c r="BM1304" s="4"/>
      <c r="BN1304" s="4"/>
      <c r="BO1304" s="4"/>
      <c r="BP1304" s="39"/>
      <c r="BQ1304" s="39"/>
    </row>
    <row r="1305" spans="3:69" ht="15.75" customHeight="1">
      <c r="C1305" s="4"/>
      <c r="D1305" s="4"/>
      <c r="E1305" s="38"/>
      <c r="F1305" s="38"/>
      <c r="G1305" s="4"/>
      <c r="H1305" s="4"/>
      <c r="I1305" s="4"/>
      <c r="J1305" s="4"/>
      <c r="K1305" s="4"/>
      <c r="L1305" s="4"/>
      <c r="M1305" s="4"/>
      <c r="N1305" s="38"/>
      <c r="O1305" s="4"/>
      <c r="P1305" s="4"/>
      <c r="Q1305" s="4"/>
      <c r="R1305" s="4"/>
      <c r="S1305" s="4"/>
      <c r="T1305" s="38"/>
      <c r="U1305" s="4"/>
      <c r="V1305" s="4"/>
      <c r="W1305" s="4"/>
      <c r="X1305" s="4"/>
      <c r="Y1305" s="4"/>
      <c r="Z1305" s="4"/>
      <c r="AA1305" s="4"/>
      <c r="AB1305" s="4"/>
      <c r="AC1305" s="4"/>
      <c r="AD1305" s="4"/>
      <c r="AE1305" s="4"/>
      <c r="AF1305" s="4"/>
      <c r="AG1305" s="4"/>
      <c r="AH1305" s="4"/>
      <c r="AI1305" s="4"/>
      <c r="AJ1305" s="4"/>
      <c r="AK1305" s="4"/>
      <c r="AL1305" s="4"/>
      <c r="AM1305" s="38"/>
      <c r="AN1305" s="4"/>
      <c r="AO1305" s="4"/>
      <c r="AP1305" s="4"/>
      <c r="AQ1305" s="4"/>
      <c r="AR1305" s="4"/>
      <c r="AS1305" s="4"/>
      <c r="AT1305" s="4"/>
      <c r="AU1305" s="4"/>
      <c r="AV1305" s="4"/>
      <c r="AW1305" s="4"/>
      <c r="AX1305" s="4"/>
      <c r="AY1305" s="4"/>
      <c r="AZ1305" s="4"/>
      <c r="BA1305" s="4"/>
      <c r="BB1305" s="4"/>
      <c r="BC1305" s="4"/>
      <c r="BD1305" s="4"/>
      <c r="BE1305" s="4"/>
      <c r="BF1305" s="4"/>
      <c r="BG1305" s="4"/>
      <c r="BH1305" s="4"/>
      <c r="BI1305" s="4"/>
      <c r="BJ1305" s="4"/>
      <c r="BK1305" s="4"/>
      <c r="BL1305" s="4"/>
      <c r="BM1305" s="4"/>
      <c r="BN1305" s="4"/>
      <c r="BO1305" s="4"/>
      <c r="BP1305" s="39"/>
      <c r="BQ1305" s="39"/>
    </row>
    <row r="1306" spans="3:69" ht="15.75" customHeight="1">
      <c r="C1306" s="4"/>
      <c r="D1306" s="4"/>
      <c r="E1306" s="38"/>
      <c r="F1306" s="38"/>
      <c r="G1306" s="4"/>
      <c r="H1306" s="4"/>
      <c r="I1306" s="4"/>
      <c r="J1306" s="4"/>
      <c r="K1306" s="4"/>
      <c r="L1306" s="4"/>
      <c r="M1306" s="4"/>
      <c r="N1306" s="38"/>
      <c r="O1306" s="4"/>
      <c r="P1306" s="4"/>
      <c r="Q1306" s="4"/>
      <c r="R1306" s="4"/>
      <c r="S1306" s="4"/>
      <c r="T1306" s="38"/>
      <c r="U1306" s="4"/>
      <c r="V1306" s="4"/>
      <c r="W1306" s="4"/>
      <c r="X1306" s="4"/>
      <c r="Y1306" s="4"/>
      <c r="Z1306" s="4"/>
      <c r="AA1306" s="4"/>
      <c r="AB1306" s="4"/>
      <c r="AC1306" s="4"/>
      <c r="AD1306" s="4"/>
      <c r="AE1306" s="4"/>
      <c r="AF1306" s="4"/>
      <c r="AG1306" s="4"/>
      <c r="AH1306" s="4"/>
      <c r="AI1306" s="4"/>
      <c r="AJ1306" s="4"/>
      <c r="AK1306" s="4"/>
      <c r="AL1306" s="4"/>
      <c r="AM1306" s="38"/>
      <c r="AN1306" s="4"/>
      <c r="AO1306" s="4"/>
      <c r="AP1306" s="4"/>
      <c r="AQ1306" s="4"/>
      <c r="AR1306" s="4"/>
      <c r="AS1306" s="4"/>
      <c r="AT1306" s="4"/>
      <c r="AU1306" s="4"/>
      <c r="AV1306" s="4"/>
      <c r="AW1306" s="4"/>
      <c r="AX1306" s="4"/>
      <c r="AY1306" s="4"/>
      <c r="AZ1306" s="4"/>
      <c r="BA1306" s="4"/>
      <c r="BB1306" s="4"/>
      <c r="BC1306" s="4"/>
      <c r="BD1306" s="4"/>
      <c r="BE1306" s="4"/>
      <c r="BF1306" s="4"/>
      <c r="BG1306" s="4"/>
      <c r="BH1306" s="4"/>
      <c r="BI1306" s="4"/>
      <c r="BJ1306" s="4"/>
      <c r="BK1306" s="4"/>
      <c r="BL1306" s="4"/>
      <c r="BM1306" s="4"/>
      <c r="BN1306" s="4"/>
      <c r="BO1306" s="4"/>
      <c r="BP1306" s="39"/>
      <c r="BQ1306" s="39"/>
    </row>
    <row r="1307" spans="3:69" ht="15.75" customHeight="1">
      <c r="C1307" s="4"/>
      <c r="D1307" s="4"/>
      <c r="E1307" s="38"/>
      <c r="F1307" s="38"/>
      <c r="G1307" s="4"/>
      <c r="H1307" s="4"/>
      <c r="I1307" s="4"/>
      <c r="J1307" s="4"/>
      <c r="K1307" s="4"/>
      <c r="L1307" s="4"/>
      <c r="M1307" s="4"/>
      <c r="N1307" s="38"/>
      <c r="O1307" s="4"/>
      <c r="P1307" s="4"/>
      <c r="Q1307" s="4"/>
      <c r="R1307" s="4"/>
      <c r="S1307" s="4"/>
      <c r="T1307" s="38"/>
      <c r="U1307" s="4"/>
      <c r="V1307" s="4"/>
      <c r="W1307" s="4"/>
      <c r="X1307" s="4"/>
      <c r="Y1307" s="4"/>
      <c r="Z1307" s="4"/>
      <c r="AA1307" s="4"/>
      <c r="AB1307" s="4"/>
      <c r="AC1307" s="4"/>
      <c r="AD1307" s="4"/>
      <c r="AE1307" s="4"/>
      <c r="AF1307" s="4"/>
      <c r="AG1307" s="4"/>
      <c r="AH1307" s="4"/>
      <c r="AI1307" s="4"/>
      <c r="AJ1307" s="4"/>
      <c r="AK1307" s="4"/>
      <c r="AL1307" s="4"/>
      <c r="AM1307" s="38"/>
      <c r="AN1307" s="4"/>
      <c r="AO1307" s="4"/>
      <c r="AP1307" s="4"/>
      <c r="AQ1307" s="4"/>
      <c r="AR1307" s="4"/>
      <c r="AS1307" s="4"/>
      <c r="AT1307" s="4"/>
      <c r="AU1307" s="4"/>
      <c r="AV1307" s="4"/>
      <c r="AW1307" s="4"/>
      <c r="AX1307" s="4"/>
      <c r="AY1307" s="4"/>
      <c r="AZ1307" s="4"/>
      <c r="BA1307" s="4"/>
      <c r="BB1307" s="4"/>
      <c r="BC1307" s="4"/>
      <c r="BD1307" s="4"/>
      <c r="BE1307" s="4"/>
      <c r="BF1307" s="4"/>
      <c r="BG1307" s="4"/>
      <c r="BH1307" s="4"/>
      <c r="BI1307" s="4"/>
      <c r="BJ1307" s="4"/>
      <c r="BK1307" s="4"/>
      <c r="BL1307" s="4"/>
      <c r="BM1307" s="4"/>
      <c r="BN1307" s="4"/>
      <c r="BO1307" s="4"/>
      <c r="BP1307" s="39"/>
      <c r="BQ1307" s="39"/>
    </row>
    <row r="1308" spans="3:69" ht="15.75" customHeight="1">
      <c r="C1308" s="4"/>
      <c r="D1308" s="4"/>
      <c r="E1308" s="38"/>
      <c r="F1308" s="38"/>
      <c r="G1308" s="4"/>
      <c r="H1308" s="4"/>
      <c r="I1308" s="4"/>
      <c r="J1308" s="4"/>
      <c r="K1308" s="4"/>
      <c r="L1308" s="4"/>
      <c r="M1308" s="4"/>
      <c r="N1308" s="38"/>
      <c r="O1308" s="4"/>
      <c r="P1308" s="4"/>
      <c r="Q1308" s="4"/>
      <c r="R1308" s="4"/>
      <c r="S1308" s="4"/>
      <c r="T1308" s="38"/>
      <c r="U1308" s="4"/>
      <c r="V1308" s="4"/>
      <c r="W1308" s="4"/>
      <c r="X1308" s="4"/>
      <c r="Y1308" s="4"/>
      <c r="Z1308" s="4"/>
      <c r="AA1308" s="4"/>
      <c r="AB1308" s="4"/>
      <c r="AC1308" s="4"/>
      <c r="AD1308" s="4"/>
      <c r="AE1308" s="4"/>
      <c r="AF1308" s="4"/>
      <c r="AG1308" s="4"/>
      <c r="AH1308" s="4"/>
      <c r="AI1308" s="4"/>
      <c r="AJ1308" s="4"/>
      <c r="AK1308" s="4"/>
      <c r="AL1308" s="4"/>
      <c r="AM1308" s="38"/>
      <c r="AN1308" s="4"/>
      <c r="AO1308" s="4"/>
      <c r="AP1308" s="4"/>
      <c r="AQ1308" s="4"/>
      <c r="AR1308" s="4"/>
      <c r="AS1308" s="4"/>
      <c r="AT1308" s="4"/>
      <c r="AU1308" s="4"/>
      <c r="AV1308" s="4"/>
      <c r="AW1308" s="4"/>
      <c r="AX1308" s="4"/>
      <c r="AY1308" s="4"/>
      <c r="AZ1308" s="4"/>
      <c r="BA1308" s="4"/>
      <c r="BB1308" s="4"/>
      <c r="BC1308" s="4"/>
      <c r="BD1308" s="4"/>
      <c r="BE1308" s="4"/>
      <c r="BF1308" s="4"/>
      <c r="BG1308" s="4"/>
      <c r="BH1308" s="4"/>
      <c r="BI1308" s="4"/>
      <c r="BJ1308" s="4"/>
      <c r="BK1308" s="4"/>
      <c r="BL1308" s="4"/>
      <c r="BM1308" s="4"/>
      <c r="BN1308" s="4"/>
      <c r="BO1308" s="4"/>
      <c r="BP1308" s="39"/>
      <c r="BQ1308" s="39"/>
    </row>
    <row r="1309" spans="3:69" ht="15.75" customHeight="1">
      <c r="C1309" s="4"/>
      <c r="D1309" s="4"/>
      <c r="E1309" s="38"/>
      <c r="F1309" s="38"/>
      <c r="G1309" s="4"/>
      <c r="H1309" s="4"/>
      <c r="I1309" s="4"/>
      <c r="J1309" s="4"/>
      <c r="K1309" s="4"/>
      <c r="L1309" s="4"/>
      <c r="M1309" s="4"/>
      <c r="N1309" s="38"/>
      <c r="O1309" s="4"/>
      <c r="P1309" s="4"/>
      <c r="Q1309" s="4"/>
      <c r="R1309" s="4"/>
      <c r="S1309" s="4"/>
      <c r="T1309" s="38"/>
      <c r="U1309" s="4"/>
      <c r="V1309" s="4"/>
      <c r="W1309" s="4"/>
      <c r="X1309" s="4"/>
      <c r="Y1309" s="4"/>
      <c r="Z1309" s="4"/>
      <c r="AA1309" s="4"/>
      <c r="AB1309" s="4"/>
      <c r="AC1309" s="4"/>
      <c r="AD1309" s="4"/>
      <c r="AE1309" s="4"/>
      <c r="AF1309" s="4"/>
      <c r="AG1309" s="4"/>
      <c r="AH1309" s="4"/>
      <c r="AI1309" s="4"/>
      <c r="AJ1309" s="4"/>
      <c r="AK1309" s="4"/>
      <c r="AL1309" s="4"/>
      <c r="AM1309" s="38"/>
      <c r="AN1309" s="4"/>
      <c r="AO1309" s="4"/>
      <c r="AP1309" s="4"/>
      <c r="AQ1309" s="4"/>
      <c r="AR1309" s="4"/>
      <c r="AS1309" s="4"/>
      <c r="AT1309" s="4"/>
      <c r="AU1309" s="4"/>
      <c r="AV1309" s="4"/>
      <c r="AW1309" s="4"/>
      <c r="AX1309" s="4"/>
      <c r="AY1309" s="4"/>
      <c r="AZ1309" s="4"/>
      <c r="BA1309" s="4"/>
      <c r="BB1309" s="4"/>
      <c r="BC1309" s="4"/>
      <c r="BD1309" s="4"/>
      <c r="BE1309" s="4"/>
      <c r="BF1309" s="4"/>
      <c r="BG1309" s="4"/>
      <c r="BH1309" s="4"/>
      <c r="BI1309" s="4"/>
      <c r="BJ1309" s="4"/>
      <c r="BK1309" s="4"/>
      <c r="BL1309" s="4"/>
      <c r="BM1309" s="4"/>
      <c r="BN1309" s="4"/>
      <c r="BO1309" s="4"/>
      <c r="BP1309" s="39"/>
      <c r="BQ1309" s="39"/>
    </row>
    <row r="1310" spans="3:69" ht="15.75" customHeight="1">
      <c r="C1310" s="4"/>
      <c r="D1310" s="4"/>
      <c r="E1310" s="38"/>
      <c r="F1310" s="38"/>
      <c r="G1310" s="4"/>
      <c r="H1310" s="4"/>
      <c r="I1310" s="4"/>
      <c r="J1310" s="4"/>
      <c r="K1310" s="4"/>
      <c r="L1310" s="4"/>
      <c r="M1310" s="4"/>
      <c r="N1310" s="38"/>
      <c r="O1310" s="4"/>
      <c r="P1310" s="4"/>
      <c r="Q1310" s="4"/>
      <c r="R1310" s="4"/>
      <c r="S1310" s="4"/>
      <c r="T1310" s="38"/>
      <c r="U1310" s="4"/>
      <c r="V1310" s="4"/>
      <c r="W1310" s="4"/>
      <c r="X1310" s="4"/>
      <c r="Y1310" s="4"/>
      <c r="Z1310" s="4"/>
      <c r="AA1310" s="4"/>
      <c r="AB1310" s="4"/>
      <c r="AC1310" s="4"/>
      <c r="AD1310" s="4"/>
      <c r="AE1310" s="4"/>
      <c r="AF1310" s="4"/>
      <c r="AG1310" s="4"/>
      <c r="AH1310" s="4"/>
      <c r="AI1310" s="4"/>
      <c r="AJ1310" s="4"/>
      <c r="AK1310" s="4"/>
      <c r="AL1310" s="4"/>
      <c r="AM1310" s="38"/>
      <c r="AN1310" s="4"/>
      <c r="AO1310" s="4"/>
      <c r="AP1310" s="4"/>
      <c r="AQ1310" s="4"/>
      <c r="AR1310" s="4"/>
      <c r="AS1310" s="4"/>
      <c r="AT1310" s="4"/>
      <c r="AU1310" s="4"/>
      <c r="AV1310" s="4"/>
      <c r="AW1310" s="4"/>
      <c r="AX1310" s="4"/>
      <c r="AY1310" s="4"/>
      <c r="AZ1310" s="4"/>
      <c r="BA1310" s="4"/>
      <c r="BB1310" s="4"/>
      <c r="BC1310" s="4"/>
      <c r="BD1310" s="4"/>
      <c r="BE1310" s="4"/>
      <c r="BF1310" s="4"/>
      <c r="BG1310" s="4"/>
      <c r="BH1310" s="4"/>
      <c r="BI1310" s="4"/>
      <c r="BJ1310" s="4"/>
      <c r="BK1310" s="4"/>
      <c r="BL1310" s="4"/>
      <c r="BM1310" s="4"/>
      <c r="BN1310" s="4"/>
      <c r="BO1310" s="4"/>
      <c r="BP1310" s="39"/>
      <c r="BQ1310" s="39"/>
    </row>
    <row r="1311" spans="3:69" ht="15.75" customHeight="1">
      <c r="C1311" s="4"/>
      <c r="D1311" s="4"/>
      <c r="E1311" s="38"/>
      <c r="F1311" s="38"/>
      <c r="G1311" s="4"/>
      <c r="H1311" s="4"/>
      <c r="I1311" s="4"/>
      <c r="J1311" s="4"/>
      <c r="K1311" s="4"/>
      <c r="L1311" s="4"/>
      <c r="M1311" s="4"/>
      <c r="N1311" s="38"/>
      <c r="O1311" s="4"/>
      <c r="P1311" s="4"/>
      <c r="Q1311" s="4"/>
      <c r="R1311" s="4"/>
      <c r="S1311" s="4"/>
      <c r="T1311" s="38"/>
      <c r="U1311" s="4"/>
      <c r="V1311" s="4"/>
      <c r="W1311" s="4"/>
      <c r="X1311" s="4"/>
      <c r="Y1311" s="4"/>
      <c r="Z1311" s="4"/>
      <c r="AA1311" s="4"/>
      <c r="AB1311" s="4"/>
      <c r="AC1311" s="4"/>
      <c r="AD1311" s="4"/>
      <c r="AE1311" s="4"/>
      <c r="AF1311" s="4"/>
      <c r="AG1311" s="4"/>
      <c r="AH1311" s="4"/>
      <c r="AI1311" s="4"/>
      <c r="AJ1311" s="4"/>
      <c r="AK1311" s="4"/>
      <c r="AL1311" s="4"/>
      <c r="AM1311" s="38"/>
      <c r="AN1311" s="4"/>
      <c r="AO1311" s="4"/>
      <c r="AP1311" s="4"/>
      <c r="AQ1311" s="4"/>
      <c r="AR1311" s="4"/>
      <c r="AS1311" s="4"/>
      <c r="AT1311" s="4"/>
      <c r="AU1311" s="4"/>
      <c r="AV1311" s="4"/>
      <c r="AW1311" s="4"/>
      <c r="AX1311" s="4"/>
      <c r="AY1311" s="4"/>
      <c r="AZ1311" s="4"/>
      <c r="BA1311" s="4"/>
      <c r="BB1311" s="4"/>
      <c r="BC1311" s="4"/>
      <c r="BD1311" s="4"/>
      <c r="BE1311" s="4"/>
      <c r="BF1311" s="4"/>
      <c r="BG1311" s="4"/>
      <c r="BH1311" s="4"/>
      <c r="BI1311" s="4"/>
      <c r="BJ1311" s="4"/>
      <c r="BK1311" s="4"/>
      <c r="BL1311" s="4"/>
      <c r="BM1311" s="4"/>
      <c r="BN1311" s="4"/>
      <c r="BO1311" s="4"/>
      <c r="BP1311" s="39"/>
      <c r="BQ1311" s="39"/>
    </row>
    <row r="1312" spans="3:69" ht="15.75" customHeight="1">
      <c r="C1312" s="4"/>
      <c r="D1312" s="4"/>
      <c r="E1312" s="38"/>
      <c r="F1312" s="38"/>
      <c r="G1312" s="4"/>
      <c r="H1312" s="4"/>
      <c r="I1312" s="4"/>
      <c r="J1312" s="4"/>
      <c r="K1312" s="4"/>
      <c r="L1312" s="4"/>
      <c r="M1312" s="4"/>
      <c r="N1312" s="38"/>
      <c r="O1312" s="4"/>
      <c r="P1312" s="4"/>
      <c r="Q1312" s="4"/>
      <c r="R1312" s="4"/>
      <c r="S1312" s="4"/>
      <c r="T1312" s="38"/>
      <c r="U1312" s="4"/>
      <c r="V1312" s="4"/>
      <c r="W1312" s="4"/>
      <c r="X1312" s="4"/>
      <c r="Y1312" s="4"/>
      <c r="Z1312" s="4"/>
      <c r="AA1312" s="4"/>
      <c r="AB1312" s="4"/>
      <c r="AC1312" s="4"/>
      <c r="AD1312" s="4"/>
      <c r="AE1312" s="4"/>
      <c r="AF1312" s="4"/>
      <c r="AG1312" s="4"/>
      <c r="AH1312" s="4"/>
      <c r="AI1312" s="4"/>
      <c r="AJ1312" s="4"/>
      <c r="AK1312" s="4"/>
      <c r="AL1312" s="4"/>
      <c r="AM1312" s="38"/>
      <c r="AN1312" s="4"/>
      <c r="AO1312" s="4"/>
      <c r="AP1312" s="4"/>
      <c r="AQ1312" s="4"/>
      <c r="AR1312" s="4"/>
      <c r="AS1312" s="4"/>
      <c r="AT1312" s="4"/>
      <c r="AU1312" s="4"/>
      <c r="AV1312" s="4"/>
      <c r="AW1312" s="4"/>
      <c r="AX1312" s="4"/>
      <c r="AY1312" s="4"/>
      <c r="AZ1312" s="4"/>
      <c r="BA1312" s="4"/>
      <c r="BB1312" s="4"/>
      <c r="BC1312" s="4"/>
      <c r="BD1312" s="4"/>
      <c r="BE1312" s="4"/>
      <c r="BF1312" s="4"/>
      <c r="BG1312" s="4"/>
      <c r="BH1312" s="4"/>
      <c r="BI1312" s="4"/>
      <c r="BJ1312" s="4"/>
      <c r="BK1312" s="4"/>
      <c r="BL1312" s="4"/>
      <c r="BM1312" s="4"/>
      <c r="BN1312" s="4"/>
      <c r="BO1312" s="4"/>
      <c r="BP1312" s="39"/>
      <c r="BQ1312" s="39"/>
    </row>
    <row r="1313" spans="3:69" ht="15.75" customHeight="1">
      <c r="C1313" s="4"/>
      <c r="D1313" s="4"/>
      <c r="E1313" s="38"/>
      <c r="F1313" s="38"/>
      <c r="G1313" s="4"/>
      <c r="H1313" s="4"/>
      <c r="I1313" s="4"/>
      <c r="J1313" s="4"/>
      <c r="K1313" s="4"/>
      <c r="L1313" s="4"/>
      <c r="M1313" s="4"/>
      <c r="N1313" s="38"/>
      <c r="O1313" s="4"/>
      <c r="P1313" s="4"/>
      <c r="Q1313" s="4"/>
      <c r="R1313" s="4"/>
      <c r="S1313" s="4"/>
      <c r="T1313" s="38"/>
      <c r="U1313" s="4"/>
      <c r="V1313" s="4"/>
      <c r="W1313" s="4"/>
      <c r="X1313" s="4"/>
      <c r="Y1313" s="4"/>
      <c r="Z1313" s="4"/>
      <c r="AA1313" s="4"/>
      <c r="AB1313" s="4"/>
      <c r="AC1313" s="4"/>
      <c r="AD1313" s="4"/>
      <c r="AE1313" s="4"/>
      <c r="AF1313" s="4"/>
      <c r="AG1313" s="4"/>
      <c r="AH1313" s="4"/>
      <c r="AI1313" s="4"/>
      <c r="AJ1313" s="4"/>
      <c r="AK1313" s="4"/>
      <c r="AL1313" s="4"/>
      <c r="AM1313" s="38"/>
      <c r="AN1313" s="4"/>
      <c r="AO1313" s="4"/>
      <c r="AP1313" s="4"/>
      <c r="AQ1313" s="4"/>
      <c r="AR1313" s="4"/>
      <c r="AS1313" s="4"/>
      <c r="AT1313" s="4"/>
      <c r="AU1313" s="4"/>
      <c r="AV1313" s="4"/>
      <c r="AW1313" s="4"/>
      <c r="AX1313" s="4"/>
      <c r="AY1313" s="4"/>
      <c r="AZ1313" s="4"/>
      <c r="BA1313" s="4"/>
      <c r="BB1313" s="4"/>
      <c r="BC1313" s="4"/>
      <c r="BD1313" s="4"/>
      <c r="BE1313" s="4"/>
      <c r="BF1313" s="4"/>
      <c r="BG1313" s="4"/>
      <c r="BH1313" s="4"/>
      <c r="BI1313" s="4"/>
      <c r="BJ1313" s="4"/>
      <c r="BK1313" s="4"/>
      <c r="BL1313" s="4"/>
      <c r="BM1313" s="4"/>
      <c r="BN1313" s="4"/>
      <c r="BO1313" s="4"/>
      <c r="BP1313" s="39"/>
      <c r="BQ1313" s="39"/>
    </row>
    <row r="1314" spans="3:69" ht="15.75" customHeight="1">
      <c r="C1314" s="4"/>
      <c r="D1314" s="4"/>
      <c r="E1314" s="38"/>
      <c r="F1314" s="38"/>
      <c r="G1314" s="4"/>
      <c r="H1314" s="4"/>
      <c r="I1314" s="4"/>
      <c r="J1314" s="4"/>
      <c r="K1314" s="4"/>
      <c r="L1314" s="4"/>
      <c r="M1314" s="4"/>
      <c r="N1314" s="38"/>
      <c r="O1314" s="4"/>
      <c r="P1314" s="4"/>
      <c r="Q1314" s="4"/>
      <c r="R1314" s="4"/>
      <c r="S1314" s="4"/>
      <c r="T1314" s="38"/>
      <c r="U1314" s="4"/>
      <c r="V1314" s="4"/>
      <c r="W1314" s="4"/>
      <c r="X1314" s="4"/>
      <c r="Y1314" s="4"/>
      <c r="Z1314" s="4"/>
      <c r="AA1314" s="4"/>
      <c r="AB1314" s="4"/>
      <c r="AC1314" s="4"/>
      <c r="AD1314" s="4"/>
      <c r="AE1314" s="4"/>
      <c r="AF1314" s="4"/>
      <c r="AG1314" s="4"/>
      <c r="AH1314" s="4"/>
      <c r="AI1314" s="4"/>
      <c r="AJ1314" s="4"/>
      <c r="AK1314" s="4"/>
      <c r="AL1314" s="4"/>
      <c r="AM1314" s="38"/>
      <c r="AN1314" s="4"/>
      <c r="AO1314" s="4"/>
      <c r="AP1314" s="4"/>
      <c r="AQ1314" s="4"/>
      <c r="AR1314" s="4"/>
      <c r="AS1314" s="4"/>
      <c r="AT1314" s="4"/>
      <c r="AU1314" s="4"/>
      <c r="AV1314" s="4"/>
      <c r="AW1314" s="4"/>
      <c r="AX1314" s="4"/>
      <c r="AY1314" s="4"/>
      <c r="AZ1314" s="4"/>
      <c r="BA1314" s="4"/>
      <c r="BB1314" s="4"/>
      <c r="BC1314" s="4"/>
      <c r="BD1314" s="4"/>
      <c r="BE1314" s="4"/>
      <c r="BF1314" s="4"/>
      <c r="BG1314" s="4"/>
      <c r="BH1314" s="4"/>
      <c r="BI1314" s="4"/>
      <c r="BJ1314" s="4"/>
      <c r="BK1314" s="4"/>
      <c r="BL1314" s="4"/>
      <c r="BM1314" s="4"/>
      <c r="BN1314" s="4"/>
      <c r="BO1314" s="4"/>
      <c r="BP1314" s="39"/>
      <c r="BQ1314" s="39"/>
    </row>
    <row r="1315" spans="3:69" ht="15.75" customHeight="1">
      <c r="C1315" s="4"/>
      <c r="D1315" s="4"/>
      <c r="E1315" s="38"/>
      <c r="F1315" s="38"/>
      <c r="G1315" s="4"/>
      <c r="H1315" s="4"/>
      <c r="I1315" s="4"/>
      <c r="J1315" s="4"/>
      <c r="K1315" s="4"/>
      <c r="L1315" s="4"/>
      <c r="M1315" s="4"/>
      <c r="N1315" s="38"/>
      <c r="O1315" s="4"/>
      <c r="P1315" s="4"/>
      <c r="Q1315" s="4"/>
      <c r="R1315" s="4"/>
      <c r="S1315" s="4"/>
      <c r="T1315" s="38"/>
      <c r="U1315" s="4"/>
      <c r="V1315" s="4"/>
      <c r="W1315" s="4"/>
      <c r="X1315" s="4"/>
      <c r="Y1315" s="4"/>
      <c r="Z1315" s="4"/>
      <c r="AA1315" s="4"/>
      <c r="AB1315" s="4"/>
      <c r="AC1315" s="4"/>
      <c r="AD1315" s="4"/>
      <c r="AE1315" s="4"/>
      <c r="AF1315" s="4"/>
      <c r="AG1315" s="4"/>
      <c r="AH1315" s="4"/>
      <c r="AI1315" s="4"/>
      <c r="AJ1315" s="4"/>
      <c r="AK1315" s="4"/>
      <c r="AL1315" s="4"/>
      <c r="AM1315" s="38"/>
      <c r="AN1315" s="4"/>
      <c r="AO1315" s="4"/>
      <c r="AP1315" s="4"/>
      <c r="AQ1315" s="4"/>
      <c r="AR1315" s="4"/>
      <c r="AS1315" s="4"/>
      <c r="AT1315" s="4"/>
      <c r="AU1315" s="4"/>
      <c r="AV1315" s="4"/>
      <c r="AW1315" s="4"/>
      <c r="AX1315" s="4"/>
      <c r="AY1315" s="4"/>
      <c r="AZ1315" s="4"/>
      <c r="BA1315" s="4"/>
      <c r="BB1315" s="4"/>
      <c r="BC1315" s="4"/>
      <c r="BD1315" s="4"/>
      <c r="BE1315" s="4"/>
      <c r="BF1315" s="4"/>
      <c r="BG1315" s="4"/>
      <c r="BH1315" s="4"/>
      <c r="BI1315" s="4"/>
      <c r="BJ1315" s="4"/>
      <c r="BK1315" s="4"/>
      <c r="BL1315" s="4"/>
      <c r="BM1315" s="4"/>
      <c r="BN1315" s="4"/>
      <c r="BO1315" s="4"/>
      <c r="BP1315" s="39"/>
      <c r="BQ1315" s="39"/>
    </row>
    <row r="1316" spans="3:69" ht="15.75" customHeight="1">
      <c r="C1316" s="4"/>
      <c r="D1316" s="4"/>
      <c r="E1316" s="38"/>
      <c r="F1316" s="38"/>
      <c r="G1316" s="4"/>
      <c r="H1316" s="4"/>
      <c r="I1316" s="4"/>
      <c r="J1316" s="4"/>
      <c r="K1316" s="4"/>
      <c r="L1316" s="4"/>
      <c r="M1316" s="4"/>
      <c r="N1316" s="38"/>
      <c r="O1316" s="4"/>
      <c r="P1316" s="4"/>
      <c r="Q1316" s="4"/>
      <c r="R1316" s="4"/>
      <c r="S1316" s="4"/>
      <c r="T1316" s="38"/>
      <c r="U1316" s="4"/>
      <c r="V1316" s="4"/>
      <c r="W1316" s="4"/>
      <c r="X1316" s="4"/>
      <c r="Y1316" s="4"/>
      <c r="Z1316" s="4"/>
      <c r="AA1316" s="4"/>
      <c r="AB1316" s="4"/>
      <c r="AC1316" s="4"/>
      <c r="AD1316" s="4"/>
      <c r="AE1316" s="4"/>
      <c r="AF1316" s="4"/>
      <c r="AG1316" s="4"/>
      <c r="AH1316" s="4"/>
      <c r="AI1316" s="4"/>
      <c r="AJ1316" s="4"/>
      <c r="AK1316" s="4"/>
      <c r="AL1316" s="4"/>
      <c r="AM1316" s="38"/>
      <c r="AN1316" s="4"/>
      <c r="AO1316" s="4"/>
      <c r="AP1316" s="4"/>
      <c r="AQ1316" s="4"/>
      <c r="AR1316" s="4"/>
      <c r="AS1316" s="4"/>
      <c r="AT1316" s="4"/>
      <c r="AU1316" s="4"/>
      <c r="AV1316" s="4"/>
      <c r="AW1316" s="4"/>
      <c r="AX1316" s="4"/>
      <c r="AY1316" s="4"/>
      <c r="AZ1316" s="4"/>
      <c r="BA1316" s="4"/>
      <c r="BB1316" s="4"/>
      <c r="BC1316" s="4"/>
      <c r="BD1316" s="4"/>
      <c r="BE1316" s="4"/>
      <c r="BF1316" s="4"/>
      <c r="BG1316" s="4"/>
      <c r="BH1316" s="4"/>
      <c r="BI1316" s="4"/>
      <c r="BJ1316" s="4"/>
      <c r="BK1316" s="4"/>
      <c r="BL1316" s="4"/>
      <c r="BM1316" s="4"/>
      <c r="BN1316" s="4"/>
      <c r="BO1316" s="4"/>
      <c r="BP1316" s="39"/>
      <c r="BQ1316" s="39"/>
    </row>
    <row r="1317" spans="3:69" ht="15.75" customHeight="1">
      <c r="C1317" s="4"/>
      <c r="D1317" s="4"/>
      <c r="E1317" s="38"/>
      <c r="F1317" s="38"/>
      <c r="G1317" s="4"/>
      <c r="H1317" s="4"/>
      <c r="I1317" s="4"/>
      <c r="J1317" s="4"/>
      <c r="K1317" s="4"/>
      <c r="L1317" s="4"/>
      <c r="M1317" s="4"/>
      <c r="N1317" s="38"/>
      <c r="O1317" s="4"/>
      <c r="P1317" s="4"/>
      <c r="Q1317" s="4"/>
      <c r="R1317" s="4"/>
      <c r="S1317" s="4"/>
      <c r="T1317" s="38"/>
      <c r="U1317" s="4"/>
      <c r="V1317" s="4"/>
      <c r="W1317" s="4"/>
      <c r="X1317" s="4"/>
      <c r="Y1317" s="4"/>
      <c r="Z1317" s="4"/>
      <c r="AA1317" s="4"/>
      <c r="AB1317" s="4"/>
      <c r="AC1317" s="4"/>
      <c r="AD1317" s="4"/>
      <c r="AE1317" s="4"/>
      <c r="AF1317" s="4"/>
      <c r="AG1317" s="4"/>
      <c r="AH1317" s="4"/>
      <c r="AI1317" s="4"/>
      <c r="AJ1317" s="4"/>
      <c r="AK1317" s="4"/>
      <c r="AL1317" s="4"/>
      <c r="AM1317" s="38"/>
      <c r="AN1317" s="4"/>
      <c r="AO1317" s="4"/>
      <c r="AP1317" s="4"/>
      <c r="AQ1317" s="4"/>
      <c r="AR1317" s="4"/>
      <c r="AS1317" s="4"/>
      <c r="AT1317" s="4"/>
      <c r="AU1317" s="4"/>
      <c r="AV1317" s="4"/>
      <c r="AW1317" s="4"/>
      <c r="AX1317" s="4"/>
      <c r="AY1317" s="4"/>
      <c r="AZ1317" s="4"/>
      <c r="BA1317" s="4"/>
      <c r="BB1317" s="4"/>
      <c r="BC1317" s="4"/>
      <c r="BD1317" s="4"/>
      <c r="BE1317" s="4"/>
      <c r="BF1317" s="4"/>
      <c r="BG1317" s="4"/>
      <c r="BH1317" s="4"/>
      <c r="BI1317" s="4"/>
      <c r="BJ1317" s="4"/>
      <c r="BK1317" s="4"/>
      <c r="BL1317" s="4"/>
      <c r="BM1317" s="4"/>
      <c r="BN1317" s="4"/>
      <c r="BO1317" s="4"/>
      <c r="BP1317" s="39"/>
      <c r="BQ1317" s="39"/>
    </row>
    <row r="1318" spans="3:69" ht="15.75" customHeight="1">
      <c r="C1318" s="4"/>
      <c r="D1318" s="4"/>
      <c r="E1318" s="38"/>
      <c r="F1318" s="38"/>
      <c r="G1318" s="4"/>
      <c r="H1318" s="4"/>
      <c r="I1318" s="4"/>
      <c r="J1318" s="4"/>
      <c r="K1318" s="4"/>
      <c r="L1318" s="4"/>
      <c r="M1318" s="4"/>
      <c r="N1318" s="38"/>
      <c r="O1318" s="4"/>
      <c r="P1318" s="4"/>
      <c r="Q1318" s="4"/>
      <c r="R1318" s="4"/>
      <c r="S1318" s="4"/>
      <c r="T1318" s="38"/>
      <c r="U1318" s="4"/>
      <c r="V1318" s="4"/>
      <c r="W1318" s="4"/>
      <c r="X1318" s="4"/>
      <c r="Y1318" s="4"/>
      <c r="Z1318" s="4"/>
      <c r="AA1318" s="4"/>
      <c r="AB1318" s="4"/>
      <c r="AC1318" s="4"/>
      <c r="AD1318" s="4"/>
      <c r="AE1318" s="4"/>
      <c r="AF1318" s="4"/>
      <c r="AG1318" s="4"/>
      <c r="AH1318" s="4"/>
      <c r="AI1318" s="4"/>
      <c r="AJ1318" s="4"/>
      <c r="AK1318" s="4"/>
      <c r="AL1318" s="4"/>
      <c r="AM1318" s="38"/>
      <c r="AN1318" s="4"/>
      <c r="AO1318" s="4"/>
      <c r="AP1318" s="4"/>
      <c r="AQ1318" s="4"/>
      <c r="AR1318" s="4"/>
      <c r="AS1318" s="4"/>
      <c r="AT1318" s="4"/>
      <c r="AU1318" s="4"/>
      <c r="AV1318" s="4"/>
      <c r="AW1318" s="4"/>
      <c r="AX1318" s="4"/>
      <c r="AY1318" s="4"/>
      <c r="AZ1318" s="4"/>
      <c r="BA1318" s="4"/>
      <c r="BB1318" s="4"/>
      <c r="BC1318" s="4"/>
      <c r="BD1318" s="4"/>
      <c r="BE1318" s="4"/>
      <c r="BF1318" s="4"/>
      <c r="BG1318" s="4"/>
      <c r="BH1318" s="4"/>
      <c r="BI1318" s="4"/>
      <c r="BJ1318" s="4"/>
      <c r="BK1318" s="4"/>
      <c r="BL1318" s="4"/>
      <c r="BM1318" s="4"/>
      <c r="BN1318" s="4"/>
      <c r="BO1318" s="4"/>
      <c r="BP1318" s="39"/>
      <c r="BQ1318" s="39"/>
    </row>
    <row r="1319" spans="3:69" ht="15.75" customHeight="1">
      <c r="C1319" s="4"/>
      <c r="D1319" s="4"/>
      <c r="E1319" s="38"/>
      <c r="F1319" s="38"/>
      <c r="G1319" s="4"/>
      <c r="H1319" s="4"/>
      <c r="I1319" s="4"/>
      <c r="J1319" s="4"/>
      <c r="K1319" s="4"/>
      <c r="L1319" s="4"/>
      <c r="M1319" s="4"/>
      <c r="N1319" s="38"/>
      <c r="O1319" s="4"/>
      <c r="P1319" s="4"/>
      <c r="Q1319" s="4"/>
      <c r="R1319" s="4"/>
      <c r="S1319" s="4"/>
      <c r="T1319" s="38"/>
      <c r="U1319" s="4"/>
      <c r="V1319" s="4"/>
      <c r="W1319" s="4"/>
      <c r="X1319" s="4"/>
      <c r="Y1319" s="4"/>
      <c r="Z1319" s="4"/>
      <c r="AA1319" s="4"/>
      <c r="AB1319" s="4"/>
      <c r="AC1319" s="4"/>
      <c r="AD1319" s="4"/>
      <c r="AE1319" s="4"/>
      <c r="AF1319" s="4"/>
      <c r="AG1319" s="4"/>
      <c r="AH1319" s="4"/>
      <c r="AI1319" s="4"/>
      <c r="AJ1319" s="4"/>
      <c r="AK1319" s="4"/>
      <c r="AL1319" s="4"/>
      <c r="AM1319" s="38"/>
      <c r="AN1319" s="4"/>
      <c r="AO1319" s="4"/>
      <c r="AP1319" s="4"/>
      <c r="AQ1319" s="4"/>
      <c r="AR1319" s="4"/>
      <c r="AS1319" s="4"/>
      <c r="AT1319" s="4"/>
      <c r="AU1319" s="4"/>
      <c r="AV1319" s="4"/>
      <c r="AW1319" s="4"/>
      <c r="AX1319" s="4"/>
      <c r="AY1319" s="4"/>
      <c r="AZ1319" s="4"/>
      <c r="BA1319" s="4"/>
      <c r="BB1319" s="4"/>
      <c r="BC1319" s="4"/>
      <c r="BD1319" s="4"/>
      <c r="BE1319" s="4"/>
      <c r="BF1319" s="4"/>
      <c r="BG1319" s="4"/>
      <c r="BH1319" s="4"/>
      <c r="BI1319" s="4"/>
      <c r="BJ1319" s="4"/>
      <c r="BK1319" s="4"/>
      <c r="BL1319" s="4"/>
      <c r="BM1319" s="4"/>
      <c r="BN1319" s="4"/>
      <c r="BO1319" s="4"/>
      <c r="BP1319" s="39"/>
      <c r="BQ1319" s="39"/>
    </row>
    <row r="1320" spans="3:69" ht="15.75" customHeight="1">
      <c r="C1320" s="4"/>
      <c r="D1320" s="4"/>
      <c r="E1320" s="38"/>
      <c r="F1320" s="38"/>
      <c r="G1320" s="4"/>
      <c r="H1320" s="4"/>
      <c r="I1320" s="4"/>
      <c r="J1320" s="4"/>
      <c r="K1320" s="4"/>
      <c r="L1320" s="4"/>
      <c r="M1320" s="4"/>
      <c r="N1320" s="38"/>
      <c r="O1320" s="4"/>
      <c r="P1320" s="4"/>
      <c r="Q1320" s="4"/>
      <c r="R1320" s="4"/>
      <c r="S1320" s="4"/>
      <c r="T1320" s="38"/>
      <c r="U1320" s="4"/>
      <c r="V1320" s="4"/>
      <c r="W1320" s="4"/>
      <c r="X1320" s="4"/>
      <c r="Y1320" s="4"/>
      <c r="Z1320" s="4"/>
      <c r="AA1320" s="4"/>
      <c r="AB1320" s="4"/>
      <c r="AC1320" s="4"/>
      <c r="AD1320" s="4"/>
      <c r="AE1320" s="4"/>
      <c r="AF1320" s="4"/>
      <c r="AG1320" s="4"/>
      <c r="AH1320" s="4"/>
      <c r="AI1320" s="4"/>
      <c r="AJ1320" s="4"/>
      <c r="AK1320" s="4"/>
      <c r="AL1320" s="4"/>
      <c r="AM1320" s="38"/>
      <c r="AN1320" s="4"/>
      <c r="AO1320" s="4"/>
      <c r="AP1320" s="4"/>
      <c r="AQ1320" s="4"/>
      <c r="AR1320" s="4"/>
      <c r="AS1320" s="4"/>
      <c r="AT1320" s="4"/>
      <c r="AU1320" s="4"/>
      <c r="AV1320" s="4"/>
      <c r="AW1320" s="4"/>
      <c r="AX1320" s="4"/>
      <c r="AY1320" s="4"/>
      <c r="AZ1320" s="4"/>
      <c r="BA1320" s="4"/>
      <c r="BB1320" s="4"/>
      <c r="BC1320" s="4"/>
      <c r="BD1320" s="4"/>
      <c r="BE1320" s="4"/>
      <c r="BF1320" s="4"/>
      <c r="BG1320" s="4"/>
      <c r="BH1320" s="4"/>
      <c r="BI1320" s="4"/>
      <c r="BJ1320" s="4"/>
      <c r="BK1320" s="4"/>
      <c r="BL1320" s="4"/>
      <c r="BM1320" s="4"/>
      <c r="BN1320" s="4"/>
      <c r="BO1320" s="4"/>
      <c r="BP1320" s="39"/>
      <c r="BQ1320" s="39"/>
    </row>
    <row r="1321" spans="3:69" ht="15.75" customHeight="1">
      <c r="C1321" s="4"/>
      <c r="D1321" s="4"/>
      <c r="E1321" s="38"/>
      <c r="F1321" s="38"/>
      <c r="G1321" s="4"/>
      <c r="H1321" s="4"/>
      <c r="I1321" s="4"/>
      <c r="J1321" s="4"/>
      <c r="K1321" s="4"/>
      <c r="L1321" s="4"/>
      <c r="M1321" s="4"/>
      <c r="N1321" s="38"/>
      <c r="O1321" s="4"/>
      <c r="P1321" s="4"/>
      <c r="Q1321" s="4"/>
      <c r="R1321" s="4"/>
      <c r="S1321" s="4"/>
      <c r="T1321" s="38"/>
      <c r="U1321" s="4"/>
      <c r="V1321" s="4"/>
      <c r="W1321" s="4"/>
      <c r="X1321" s="4"/>
      <c r="Y1321" s="4"/>
      <c r="Z1321" s="4"/>
      <c r="AA1321" s="4"/>
      <c r="AB1321" s="4"/>
      <c r="AC1321" s="4"/>
      <c r="AD1321" s="4"/>
      <c r="AE1321" s="4"/>
      <c r="AF1321" s="4"/>
      <c r="AG1321" s="4"/>
      <c r="AH1321" s="4"/>
      <c r="AI1321" s="4"/>
      <c r="AJ1321" s="4"/>
      <c r="AK1321" s="4"/>
      <c r="AL1321" s="4"/>
      <c r="AM1321" s="38"/>
      <c r="AN1321" s="4"/>
      <c r="AO1321" s="4"/>
      <c r="AP1321" s="4"/>
      <c r="AQ1321" s="4"/>
      <c r="AR1321" s="4"/>
      <c r="AS1321" s="4"/>
      <c r="AT1321" s="4"/>
      <c r="AU1321" s="4"/>
      <c r="AV1321" s="4"/>
      <c r="AW1321" s="4"/>
      <c r="AX1321" s="4"/>
      <c r="AY1321" s="4"/>
      <c r="AZ1321" s="4"/>
      <c r="BA1321" s="4"/>
      <c r="BB1321" s="4"/>
      <c r="BC1321" s="4"/>
      <c r="BD1321" s="4"/>
      <c r="BE1321" s="4"/>
      <c r="BF1321" s="4"/>
      <c r="BG1321" s="4"/>
      <c r="BH1321" s="4"/>
      <c r="BI1321" s="4"/>
      <c r="BJ1321" s="4"/>
      <c r="BK1321" s="4"/>
      <c r="BL1321" s="4"/>
      <c r="BM1321" s="4"/>
      <c r="BN1321" s="4"/>
      <c r="BO1321" s="4"/>
      <c r="BP1321" s="39"/>
      <c r="BQ1321" s="39"/>
    </row>
    <row r="1322" spans="3:69" ht="15.75" customHeight="1">
      <c r="C1322" s="4"/>
      <c r="D1322" s="4"/>
      <c r="E1322" s="38"/>
      <c r="F1322" s="38"/>
      <c r="G1322" s="4"/>
      <c r="H1322" s="4"/>
      <c r="I1322" s="4"/>
      <c r="J1322" s="4"/>
      <c r="K1322" s="4"/>
      <c r="L1322" s="4"/>
      <c r="M1322" s="4"/>
      <c r="N1322" s="38"/>
      <c r="O1322" s="4"/>
      <c r="P1322" s="4"/>
      <c r="Q1322" s="4"/>
      <c r="R1322" s="4"/>
      <c r="S1322" s="4"/>
      <c r="T1322" s="38"/>
      <c r="U1322" s="4"/>
      <c r="V1322" s="4"/>
      <c r="W1322" s="4"/>
      <c r="X1322" s="4"/>
      <c r="Y1322" s="4"/>
      <c r="Z1322" s="4"/>
      <c r="AA1322" s="4"/>
      <c r="AB1322" s="4"/>
      <c r="AC1322" s="4"/>
      <c r="AD1322" s="4"/>
      <c r="AE1322" s="4"/>
      <c r="AF1322" s="4"/>
      <c r="AG1322" s="4"/>
      <c r="AH1322" s="4"/>
      <c r="AI1322" s="4"/>
      <c r="AJ1322" s="4"/>
      <c r="AK1322" s="4"/>
      <c r="AL1322" s="4"/>
      <c r="AM1322" s="38"/>
      <c r="AN1322" s="4"/>
      <c r="AO1322" s="4"/>
      <c r="AP1322" s="4"/>
      <c r="AQ1322" s="4"/>
      <c r="AR1322" s="4"/>
      <c r="AS1322" s="4"/>
      <c r="AT1322" s="4"/>
      <c r="AU1322" s="4"/>
      <c r="AV1322" s="4"/>
      <c r="AW1322" s="4"/>
      <c r="AX1322" s="4"/>
      <c r="AY1322" s="4"/>
      <c r="AZ1322" s="4"/>
      <c r="BA1322" s="4"/>
      <c r="BB1322" s="4"/>
      <c r="BC1322" s="4"/>
      <c r="BD1322" s="4"/>
      <c r="BE1322" s="4"/>
      <c r="BF1322" s="4"/>
      <c r="BG1322" s="4"/>
      <c r="BH1322" s="4"/>
      <c r="BI1322" s="4"/>
      <c r="BJ1322" s="4"/>
      <c r="BK1322" s="4"/>
      <c r="BL1322" s="4"/>
      <c r="BM1322" s="4"/>
      <c r="BN1322" s="4"/>
      <c r="BO1322" s="4"/>
      <c r="BP1322" s="39"/>
      <c r="BQ1322" s="39"/>
    </row>
    <row r="1323" spans="3:69" ht="15.75" customHeight="1">
      <c r="C1323" s="4"/>
      <c r="D1323" s="4"/>
      <c r="E1323" s="38"/>
      <c r="F1323" s="38"/>
      <c r="G1323" s="4"/>
      <c r="H1323" s="4"/>
      <c r="I1323" s="4"/>
      <c r="J1323" s="4"/>
      <c r="K1323" s="4"/>
      <c r="L1323" s="4"/>
      <c r="M1323" s="4"/>
      <c r="N1323" s="38"/>
      <c r="O1323" s="4"/>
      <c r="P1323" s="4"/>
      <c r="Q1323" s="4"/>
      <c r="R1323" s="4"/>
      <c r="S1323" s="4"/>
      <c r="T1323" s="38"/>
      <c r="U1323" s="4"/>
      <c r="V1323" s="4"/>
      <c r="W1323" s="4"/>
      <c r="X1323" s="4"/>
      <c r="Y1323" s="4"/>
      <c r="Z1323" s="4"/>
      <c r="AA1323" s="4"/>
      <c r="AB1323" s="4"/>
      <c r="AC1323" s="4"/>
      <c r="AD1323" s="4"/>
      <c r="AE1323" s="4"/>
      <c r="AF1323" s="4"/>
      <c r="AG1323" s="4"/>
      <c r="AH1323" s="4"/>
      <c r="AI1323" s="4"/>
      <c r="AJ1323" s="4"/>
      <c r="AK1323" s="4"/>
      <c r="AL1323" s="4"/>
      <c r="AM1323" s="38"/>
      <c r="AN1323" s="4"/>
      <c r="AO1323" s="4"/>
      <c r="AP1323" s="4"/>
      <c r="AQ1323" s="4"/>
      <c r="AR1323" s="4"/>
      <c r="AS1323" s="4"/>
      <c r="AT1323" s="4"/>
      <c r="AU1323" s="4"/>
      <c r="AV1323" s="4"/>
      <c r="AW1323" s="4"/>
      <c r="AX1323" s="4"/>
      <c r="AY1323" s="4"/>
      <c r="AZ1323" s="4"/>
      <c r="BA1323" s="4"/>
      <c r="BB1323" s="4"/>
      <c r="BC1323" s="4"/>
      <c r="BD1323" s="4"/>
      <c r="BE1323" s="4"/>
      <c r="BF1323" s="4"/>
      <c r="BG1323" s="4"/>
      <c r="BH1323" s="4"/>
      <c r="BI1323" s="4"/>
      <c r="BJ1323" s="4"/>
      <c r="BK1323" s="4"/>
      <c r="BL1323" s="4"/>
      <c r="BM1323" s="4"/>
      <c r="BN1323" s="4"/>
      <c r="BO1323" s="4"/>
      <c r="BP1323" s="39"/>
      <c r="BQ1323" s="39"/>
    </row>
    <row r="1324" spans="3:69" ht="15.75" customHeight="1">
      <c r="C1324" s="4"/>
      <c r="D1324" s="4"/>
      <c r="E1324" s="38"/>
      <c r="F1324" s="38"/>
      <c r="G1324" s="4"/>
      <c r="H1324" s="4"/>
      <c r="I1324" s="4"/>
      <c r="J1324" s="4"/>
      <c r="K1324" s="4"/>
      <c r="L1324" s="4"/>
      <c r="M1324" s="4"/>
      <c r="N1324" s="38"/>
      <c r="O1324" s="4"/>
      <c r="P1324" s="4"/>
      <c r="Q1324" s="4"/>
      <c r="R1324" s="4"/>
      <c r="S1324" s="4"/>
      <c r="T1324" s="38"/>
      <c r="U1324" s="4"/>
      <c r="V1324" s="4"/>
      <c r="W1324" s="4"/>
      <c r="X1324" s="4"/>
      <c r="Y1324" s="4"/>
      <c r="Z1324" s="4"/>
      <c r="AA1324" s="4"/>
      <c r="AB1324" s="4"/>
      <c r="AC1324" s="4"/>
      <c r="AD1324" s="4"/>
      <c r="AE1324" s="4"/>
      <c r="AF1324" s="4"/>
      <c r="AG1324" s="4"/>
      <c r="AH1324" s="4"/>
      <c r="AI1324" s="4"/>
      <c r="AJ1324" s="4"/>
      <c r="AK1324" s="4"/>
      <c r="AL1324" s="4"/>
      <c r="AM1324" s="38"/>
      <c r="AN1324" s="4"/>
      <c r="AO1324" s="4"/>
      <c r="AP1324" s="4"/>
      <c r="AQ1324" s="4"/>
      <c r="AR1324" s="4"/>
      <c r="AS1324" s="4"/>
      <c r="AT1324" s="4"/>
      <c r="AU1324" s="4"/>
      <c r="AV1324" s="4"/>
      <c r="AW1324" s="4"/>
      <c r="AX1324" s="4"/>
      <c r="AY1324" s="4"/>
      <c r="AZ1324" s="4"/>
      <c r="BA1324" s="4"/>
      <c r="BB1324" s="4"/>
      <c r="BC1324" s="4"/>
      <c r="BD1324" s="4"/>
      <c r="BE1324" s="4"/>
      <c r="BF1324" s="4"/>
      <c r="BG1324" s="4"/>
      <c r="BH1324" s="4"/>
      <c r="BI1324" s="4"/>
      <c r="BJ1324" s="4"/>
      <c r="BK1324" s="4"/>
      <c r="BL1324" s="4"/>
      <c r="BM1324" s="4"/>
      <c r="BN1324" s="4"/>
      <c r="BO1324" s="4"/>
      <c r="BP1324" s="39"/>
      <c r="BQ1324" s="39"/>
    </row>
    <row r="1325" spans="3:69" ht="15.75" customHeight="1">
      <c r="C1325" s="4"/>
      <c r="D1325" s="4"/>
      <c r="E1325" s="38"/>
      <c r="F1325" s="38"/>
      <c r="G1325" s="4"/>
      <c r="H1325" s="4"/>
      <c r="I1325" s="4"/>
      <c r="J1325" s="4"/>
      <c r="K1325" s="4"/>
      <c r="L1325" s="4"/>
      <c r="M1325" s="4"/>
      <c r="N1325" s="38"/>
      <c r="O1325" s="4"/>
      <c r="P1325" s="4"/>
      <c r="Q1325" s="4"/>
      <c r="R1325" s="4"/>
      <c r="S1325" s="4"/>
      <c r="T1325" s="38"/>
      <c r="U1325" s="4"/>
      <c r="V1325" s="4"/>
      <c r="W1325" s="4"/>
      <c r="X1325" s="4"/>
      <c r="Y1325" s="4"/>
      <c r="Z1325" s="4"/>
      <c r="AA1325" s="4"/>
      <c r="AB1325" s="4"/>
      <c r="AC1325" s="4"/>
      <c r="AD1325" s="4"/>
      <c r="AE1325" s="4"/>
      <c r="AF1325" s="4"/>
      <c r="AG1325" s="4"/>
      <c r="AH1325" s="4"/>
      <c r="AI1325" s="4"/>
      <c r="AJ1325" s="4"/>
      <c r="AK1325" s="4"/>
      <c r="AL1325" s="4"/>
      <c r="AM1325" s="38"/>
      <c r="AN1325" s="4"/>
      <c r="AO1325" s="4"/>
      <c r="AP1325" s="4"/>
      <c r="AQ1325" s="4"/>
      <c r="AR1325" s="4"/>
      <c r="AS1325" s="4"/>
      <c r="AT1325" s="4"/>
      <c r="AU1325" s="4"/>
      <c r="AV1325" s="4"/>
      <c r="AW1325" s="4"/>
      <c r="AX1325" s="4"/>
      <c r="AY1325" s="4"/>
      <c r="AZ1325" s="4"/>
      <c r="BA1325" s="4"/>
      <c r="BB1325" s="4"/>
      <c r="BC1325" s="4"/>
      <c r="BD1325" s="4"/>
      <c r="BE1325" s="4"/>
      <c r="BF1325" s="4"/>
      <c r="BG1325" s="4"/>
      <c r="BH1325" s="4"/>
      <c r="BI1325" s="4"/>
      <c r="BJ1325" s="4"/>
      <c r="BK1325" s="4"/>
      <c r="BL1325" s="4"/>
      <c r="BM1325" s="4"/>
      <c r="BN1325" s="4"/>
      <c r="BO1325" s="4"/>
      <c r="BP1325" s="39"/>
      <c r="BQ1325" s="39"/>
    </row>
    <row r="1326" spans="3:69" ht="15.75" customHeight="1">
      <c r="C1326" s="4"/>
      <c r="D1326" s="4"/>
      <c r="E1326" s="38"/>
      <c r="F1326" s="38"/>
      <c r="G1326" s="4"/>
      <c r="H1326" s="4"/>
      <c r="I1326" s="4"/>
      <c r="J1326" s="4"/>
      <c r="K1326" s="4"/>
      <c r="L1326" s="4"/>
      <c r="M1326" s="4"/>
      <c r="N1326" s="38"/>
      <c r="O1326" s="4"/>
      <c r="P1326" s="4"/>
      <c r="Q1326" s="4"/>
      <c r="R1326" s="4"/>
      <c r="S1326" s="4"/>
      <c r="T1326" s="38"/>
      <c r="U1326" s="4"/>
      <c r="V1326" s="4"/>
      <c r="W1326" s="4"/>
      <c r="X1326" s="4"/>
      <c r="Y1326" s="4"/>
      <c r="Z1326" s="4"/>
      <c r="AA1326" s="4"/>
      <c r="AB1326" s="4"/>
      <c r="AC1326" s="4"/>
      <c r="AD1326" s="4"/>
      <c r="AE1326" s="4"/>
      <c r="AF1326" s="4"/>
      <c r="AG1326" s="4"/>
      <c r="AH1326" s="4"/>
      <c r="AI1326" s="4"/>
      <c r="AJ1326" s="4"/>
      <c r="AK1326" s="4"/>
      <c r="AL1326" s="4"/>
      <c r="AM1326" s="38"/>
      <c r="AN1326" s="4"/>
      <c r="AO1326" s="4"/>
      <c r="AP1326" s="4"/>
      <c r="AQ1326" s="4"/>
      <c r="AR1326" s="4"/>
      <c r="AS1326" s="4"/>
      <c r="AT1326" s="4"/>
      <c r="AU1326" s="4"/>
      <c r="AV1326" s="4"/>
      <c r="AW1326" s="4"/>
      <c r="AX1326" s="4"/>
      <c r="AY1326" s="4"/>
      <c r="AZ1326" s="4"/>
      <c r="BA1326" s="4"/>
      <c r="BB1326" s="4"/>
      <c r="BC1326" s="4"/>
      <c r="BD1326" s="4"/>
      <c r="BE1326" s="4"/>
      <c r="BF1326" s="4"/>
      <c r="BG1326" s="4"/>
      <c r="BH1326" s="4"/>
      <c r="BI1326" s="4"/>
      <c r="BJ1326" s="4"/>
      <c r="BK1326" s="4"/>
      <c r="BL1326" s="4"/>
      <c r="BM1326" s="4"/>
      <c r="BN1326" s="4"/>
      <c r="BO1326" s="4"/>
      <c r="BP1326" s="39"/>
      <c r="BQ1326" s="39"/>
    </row>
    <row r="1327" spans="3:69" ht="15.75" customHeight="1">
      <c r="C1327" s="4"/>
      <c r="D1327" s="4"/>
      <c r="E1327" s="38"/>
      <c r="F1327" s="38"/>
      <c r="G1327" s="4"/>
      <c r="H1327" s="4"/>
      <c r="I1327" s="4"/>
      <c r="J1327" s="4"/>
      <c r="K1327" s="4"/>
      <c r="L1327" s="4"/>
      <c r="M1327" s="4"/>
      <c r="N1327" s="38"/>
      <c r="O1327" s="4"/>
      <c r="P1327" s="4"/>
      <c r="Q1327" s="4"/>
      <c r="R1327" s="4"/>
      <c r="S1327" s="4"/>
      <c r="T1327" s="38"/>
      <c r="U1327" s="4"/>
      <c r="V1327" s="4"/>
      <c r="W1327" s="4"/>
      <c r="X1327" s="4"/>
      <c r="Y1327" s="4"/>
      <c r="Z1327" s="4"/>
      <c r="AA1327" s="4"/>
      <c r="AB1327" s="4"/>
      <c r="AC1327" s="4"/>
      <c r="AD1327" s="4"/>
      <c r="AE1327" s="4"/>
      <c r="AF1327" s="4"/>
      <c r="AG1327" s="4"/>
      <c r="AH1327" s="4"/>
      <c r="AI1327" s="4"/>
      <c r="AJ1327" s="4"/>
      <c r="AK1327" s="4"/>
      <c r="AL1327" s="4"/>
      <c r="AM1327" s="38"/>
      <c r="AN1327" s="4"/>
      <c r="AO1327" s="4"/>
      <c r="AP1327" s="4"/>
      <c r="AQ1327" s="4"/>
      <c r="AR1327" s="4"/>
      <c r="AS1327" s="4"/>
      <c r="AT1327" s="4"/>
      <c r="AU1327" s="4"/>
      <c r="AV1327" s="4"/>
      <c r="AW1327" s="4"/>
      <c r="AX1327" s="4"/>
      <c r="AY1327" s="4"/>
      <c r="AZ1327" s="4"/>
      <c r="BA1327" s="4"/>
      <c r="BB1327" s="4"/>
      <c r="BC1327" s="4"/>
      <c r="BD1327" s="4"/>
      <c r="BE1327" s="4"/>
      <c r="BF1327" s="4"/>
      <c r="BG1327" s="4"/>
      <c r="BH1327" s="4"/>
      <c r="BI1327" s="4"/>
      <c r="BJ1327" s="4"/>
      <c r="BK1327" s="4"/>
      <c r="BL1327" s="4"/>
      <c r="BM1327" s="4"/>
      <c r="BN1327" s="4"/>
      <c r="BO1327" s="4"/>
      <c r="BP1327" s="39"/>
      <c r="BQ1327" s="39"/>
    </row>
    <row r="1328" spans="3:69" ht="15.75" customHeight="1">
      <c r="C1328" s="4"/>
      <c r="D1328" s="4"/>
      <c r="E1328" s="38"/>
      <c r="F1328" s="38"/>
      <c r="G1328" s="4"/>
      <c r="H1328" s="4"/>
      <c r="I1328" s="4"/>
      <c r="J1328" s="4"/>
      <c r="K1328" s="4"/>
      <c r="L1328" s="4"/>
      <c r="M1328" s="4"/>
      <c r="N1328" s="38"/>
      <c r="O1328" s="4"/>
      <c r="P1328" s="4"/>
      <c r="Q1328" s="4"/>
      <c r="R1328" s="4"/>
      <c r="S1328" s="4"/>
      <c r="T1328" s="38"/>
      <c r="U1328" s="4"/>
      <c r="V1328" s="4"/>
      <c r="W1328" s="4"/>
      <c r="X1328" s="4"/>
      <c r="Y1328" s="4"/>
      <c r="Z1328" s="4"/>
      <c r="AA1328" s="4"/>
      <c r="AB1328" s="4"/>
      <c r="AC1328" s="4"/>
      <c r="AD1328" s="4"/>
      <c r="AE1328" s="4"/>
      <c r="AF1328" s="4"/>
      <c r="AG1328" s="4"/>
      <c r="AH1328" s="4"/>
      <c r="AI1328" s="4"/>
      <c r="AJ1328" s="4"/>
      <c r="AK1328" s="4"/>
      <c r="AL1328" s="4"/>
      <c r="AM1328" s="38"/>
      <c r="AN1328" s="4"/>
      <c r="AO1328" s="4"/>
      <c r="AP1328" s="4"/>
      <c r="AQ1328" s="4"/>
      <c r="AR1328" s="4"/>
      <c r="AS1328" s="4"/>
      <c r="AT1328" s="4"/>
      <c r="AU1328" s="4"/>
      <c r="AV1328" s="4"/>
      <c r="AW1328" s="4"/>
      <c r="AX1328" s="4"/>
      <c r="AY1328" s="4"/>
      <c r="AZ1328" s="4"/>
      <c r="BA1328" s="4"/>
      <c r="BB1328" s="4"/>
      <c r="BC1328" s="4"/>
      <c r="BD1328" s="4"/>
      <c r="BE1328" s="4"/>
      <c r="BF1328" s="4"/>
      <c r="BG1328" s="4"/>
      <c r="BH1328" s="4"/>
      <c r="BI1328" s="4"/>
      <c r="BJ1328" s="4"/>
      <c r="BK1328" s="4"/>
      <c r="BL1328" s="4"/>
      <c r="BM1328" s="4"/>
      <c r="BN1328" s="4"/>
      <c r="BO1328" s="4"/>
      <c r="BP1328" s="39"/>
      <c r="BQ1328" s="39"/>
    </row>
    <row r="1329" spans="3:69" ht="15.75" customHeight="1">
      <c r="C1329" s="4"/>
      <c r="D1329" s="4"/>
      <c r="E1329" s="38"/>
      <c r="F1329" s="38"/>
      <c r="G1329" s="4"/>
      <c r="H1329" s="4"/>
      <c r="I1329" s="4"/>
      <c r="J1329" s="4"/>
      <c r="K1329" s="4"/>
      <c r="L1329" s="4"/>
      <c r="M1329" s="4"/>
      <c r="N1329" s="38"/>
      <c r="O1329" s="4"/>
      <c r="P1329" s="4"/>
      <c r="Q1329" s="4"/>
      <c r="R1329" s="4"/>
      <c r="S1329" s="4"/>
      <c r="T1329" s="38"/>
      <c r="U1329" s="4"/>
      <c r="V1329" s="4"/>
      <c r="W1329" s="4"/>
      <c r="X1329" s="4"/>
      <c r="Y1329" s="4"/>
      <c r="Z1329" s="4"/>
      <c r="AA1329" s="4"/>
      <c r="AB1329" s="4"/>
      <c r="AC1329" s="4"/>
      <c r="AD1329" s="4"/>
      <c r="AE1329" s="4"/>
      <c r="AF1329" s="4"/>
      <c r="AG1329" s="4"/>
      <c r="AH1329" s="4"/>
      <c r="AI1329" s="4"/>
      <c r="AJ1329" s="4"/>
      <c r="AK1329" s="4"/>
      <c r="AL1329" s="4"/>
      <c r="AM1329" s="38"/>
      <c r="AN1329" s="4"/>
      <c r="AO1329" s="4"/>
      <c r="AP1329" s="4"/>
      <c r="AQ1329" s="4"/>
      <c r="AR1329" s="4"/>
      <c r="AS1329" s="4"/>
      <c r="AT1329" s="4"/>
      <c r="AU1329" s="4"/>
      <c r="AV1329" s="4"/>
      <c r="AW1329" s="4"/>
      <c r="AX1329" s="4"/>
      <c r="AY1329" s="4"/>
      <c r="AZ1329" s="4"/>
      <c r="BA1329" s="4"/>
      <c r="BB1329" s="4"/>
      <c r="BC1329" s="4"/>
      <c r="BD1329" s="4"/>
      <c r="BE1329" s="4"/>
      <c r="BF1329" s="4"/>
      <c r="BG1329" s="4"/>
      <c r="BH1329" s="4"/>
      <c r="BI1329" s="4"/>
      <c r="BJ1329" s="4"/>
      <c r="BK1329" s="4"/>
      <c r="BL1329" s="4"/>
      <c r="BM1329" s="4"/>
      <c r="BN1329" s="4"/>
      <c r="BO1329" s="4"/>
      <c r="BP1329" s="39"/>
      <c r="BQ1329" s="39"/>
    </row>
    <row r="1330" spans="3:69" ht="15.75" customHeight="1">
      <c r="C1330" s="4"/>
      <c r="D1330" s="4"/>
      <c r="E1330" s="38"/>
      <c r="F1330" s="38"/>
      <c r="G1330" s="4"/>
      <c r="H1330" s="4"/>
      <c r="I1330" s="4"/>
      <c r="J1330" s="4"/>
      <c r="K1330" s="4"/>
      <c r="L1330" s="4"/>
      <c r="M1330" s="4"/>
      <c r="N1330" s="38"/>
      <c r="O1330" s="4"/>
      <c r="P1330" s="4"/>
      <c r="Q1330" s="4"/>
      <c r="R1330" s="4"/>
      <c r="S1330" s="4"/>
      <c r="T1330" s="38"/>
      <c r="U1330" s="4"/>
      <c r="V1330" s="4"/>
      <c r="W1330" s="4"/>
      <c r="X1330" s="4"/>
      <c r="Y1330" s="4"/>
      <c r="Z1330" s="4"/>
      <c r="AA1330" s="4"/>
      <c r="AB1330" s="4"/>
      <c r="AC1330" s="4"/>
      <c r="AD1330" s="4"/>
      <c r="AE1330" s="4"/>
      <c r="AF1330" s="4"/>
      <c r="AG1330" s="4"/>
      <c r="AH1330" s="4"/>
      <c r="AI1330" s="4"/>
      <c r="AJ1330" s="4"/>
      <c r="AK1330" s="4"/>
      <c r="AL1330" s="4"/>
      <c r="AM1330" s="38"/>
      <c r="AN1330" s="4"/>
      <c r="AO1330" s="4"/>
      <c r="AP1330" s="4"/>
      <c r="AQ1330" s="4"/>
      <c r="AR1330" s="4"/>
      <c r="AS1330" s="4"/>
      <c r="AT1330" s="4"/>
      <c r="AU1330" s="4"/>
      <c r="AV1330" s="4"/>
      <c r="AW1330" s="4"/>
      <c r="AX1330" s="4"/>
      <c r="AY1330" s="4"/>
      <c r="AZ1330" s="4"/>
      <c r="BA1330" s="4"/>
      <c r="BB1330" s="4"/>
      <c r="BC1330" s="4"/>
      <c r="BD1330" s="4"/>
      <c r="BE1330" s="4"/>
      <c r="BF1330" s="4"/>
      <c r="BG1330" s="4"/>
      <c r="BH1330" s="4"/>
      <c r="BI1330" s="4"/>
      <c r="BJ1330" s="4"/>
      <c r="BK1330" s="4"/>
      <c r="BL1330" s="4"/>
      <c r="BM1330" s="4"/>
      <c r="BN1330" s="4"/>
      <c r="BO1330" s="4"/>
      <c r="BP1330" s="39"/>
      <c r="BQ1330" s="39"/>
    </row>
    <row r="1331" spans="3:69" ht="15.75" customHeight="1">
      <c r="C1331" s="4"/>
      <c r="D1331" s="4"/>
      <c r="E1331" s="38"/>
      <c r="F1331" s="38"/>
      <c r="G1331" s="4"/>
      <c r="H1331" s="4"/>
      <c r="I1331" s="4"/>
      <c r="J1331" s="4"/>
      <c r="K1331" s="4"/>
      <c r="L1331" s="4"/>
      <c r="M1331" s="4"/>
      <c r="N1331" s="38"/>
      <c r="O1331" s="4"/>
      <c r="P1331" s="4"/>
      <c r="Q1331" s="4"/>
      <c r="R1331" s="4"/>
      <c r="S1331" s="4"/>
      <c r="T1331" s="38"/>
      <c r="U1331" s="4"/>
      <c r="V1331" s="4"/>
      <c r="W1331" s="4"/>
      <c r="X1331" s="4"/>
      <c r="Y1331" s="4"/>
      <c r="Z1331" s="4"/>
      <c r="AA1331" s="4"/>
      <c r="AB1331" s="4"/>
      <c r="AC1331" s="4"/>
      <c r="AD1331" s="4"/>
      <c r="AE1331" s="4"/>
      <c r="AF1331" s="4"/>
      <c r="AG1331" s="4"/>
      <c r="AH1331" s="4"/>
      <c r="AI1331" s="4"/>
      <c r="AJ1331" s="4"/>
      <c r="AK1331" s="4"/>
      <c r="AL1331" s="4"/>
      <c r="AM1331" s="38"/>
      <c r="AN1331" s="4"/>
      <c r="AO1331" s="4"/>
      <c r="AP1331" s="4"/>
      <c r="AQ1331" s="4"/>
      <c r="AR1331" s="4"/>
      <c r="AS1331" s="4"/>
      <c r="AT1331" s="4"/>
      <c r="AU1331" s="4"/>
      <c r="AV1331" s="4"/>
      <c r="AW1331" s="4"/>
      <c r="AX1331" s="4"/>
      <c r="AY1331" s="4"/>
      <c r="AZ1331" s="4"/>
      <c r="BA1331" s="4"/>
      <c r="BB1331" s="4"/>
      <c r="BC1331" s="4"/>
      <c r="BD1331" s="4"/>
      <c r="BE1331" s="4"/>
      <c r="BF1331" s="4"/>
      <c r="BG1331" s="4"/>
      <c r="BH1331" s="4"/>
      <c r="BI1331" s="4"/>
      <c r="BJ1331" s="4"/>
      <c r="BK1331" s="4"/>
      <c r="BL1331" s="4"/>
      <c r="BM1331" s="4"/>
      <c r="BN1331" s="4"/>
      <c r="BO1331" s="4"/>
      <c r="BP1331" s="39"/>
      <c r="BQ1331" s="39"/>
    </row>
    <row r="1332" spans="3:69" ht="15.75" customHeight="1">
      <c r="C1332" s="4"/>
      <c r="D1332" s="4"/>
      <c r="E1332" s="38"/>
      <c r="F1332" s="38"/>
      <c r="G1332" s="4"/>
      <c r="H1332" s="4"/>
      <c r="I1332" s="4"/>
      <c r="J1332" s="4"/>
      <c r="K1332" s="4"/>
      <c r="L1332" s="4"/>
      <c r="M1332" s="4"/>
      <c r="N1332" s="38"/>
      <c r="O1332" s="4"/>
      <c r="P1332" s="4"/>
      <c r="Q1332" s="4"/>
      <c r="R1332" s="4"/>
      <c r="S1332" s="4"/>
      <c r="T1332" s="38"/>
      <c r="U1332" s="4"/>
      <c r="V1332" s="4"/>
      <c r="W1332" s="4"/>
      <c r="X1332" s="4"/>
      <c r="Y1332" s="4"/>
      <c r="Z1332" s="4"/>
      <c r="AA1332" s="4"/>
      <c r="AB1332" s="4"/>
      <c r="AC1332" s="4"/>
      <c r="AD1332" s="4"/>
      <c r="AE1332" s="4"/>
      <c r="AF1332" s="4"/>
      <c r="AG1332" s="4"/>
      <c r="AH1332" s="4"/>
      <c r="AI1332" s="4"/>
      <c r="AJ1332" s="4"/>
      <c r="AK1332" s="4"/>
      <c r="AL1332" s="4"/>
      <c r="AM1332" s="38"/>
      <c r="AN1332" s="4"/>
      <c r="AO1332" s="4"/>
      <c r="AP1332" s="4"/>
      <c r="AQ1332" s="4"/>
      <c r="AR1332" s="4"/>
      <c r="AS1332" s="4"/>
      <c r="AT1332" s="4"/>
      <c r="AU1332" s="4"/>
      <c r="AV1332" s="4"/>
      <c r="AW1332" s="4"/>
      <c r="AX1332" s="4"/>
      <c r="AY1332" s="4"/>
      <c r="AZ1332" s="4"/>
      <c r="BA1332" s="4"/>
      <c r="BB1332" s="4"/>
      <c r="BC1332" s="4"/>
      <c r="BD1332" s="4"/>
      <c r="BE1332" s="4"/>
      <c r="BF1332" s="4"/>
      <c r="BG1332" s="4"/>
      <c r="BH1332" s="4"/>
      <c r="BI1332" s="4"/>
      <c r="BJ1332" s="4"/>
      <c r="BK1332" s="4"/>
      <c r="BL1332" s="4"/>
      <c r="BM1332" s="4"/>
      <c r="BN1332" s="4"/>
      <c r="BO1332" s="4"/>
      <c r="BP1332" s="39"/>
      <c r="BQ1332" s="39"/>
    </row>
    <row r="1333" spans="3:69" ht="15.75" customHeight="1">
      <c r="C1333" s="4"/>
      <c r="D1333" s="4"/>
      <c r="E1333" s="38"/>
      <c r="F1333" s="38"/>
      <c r="G1333" s="4"/>
      <c r="H1333" s="4"/>
      <c r="I1333" s="4"/>
      <c r="J1333" s="4"/>
      <c r="K1333" s="4"/>
      <c r="L1333" s="4"/>
      <c r="M1333" s="4"/>
      <c r="N1333" s="38"/>
      <c r="O1333" s="4"/>
      <c r="P1333" s="4"/>
      <c r="Q1333" s="4"/>
      <c r="R1333" s="4"/>
      <c r="S1333" s="4"/>
      <c r="T1333" s="38"/>
      <c r="U1333" s="4"/>
      <c r="V1333" s="4"/>
      <c r="W1333" s="4"/>
      <c r="X1333" s="4"/>
      <c r="Y1333" s="4"/>
      <c r="Z1333" s="4"/>
      <c r="AA1333" s="4"/>
      <c r="AB1333" s="4"/>
      <c r="AC1333" s="4"/>
      <c r="AD1333" s="4"/>
      <c r="AE1333" s="4"/>
      <c r="AF1333" s="4"/>
      <c r="AG1333" s="4"/>
      <c r="AH1333" s="4"/>
      <c r="AI1333" s="4"/>
      <c r="AJ1333" s="4"/>
      <c r="AK1333" s="4"/>
      <c r="AL1333" s="4"/>
      <c r="AM1333" s="38"/>
      <c r="AN1333" s="4"/>
      <c r="AO1333" s="4"/>
      <c r="AP1333" s="4"/>
      <c r="AQ1333" s="4"/>
      <c r="AR1333" s="4"/>
      <c r="AS1333" s="4"/>
      <c r="AT1333" s="4"/>
      <c r="AU1333" s="4"/>
      <c r="AV1333" s="4"/>
      <c r="AW1333" s="4"/>
      <c r="AX1333" s="4"/>
      <c r="AY1333" s="4"/>
      <c r="AZ1333" s="4"/>
      <c r="BA1333" s="4"/>
      <c r="BB1333" s="4"/>
      <c r="BC1333" s="4"/>
      <c r="BD1333" s="4"/>
      <c r="BE1333" s="4"/>
      <c r="BF1333" s="4"/>
      <c r="BG1333" s="4"/>
      <c r="BH1333" s="4"/>
      <c r="BI1333" s="4"/>
      <c r="BJ1333" s="4"/>
      <c r="BK1333" s="4"/>
      <c r="BL1333" s="4"/>
      <c r="BM1333" s="4"/>
      <c r="BN1333" s="4"/>
      <c r="BO1333" s="4"/>
      <c r="BP1333" s="39"/>
      <c r="BQ1333" s="39"/>
    </row>
    <row r="1334" spans="3:69" ht="15.75" customHeight="1">
      <c r="C1334" s="4"/>
      <c r="D1334" s="4"/>
      <c r="E1334" s="38"/>
      <c r="F1334" s="38"/>
      <c r="G1334" s="4"/>
      <c r="H1334" s="4"/>
      <c r="I1334" s="4"/>
      <c r="J1334" s="4"/>
      <c r="K1334" s="4"/>
      <c r="L1334" s="4"/>
      <c r="M1334" s="4"/>
      <c r="N1334" s="38"/>
      <c r="O1334" s="4"/>
      <c r="P1334" s="4"/>
      <c r="Q1334" s="4"/>
      <c r="R1334" s="4"/>
      <c r="S1334" s="4"/>
      <c r="T1334" s="38"/>
      <c r="U1334" s="4"/>
      <c r="V1334" s="4"/>
      <c r="W1334" s="4"/>
      <c r="X1334" s="4"/>
      <c r="Y1334" s="4"/>
      <c r="Z1334" s="4"/>
      <c r="AA1334" s="4"/>
      <c r="AB1334" s="4"/>
      <c r="AC1334" s="4"/>
      <c r="AD1334" s="4"/>
      <c r="AE1334" s="4"/>
      <c r="AF1334" s="4"/>
      <c r="AG1334" s="4"/>
      <c r="AH1334" s="4"/>
      <c r="AI1334" s="4"/>
      <c r="AJ1334" s="4"/>
      <c r="AK1334" s="4"/>
      <c r="AL1334" s="4"/>
      <c r="AM1334" s="38"/>
      <c r="AN1334" s="4"/>
      <c r="AO1334" s="4"/>
      <c r="AP1334" s="4"/>
      <c r="AQ1334" s="4"/>
      <c r="AR1334" s="4"/>
      <c r="AS1334" s="4"/>
      <c r="AT1334" s="4"/>
      <c r="AU1334" s="4"/>
      <c r="AV1334" s="4"/>
      <c r="AW1334" s="4"/>
      <c r="AX1334" s="4"/>
      <c r="AY1334" s="4"/>
      <c r="AZ1334" s="4"/>
      <c r="BA1334" s="4"/>
      <c r="BB1334" s="4"/>
      <c r="BC1334" s="4"/>
      <c r="BD1334" s="4"/>
      <c r="BE1334" s="4"/>
      <c r="BF1334" s="4"/>
      <c r="BG1334" s="4"/>
      <c r="BH1334" s="4"/>
      <c r="BI1334" s="4"/>
      <c r="BJ1334" s="4"/>
      <c r="BK1334" s="4"/>
      <c r="BL1334" s="4"/>
      <c r="BM1334" s="4"/>
      <c r="BN1334" s="4"/>
      <c r="BO1334" s="4"/>
      <c r="BP1334" s="39"/>
      <c r="BQ1334" s="39"/>
    </row>
    <row r="1335" spans="3:69" ht="15.75" customHeight="1">
      <c r="C1335" s="4"/>
      <c r="D1335" s="4"/>
      <c r="E1335" s="38"/>
      <c r="F1335" s="38"/>
      <c r="G1335" s="4"/>
      <c r="H1335" s="4"/>
      <c r="I1335" s="4"/>
      <c r="J1335" s="4"/>
      <c r="K1335" s="4"/>
      <c r="L1335" s="4"/>
      <c r="M1335" s="4"/>
      <c r="N1335" s="38"/>
      <c r="O1335" s="4"/>
      <c r="P1335" s="4"/>
      <c r="Q1335" s="4"/>
      <c r="R1335" s="4"/>
      <c r="S1335" s="4"/>
      <c r="T1335" s="38"/>
      <c r="U1335" s="4"/>
      <c r="V1335" s="4"/>
      <c r="W1335" s="4"/>
      <c r="X1335" s="4"/>
      <c r="Y1335" s="4"/>
      <c r="Z1335" s="4"/>
      <c r="AA1335" s="4"/>
      <c r="AB1335" s="4"/>
      <c r="AC1335" s="4"/>
      <c r="AD1335" s="4"/>
      <c r="AE1335" s="4"/>
      <c r="AF1335" s="4"/>
      <c r="AG1335" s="4"/>
      <c r="AH1335" s="4"/>
      <c r="AI1335" s="4"/>
      <c r="AJ1335" s="4"/>
      <c r="AK1335" s="4"/>
      <c r="AL1335" s="4"/>
      <c r="AM1335" s="38"/>
      <c r="AN1335" s="4"/>
      <c r="AO1335" s="4"/>
      <c r="AP1335" s="4"/>
      <c r="AQ1335" s="4"/>
      <c r="AR1335" s="4"/>
      <c r="AS1335" s="4"/>
      <c r="AT1335" s="4"/>
      <c r="AU1335" s="4"/>
      <c r="AV1335" s="4"/>
      <c r="AW1335" s="4"/>
      <c r="AX1335" s="4"/>
      <c r="AY1335" s="4"/>
      <c r="AZ1335" s="4"/>
      <c r="BA1335" s="4"/>
      <c r="BB1335" s="4"/>
      <c r="BC1335" s="4"/>
      <c r="BD1335" s="4"/>
      <c r="BE1335" s="4"/>
      <c r="BF1335" s="4"/>
      <c r="BG1335" s="4"/>
      <c r="BH1335" s="4"/>
      <c r="BI1335" s="4"/>
      <c r="BJ1335" s="4"/>
      <c r="BK1335" s="4"/>
      <c r="BL1335" s="4"/>
      <c r="BM1335" s="4"/>
      <c r="BN1335" s="4"/>
      <c r="BO1335" s="4"/>
      <c r="BP1335" s="39"/>
      <c r="BQ1335" s="39"/>
    </row>
    <row r="1336" spans="3:69" ht="15.75" customHeight="1">
      <c r="C1336" s="4"/>
      <c r="D1336" s="4"/>
      <c r="E1336" s="38"/>
      <c r="F1336" s="38"/>
      <c r="G1336" s="4"/>
      <c r="H1336" s="4"/>
      <c r="I1336" s="4"/>
      <c r="J1336" s="4"/>
      <c r="K1336" s="4"/>
      <c r="L1336" s="4"/>
      <c r="M1336" s="4"/>
      <c r="N1336" s="38"/>
      <c r="O1336" s="4"/>
      <c r="P1336" s="4"/>
      <c r="Q1336" s="4"/>
      <c r="R1336" s="4"/>
      <c r="S1336" s="4"/>
      <c r="T1336" s="38"/>
      <c r="U1336" s="4"/>
      <c r="V1336" s="4"/>
      <c r="W1336" s="4"/>
      <c r="X1336" s="4"/>
      <c r="Y1336" s="4"/>
      <c r="Z1336" s="4"/>
      <c r="AA1336" s="4"/>
      <c r="AB1336" s="4"/>
      <c r="AC1336" s="4"/>
      <c r="AD1336" s="4"/>
      <c r="AE1336" s="4"/>
      <c r="AF1336" s="4"/>
      <c r="AG1336" s="4"/>
      <c r="AH1336" s="4"/>
      <c r="AI1336" s="4"/>
      <c r="AJ1336" s="4"/>
      <c r="AK1336" s="4"/>
      <c r="AL1336" s="4"/>
      <c r="AM1336" s="38"/>
      <c r="AN1336" s="4"/>
      <c r="AO1336" s="4"/>
      <c r="AP1336" s="4"/>
      <c r="AQ1336" s="4"/>
      <c r="AR1336" s="4"/>
      <c r="AS1336" s="4"/>
      <c r="AT1336" s="4"/>
      <c r="AU1336" s="4"/>
      <c r="AV1336" s="4"/>
      <c r="AW1336" s="4"/>
      <c r="AX1336" s="4"/>
      <c r="AY1336" s="4"/>
      <c r="AZ1336" s="4"/>
      <c r="BA1336" s="4"/>
      <c r="BB1336" s="4"/>
      <c r="BC1336" s="4"/>
      <c r="BD1336" s="4"/>
      <c r="BE1336" s="4"/>
      <c r="BF1336" s="4"/>
      <c r="BG1336" s="4"/>
      <c r="BH1336" s="4"/>
      <c r="BI1336" s="4"/>
      <c r="BJ1336" s="4"/>
      <c r="BK1336" s="4"/>
      <c r="BL1336" s="4"/>
      <c r="BM1336" s="4"/>
      <c r="BN1336" s="4"/>
      <c r="BO1336" s="4"/>
      <c r="BP1336" s="39"/>
      <c r="BQ1336" s="39"/>
    </row>
    <row r="1337" spans="3:69" ht="15.75" customHeight="1">
      <c r="C1337" s="4"/>
      <c r="D1337" s="4"/>
      <c r="E1337" s="38"/>
      <c r="F1337" s="38"/>
      <c r="G1337" s="4"/>
      <c r="H1337" s="4"/>
      <c r="I1337" s="4"/>
      <c r="J1337" s="4"/>
      <c r="K1337" s="4"/>
      <c r="L1337" s="4"/>
      <c r="M1337" s="4"/>
      <c r="N1337" s="38"/>
      <c r="O1337" s="4"/>
      <c r="P1337" s="4"/>
      <c r="Q1337" s="4"/>
      <c r="R1337" s="4"/>
      <c r="S1337" s="4"/>
      <c r="T1337" s="38"/>
      <c r="U1337" s="4"/>
      <c r="V1337" s="4"/>
      <c r="W1337" s="4"/>
      <c r="X1337" s="4"/>
      <c r="Y1337" s="4"/>
      <c r="Z1337" s="4"/>
      <c r="AA1337" s="4"/>
      <c r="AB1337" s="4"/>
      <c r="AC1337" s="4"/>
      <c r="AD1337" s="4"/>
      <c r="AE1337" s="4"/>
      <c r="AF1337" s="4"/>
      <c r="AG1337" s="4"/>
      <c r="AH1337" s="4"/>
      <c r="AI1337" s="4"/>
      <c r="AJ1337" s="4"/>
      <c r="AK1337" s="4"/>
      <c r="AL1337" s="4"/>
      <c r="AM1337" s="38"/>
      <c r="AN1337" s="4"/>
      <c r="AO1337" s="4"/>
      <c r="AP1337" s="4"/>
      <c r="AQ1337" s="4"/>
      <c r="AR1337" s="4"/>
      <c r="AS1337" s="4"/>
      <c r="AT1337" s="4"/>
      <c r="AU1337" s="4"/>
      <c r="AV1337" s="4"/>
      <c r="AW1337" s="4"/>
      <c r="AX1337" s="4"/>
      <c r="AY1337" s="4"/>
      <c r="AZ1337" s="4"/>
      <c r="BA1337" s="4"/>
      <c r="BB1337" s="4"/>
      <c r="BC1337" s="4"/>
      <c r="BD1337" s="4"/>
      <c r="BE1337" s="4"/>
      <c r="BF1337" s="4"/>
      <c r="BG1337" s="4"/>
      <c r="BH1337" s="4"/>
      <c r="BI1337" s="4"/>
      <c r="BJ1337" s="4"/>
      <c r="BK1337" s="4"/>
      <c r="BL1337" s="4"/>
      <c r="BM1337" s="4"/>
      <c r="BN1337" s="4"/>
      <c r="BO1337" s="4"/>
      <c r="BP1337" s="39"/>
      <c r="BQ1337" s="39"/>
    </row>
    <row r="1338" spans="3:69" ht="15.75" customHeight="1">
      <c r="C1338" s="4"/>
      <c r="D1338" s="4"/>
      <c r="E1338" s="38"/>
      <c r="F1338" s="38"/>
      <c r="G1338" s="4"/>
      <c r="H1338" s="4"/>
      <c r="I1338" s="4"/>
      <c r="J1338" s="4"/>
      <c r="K1338" s="4"/>
      <c r="L1338" s="4"/>
      <c r="M1338" s="4"/>
      <c r="N1338" s="38"/>
      <c r="O1338" s="4"/>
      <c r="P1338" s="4"/>
      <c r="Q1338" s="4"/>
      <c r="R1338" s="4"/>
      <c r="S1338" s="4"/>
      <c r="T1338" s="38"/>
      <c r="U1338" s="4"/>
      <c r="V1338" s="4"/>
      <c r="W1338" s="4"/>
      <c r="X1338" s="4"/>
      <c r="Y1338" s="4"/>
      <c r="Z1338" s="4"/>
      <c r="AA1338" s="4"/>
      <c r="AB1338" s="4"/>
      <c r="AC1338" s="4"/>
      <c r="AD1338" s="4"/>
      <c r="AE1338" s="4"/>
      <c r="AF1338" s="4"/>
      <c r="AG1338" s="4"/>
      <c r="AH1338" s="4"/>
      <c r="AI1338" s="4"/>
      <c r="AJ1338" s="4"/>
      <c r="AK1338" s="4"/>
      <c r="AL1338" s="4"/>
      <c r="AM1338" s="38"/>
      <c r="AN1338" s="4"/>
      <c r="AO1338" s="4"/>
      <c r="AP1338" s="4"/>
      <c r="AQ1338" s="4"/>
      <c r="AR1338" s="4"/>
      <c r="AS1338" s="4"/>
      <c r="AT1338" s="4"/>
      <c r="AU1338" s="4"/>
      <c r="AV1338" s="4"/>
      <c r="AW1338" s="4"/>
      <c r="AX1338" s="4"/>
      <c r="AY1338" s="4"/>
      <c r="AZ1338" s="4"/>
      <c r="BA1338" s="4"/>
      <c r="BB1338" s="4"/>
      <c r="BC1338" s="4"/>
      <c r="BD1338" s="4"/>
      <c r="BE1338" s="4"/>
      <c r="BF1338" s="4"/>
      <c r="BG1338" s="4"/>
      <c r="BH1338" s="4"/>
      <c r="BI1338" s="4"/>
      <c r="BJ1338" s="4"/>
      <c r="BK1338" s="4"/>
      <c r="BL1338" s="4"/>
      <c r="BM1338" s="4"/>
      <c r="BN1338" s="4"/>
      <c r="BO1338" s="4"/>
      <c r="BP1338" s="39"/>
      <c r="BQ1338" s="39"/>
    </row>
    <row r="1339" spans="3:69" ht="15.75" customHeight="1">
      <c r="C1339" s="4"/>
      <c r="D1339" s="4"/>
      <c r="E1339" s="38"/>
      <c r="F1339" s="38"/>
      <c r="G1339" s="4"/>
      <c r="H1339" s="4"/>
      <c r="I1339" s="4"/>
      <c r="J1339" s="4"/>
      <c r="K1339" s="4"/>
      <c r="L1339" s="4"/>
      <c r="M1339" s="4"/>
      <c r="N1339" s="38"/>
      <c r="O1339" s="4"/>
      <c r="P1339" s="4"/>
      <c r="Q1339" s="4"/>
      <c r="R1339" s="4"/>
      <c r="S1339" s="4"/>
      <c r="T1339" s="38"/>
      <c r="U1339" s="4"/>
      <c r="V1339" s="4"/>
      <c r="W1339" s="4"/>
      <c r="X1339" s="4"/>
      <c r="Y1339" s="4"/>
      <c r="Z1339" s="4"/>
      <c r="AA1339" s="4"/>
      <c r="AB1339" s="4"/>
      <c r="AC1339" s="4"/>
      <c r="AD1339" s="4"/>
      <c r="AE1339" s="4"/>
      <c r="AF1339" s="4"/>
      <c r="AG1339" s="4"/>
      <c r="AH1339" s="4"/>
      <c r="AI1339" s="4"/>
      <c r="AJ1339" s="4"/>
      <c r="AK1339" s="4"/>
      <c r="AL1339" s="4"/>
      <c r="AM1339" s="38"/>
      <c r="AN1339" s="4"/>
      <c r="AO1339" s="4"/>
      <c r="AP1339" s="4"/>
      <c r="AQ1339" s="4"/>
      <c r="AR1339" s="4"/>
      <c r="AS1339" s="4"/>
      <c r="AT1339" s="4"/>
      <c r="AU1339" s="4"/>
      <c r="AV1339" s="4"/>
      <c r="AW1339" s="4"/>
      <c r="AX1339" s="4"/>
      <c r="AY1339" s="4"/>
      <c r="AZ1339" s="4"/>
      <c r="BA1339" s="4"/>
      <c r="BB1339" s="4"/>
      <c r="BC1339" s="4"/>
      <c r="BD1339" s="4"/>
      <c r="BE1339" s="4"/>
      <c r="BF1339" s="4"/>
      <c r="BG1339" s="4"/>
      <c r="BH1339" s="4"/>
      <c r="BI1339" s="4"/>
      <c r="BJ1339" s="4"/>
      <c r="BK1339" s="4"/>
      <c r="BL1339" s="4"/>
      <c r="BM1339" s="4"/>
      <c r="BN1339" s="4"/>
      <c r="BO1339" s="4"/>
      <c r="BP1339" s="39"/>
      <c r="BQ1339" s="39"/>
    </row>
    <row r="1340" spans="3:69" ht="15.75" customHeight="1">
      <c r="C1340" s="4"/>
      <c r="D1340" s="4"/>
      <c r="E1340" s="38"/>
      <c r="F1340" s="38"/>
      <c r="G1340" s="4"/>
      <c r="H1340" s="4"/>
      <c r="I1340" s="4"/>
      <c r="J1340" s="4"/>
      <c r="K1340" s="4"/>
      <c r="L1340" s="4"/>
      <c r="M1340" s="4"/>
      <c r="N1340" s="38"/>
      <c r="O1340" s="4"/>
      <c r="P1340" s="4"/>
      <c r="Q1340" s="4"/>
      <c r="R1340" s="4"/>
      <c r="S1340" s="4"/>
      <c r="T1340" s="38"/>
      <c r="U1340" s="4"/>
      <c r="V1340" s="4"/>
      <c r="W1340" s="4"/>
      <c r="X1340" s="4"/>
      <c r="Y1340" s="4"/>
      <c r="Z1340" s="4"/>
      <c r="AA1340" s="4"/>
      <c r="AB1340" s="4"/>
      <c r="AC1340" s="4"/>
      <c r="AD1340" s="4"/>
      <c r="AE1340" s="4"/>
      <c r="AF1340" s="4"/>
      <c r="AG1340" s="4"/>
      <c r="AH1340" s="4"/>
      <c r="AI1340" s="4"/>
      <c r="AJ1340" s="4"/>
      <c r="AK1340" s="4"/>
      <c r="AL1340" s="4"/>
      <c r="AM1340" s="38"/>
      <c r="AN1340" s="4"/>
      <c r="AO1340" s="4"/>
      <c r="AP1340" s="4"/>
      <c r="AQ1340" s="4"/>
      <c r="AR1340" s="4"/>
      <c r="AS1340" s="4"/>
      <c r="AT1340" s="4"/>
      <c r="AU1340" s="4"/>
      <c r="AV1340" s="4"/>
      <c r="AW1340" s="4"/>
      <c r="AX1340" s="4"/>
      <c r="AY1340" s="4"/>
      <c r="AZ1340" s="4"/>
      <c r="BA1340" s="4"/>
      <c r="BB1340" s="4"/>
      <c r="BC1340" s="4"/>
      <c r="BD1340" s="4"/>
      <c r="BE1340" s="4"/>
      <c r="BF1340" s="4"/>
      <c r="BG1340" s="4"/>
      <c r="BH1340" s="4"/>
      <c r="BI1340" s="4"/>
      <c r="BJ1340" s="4"/>
      <c r="BK1340" s="4"/>
      <c r="BL1340" s="4"/>
      <c r="BM1340" s="4"/>
      <c r="BN1340" s="4"/>
      <c r="BO1340" s="4"/>
      <c r="BP1340" s="39"/>
      <c r="BQ1340" s="39"/>
    </row>
    <row r="1341" spans="3:69" ht="15.75" customHeight="1">
      <c r="C1341" s="4"/>
      <c r="D1341" s="4"/>
      <c r="E1341" s="38"/>
      <c r="F1341" s="38"/>
      <c r="G1341" s="4"/>
      <c r="H1341" s="4"/>
      <c r="I1341" s="4"/>
      <c r="J1341" s="4"/>
      <c r="K1341" s="4"/>
      <c r="L1341" s="4"/>
      <c r="M1341" s="4"/>
      <c r="N1341" s="38"/>
      <c r="O1341" s="4"/>
      <c r="P1341" s="4"/>
      <c r="Q1341" s="4"/>
      <c r="R1341" s="4"/>
      <c r="S1341" s="4"/>
      <c r="T1341" s="38"/>
      <c r="U1341" s="4"/>
      <c r="V1341" s="4"/>
      <c r="W1341" s="4"/>
      <c r="X1341" s="4"/>
      <c r="Y1341" s="4"/>
      <c r="Z1341" s="4"/>
      <c r="AA1341" s="4"/>
      <c r="AB1341" s="4"/>
      <c r="AC1341" s="4"/>
      <c r="AD1341" s="4"/>
      <c r="AE1341" s="4"/>
      <c r="AF1341" s="4"/>
      <c r="AG1341" s="4"/>
      <c r="AH1341" s="4"/>
      <c r="AI1341" s="4"/>
      <c r="AJ1341" s="4"/>
      <c r="AK1341" s="4"/>
      <c r="AL1341" s="4"/>
      <c r="AM1341" s="38"/>
      <c r="AN1341" s="4"/>
      <c r="AO1341" s="4"/>
      <c r="AP1341" s="4"/>
      <c r="AQ1341" s="4"/>
      <c r="AR1341" s="4"/>
      <c r="AS1341" s="4"/>
      <c r="AT1341" s="4"/>
      <c r="AU1341" s="4"/>
      <c r="AV1341" s="4"/>
      <c r="AW1341" s="4"/>
      <c r="AX1341" s="4"/>
      <c r="AY1341" s="4"/>
      <c r="AZ1341" s="4"/>
      <c r="BA1341" s="4"/>
      <c r="BB1341" s="4"/>
      <c r="BC1341" s="4"/>
      <c r="BD1341" s="4"/>
      <c r="BE1341" s="4"/>
      <c r="BF1341" s="4"/>
      <c r="BG1341" s="4"/>
      <c r="BH1341" s="4"/>
      <c r="BI1341" s="4"/>
      <c r="BJ1341" s="4"/>
      <c r="BK1341" s="4"/>
      <c r="BL1341" s="4"/>
      <c r="BM1341" s="4"/>
      <c r="BN1341" s="4"/>
      <c r="BO1341" s="4"/>
      <c r="BP1341" s="39"/>
      <c r="BQ1341" s="39"/>
    </row>
    <row r="1342" spans="3:69" ht="15.75" customHeight="1">
      <c r="C1342" s="4"/>
      <c r="D1342" s="4"/>
      <c r="E1342" s="38"/>
      <c r="F1342" s="38"/>
      <c r="G1342" s="4"/>
      <c r="H1342" s="4"/>
      <c r="I1342" s="4"/>
      <c r="J1342" s="4"/>
      <c r="K1342" s="4"/>
      <c r="L1342" s="4"/>
      <c r="M1342" s="4"/>
      <c r="N1342" s="38"/>
      <c r="O1342" s="4"/>
      <c r="P1342" s="4"/>
      <c r="Q1342" s="4"/>
      <c r="R1342" s="4"/>
      <c r="S1342" s="4"/>
      <c r="T1342" s="38"/>
      <c r="U1342" s="4"/>
      <c r="V1342" s="4"/>
      <c r="W1342" s="4"/>
      <c r="X1342" s="4"/>
      <c r="Y1342" s="4"/>
      <c r="Z1342" s="4"/>
      <c r="AA1342" s="4"/>
      <c r="AB1342" s="4"/>
      <c r="AC1342" s="4"/>
      <c r="AD1342" s="4"/>
      <c r="AE1342" s="4"/>
      <c r="AF1342" s="4"/>
      <c r="AG1342" s="4"/>
      <c r="AH1342" s="4"/>
      <c r="AI1342" s="4"/>
      <c r="AJ1342" s="4"/>
      <c r="AK1342" s="4"/>
      <c r="AL1342" s="4"/>
      <c r="AM1342" s="38"/>
      <c r="AN1342" s="4"/>
      <c r="AO1342" s="4"/>
      <c r="AP1342" s="4"/>
      <c r="AQ1342" s="4"/>
      <c r="AR1342" s="4"/>
      <c r="AS1342" s="4"/>
      <c r="AT1342" s="4"/>
      <c r="AU1342" s="4"/>
      <c r="AV1342" s="4"/>
      <c r="AW1342" s="4"/>
      <c r="AX1342" s="4"/>
      <c r="AY1342" s="4"/>
      <c r="AZ1342" s="4"/>
      <c r="BA1342" s="4"/>
      <c r="BB1342" s="4"/>
      <c r="BC1342" s="4"/>
      <c r="BD1342" s="4"/>
      <c r="BE1342" s="4"/>
      <c r="BF1342" s="4"/>
      <c r="BG1342" s="4"/>
      <c r="BH1342" s="4"/>
      <c r="BI1342" s="4"/>
      <c r="BJ1342" s="4"/>
      <c r="BK1342" s="4"/>
      <c r="BL1342" s="4"/>
      <c r="BM1342" s="4"/>
      <c r="BN1342" s="4"/>
      <c r="BO1342" s="4"/>
      <c r="BP1342" s="39"/>
      <c r="BQ1342" s="39"/>
    </row>
    <row r="1343" spans="3:69" ht="15.75" customHeight="1">
      <c r="C1343" s="4"/>
      <c r="D1343" s="4"/>
      <c r="E1343" s="38"/>
      <c r="F1343" s="38"/>
      <c r="G1343" s="4"/>
      <c r="H1343" s="4"/>
      <c r="I1343" s="4"/>
      <c r="J1343" s="4"/>
      <c r="K1343" s="4"/>
      <c r="L1343" s="4"/>
      <c r="M1343" s="4"/>
      <c r="N1343" s="38"/>
      <c r="O1343" s="4"/>
      <c r="P1343" s="4"/>
      <c r="Q1343" s="4"/>
      <c r="R1343" s="4"/>
      <c r="S1343" s="4"/>
      <c r="T1343" s="38"/>
      <c r="U1343" s="4"/>
      <c r="V1343" s="4"/>
      <c r="W1343" s="4"/>
      <c r="X1343" s="4"/>
      <c r="Y1343" s="4"/>
      <c r="Z1343" s="4"/>
      <c r="AA1343" s="4"/>
      <c r="AB1343" s="4"/>
      <c r="AC1343" s="4"/>
      <c r="AD1343" s="4"/>
      <c r="AE1343" s="4"/>
      <c r="AF1343" s="4"/>
      <c r="AG1343" s="4"/>
      <c r="AH1343" s="4"/>
      <c r="AI1343" s="4"/>
      <c r="AJ1343" s="4"/>
      <c r="AK1343" s="4"/>
      <c r="AL1343" s="4"/>
      <c r="AM1343" s="38"/>
      <c r="AN1343" s="4"/>
      <c r="AO1343" s="4"/>
      <c r="AP1343" s="4"/>
      <c r="AQ1343" s="4"/>
      <c r="AR1343" s="4"/>
      <c r="AS1343" s="4"/>
      <c r="AT1343" s="4"/>
      <c r="AU1343" s="4"/>
      <c r="AV1343" s="4"/>
      <c r="AW1343" s="4"/>
      <c r="AX1343" s="4"/>
      <c r="AY1343" s="4"/>
      <c r="AZ1343" s="4"/>
      <c r="BA1343" s="4"/>
      <c r="BB1343" s="4"/>
      <c r="BC1343" s="4"/>
      <c r="BD1343" s="4"/>
      <c r="BE1343" s="4"/>
      <c r="BF1343" s="4"/>
      <c r="BG1343" s="4"/>
      <c r="BH1343" s="4"/>
      <c r="BI1343" s="4"/>
      <c r="BJ1343" s="4"/>
      <c r="BK1343" s="4"/>
      <c r="BL1343" s="4"/>
      <c r="BM1343" s="4"/>
      <c r="BN1343" s="4"/>
      <c r="BO1343" s="4"/>
      <c r="BP1343" s="39"/>
      <c r="BQ1343" s="39"/>
    </row>
    <row r="1344" spans="3:69" ht="15.75" customHeight="1">
      <c r="C1344" s="4"/>
      <c r="D1344" s="4"/>
      <c r="E1344" s="38"/>
      <c r="F1344" s="38"/>
      <c r="G1344" s="4"/>
      <c r="H1344" s="4"/>
      <c r="I1344" s="4"/>
      <c r="J1344" s="4"/>
      <c r="K1344" s="4"/>
      <c r="L1344" s="4"/>
      <c r="M1344" s="4"/>
      <c r="N1344" s="38"/>
      <c r="O1344" s="4"/>
      <c r="P1344" s="4"/>
      <c r="Q1344" s="4"/>
      <c r="R1344" s="4"/>
      <c r="S1344" s="4"/>
      <c r="T1344" s="38"/>
      <c r="U1344" s="4"/>
      <c r="V1344" s="4"/>
      <c r="W1344" s="4"/>
      <c r="X1344" s="4"/>
      <c r="Y1344" s="4"/>
      <c r="Z1344" s="4"/>
      <c r="AA1344" s="4"/>
      <c r="AB1344" s="4"/>
      <c r="AC1344" s="4"/>
      <c r="AD1344" s="4"/>
      <c r="AE1344" s="4"/>
      <c r="AF1344" s="4"/>
      <c r="AG1344" s="4"/>
      <c r="AH1344" s="4"/>
      <c r="AI1344" s="4"/>
      <c r="AJ1344" s="4"/>
      <c r="AK1344" s="4"/>
      <c r="AL1344" s="4"/>
      <c r="AM1344" s="38"/>
      <c r="AN1344" s="4"/>
      <c r="AO1344" s="4"/>
      <c r="AP1344" s="4"/>
      <c r="AQ1344" s="4"/>
      <c r="AR1344" s="4"/>
      <c r="AS1344" s="4"/>
      <c r="AT1344" s="4"/>
      <c r="AU1344" s="4"/>
      <c r="AV1344" s="4"/>
      <c r="AW1344" s="4"/>
      <c r="AX1344" s="4"/>
      <c r="AY1344" s="4"/>
      <c r="AZ1344" s="4"/>
      <c r="BA1344" s="4"/>
      <c r="BB1344" s="4"/>
      <c r="BC1344" s="4"/>
      <c r="BD1344" s="4"/>
      <c r="BE1344" s="4"/>
      <c r="BF1344" s="4"/>
      <c r="BG1344" s="4"/>
      <c r="BH1344" s="4"/>
      <c r="BI1344" s="4"/>
      <c r="BJ1344" s="4"/>
      <c r="BK1344" s="4"/>
      <c r="BL1344" s="4"/>
      <c r="BM1344" s="4"/>
      <c r="BN1344" s="4"/>
      <c r="BO1344" s="4"/>
      <c r="BP1344" s="39"/>
      <c r="BQ1344" s="39"/>
    </row>
    <row r="1345" spans="3:69" ht="15.75" customHeight="1">
      <c r="C1345" s="4"/>
      <c r="D1345" s="4"/>
      <c r="E1345" s="38"/>
      <c r="F1345" s="38"/>
      <c r="G1345" s="4"/>
      <c r="H1345" s="4"/>
      <c r="I1345" s="4"/>
      <c r="J1345" s="4"/>
      <c r="K1345" s="4"/>
      <c r="L1345" s="4"/>
      <c r="M1345" s="4"/>
      <c r="N1345" s="38"/>
      <c r="O1345" s="4"/>
      <c r="P1345" s="4"/>
      <c r="Q1345" s="4"/>
      <c r="R1345" s="4"/>
      <c r="S1345" s="4"/>
      <c r="T1345" s="38"/>
      <c r="U1345" s="4"/>
      <c r="V1345" s="4"/>
      <c r="W1345" s="4"/>
      <c r="X1345" s="4"/>
      <c r="Y1345" s="4"/>
      <c r="Z1345" s="4"/>
      <c r="AA1345" s="4"/>
      <c r="AB1345" s="4"/>
      <c r="AC1345" s="4"/>
      <c r="AD1345" s="4"/>
      <c r="AE1345" s="4"/>
      <c r="AF1345" s="4"/>
      <c r="AG1345" s="4"/>
      <c r="AH1345" s="4"/>
      <c r="AI1345" s="4"/>
      <c r="AJ1345" s="4"/>
      <c r="AK1345" s="4"/>
      <c r="AL1345" s="4"/>
      <c r="AM1345" s="38"/>
      <c r="AN1345" s="4"/>
      <c r="AO1345" s="4"/>
      <c r="AP1345" s="4"/>
      <c r="AQ1345" s="4"/>
      <c r="AR1345" s="4"/>
      <c r="AS1345" s="4"/>
      <c r="AT1345" s="4"/>
      <c r="AU1345" s="4"/>
      <c r="AV1345" s="4"/>
      <c r="AW1345" s="4"/>
      <c r="AX1345" s="4"/>
      <c r="AY1345" s="4"/>
      <c r="AZ1345" s="4"/>
      <c r="BA1345" s="4"/>
      <c r="BB1345" s="4"/>
      <c r="BC1345" s="4"/>
      <c r="BD1345" s="4"/>
      <c r="BE1345" s="4"/>
      <c r="BF1345" s="4"/>
      <c r="BG1345" s="4"/>
      <c r="BH1345" s="4"/>
      <c r="BI1345" s="4"/>
      <c r="BJ1345" s="4"/>
      <c r="BK1345" s="4"/>
      <c r="BL1345" s="4"/>
      <c r="BM1345" s="4"/>
      <c r="BN1345" s="4"/>
      <c r="BO1345" s="4"/>
      <c r="BP1345" s="39"/>
      <c r="BQ1345" s="39"/>
    </row>
    <row r="1346" spans="3:69" ht="15.75" customHeight="1">
      <c r="C1346" s="4"/>
      <c r="D1346" s="4"/>
      <c r="E1346" s="38"/>
      <c r="F1346" s="38"/>
      <c r="G1346" s="4"/>
      <c r="H1346" s="4"/>
      <c r="I1346" s="4"/>
      <c r="J1346" s="4"/>
      <c r="K1346" s="4"/>
      <c r="L1346" s="4"/>
      <c r="M1346" s="4"/>
      <c r="N1346" s="38"/>
      <c r="O1346" s="4"/>
      <c r="P1346" s="4"/>
      <c r="Q1346" s="4"/>
      <c r="R1346" s="4"/>
      <c r="S1346" s="4"/>
      <c r="T1346" s="38"/>
      <c r="U1346" s="4"/>
      <c r="V1346" s="4"/>
      <c r="W1346" s="4"/>
      <c r="X1346" s="4"/>
      <c r="Y1346" s="4"/>
      <c r="Z1346" s="4"/>
      <c r="AA1346" s="4"/>
      <c r="AB1346" s="4"/>
      <c r="AC1346" s="4"/>
      <c r="AD1346" s="4"/>
      <c r="AE1346" s="4"/>
      <c r="AF1346" s="4"/>
      <c r="AG1346" s="4"/>
      <c r="AH1346" s="4"/>
      <c r="AI1346" s="4"/>
      <c r="AJ1346" s="4"/>
      <c r="AK1346" s="4"/>
      <c r="AL1346" s="4"/>
      <c r="AM1346" s="38"/>
      <c r="AN1346" s="4"/>
      <c r="AO1346" s="4"/>
      <c r="AP1346" s="4"/>
      <c r="AQ1346" s="4"/>
      <c r="AR1346" s="4"/>
      <c r="AS1346" s="4"/>
      <c r="AT1346" s="4"/>
      <c r="AU1346" s="4"/>
      <c r="AV1346" s="4"/>
      <c r="AW1346" s="4"/>
      <c r="AX1346" s="4"/>
      <c r="AY1346" s="4"/>
      <c r="AZ1346" s="4"/>
      <c r="BA1346" s="4"/>
      <c r="BB1346" s="4"/>
      <c r="BC1346" s="4"/>
      <c r="BD1346" s="4"/>
      <c r="BE1346" s="4"/>
      <c r="BF1346" s="4"/>
      <c r="BG1346" s="4"/>
      <c r="BH1346" s="4"/>
      <c r="BI1346" s="4"/>
      <c r="BJ1346" s="4"/>
      <c r="BK1346" s="4"/>
      <c r="BL1346" s="4"/>
      <c r="BM1346" s="4"/>
      <c r="BN1346" s="4"/>
      <c r="BO1346" s="4"/>
      <c r="BP1346" s="39"/>
      <c r="BQ1346" s="39"/>
    </row>
    <row r="1347" spans="3:69" ht="15.75" customHeight="1">
      <c r="C1347" s="4"/>
      <c r="D1347" s="4"/>
      <c r="E1347" s="38"/>
      <c r="F1347" s="38"/>
      <c r="G1347" s="4"/>
      <c r="H1347" s="4"/>
      <c r="I1347" s="4"/>
      <c r="J1347" s="4"/>
      <c r="K1347" s="4"/>
      <c r="L1347" s="4"/>
      <c r="M1347" s="4"/>
      <c r="N1347" s="38"/>
      <c r="O1347" s="4"/>
      <c r="P1347" s="4"/>
      <c r="Q1347" s="4"/>
      <c r="R1347" s="4"/>
      <c r="S1347" s="4"/>
      <c r="T1347" s="38"/>
      <c r="U1347" s="4"/>
      <c r="V1347" s="4"/>
      <c r="W1347" s="4"/>
      <c r="X1347" s="4"/>
      <c r="Y1347" s="4"/>
      <c r="Z1347" s="4"/>
      <c r="AA1347" s="4"/>
      <c r="AB1347" s="4"/>
      <c r="AC1347" s="4"/>
      <c r="AD1347" s="4"/>
      <c r="AE1347" s="4"/>
      <c r="AF1347" s="4"/>
      <c r="AG1347" s="4"/>
      <c r="AH1347" s="4"/>
      <c r="AI1347" s="4"/>
      <c r="AJ1347" s="4"/>
      <c r="AK1347" s="4"/>
      <c r="AL1347" s="4"/>
      <c r="AM1347" s="38"/>
      <c r="AN1347" s="4"/>
      <c r="AO1347" s="4"/>
      <c r="AP1347" s="4"/>
      <c r="AQ1347" s="4"/>
      <c r="AR1347" s="4"/>
      <c r="AS1347" s="4"/>
      <c r="AT1347" s="4"/>
      <c r="AU1347" s="4"/>
      <c r="AV1347" s="4"/>
      <c r="AW1347" s="4"/>
      <c r="AX1347" s="4"/>
      <c r="AY1347" s="4"/>
      <c r="AZ1347" s="4"/>
      <c r="BA1347" s="4"/>
      <c r="BB1347" s="4"/>
      <c r="BC1347" s="4"/>
      <c r="BD1347" s="4"/>
      <c r="BE1347" s="4"/>
      <c r="BF1347" s="4"/>
      <c r="BG1347" s="4"/>
      <c r="BH1347" s="4"/>
      <c r="BI1347" s="4"/>
      <c r="BJ1347" s="4"/>
      <c r="BK1347" s="4"/>
      <c r="BL1347" s="4"/>
      <c r="BM1347" s="4"/>
      <c r="BN1347" s="4"/>
      <c r="BO1347" s="4"/>
      <c r="BP1347" s="39"/>
      <c r="BQ1347" s="39"/>
    </row>
    <row r="1348" spans="3:69" ht="15.75" customHeight="1">
      <c r="C1348" s="4"/>
      <c r="D1348" s="4"/>
      <c r="E1348" s="38"/>
      <c r="F1348" s="38"/>
      <c r="G1348" s="4"/>
      <c r="H1348" s="4"/>
      <c r="I1348" s="4"/>
      <c r="J1348" s="4"/>
      <c r="K1348" s="4"/>
      <c r="L1348" s="4"/>
      <c r="M1348" s="4"/>
      <c r="N1348" s="38"/>
      <c r="O1348" s="4"/>
      <c r="P1348" s="4"/>
      <c r="Q1348" s="4"/>
      <c r="R1348" s="4"/>
      <c r="S1348" s="4"/>
      <c r="T1348" s="38"/>
      <c r="U1348" s="4"/>
      <c r="V1348" s="4"/>
      <c r="W1348" s="4"/>
      <c r="X1348" s="4"/>
      <c r="Y1348" s="4"/>
      <c r="Z1348" s="4"/>
      <c r="AA1348" s="4"/>
      <c r="AB1348" s="4"/>
      <c r="AC1348" s="4"/>
      <c r="AD1348" s="4"/>
      <c r="AE1348" s="4"/>
      <c r="AF1348" s="4"/>
      <c r="AG1348" s="4"/>
      <c r="AH1348" s="4"/>
      <c r="AI1348" s="4"/>
      <c r="AJ1348" s="4"/>
      <c r="AK1348" s="4"/>
      <c r="AL1348" s="4"/>
      <c r="AM1348" s="38"/>
      <c r="AN1348" s="4"/>
      <c r="AO1348" s="4"/>
      <c r="AP1348" s="4"/>
      <c r="AQ1348" s="4"/>
      <c r="AR1348" s="4"/>
      <c r="AS1348" s="4"/>
      <c r="AT1348" s="4"/>
      <c r="AU1348" s="4"/>
      <c r="AV1348" s="4"/>
      <c r="AW1348" s="4"/>
      <c r="AX1348" s="4"/>
      <c r="AY1348" s="4"/>
      <c r="AZ1348" s="4"/>
      <c r="BA1348" s="4"/>
      <c r="BB1348" s="4"/>
      <c r="BC1348" s="4"/>
      <c r="BD1348" s="4"/>
      <c r="BE1348" s="4"/>
      <c r="BF1348" s="4"/>
      <c r="BG1348" s="4"/>
      <c r="BH1348" s="4"/>
      <c r="BI1348" s="4"/>
      <c r="BJ1348" s="4"/>
      <c r="BK1348" s="4"/>
      <c r="BL1348" s="4"/>
      <c r="BM1348" s="4"/>
      <c r="BN1348" s="4"/>
      <c r="BO1348" s="4"/>
      <c r="BP1348" s="39"/>
      <c r="BQ1348" s="39"/>
    </row>
    <row r="1349" spans="3:69" ht="15.75" customHeight="1">
      <c r="C1349" s="4"/>
      <c r="D1349" s="4"/>
      <c r="E1349" s="38"/>
      <c r="F1349" s="38"/>
      <c r="G1349" s="4"/>
      <c r="H1349" s="4"/>
      <c r="I1349" s="4"/>
      <c r="J1349" s="4"/>
      <c r="K1349" s="4"/>
      <c r="L1349" s="4"/>
      <c r="M1349" s="4"/>
      <c r="N1349" s="38"/>
      <c r="O1349" s="4"/>
      <c r="P1349" s="4"/>
      <c r="Q1349" s="4"/>
      <c r="R1349" s="4"/>
      <c r="S1349" s="4"/>
      <c r="T1349" s="38"/>
      <c r="U1349" s="4"/>
      <c r="V1349" s="4"/>
      <c r="W1349" s="4"/>
      <c r="X1349" s="4"/>
      <c r="Y1349" s="4"/>
      <c r="Z1349" s="4"/>
      <c r="AA1349" s="4"/>
      <c r="AB1349" s="4"/>
      <c r="AC1349" s="4"/>
      <c r="AD1349" s="4"/>
      <c r="AE1349" s="4"/>
      <c r="AF1349" s="4"/>
      <c r="AG1349" s="4"/>
      <c r="AH1349" s="4"/>
      <c r="AI1349" s="4"/>
      <c r="AJ1349" s="4"/>
      <c r="AK1349" s="4"/>
      <c r="AL1349" s="4"/>
      <c r="AM1349" s="38"/>
      <c r="AN1349" s="4"/>
      <c r="AO1349" s="4"/>
      <c r="AP1349" s="4"/>
      <c r="AQ1349" s="4"/>
      <c r="AR1349" s="4"/>
      <c r="AS1349" s="4"/>
      <c r="AT1349" s="4"/>
      <c r="AU1349" s="4"/>
      <c r="AV1349" s="4"/>
      <c r="AW1349" s="4"/>
      <c r="AX1349" s="4"/>
      <c r="AY1349" s="4"/>
      <c r="AZ1349" s="4"/>
      <c r="BA1349" s="4"/>
      <c r="BB1349" s="4"/>
      <c r="BC1349" s="4"/>
      <c r="BD1349" s="4"/>
      <c r="BE1349" s="4"/>
      <c r="BF1349" s="4"/>
      <c r="BG1349" s="4"/>
      <c r="BH1349" s="4"/>
      <c r="BI1349" s="4"/>
      <c r="BJ1349" s="4"/>
      <c r="BK1349" s="4"/>
      <c r="BL1349" s="4"/>
      <c r="BM1349" s="4"/>
      <c r="BN1349" s="4"/>
      <c r="BO1349" s="4"/>
      <c r="BP1349" s="39"/>
      <c r="BQ1349" s="39"/>
    </row>
    <row r="1350" spans="3:69" ht="15.75" customHeight="1">
      <c r="C1350" s="4"/>
      <c r="D1350" s="4"/>
      <c r="E1350" s="38"/>
      <c r="F1350" s="38"/>
      <c r="G1350" s="4"/>
      <c r="H1350" s="4"/>
      <c r="I1350" s="4"/>
      <c r="J1350" s="4"/>
      <c r="K1350" s="4"/>
      <c r="L1350" s="4"/>
      <c r="M1350" s="4"/>
      <c r="N1350" s="38"/>
      <c r="O1350" s="4"/>
      <c r="P1350" s="4"/>
      <c r="Q1350" s="4"/>
      <c r="R1350" s="4"/>
      <c r="S1350" s="4"/>
      <c r="T1350" s="38"/>
      <c r="U1350" s="4"/>
      <c r="V1350" s="4"/>
      <c r="W1350" s="4"/>
      <c r="X1350" s="4"/>
      <c r="Y1350" s="4"/>
      <c r="Z1350" s="4"/>
      <c r="AA1350" s="4"/>
      <c r="AB1350" s="4"/>
      <c r="AC1350" s="4"/>
      <c r="AD1350" s="4"/>
      <c r="AE1350" s="4"/>
      <c r="AF1350" s="4"/>
      <c r="AG1350" s="4"/>
      <c r="AH1350" s="4"/>
      <c r="AI1350" s="4"/>
      <c r="AJ1350" s="4"/>
      <c r="AK1350" s="4"/>
      <c r="AL1350" s="4"/>
      <c r="AM1350" s="38"/>
      <c r="AN1350" s="4"/>
      <c r="AO1350" s="4"/>
      <c r="AP1350" s="4"/>
      <c r="AQ1350" s="4"/>
      <c r="AR1350" s="4"/>
      <c r="AS1350" s="4"/>
      <c r="AT1350" s="4"/>
      <c r="AU1350" s="4"/>
      <c r="AV1350" s="4"/>
      <c r="AW1350" s="4"/>
      <c r="AX1350" s="4"/>
      <c r="AY1350" s="4"/>
      <c r="AZ1350" s="4"/>
      <c r="BA1350" s="4"/>
      <c r="BB1350" s="4"/>
      <c r="BC1350" s="4"/>
      <c r="BD1350" s="4"/>
      <c r="BE1350" s="4"/>
      <c r="BF1350" s="4"/>
      <c r="BG1350" s="4"/>
      <c r="BH1350" s="4"/>
      <c r="BI1350" s="4"/>
      <c r="BJ1350" s="4"/>
      <c r="BK1350" s="4"/>
      <c r="BL1350" s="4"/>
      <c r="BM1350" s="4"/>
      <c r="BN1350" s="4"/>
      <c r="BO1350" s="4"/>
      <c r="BP1350" s="39"/>
      <c r="BQ1350" s="39"/>
    </row>
    <row r="1351" spans="3:69" ht="15.75" customHeight="1">
      <c r="C1351" s="4"/>
      <c r="D1351" s="4"/>
      <c r="E1351" s="38"/>
      <c r="F1351" s="38"/>
      <c r="G1351" s="4"/>
      <c r="H1351" s="4"/>
      <c r="I1351" s="4"/>
      <c r="J1351" s="4"/>
      <c r="K1351" s="4"/>
      <c r="L1351" s="4"/>
      <c r="M1351" s="4"/>
      <c r="N1351" s="38"/>
      <c r="O1351" s="4"/>
      <c r="P1351" s="4"/>
      <c r="Q1351" s="4"/>
      <c r="R1351" s="4"/>
      <c r="S1351" s="4"/>
      <c r="T1351" s="38"/>
      <c r="U1351" s="4"/>
      <c r="V1351" s="4"/>
      <c r="W1351" s="4"/>
      <c r="X1351" s="4"/>
      <c r="Y1351" s="4"/>
      <c r="Z1351" s="4"/>
      <c r="AA1351" s="4"/>
      <c r="AB1351" s="4"/>
      <c r="AC1351" s="4"/>
      <c r="AD1351" s="4"/>
      <c r="AE1351" s="4"/>
      <c r="AF1351" s="4"/>
      <c r="AG1351" s="4"/>
      <c r="AH1351" s="4"/>
      <c r="AI1351" s="4"/>
      <c r="AJ1351" s="4"/>
      <c r="AK1351" s="4"/>
      <c r="AL1351" s="4"/>
      <c r="AM1351" s="38"/>
      <c r="AN1351" s="4"/>
      <c r="AO1351" s="4"/>
      <c r="AP1351" s="4"/>
      <c r="AQ1351" s="4"/>
      <c r="AR1351" s="4"/>
      <c r="AS1351" s="4"/>
      <c r="AT1351" s="4"/>
      <c r="AU1351" s="4"/>
      <c r="AV1351" s="4"/>
      <c r="AW1351" s="4"/>
      <c r="AX1351" s="4"/>
      <c r="AY1351" s="4"/>
      <c r="AZ1351" s="4"/>
      <c r="BA1351" s="4"/>
      <c r="BB1351" s="4"/>
      <c r="BC1351" s="4"/>
      <c r="BD1351" s="4"/>
      <c r="BE1351" s="4"/>
      <c r="BF1351" s="4"/>
      <c r="BG1351" s="4"/>
      <c r="BH1351" s="4"/>
      <c r="BI1351" s="4"/>
      <c r="BJ1351" s="4"/>
      <c r="BK1351" s="4"/>
      <c r="BL1351" s="4"/>
      <c r="BM1351" s="4"/>
      <c r="BN1351" s="4"/>
      <c r="BO1351" s="4"/>
      <c r="BP1351" s="39"/>
      <c r="BQ1351" s="39"/>
    </row>
    <row r="1352" spans="3:69" ht="15.75" customHeight="1">
      <c r="C1352" s="4"/>
      <c r="D1352" s="4"/>
      <c r="E1352" s="38"/>
      <c r="F1352" s="38"/>
      <c r="G1352" s="4"/>
      <c r="H1352" s="4"/>
      <c r="I1352" s="4"/>
      <c r="J1352" s="4"/>
      <c r="K1352" s="4"/>
      <c r="L1352" s="4"/>
      <c r="M1352" s="4"/>
      <c r="N1352" s="38"/>
      <c r="O1352" s="4"/>
      <c r="P1352" s="4"/>
      <c r="Q1352" s="4"/>
      <c r="R1352" s="4"/>
      <c r="S1352" s="4"/>
      <c r="T1352" s="38"/>
      <c r="U1352" s="4"/>
      <c r="V1352" s="4"/>
      <c r="W1352" s="4"/>
      <c r="X1352" s="4"/>
      <c r="Y1352" s="4"/>
      <c r="Z1352" s="4"/>
      <c r="AA1352" s="4"/>
      <c r="AB1352" s="4"/>
      <c r="AC1352" s="4"/>
      <c r="AD1352" s="4"/>
      <c r="AE1352" s="4"/>
      <c r="AF1352" s="4"/>
      <c r="AG1352" s="4"/>
      <c r="AH1352" s="4"/>
      <c r="AI1352" s="4"/>
      <c r="AJ1352" s="4"/>
      <c r="AK1352" s="4"/>
      <c r="AL1352" s="4"/>
      <c r="AM1352" s="38"/>
      <c r="AN1352" s="4"/>
      <c r="AO1352" s="4"/>
      <c r="AP1352" s="4"/>
      <c r="AQ1352" s="4"/>
      <c r="AR1352" s="4"/>
      <c r="AS1352" s="4"/>
      <c r="AT1352" s="4"/>
      <c r="AU1352" s="4"/>
      <c r="AV1352" s="4"/>
      <c r="AW1352" s="4"/>
      <c r="AX1352" s="4"/>
      <c r="AY1352" s="4"/>
      <c r="AZ1352" s="4"/>
      <c r="BA1352" s="4"/>
      <c r="BB1352" s="4"/>
      <c r="BC1352" s="4"/>
      <c r="BD1352" s="4"/>
      <c r="BE1352" s="4"/>
      <c r="BF1352" s="4"/>
      <c r="BG1352" s="4"/>
      <c r="BH1352" s="4"/>
      <c r="BI1352" s="4"/>
      <c r="BJ1352" s="4"/>
      <c r="BK1352" s="4"/>
      <c r="BL1352" s="4"/>
      <c r="BM1352" s="4"/>
      <c r="BN1352" s="4"/>
      <c r="BO1352" s="4"/>
      <c r="BP1352" s="39"/>
      <c r="BQ1352" s="39"/>
    </row>
    <row r="1353" spans="3:69" ht="15.75" customHeight="1">
      <c r="C1353" s="4"/>
      <c r="D1353" s="4"/>
      <c r="E1353" s="38"/>
      <c r="F1353" s="38"/>
      <c r="G1353" s="4"/>
      <c r="H1353" s="4"/>
      <c r="I1353" s="4"/>
      <c r="J1353" s="4"/>
      <c r="K1353" s="4"/>
      <c r="L1353" s="4"/>
      <c r="M1353" s="4"/>
      <c r="N1353" s="38"/>
      <c r="O1353" s="4"/>
      <c r="P1353" s="4"/>
      <c r="Q1353" s="4"/>
      <c r="R1353" s="4"/>
      <c r="S1353" s="4"/>
      <c r="T1353" s="38"/>
      <c r="U1353" s="4"/>
      <c r="V1353" s="4"/>
      <c r="W1353" s="4"/>
      <c r="X1353" s="4"/>
      <c r="Y1353" s="4"/>
      <c r="Z1353" s="4"/>
      <c r="AA1353" s="4"/>
      <c r="AB1353" s="4"/>
      <c r="AC1353" s="4"/>
      <c r="AD1353" s="4"/>
      <c r="AE1353" s="4"/>
      <c r="AF1353" s="4"/>
      <c r="AG1353" s="4"/>
      <c r="AH1353" s="4"/>
      <c r="AI1353" s="4"/>
      <c r="AJ1353" s="4"/>
      <c r="AK1353" s="4"/>
      <c r="AL1353" s="4"/>
      <c r="AM1353" s="38"/>
      <c r="AN1353" s="4"/>
      <c r="AO1353" s="4"/>
      <c r="AP1353" s="4"/>
      <c r="AQ1353" s="4"/>
      <c r="AR1353" s="4"/>
      <c r="AS1353" s="4"/>
      <c r="AT1353" s="4"/>
      <c r="AU1353" s="4"/>
      <c r="AV1353" s="4"/>
      <c r="AW1353" s="4"/>
      <c r="AX1353" s="4"/>
      <c r="AY1353" s="4"/>
      <c r="AZ1353" s="4"/>
      <c r="BA1353" s="4"/>
      <c r="BB1353" s="4"/>
      <c r="BC1353" s="4"/>
      <c r="BD1353" s="4"/>
      <c r="BE1353" s="4"/>
      <c r="BF1353" s="4"/>
      <c r="BG1353" s="4"/>
      <c r="BH1353" s="4"/>
      <c r="BI1353" s="4"/>
      <c r="BJ1353" s="4"/>
      <c r="BK1353" s="4"/>
      <c r="BL1353" s="4"/>
      <c r="BM1353" s="4"/>
      <c r="BN1353" s="4"/>
      <c r="BO1353" s="4"/>
      <c r="BP1353" s="39"/>
      <c r="BQ1353" s="39"/>
    </row>
    <row r="1354" spans="3:69" ht="15.75" customHeight="1">
      <c r="C1354" s="4"/>
      <c r="D1354" s="4"/>
      <c r="E1354" s="38"/>
      <c r="F1354" s="38"/>
      <c r="G1354" s="4"/>
      <c r="H1354" s="4"/>
      <c r="I1354" s="4"/>
      <c r="J1354" s="4"/>
      <c r="K1354" s="4"/>
      <c r="L1354" s="4"/>
      <c r="M1354" s="4"/>
      <c r="N1354" s="38"/>
      <c r="O1354" s="4"/>
      <c r="P1354" s="4"/>
      <c r="Q1354" s="4"/>
      <c r="R1354" s="4"/>
      <c r="S1354" s="4"/>
      <c r="T1354" s="38"/>
      <c r="U1354" s="4"/>
      <c r="V1354" s="4"/>
      <c r="W1354" s="4"/>
      <c r="X1354" s="4"/>
      <c r="Y1354" s="4"/>
      <c r="Z1354" s="4"/>
      <c r="AA1354" s="4"/>
      <c r="AB1354" s="4"/>
      <c r="AC1354" s="4"/>
      <c r="AD1354" s="4"/>
      <c r="AE1354" s="4"/>
      <c r="AF1354" s="4"/>
      <c r="AG1354" s="4"/>
      <c r="AH1354" s="4"/>
      <c r="AI1354" s="4"/>
      <c r="AJ1354" s="4"/>
      <c r="AK1354" s="4"/>
      <c r="AL1354" s="4"/>
      <c r="AM1354" s="38"/>
      <c r="AN1354" s="4"/>
      <c r="AO1354" s="4"/>
      <c r="AP1354" s="4"/>
      <c r="AQ1354" s="4"/>
      <c r="AR1354" s="4"/>
      <c r="AS1354" s="4"/>
      <c r="AT1354" s="4"/>
      <c r="AU1354" s="4"/>
      <c r="AV1354" s="4"/>
      <c r="AW1354" s="4"/>
      <c r="AX1354" s="4"/>
      <c r="AY1354" s="4"/>
      <c r="AZ1354" s="4"/>
      <c r="BA1354" s="4"/>
      <c r="BB1354" s="4"/>
      <c r="BC1354" s="4"/>
      <c r="BD1354" s="4"/>
      <c r="BE1354" s="4"/>
      <c r="BF1354" s="4"/>
      <c r="BG1354" s="4"/>
      <c r="BH1354" s="4"/>
      <c r="BI1354" s="4"/>
      <c r="BJ1354" s="4"/>
      <c r="BK1354" s="4"/>
      <c r="BL1354" s="4"/>
      <c r="BM1354" s="4"/>
      <c r="BN1354" s="4"/>
      <c r="BO1354" s="4"/>
      <c r="BP1354" s="39"/>
      <c r="BQ1354" s="39"/>
    </row>
    <row r="1355" spans="3:69" ht="15.75" customHeight="1">
      <c r="C1355" s="4"/>
      <c r="D1355" s="4"/>
      <c r="E1355" s="38"/>
      <c r="F1355" s="38"/>
      <c r="G1355" s="4"/>
      <c r="H1355" s="4"/>
      <c r="I1355" s="4"/>
      <c r="J1355" s="4"/>
      <c r="K1355" s="4"/>
      <c r="L1355" s="4"/>
      <c r="M1355" s="4"/>
      <c r="N1355" s="38"/>
      <c r="O1355" s="4"/>
      <c r="P1355" s="4"/>
      <c r="Q1355" s="4"/>
      <c r="R1355" s="4"/>
      <c r="S1355" s="4"/>
      <c r="T1355" s="38"/>
      <c r="U1355" s="4"/>
      <c r="V1355" s="4"/>
      <c r="W1355" s="4"/>
      <c r="X1355" s="4"/>
      <c r="Y1355" s="4"/>
      <c r="Z1355" s="4"/>
      <c r="AA1355" s="4"/>
      <c r="AB1355" s="4"/>
      <c r="AC1355" s="4"/>
      <c r="AD1355" s="4"/>
      <c r="AE1355" s="4"/>
      <c r="AF1355" s="4"/>
      <c r="AG1355" s="4"/>
      <c r="AH1355" s="4"/>
      <c r="AI1355" s="4"/>
      <c r="AJ1355" s="4"/>
      <c r="AK1355" s="4"/>
      <c r="AL1355" s="4"/>
      <c r="AM1355" s="38"/>
      <c r="AN1355" s="4"/>
      <c r="AO1355" s="4"/>
      <c r="AP1355" s="4"/>
      <c r="AQ1355" s="4"/>
      <c r="AR1355" s="4"/>
      <c r="AS1355" s="4"/>
      <c r="AT1355" s="4"/>
      <c r="AU1355" s="4"/>
      <c r="AV1355" s="4"/>
      <c r="AW1355" s="4"/>
      <c r="AX1355" s="4"/>
      <c r="AY1355" s="4"/>
      <c r="AZ1355" s="4"/>
      <c r="BA1355" s="4"/>
      <c r="BB1355" s="4"/>
      <c r="BC1355" s="4"/>
      <c r="BD1355" s="4"/>
      <c r="BE1355" s="4"/>
      <c r="BF1355" s="4"/>
      <c r="BG1355" s="4"/>
      <c r="BH1355" s="4"/>
      <c r="BI1355" s="4"/>
      <c r="BJ1355" s="4"/>
      <c r="BK1355" s="4"/>
      <c r="BL1355" s="4"/>
      <c r="BM1355" s="4"/>
      <c r="BN1355" s="4"/>
      <c r="BO1355" s="4"/>
      <c r="BP1355" s="39"/>
      <c r="BQ1355" s="39"/>
    </row>
    <row r="1356" spans="3:69" ht="15.75" customHeight="1">
      <c r="C1356" s="4"/>
      <c r="D1356" s="4"/>
      <c r="E1356" s="38"/>
      <c r="F1356" s="38"/>
      <c r="G1356" s="4"/>
      <c r="H1356" s="4"/>
      <c r="I1356" s="4"/>
      <c r="J1356" s="4"/>
      <c r="K1356" s="4"/>
      <c r="L1356" s="4"/>
      <c r="M1356" s="4"/>
      <c r="N1356" s="38"/>
      <c r="O1356" s="4"/>
      <c r="P1356" s="4"/>
      <c r="Q1356" s="4"/>
      <c r="R1356" s="4"/>
      <c r="S1356" s="4"/>
      <c r="T1356" s="38"/>
      <c r="U1356" s="4"/>
      <c r="V1356" s="4"/>
      <c r="W1356" s="4"/>
      <c r="X1356" s="4"/>
      <c r="Y1356" s="4"/>
      <c r="Z1356" s="4"/>
      <c r="AA1356" s="4"/>
      <c r="AB1356" s="4"/>
      <c r="AC1356" s="4"/>
      <c r="AD1356" s="4"/>
      <c r="AE1356" s="4"/>
      <c r="AF1356" s="4"/>
      <c r="AG1356" s="4"/>
      <c r="AH1356" s="4"/>
      <c r="AI1356" s="4"/>
      <c r="AJ1356" s="4"/>
      <c r="AK1356" s="4"/>
      <c r="AL1356" s="4"/>
      <c r="AM1356" s="38"/>
      <c r="AN1356" s="4"/>
      <c r="AO1356" s="4"/>
      <c r="AP1356" s="4"/>
      <c r="AQ1356" s="4"/>
      <c r="AR1356" s="4"/>
      <c r="AS1356" s="4"/>
      <c r="AT1356" s="4"/>
      <c r="AU1356" s="4"/>
      <c r="AV1356" s="4"/>
      <c r="AW1356" s="4"/>
      <c r="AX1356" s="4"/>
      <c r="AY1356" s="4"/>
      <c r="AZ1356" s="4"/>
      <c r="BA1356" s="4"/>
      <c r="BB1356" s="4"/>
      <c r="BC1356" s="4"/>
      <c r="BD1356" s="4"/>
      <c r="BE1356" s="4"/>
      <c r="BF1356" s="4"/>
      <c r="BG1356" s="4"/>
      <c r="BH1356" s="4"/>
      <c r="BI1356" s="4"/>
      <c r="BJ1356" s="4"/>
      <c r="BK1356" s="4"/>
      <c r="BL1356" s="4"/>
      <c r="BM1356" s="4"/>
      <c r="BN1356" s="4"/>
      <c r="BO1356" s="4"/>
      <c r="BP1356" s="39"/>
      <c r="BQ1356" s="39"/>
    </row>
    <row r="1357" spans="3:69" ht="15.75" customHeight="1">
      <c r="C1357" s="4"/>
      <c r="D1357" s="4"/>
      <c r="E1357" s="38"/>
      <c r="F1357" s="38"/>
      <c r="G1357" s="4"/>
      <c r="H1357" s="4"/>
      <c r="I1357" s="4"/>
      <c r="J1357" s="4"/>
      <c r="K1357" s="4"/>
      <c r="L1357" s="4"/>
      <c r="M1357" s="4"/>
      <c r="N1357" s="38"/>
      <c r="O1357" s="4"/>
      <c r="P1357" s="4"/>
      <c r="Q1357" s="4"/>
      <c r="R1357" s="4"/>
      <c r="S1357" s="4"/>
      <c r="T1357" s="38"/>
      <c r="U1357" s="4"/>
      <c r="V1357" s="4"/>
      <c r="W1357" s="4"/>
      <c r="X1357" s="4"/>
      <c r="Y1357" s="4"/>
      <c r="Z1357" s="4"/>
      <c r="AA1357" s="4"/>
      <c r="AB1357" s="4"/>
      <c r="AC1357" s="4"/>
      <c r="AD1357" s="4"/>
      <c r="AE1357" s="4"/>
      <c r="AF1357" s="4"/>
      <c r="AG1357" s="4"/>
      <c r="AH1357" s="4"/>
      <c r="AI1357" s="4"/>
      <c r="AJ1357" s="4"/>
      <c r="AK1357" s="4"/>
      <c r="AL1357" s="4"/>
      <c r="AM1357" s="38"/>
      <c r="AN1357" s="4"/>
      <c r="AO1357" s="4"/>
      <c r="AP1357" s="4"/>
      <c r="AQ1357" s="4"/>
      <c r="AR1357" s="4"/>
      <c r="AS1357" s="4"/>
      <c r="AT1357" s="4"/>
      <c r="AU1357" s="4"/>
      <c r="AV1357" s="4"/>
      <c r="AW1357" s="4"/>
      <c r="AX1357" s="4"/>
      <c r="AY1357" s="4"/>
      <c r="AZ1357" s="4"/>
      <c r="BA1357" s="4"/>
      <c r="BB1357" s="4"/>
      <c r="BC1357" s="4"/>
      <c r="BD1357" s="4"/>
      <c r="BE1357" s="4"/>
      <c r="BF1357" s="4"/>
      <c r="BG1357" s="4"/>
      <c r="BH1357" s="4"/>
      <c r="BI1357" s="4"/>
      <c r="BJ1357" s="4"/>
      <c r="BK1357" s="4"/>
      <c r="BL1357" s="4"/>
      <c r="BM1357" s="4"/>
      <c r="BN1357" s="4"/>
      <c r="BO1357" s="4"/>
      <c r="BP1357" s="39"/>
      <c r="BQ1357" s="39"/>
    </row>
    <row r="1358" spans="3:69" ht="15.75" customHeight="1">
      <c r="C1358" s="4"/>
      <c r="D1358" s="4"/>
      <c r="E1358" s="38"/>
      <c r="F1358" s="38"/>
      <c r="G1358" s="4"/>
      <c r="H1358" s="4"/>
      <c r="I1358" s="4"/>
      <c r="J1358" s="4"/>
      <c r="K1358" s="4"/>
      <c r="L1358" s="4"/>
      <c r="M1358" s="4"/>
      <c r="N1358" s="38"/>
      <c r="O1358" s="4"/>
      <c r="P1358" s="4"/>
      <c r="Q1358" s="4"/>
      <c r="R1358" s="4"/>
      <c r="S1358" s="4"/>
      <c r="T1358" s="38"/>
      <c r="U1358" s="4"/>
      <c r="V1358" s="4"/>
      <c r="W1358" s="4"/>
      <c r="X1358" s="4"/>
      <c r="Y1358" s="4"/>
      <c r="Z1358" s="4"/>
      <c r="AA1358" s="4"/>
      <c r="AB1358" s="4"/>
      <c r="AC1358" s="4"/>
      <c r="AD1358" s="4"/>
      <c r="AE1358" s="4"/>
      <c r="AF1358" s="4"/>
      <c r="AG1358" s="4"/>
      <c r="AH1358" s="4"/>
      <c r="AI1358" s="4"/>
      <c r="AJ1358" s="4"/>
      <c r="AK1358" s="4"/>
      <c r="AL1358" s="4"/>
      <c r="AM1358" s="38"/>
      <c r="AN1358" s="4"/>
      <c r="AO1358" s="4"/>
      <c r="AP1358" s="4"/>
      <c r="AQ1358" s="4"/>
      <c r="AR1358" s="4"/>
      <c r="AS1358" s="4"/>
      <c r="AT1358" s="4"/>
      <c r="AU1358" s="4"/>
      <c r="AV1358" s="4"/>
      <c r="AW1358" s="4"/>
      <c r="AX1358" s="4"/>
      <c r="AY1358" s="4"/>
      <c r="AZ1358" s="4"/>
      <c r="BA1358" s="4"/>
      <c r="BB1358" s="4"/>
      <c r="BC1358" s="4"/>
      <c r="BD1358" s="4"/>
      <c r="BE1358" s="4"/>
      <c r="BF1358" s="4"/>
      <c r="BG1358" s="4"/>
      <c r="BH1358" s="4"/>
      <c r="BI1358" s="4"/>
      <c r="BJ1358" s="4"/>
      <c r="BK1358" s="4"/>
      <c r="BL1358" s="4"/>
      <c r="BM1358" s="4"/>
      <c r="BN1358" s="4"/>
      <c r="BO1358" s="4"/>
      <c r="BP1358" s="39"/>
      <c r="BQ1358" s="39"/>
    </row>
    <row r="1359" spans="3:69" ht="15.75" customHeight="1">
      <c r="C1359" s="4"/>
      <c r="D1359" s="4"/>
      <c r="E1359" s="38"/>
      <c r="F1359" s="38"/>
      <c r="G1359" s="4"/>
      <c r="H1359" s="4"/>
      <c r="I1359" s="4"/>
      <c r="J1359" s="4"/>
      <c r="K1359" s="4"/>
      <c r="L1359" s="4"/>
      <c r="M1359" s="4"/>
      <c r="N1359" s="38"/>
      <c r="O1359" s="4"/>
      <c r="P1359" s="4"/>
      <c r="Q1359" s="4"/>
      <c r="R1359" s="4"/>
      <c r="S1359" s="4"/>
      <c r="T1359" s="38"/>
      <c r="U1359" s="4"/>
      <c r="V1359" s="4"/>
      <c r="W1359" s="4"/>
      <c r="X1359" s="4"/>
      <c r="Y1359" s="4"/>
      <c r="Z1359" s="4"/>
      <c r="AA1359" s="4"/>
      <c r="AB1359" s="4"/>
      <c r="AC1359" s="4"/>
      <c r="AD1359" s="4"/>
      <c r="AE1359" s="4"/>
      <c r="AF1359" s="4"/>
      <c r="AG1359" s="4"/>
      <c r="AH1359" s="4"/>
      <c r="AI1359" s="4"/>
      <c r="AJ1359" s="4"/>
      <c r="AK1359" s="4"/>
      <c r="AL1359" s="4"/>
      <c r="AM1359" s="38"/>
      <c r="AN1359" s="4"/>
      <c r="AO1359" s="4"/>
      <c r="AP1359" s="4"/>
      <c r="AQ1359" s="4"/>
      <c r="AR1359" s="4"/>
      <c r="AS1359" s="4"/>
      <c r="AT1359" s="4"/>
      <c r="AU1359" s="4"/>
      <c r="AV1359" s="4"/>
      <c r="AW1359" s="4"/>
      <c r="AX1359" s="4"/>
      <c r="AY1359" s="4"/>
      <c r="AZ1359" s="4"/>
      <c r="BA1359" s="4"/>
      <c r="BB1359" s="4"/>
      <c r="BC1359" s="4"/>
      <c r="BD1359" s="4"/>
      <c r="BE1359" s="4"/>
      <c r="BF1359" s="4"/>
      <c r="BG1359" s="4"/>
      <c r="BH1359" s="4"/>
      <c r="BI1359" s="4"/>
      <c r="BJ1359" s="4"/>
      <c r="BK1359" s="4"/>
      <c r="BL1359" s="4"/>
      <c r="BM1359" s="4"/>
      <c r="BN1359" s="4"/>
      <c r="BO1359" s="4"/>
      <c r="BP1359" s="39"/>
      <c r="BQ1359" s="39"/>
    </row>
    <row r="1360" spans="3:69" ht="15.75" customHeight="1">
      <c r="C1360" s="4"/>
      <c r="D1360" s="4"/>
      <c r="E1360" s="38"/>
      <c r="F1360" s="38"/>
      <c r="G1360" s="4"/>
      <c r="H1360" s="4"/>
      <c r="I1360" s="4"/>
      <c r="J1360" s="4"/>
      <c r="K1360" s="4"/>
      <c r="L1360" s="4"/>
      <c r="M1360" s="4"/>
      <c r="N1360" s="38"/>
      <c r="O1360" s="4"/>
      <c r="P1360" s="4"/>
      <c r="Q1360" s="4"/>
      <c r="R1360" s="4"/>
      <c r="S1360" s="4"/>
      <c r="T1360" s="38"/>
      <c r="U1360" s="4"/>
      <c r="V1360" s="4"/>
      <c r="W1360" s="4"/>
      <c r="X1360" s="4"/>
      <c r="Y1360" s="4"/>
      <c r="Z1360" s="4"/>
      <c r="AA1360" s="4"/>
      <c r="AB1360" s="4"/>
      <c r="AC1360" s="4"/>
      <c r="AD1360" s="4"/>
      <c r="AE1360" s="4"/>
      <c r="AF1360" s="4"/>
      <c r="AG1360" s="4"/>
      <c r="AH1360" s="4"/>
      <c r="AI1360" s="4"/>
      <c r="AJ1360" s="4"/>
      <c r="AK1360" s="4"/>
      <c r="AL1360" s="4"/>
      <c r="AM1360" s="38"/>
      <c r="AN1360" s="4"/>
      <c r="AO1360" s="4"/>
      <c r="AP1360" s="4"/>
      <c r="AQ1360" s="4"/>
      <c r="AR1360" s="4"/>
      <c r="AS1360" s="4"/>
      <c r="AT1360" s="4"/>
      <c r="AU1360" s="4"/>
      <c r="AV1360" s="4"/>
      <c r="AW1360" s="4"/>
      <c r="AX1360" s="4"/>
      <c r="AY1360" s="4"/>
      <c r="AZ1360" s="4"/>
      <c r="BA1360" s="4"/>
      <c r="BB1360" s="4"/>
      <c r="BC1360" s="4"/>
      <c r="BD1360" s="4"/>
      <c r="BE1360" s="4"/>
      <c r="BF1360" s="4"/>
      <c r="BG1360" s="4"/>
      <c r="BH1360" s="4"/>
      <c r="BI1360" s="4"/>
      <c r="BJ1360" s="4"/>
      <c r="BK1360" s="4"/>
      <c r="BL1360" s="4"/>
      <c r="BM1360" s="4"/>
      <c r="BN1360" s="4"/>
      <c r="BO1360" s="4"/>
      <c r="BP1360" s="39"/>
      <c r="BQ1360" s="39"/>
    </row>
    <row r="1361" spans="3:69" ht="15.75" customHeight="1">
      <c r="C1361" s="4"/>
      <c r="D1361" s="4"/>
      <c r="E1361" s="38"/>
      <c r="F1361" s="38"/>
      <c r="G1361" s="4"/>
      <c r="H1361" s="4"/>
      <c r="I1361" s="4"/>
      <c r="J1361" s="4"/>
      <c r="K1361" s="4"/>
      <c r="L1361" s="4"/>
      <c r="M1361" s="4"/>
      <c r="N1361" s="38"/>
      <c r="O1361" s="4"/>
      <c r="P1361" s="4"/>
      <c r="Q1361" s="4"/>
      <c r="R1361" s="4"/>
      <c r="S1361" s="4"/>
      <c r="T1361" s="38"/>
      <c r="U1361" s="4"/>
      <c r="V1361" s="4"/>
      <c r="W1361" s="4"/>
      <c r="X1361" s="4"/>
      <c r="Y1361" s="4"/>
      <c r="Z1361" s="4"/>
      <c r="AA1361" s="4"/>
      <c r="AB1361" s="4"/>
      <c r="AC1361" s="4"/>
      <c r="AD1361" s="4"/>
      <c r="AE1361" s="4"/>
      <c r="AF1361" s="4"/>
      <c r="AG1361" s="4"/>
      <c r="AH1361" s="4"/>
      <c r="AI1361" s="4"/>
      <c r="AJ1361" s="4"/>
      <c r="AK1361" s="4"/>
      <c r="AL1361" s="4"/>
      <c r="AM1361" s="38"/>
      <c r="AN1361" s="4"/>
      <c r="AO1361" s="4"/>
      <c r="AP1361" s="4"/>
      <c r="AQ1361" s="4"/>
      <c r="AR1361" s="4"/>
      <c r="AS1361" s="4"/>
      <c r="AT1361" s="4"/>
      <c r="AU1361" s="4"/>
      <c r="AV1361" s="4"/>
      <c r="AW1361" s="4"/>
      <c r="AX1361" s="4"/>
      <c r="AY1361" s="4"/>
      <c r="AZ1361" s="4"/>
      <c r="BA1361" s="4"/>
      <c r="BB1361" s="4"/>
      <c r="BC1361" s="4"/>
      <c r="BD1361" s="4"/>
      <c r="BE1361" s="4"/>
      <c r="BF1361" s="4"/>
      <c r="BG1361" s="4"/>
      <c r="BH1361" s="4"/>
      <c r="BI1361" s="4"/>
      <c r="BJ1361" s="4"/>
      <c r="BK1361" s="4"/>
      <c r="BL1361" s="4"/>
      <c r="BM1361" s="4"/>
      <c r="BN1361" s="4"/>
      <c r="BO1361" s="4"/>
      <c r="BP1361" s="39"/>
      <c r="BQ1361" s="39"/>
    </row>
    <row r="1362" spans="3:69" ht="15.75" customHeight="1">
      <c r="C1362" s="4"/>
      <c r="D1362" s="4"/>
      <c r="E1362" s="38"/>
      <c r="F1362" s="38"/>
      <c r="G1362" s="4"/>
      <c r="H1362" s="4"/>
      <c r="I1362" s="4"/>
      <c r="J1362" s="4"/>
      <c r="K1362" s="4"/>
      <c r="L1362" s="4"/>
      <c r="M1362" s="4"/>
      <c r="N1362" s="38"/>
      <c r="O1362" s="4"/>
      <c r="P1362" s="4"/>
      <c r="Q1362" s="4"/>
      <c r="R1362" s="4"/>
      <c r="S1362" s="4"/>
      <c r="T1362" s="38"/>
      <c r="U1362" s="4"/>
      <c r="V1362" s="4"/>
      <c r="W1362" s="4"/>
      <c r="X1362" s="4"/>
      <c r="Y1362" s="4"/>
      <c r="Z1362" s="4"/>
      <c r="AA1362" s="4"/>
      <c r="AB1362" s="4"/>
      <c r="AC1362" s="4"/>
      <c r="AD1362" s="4"/>
      <c r="AE1362" s="4"/>
      <c r="AF1362" s="4"/>
      <c r="AG1362" s="4"/>
      <c r="AH1362" s="4"/>
      <c r="AI1362" s="4"/>
      <c r="AJ1362" s="4"/>
      <c r="AK1362" s="4"/>
      <c r="AL1362" s="4"/>
      <c r="AM1362" s="38"/>
      <c r="AN1362" s="4"/>
      <c r="AO1362" s="4"/>
      <c r="AP1362" s="4"/>
      <c r="AQ1362" s="4"/>
      <c r="AR1362" s="4"/>
      <c r="AS1362" s="4"/>
      <c r="AT1362" s="4"/>
      <c r="AU1362" s="4"/>
      <c r="AV1362" s="4"/>
      <c r="AW1362" s="4"/>
      <c r="AX1362" s="4"/>
      <c r="AY1362" s="4"/>
      <c r="AZ1362" s="4"/>
      <c r="BA1362" s="4"/>
      <c r="BB1362" s="4"/>
      <c r="BC1362" s="4"/>
      <c r="BD1362" s="4"/>
      <c r="BE1362" s="4"/>
      <c r="BF1362" s="4"/>
      <c r="BG1362" s="4"/>
      <c r="BH1362" s="4"/>
      <c r="BI1362" s="4"/>
      <c r="BJ1362" s="4"/>
      <c r="BK1362" s="4"/>
      <c r="BL1362" s="4"/>
      <c r="BM1362" s="4"/>
      <c r="BN1362" s="4"/>
      <c r="BO1362" s="4"/>
      <c r="BP1362" s="39"/>
      <c r="BQ1362" s="39"/>
    </row>
    <row r="1363" spans="3:69" ht="15.75" customHeight="1">
      <c r="C1363" s="4"/>
      <c r="D1363" s="4"/>
      <c r="E1363" s="38"/>
      <c r="F1363" s="38"/>
      <c r="G1363" s="4"/>
      <c r="H1363" s="4"/>
      <c r="I1363" s="4"/>
      <c r="J1363" s="4"/>
      <c r="K1363" s="4"/>
      <c r="L1363" s="4"/>
      <c r="M1363" s="4"/>
      <c r="N1363" s="38"/>
      <c r="O1363" s="4"/>
      <c r="P1363" s="4"/>
      <c r="Q1363" s="4"/>
      <c r="R1363" s="4"/>
      <c r="S1363" s="4"/>
      <c r="T1363" s="38"/>
      <c r="U1363" s="4"/>
      <c r="V1363" s="4"/>
      <c r="W1363" s="4"/>
      <c r="X1363" s="4"/>
      <c r="Y1363" s="4"/>
      <c r="Z1363" s="4"/>
      <c r="AA1363" s="4"/>
      <c r="AB1363" s="4"/>
      <c r="AC1363" s="4"/>
      <c r="AD1363" s="4"/>
      <c r="AE1363" s="4"/>
      <c r="AF1363" s="4"/>
      <c r="AG1363" s="4"/>
      <c r="AH1363" s="4"/>
      <c r="AI1363" s="4"/>
      <c r="AJ1363" s="4"/>
      <c r="AK1363" s="4"/>
      <c r="AL1363" s="4"/>
      <c r="AM1363" s="38"/>
      <c r="AN1363" s="4"/>
      <c r="AO1363" s="4"/>
      <c r="AP1363" s="4"/>
      <c r="AQ1363" s="4"/>
      <c r="AR1363" s="4"/>
      <c r="AS1363" s="4"/>
      <c r="AT1363" s="4"/>
      <c r="AU1363" s="4"/>
      <c r="AV1363" s="4"/>
      <c r="AW1363" s="4"/>
      <c r="AX1363" s="4"/>
      <c r="AY1363" s="4"/>
      <c r="AZ1363" s="4"/>
      <c r="BA1363" s="4"/>
      <c r="BB1363" s="4"/>
      <c r="BC1363" s="4"/>
      <c r="BD1363" s="4"/>
      <c r="BE1363" s="4"/>
      <c r="BF1363" s="4"/>
      <c r="BG1363" s="4"/>
      <c r="BH1363" s="4"/>
      <c r="BI1363" s="4"/>
      <c r="BJ1363" s="4"/>
      <c r="BK1363" s="4"/>
      <c r="BL1363" s="4"/>
      <c r="BM1363" s="4"/>
      <c r="BN1363" s="4"/>
      <c r="BO1363" s="4"/>
      <c r="BP1363" s="39"/>
      <c r="BQ1363" s="39"/>
    </row>
    <row r="1364" spans="3:69" ht="15.75" customHeight="1">
      <c r="C1364" s="4"/>
      <c r="D1364" s="4"/>
      <c r="E1364" s="38"/>
      <c r="F1364" s="38"/>
      <c r="G1364" s="4"/>
      <c r="H1364" s="4"/>
      <c r="I1364" s="4"/>
      <c r="J1364" s="4"/>
      <c r="K1364" s="4"/>
      <c r="L1364" s="4"/>
      <c r="M1364" s="4"/>
      <c r="N1364" s="38"/>
      <c r="O1364" s="4"/>
      <c r="P1364" s="4"/>
      <c r="Q1364" s="4"/>
      <c r="R1364" s="4"/>
      <c r="S1364" s="4"/>
      <c r="T1364" s="38"/>
      <c r="U1364" s="4"/>
      <c r="V1364" s="4"/>
      <c r="W1364" s="4"/>
      <c r="X1364" s="4"/>
      <c r="Y1364" s="4"/>
      <c r="Z1364" s="4"/>
      <c r="AA1364" s="4"/>
      <c r="AB1364" s="4"/>
      <c r="AC1364" s="4"/>
      <c r="AD1364" s="4"/>
      <c r="AE1364" s="4"/>
      <c r="AF1364" s="4"/>
      <c r="AG1364" s="4"/>
      <c r="AH1364" s="4"/>
      <c r="AI1364" s="4"/>
      <c r="AJ1364" s="4"/>
      <c r="AK1364" s="4"/>
      <c r="AL1364" s="4"/>
      <c r="AM1364" s="38"/>
      <c r="AN1364" s="4"/>
      <c r="AO1364" s="4"/>
      <c r="AP1364" s="4"/>
      <c r="AQ1364" s="4"/>
      <c r="AR1364" s="4"/>
      <c r="AS1364" s="4"/>
      <c r="AT1364" s="4"/>
      <c r="AU1364" s="4"/>
      <c r="AV1364" s="4"/>
      <c r="AW1364" s="4"/>
      <c r="AX1364" s="4"/>
      <c r="AY1364" s="4"/>
      <c r="AZ1364" s="4"/>
      <c r="BA1364" s="4"/>
      <c r="BB1364" s="4"/>
      <c r="BC1364" s="4"/>
      <c r="BD1364" s="4"/>
      <c r="BE1364" s="4"/>
      <c r="BF1364" s="4"/>
      <c r="BG1364" s="4"/>
      <c r="BH1364" s="4"/>
      <c r="BI1364" s="4"/>
      <c r="BJ1364" s="4"/>
      <c r="BK1364" s="4"/>
      <c r="BL1364" s="4"/>
      <c r="BM1364" s="4"/>
      <c r="BN1364" s="4"/>
      <c r="BO1364" s="4"/>
      <c r="BP1364" s="39"/>
      <c r="BQ1364" s="39"/>
    </row>
    <row r="1365" spans="3:69" ht="15.75" customHeight="1">
      <c r="C1365" s="4"/>
      <c r="D1365" s="4"/>
      <c r="E1365" s="38"/>
      <c r="F1365" s="38"/>
      <c r="G1365" s="4"/>
      <c r="H1365" s="4"/>
      <c r="I1365" s="4"/>
      <c r="J1365" s="4"/>
      <c r="K1365" s="4"/>
      <c r="L1365" s="4"/>
      <c r="M1365" s="4"/>
      <c r="N1365" s="38"/>
      <c r="O1365" s="4"/>
      <c r="P1365" s="4"/>
      <c r="Q1365" s="4"/>
      <c r="R1365" s="4"/>
      <c r="S1365" s="4"/>
      <c r="T1365" s="38"/>
      <c r="U1365" s="4"/>
      <c r="V1365" s="4"/>
      <c r="W1365" s="4"/>
      <c r="X1365" s="4"/>
      <c r="Y1365" s="4"/>
      <c r="Z1365" s="4"/>
      <c r="AA1365" s="4"/>
      <c r="AB1365" s="4"/>
      <c r="AC1365" s="4"/>
      <c r="AD1365" s="4"/>
      <c r="AE1365" s="4"/>
      <c r="AF1365" s="4"/>
      <c r="AG1365" s="4"/>
      <c r="AH1365" s="4"/>
      <c r="AI1365" s="4"/>
      <c r="AJ1365" s="4"/>
      <c r="AK1365" s="4"/>
      <c r="AL1365" s="4"/>
      <c r="AM1365" s="38"/>
      <c r="AN1365" s="4"/>
      <c r="AO1365" s="4"/>
      <c r="AP1365" s="4"/>
      <c r="AQ1365" s="4"/>
      <c r="AR1365" s="4"/>
      <c r="AS1365" s="4"/>
      <c r="AT1365" s="4"/>
      <c r="AU1365" s="4"/>
      <c r="AV1365" s="4"/>
      <c r="AW1365" s="4"/>
      <c r="AX1365" s="4"/>
      <c r="AY1365" s="4"/>
      <c r="AZ1365" s="4"/>
      <c r="BA1365" s="4"/>
      <c r="BB1365" s="4"/>
      <c r="BC1365" s="4"/>
      <c r="BD1365" s="4"/>
      <c r="BE1365" s="4"/>
      <c r="BF1365" s="4"/>
      <c r="BG1365" s="4"/>
      <c r="BH1365" s="4"/>
      <c r="BI1365" s="4"/>
      <c r="BJ1365" s="4"/>
      <c r="BK1365" s="4"/>
      <c r="BL1365" s="4"/>
      <c r="BM1365" s="4"/>
      <c r="BN1365" s="4"/>
      <c r="BO1365" s="4"/>
      <c r="BP1365" s="39"/>
      <c r="BQ1365" s="39"/>
    </row>
    <row r="1366" spans="3:69" ht="15.75" customHeight="1">
      <c r="C1366" s="4"/>
      <c r="D1366" s="4"/>
      <c r="E1366" s="38"/>
      <c r="F1366" s="38"/>
      <c r="G1366" s="4"/>
      <c r="H1366" s="4"/>
      <c r="I1366" s="4"/>
      <c r="J1366" s="4"/>
      <c r="K1366" s="4"/>
      <c r="L1366" s="4"/>
      <c r="M1366" s="4"/>
      <c r="N1366" s="38"/>
      <c r="O1366" s="4"/>
      <c r="P1366" s="4"/>
      <c r="Q1366" s="4"/>
      <c r="R1366" s="4"/>
      <c r="S1366" s="4"/>
      <c r="T1366" s="38"/>
      <c r="U1366" s="4"/>
      <c r="V1366" s="4"/>
      <c r="W1366" s="4"/>
      <c r="X1366" s="4"/>
      <c r="Y1366" s="4"/>
      <c r="Z1366" s="4"/>
      <c r="AA1366" s="4"/>
      <c r="AB1366" s="4"/>
      <c r="AC1366" s="4"/>
      <c r="AD1366" s="4"/>
      <c r="AE1366" s="4"/>
      <c r="AF1366" s="4"/>
      <c r="AG1366" s="4"/>
      <c r="AH1366" s="4"/>
      <c r="AI1366" s="4"/>
      <c r="AJ1366" s="4"/>
      <c r="AK1366" s="4"/>
      <c r="AL1366" s="4"/>
      <c r="AM1366" s="38"/>
      <c r="AN1366" s="4"/>
      <c r="AO1366" s="4"/>
      <c r="AP1366" s="4"/>
      <c r="AQ1366" s="4"/>
      <c r="AR1366" s="4"/>
      <c r="AS1366" s="4"/>
      <c r="AT1366" s="4"/>
      <c r="AU1366" s="4"/>
      <c r="AV1366" s="4"/>
      <c r="AW1366" s="4"/>
      <c r="AX1366" s="4"/>
      <c r="AY1366" s="4"/>
      <c r="AZ1366" s="4"/>
      <c r="BA1366" s="4"/>
      <c r="BB1366" s="4"/>
      <c r="BC1366" s="4"/>
      <c r="BD1366" s="4"/>
      <c r="BE1366" s="4"/>
      <c r="BF1366" s="4"/>
      <c r="BG1366" s="4"/>
      <c r="BH1366" s="4"/>
      <c r="BI1366" s="4"/>
      <c r="BJ1366" s="4"/>
      <c r="BK1366" s="4"/>
      <c r="BL1366" s="4"/>
      <c r="BM1366" s="4"/>
      <c r="BN1366" s="4"/>
      <c r="BO1366" s="4"/>
      <c r="BP1366" s="39"/>
      <c r="BQ1366" s="39"/>
    </row>
    <row r="1367" spans="3:69" ht="15.75" customHeight="1">
      <c r="C1367" s="4"/>
      <c r="D1367" s="4"/>
      <c r="E1367" s="38"/>
      <c r="F1367" s="38"/>
      <c r="G1367" s="4"/>
      <c r="H1367" s="4"/>
      <c r="I1367" s="4"/>
      <c r="J1367" s="4"/>
      <c r="K1367" s="4"/>
      <c r="L1367" s="4"/>
      <c r="M1367" s="4"/>
      <c r="N1367" s="38"/>
      <c r="O1367" s="4"/>
      <c r="P1367" s="4"/>
      <c r="Q1367" s="4"/>
      <c r="R1367" s="4"/>
      <c r="S1367" s="4"/>
      <c r="T1367" s="38"/>
      <c r="U1367" s="4"/>
      <c r="V1367" s="4"/>
      <c r="W1367" s="4"/>
      <c r="X1367" s="4"/>
      <c r="Y1367" s="4"/>
      <c r="Z1367" s="4"/>
      <c r="AA1367" s="4"/>
      <c r="AB1367" s="4"/>
      <c r="AC1367" s="4"/>
      <c r="AD1367" s="4"/>
      <c r="AE1367" s="4"/>
      <c r="AF1367" s="4"/>
      <c r="AG1367" s="4"/>
      <c r="AH1367" s="4"/>
      <c r="AI1367" s="4"/>
      <c r="AJ1367" s="4"/>
      <c r="AK1367" s="4"/>
      <c r="AL1367" s="4"/>
      <c r="AM1367" s="38"/>
      <c r="AN1367" s="4"/>
      <c r="AO1367" s="4"/>
      <c r="AP1367" s="4"/>
      <c r="AQ1367" s="4"/>
      <c r="AR1367" s="4"/>
      <c r="AS1367" s="4"/>
      <c r="AT1367" s="4"/>
      <c r="AU1367" s="4"/>
      <c r="AV1367" s="4"/>
      <c r="AW1367" s="4"/>
      <c r="AX1367" s="4"/>
      <c r="AY1367" s="4"/>
      <c r="AZ1367" s="4"/>
      <c r="BA1367" s="4"/>
      <c r="BB1367" s="4"/>
      <c r="BC1367" s="4"/>
      <c r="BD1367" s="4"/>
      <c r="BE1367" s="4"/>
      <c r="BF1367" s="4"/>
      <c r="BG1367" s="4"/>
      <c r="BH1367" s="4"/>
      <c r="BI1367" s="4"/>
      <c r="BJ1367" s="4"/>
      <c r="BK1367" s="4"/>
      <c r="BL1367" s="4"/>
      <c r="BM1367" s="4"/>
      <c r="BN1367" s="4"/>
      <c r="BO1367" s="4"/>
      <c r="BP1367" s="39"/>
      <c r="BQ1367" s="39"/>
    </row>
    <row r="1368" spans="3:69" ht="15.75" customHeight="1">
      <c r="C1368" s="4"/>
      <c r="D1368" s="4"/>
      <c r="E1368" s="38"/>
      <c r="F1368" s="38"/>
      <c r="G1368" s="4"/>
      <c r="H1368" s="4"/>
      <c r="I1368" s="4"/>
      <c r="J1368" s="4"/>
      <c r="K1368" s="4"/>
      <c r="L1368" s="4"/>
      <c r="M1368" s="4"/>
      <c r="N1368" s="38"/>
      <c r="O1368" s="4"/>
      <c r="P1368" s="4"/>
      <c r="Q1368" s="4"/>
      <c r="R1368" s="4"/>
      <c r="S1368" s="4"/>
      <c r="T1368" s="38"/>
      <c r="U1368" s="4"/>
      <c r="V1368" s="4"/>
      <c r="W1368" s="4"/>
      <c r="X1368" s="4"/>
      <c r="Y1368" s="4"/>
      <c r="Z1368" s="4"/>
      <c r="AA1368" s="4"/>
      <c r="AB1368" s="4"/>
      <c r="AC1368" s="4"/>
      <c r="AD1368" s="4"/>
      <c r="AE1368" s="4"/>
      <c r="AF1368" s="4"/>
      <c r="AG1368" s="4"/>
      <c r="AH1368" s="4"/>
      <c r="AI1368" s="4"/>
      <c r="AJ1368" s="4"/>
      <c r="AK1368" s="4"/>
      <c r="AL1368" s="4"/>
      <c r="AM1368" s="38"/>
      <c r="AN1368" s="4"/>
      <c r="AO1368" s="4"/>
      <c r="AP1368" s="4"/>
      <c r="AQ1368" s="4"/>
      <c r="AR1368" s="4"/>
      <c r="AS1368" s="4"/>
      <c r="AT1368" s="4"/>
      <c r="AU1368" s="4"/>
      <c r="AV1368" s="4"/>
      <c r="AW1368" s="4"/>
      <c r="AX1368" s="4"/>
      <c r="AY1368" s="4"/>
      <c r="AZ1368" s="4"/>
      <c r="BA1368" s="4"/>
      <c r="BB1368" s="4"/>
      <c r="BC1368" s="4"/>
      <c r="BD1368" s="4"/>
      <c r="BE1368" s="4"/>
      <c r="BF1368" s="4"/>
      <c r="BG1368" s="4"/>
      <c r="BH1368" s="4"/>
      <c r="BI1368" s="4"/>
      <c r="BJ1368" s="4"/>
      <c r="BK1368" s="4"/>
      <c r="BL1368" s="4"/>
      <c r="BM1368" s="4"/>
      <c r="BN1368" s="4"/>
      <c r="BO1368" s="4"/>
      <c r="BP1368" s="39"/>
      <c r="BQ1368" s="39"/>
    </row>
    <row r="1369" spans="3:69" ht="15.75" customHeight="1">
      <c r="C1369" s="4"/>
      <c r="D1369" s="4"/>
      <c r="E1369" s="38"/>
      <c r="F1369" s="38"/>
      <c r="G1369" s="4"/>
      <c r="H1369" s="4"/>
      <c r="I1369" s="4"/>
      <c r="J1369" s="4"/>
      <c r="K1369" s="4"/>
      <c r="L1369" s="4"/>
      <c r="M1369" s="4"/>
      <c r="N1369" s="38"/>
      <c r="O1369" s="4"/>
      <c r="P1369" s="4"/>
      <c r="Q1369" s="4"/>
      <c r="R1369" s="4"/>
      <c r="S1369" s="4"/>
      <c r="T1369" s="38"/>
      <c r="U1369" s="4"/>
      <c r="V1369" s="4"/>
      <c r="W1369" s="4"/>
      <c r="X1369" s="4"/>
      <c r="Y1369" s="4"/>
      <c r="Z1369" s="4"/>
      <c r="AA1369" s="4"/>
      <c r="AB1369" s="4"/>
      <c r="AC1369" s="4"/>
      <c r="AD1369" s="4"/>
      <c r="AE1369" s="4"/>
      <c r="AF1369" s="4"/>
      <c r="AG1369" s="4"/>
      <c r="AH1369" s="4"/>
      <c r="AI1369" s="4"/>
      <c r="AJ1369" s="4"/>
      <c r="AK1369" s="4"/>
      <c r="AL1369" s="4"/>
      <c r="AM1369" s="38"/>
      <c r="AN1369" s="4"/>
      <c r="AO1369" s="4"/>
      <c r="AP1369" s="4"/>
      <c r="AQ1369" s="4"/>
      <c r="AR1369" s="4"/>
      <c r="AS1369" s="4"/>
      <c r="AT1369" s="4"/>
      <c r="AU1369" s="4"/>
      <c r="AV1369" s="4"/>
      <c r="AW1369" s="4"/>
      <c r="AX1369" s="4"/>
      <c r="AY1369" s="4"/>
      <c r="AZ1369" s="4"/>
      <c r="BA1369" s="4"/>
      <c r="BB1369" s="4"/>
      <c r="BC1369" s="4"/>
      <c r="BD1369" s="4"/>
      <c r="BE1369" s="4"/>
      <c r="BF1369" s="4"/>
      <c r="BG1369" s="4"/>
      <c r="BH1369" s="4"/>
      <c r="BI1369" s="4"/>
      <c r="BJ1369" s="4"/>
      <c r="BK1369" s="4"/>
      <c r="BL1369" s="4"/>
      <c r="BM1369" s="4"/>
      <c r="BN1369" s="4"/>
      <c r="BO1369" s="4"/>
      <c r="BP1369" s="39"/>
      <c r="BQ1369" s="39"/>
    </row>
    <row r="1370" spans="3:69" ht="15.75" customHeight="1">
      <c r="C1370" s="4"/>
      <c r="D1370" s="4"/>
      <c r="E1370" s="38"/>
      <c r="F1370" s="38"/>
      <c r="G1370" s="4"/>
      <c r="H1370" s="4"/>
      <c r="I1370" s="4"/>
      <c r="J1370" s="4"/>
      <c r="K1370" s="4"/>
      <c r="L1370" s="4"/>
      <c r="M1370" s="4"/>
      <c r="N1370" s="38"/>
      <c r="O1370" s="4"/>
      <c r="P1370" s="4"/>
      <c r="Q1370" s="4"/>
      <c r="R1370" s="4"/>
      <c r="S1370" s="4"/>
      <c r="T1370" s="38"/>
      <c r="U1370" s="4"/>
      <c r="V1370" s="4"/>
      <c r="W1370" s="4"/>
      <c r="X1370" s="4"/>
      <c r="Y1370" s="4"/>
      <c r="Z1370" s="4"/>
      <c r="AA1370" s="4"/>
      <c r="AB1370" s="4"/>
      <c r="AC1370" s="4"/>
      <c r="AD1370" s="4"/>
      <c r="AE1370" s="4"/>
      <c r="AF1370" s="4"/>
      <c r="AG1370" s="4"/>
      <c r="AH1370" s="4"/>
      <c r="AI1370" s="4"/>
      <c r="AJ1370" s="4"/>
      <c r="AK1370" s="4"/>
      <c r="AL1370" s="4"/>
      <c r="AM1370" s="38"/>
      <c r="AN1370" s="4"/>
      <c r="AO1370" s="4"/>
      <c r="AP1370" s="4"/>
      <c r="AQ1370" s="4"/>
      <c r="AR1370" s="4"/>
      <c r="AS1370" s="4"/>
      <c r="AT1370" s="4"/>
      <c r="AU1370" s="4"/>
      <c r="AV1370" s="4"/>
      <c r="AW1370" s="4"/>
      <c r="AX1370" s="4"/>
      <c r="AY1370" s="4"/>
      <c r="AZ1370" s="4"/>
      <c r="BA1370" s="4"/>
      <c r="BB1370" s="4"/>
      <c r="BC1370" s="4"/>
      <c r="BD1370" s="4"/>
      <c r="BE1370" s="4"/>
      <c r="BF1370" s="4"/>
      <c r="BG1370" s="4"/>
      <c r="BH1370" s="4"/>
      <c r="BI1370" s="4"/>
      <c r="BJ1370" s="4"/>
      <c r="BK1370" s="4"/>
      <c r="BL1370" s="4"/>
      <c r="BM1370" s="4"/>
      <c r="BN1370" s="4"/>
      <c r="BO1370" s="4"/>
      <c r="BP1370" s="39"/>
      <c r="BQ1370" s="39"/>
    </row>
    <row r="1371" spans="3:69" ht="15.75" customHeight="1">
      <c r="C1371" s="4"/>
      <c r="D1371" s="4"/>
      <c r="E1371" s="38"/>
      <c r="F1371" s="38"/>
      <c r="G1371" s="4"/>
      <c r="H1371" s="4"/>
      <c r="I1371" s="4"/>
      <c r="J1371" s="4"/>
      <c r="K1371" s="4"/>
      <c r="L1371" s="4"/>
      <c r="M1371" s="4"/>
      <c r="N1371" s="38"/>
      <c r="O1371" s="4"/>
      <c r="P1371" s="4"/>
      <c r="Q1371" s="4"/>
      <c r="R1371" s="4"/>
      <c r="S1371" s="4"/>
      <c r="T1371" s="38"/>
      <c r="U1371" s="4"/>
      <c r="V1371" s="4"/>
      <c r="W1371" s="4"/>
      <c r="X1371" s="4"/>
      <c r="Y1371" s="4"/>
      <c r="Z1371" s="4"/>
      <c r="AA1371" s="4"/>
      <c r="AB1371" s="4"/>
      <c r="AC1371" s="4"/>
      <c r="AD1371" s="4"/>
      <c r="AE1371" s="4"/>
      <c r="AF1371" s="4"/>
      <c r="AG1371" s="4"/>
      <c r="AH1371" s="4"/>
      <c r="AI1371" s="4"/>
      <c r="AJ1371" s="4"/>
      <c r="AK1371" s="4"/>
      <c r="AL1371" s="4"/>
      <c r="AM1371" s="38"/>
      <c r="AN1371" s="4"/>
      <c r="AO1371" s="4"/>
      <c r="AP1371" s="4"/>
      <c r="AQ1371" s="4"/>
      <c r="AR1371" s="4"/>
      <c r="AS1371" s="4"/>
      <c r="AT1371" s="4"/>
      <c r="AU1371" s="4"/>
      <c r="AV1371" s="4"/>
      <c r="AW1371" s="4"/>
      <c r="AX1371" s="4"/>
      <c r="AY1371" s="4"/>
      <c r="AZ1371" s="4"/>
      <c r="BA1371" s="4"/>
      <c r="BB1371" s="4"/>
      <c r="BC1371" s="4"/>
      <c r="BD1371" s="4"/>
      <c r="BE1371" s="4"/>
      <c r="BF1371" s="4"/>
      <c r="BG1371" s="4"/>
      <c r="BH1371" s="4"/>
      <c r="BI1371" s="4"/>
      <c r="BJ1371" s="4"/>
      <c r="BK1371" s="4"/>
      <c r="BL1371" s="4"/>
      <c r="BM1371" s="4"/>
      <c r="BN1371" s="4"/>
      <c r="BO1371" s="4"/>
      <c r="BP1371" s="39"/>
      <c r="BQ1371" s="39"/>
    </row>
    <row r="1372" spans="3:69" ht="15.75" customHeight="1">
      <c r="C1372" s="4"/>
      <c r="D1372" s="4"/>
      <c r="E1372" s="38"/>
      <c r="F1372" s="38"/>
      <c r="G1372" s="4"/>
      <c r="H1372" s="4"/>
      <c r="I1372" s="4"/>
      <c r="J1372" s="4"/>
      <c r="K1372" s="4"/>
      <c r="L1372" s="4"/>
      <c r="M1372" s="4"/>
      <c r="N1372" s="38"/>
      <c r="O1372" s="4"/>
      <c r="P1372" s="4"/>
      <c r="Q1372" s="4"/>
      <c r="R1372" s="4"/>
      <c r="S1372" s="4"/>
      <c r="T1372" s="38"/>
      <c r="U1372" s="4"/>
      <c r="V1372" s="4"/>
      <c r="W1372" s="4"/>
      <c r="X1372" s="4"/>
      <c r="Y1372" s="4"/>
      <c r="Z1372" s="4"/>
      <c r="AA1372" s="4"/>
      <c r="AB1372" s="4"/>
      <c r="AC1372" s="4"/>
      <c r="AD1372" s="4"/>
      <c r="AE1372" s="4"/>
      <c r="AF1372" s="4"/>
      <c r="AG1372" s="4"/>
      <c r="AH1372" s="4"/>
      <c r="AI1372" s="4"/>
      <c r="AJ1372" s="4"/>
      <c r="AK1372" s="4"/>
      <c r="AL1372" s="4"/>
      <c r="AM1372" s="38"/>
      <c r="AN1372" s="4"/>
      <c r="AO1372" s="4"/>
      <c r="AP1372" s="4"/>
      <c r="AQ1372" s="4"/>
      <c r="AR1372" s="4"/>
      <c r="AS1372" s="4"/>
      <c r="AT1372" s="4"/>
      <c r="AU1372" s="4"/>
      <c r="AV1372" s="4"/>
      <c r="AW1372" s="4"/>
      <c r="AX1372" s="4"/>
      <c r="AY1372" s="4"/>
      <c r="AZ1372" s="4"/>
      <c r="BA1372" s="4"/>
      <c r="BB1372" s="4"/>
      <c r="BC1372" s="4"/>
      <c r="BD1372" s="4"/>
      <c r="BE1372" s="4"/>
      <c r="BF1372" s="4"/>
      <c r="BG1372" s="4"/>
      <c r="BH1372" s="4"/>
      <c r="BI1372" s="4"/>
      <c r="BJ1372" s="4"/>
      <c r="BK1372" s="4"/>
      <c r="BL1372" s="4"/>
      <c r="BM1372" s="4"/>
      <c r="BN1372" s="4"/>
      <c r="BO1372" s="4"/>
      <c r="BP1372" s="39"/>
      <c r="BQ1372" s="39"/>
    </row>
    <row r="1373" spans="3:69" ht="15.75" customHeight="1">
      <c r="C1373" s="4"/>
      <c r="D1373" s="4"/>
      <c r="E1373" s="38"/>
      <c r="F1373" s="38"/>
      <c r="G1373" s="4"/>
      <c r="H1373" s="4"/>
      <c r="I1373" s="4"/>
      <c r="J1373" s="4"/>
      <c r="K1373" s="4"/>
      <c r="L1373" s="4"/>
      <c r="M1373" s="4"/>
      <c r="N1373" s="38"/>
      <c r="O1373" s="4"/>
      <c r="P1373" s="4"/>
      <c r="Q1373" s="4"/>
      <c r="R1373" s="4"/>
      <c r="S1373" s="4"/>
      <c r="T1373" s="38"/>
      <c r="U1373" s="4"/>
      <c r="V1373" s="4"/>
      <c r="W1373" s="4"/>
      <c r="X1373" s="4"/>
      <c r="Y1373" s="4"/>
      <c r="Z1373" s="4"/>
      <c r="AA1373" s="4"/>
      <c r="AB1373" s="4"/>
      <c r="AC1373" s="4"/>
      <c r="AD1373" s="4"/>
      <c r="AE1373" s="4"/>
      <c r="AF1373" s="4"/>
      <c r="AG1373" s="4"/>
      <c r="AH1373" s="4"/>
      <c r="AI1373" s="4"/>
      <c r="AJ1373" s="4"/>
      <c r="AK1373" s="4"/>
      <c r="AL1373" s="4"/>
      <c r="AM1373" s="38"/>
      <c r="AN1373" s="4"/>
      <c r="AO1373" s="4"/>
      <c r="AP1373" s="4"/>
      <c r="AQ1373" s="4"/>
      <c r="AR1373" s="4"/>
      <c r="AS1373" s="4"/>
      <c r="AT1373" s="4"/>
      <c r="AU1373" s="4"/>
      <c r="AV1373" s="4"/>
      <c r="AW1373" s="4"/>
      <c r="AX1373" s="4"/>
      <c r="AY1373" s="4"/>
      <c r="AZ1373" s="4"/>
      <c r="BA1373" s="4"/>
      <c r="BB1373" s="4"/>
      <c r="BC1373" s="4"/>
      <c r="BD1373" s="4"/>
      <c r="BE1373" s="4"/>
      <c r="BF1373" s="4"/>
      <c r="BG1373" s="4"/>
      <c r="BH1373" s="4"/>
      <c r="BI1373" s="4"/>
      <c r="BJ1373" s="4"/>
      <c r="BK1373" s="4"/>
      <c r="BL1373" s="4"/>
      <c r="BM1373" s="4"/>
      <c r="BN1373" s="4"/>
      <c r="BO1373" s="4"/>
      <c r="BP1373" s="39"/>
      <c r="BQ1373" s="39"/>
    </row>
    <row r="1374" spans="3:69" ht="15.75" customHeight="1">
      <c r="C1374" s="4"/>
      <c r="D1374" s="4"/>
      <c r="E1374" s="38"/>
      <c r="F1374" s="38"/>
      <c r="G1374" s="4"/>
      <c r="H1374" s="4"/>
      <c r="I1374" s="4"/>
      <c r="J1374" s="4"/>
      <c r="K1374" s="4"/>
      <c r="L1374" s="4"/>
      <c r="M1374" s="4"/>
      <c r="N1374" s="38"/>
      <c r="O1374" s="4"/>
      <c r="P1374" s="4"/>
      <c r="Q1374" s="4"/>
      <c r="R1374" s="4"/>
      <c r="S1374" s="4"/>
      <c r="T1374" s="38"/>
      <c r="U1374" s="4"/>
      <c r="V1374" s="4"/>
      <c r="W1374" s="4"/>
      <c r="X1374" s="4"/>
      <c r="Y1374" s="4"/>
      <c r="Z1374" s="4"/>
      <c r="AA1374" s="4"/>
      <c r="AB1374" s="4"/>
      <c r="AC1374" s="4"/>
      <c r="AD1374" s="4"/>
      <c r="AE1374" s="4"/>
      <c r="AF1374" s="4"/>
      <c r="AG1374" s="4"/>
      <c r="AH1374" s="4"/>
      <c r="AI1374" s="4"/>
      <c r="AJ1374" s="4"/>
      <c r="AK1374" s="4"/>
      <c r="AL1374" s="4"/>
      <c r="AM1374" s="38"/>
      <c r="AN1374" s="4"/>
      <c r="AO1374" s="4"/>
      <c r="AP1374" s="4"/>
      <c r="AQ1374" s="4"/>
      <c r="AR1374" s="4"/>
      <c r="AS1374" s="4"/>
      <c r="AT1374" s="4"/>
      <c r="AU1374" s="4"/>
      <c r="AV1374" s="4"/>
      <c r="AW1374" s="4"/>
      <c r="AX1374" s="4"/>
      <c r="AY1374" s="4"/>
      <c r="AZ1374" s="4"/>
      <c r="BA1374" s="4"/>
      <c r="BB1374" s="4"/>
      <c r="BC1374" s="4"/>
      <c r="BD1374" s="4"/>
      <c r="BE1374" s="4"/>
      <c r="BF1374" s="4"/>
      <c r="BG1374" s="4"/>
      <c r="BH1374" s="4"/>
      <c r="BI1374" s="4"/>
      <c r="BJ1374" s="4"/>
      <c r="BK1374" s="4"/>
      <c r="BL1374" s="4"/>
      <c r="BM1374" s="4"/>
      <c r="BN1374" s="4"/>
      <c r="BO1374" s="4"/>
      <c r="BP1374" s="39"/>
      <c r="BQ1374" s="39"/>
    </row>
    <row r="1375" spans="3:69" ht="15.75" customHeight="1">
      <c r="C1375" s="4"/>
      <c r="D1375" s="4"/>
      <c r="E1375" s="38"/>
      <c r="F1375" s="38"/>
      <c r="G1375" s="4"/>
      <c r="H1375" s="4"/>
      <c r="I1375" s="4"/>
      <c r="J1375" s="4"/>
      <c r="K1375" s="4"/>
      <c r="L1375" s="4"/>
      <c r="M1375" s="4"/>
      <c r="N1375" s="38"/>
      <c r="O1375" s="4"/>
      <c r="P1375" s="4"/>
      <c r="Q1375" s="4"/>
      <c r="R1375" s="4"/>
      <c r="S1375" s="4"/>
      <c r="T1375" s="38"/>
      <c r="U1375" s="4"/>
      <c r="V1375" s="4"/>
      <c r="W1375" s="4"/>
      <c r="X1375" s="4"/>
      <c r="Y1375" s="4"/>
      <c r="Z1375" s="4"/>
      <c r="AA1375" s="4"/>
      <c r="AB1375" s="4"/>
      <c r="AC1375" s="4"/>
      <c r="AD1375" s="4"/>
      <c r="AE1375" s="4"/>
      <c r="AF1375" s="4"/>
      <c r="AG1375" s="4"/>
      <c r="AH1375" s="4"/>
      <c r="AI1375" s="4"/>
      <c r="AJ1375" s="4"/>
      <c r="AK1375" s="4"/>
      <c r="AL1375" s="4"/>
      <c r="AM1375" s="38"/>
      <c r="AN1375" s="4"/>
      <c r="AO1375" s="4"/>
      <c r="AP1375" s="4"/>
      <c r="AQ1375" s="4"/>
      <c r="AR1375" s="4"/>
      <c r="AS1375" s="4"/>
      <c r="AT1375" s="4"/>
      <c r="AU1375" s="4"/>
      <c r="AV1375" s="4"/>
      <c r="AW1375" s="4"/>
      <c r="AX1375" s="4"/>
      <c r="AY1375" s="4"/>
      <c r="AZ1375" s="4"/>
      <c r="BA1375" s="4"/>
      <c r="BB1375" s="4"/>
      <c r="BC1375" s="4"/>
      <c r="BD1375" s="4"/>
      <c r="BE1375" s="4"/>
      <c r="BF1375" s="4"/>
      <c r="BG1375" s="4"/>
      <c r="BH1375" s="4"/>
      <c r="BI1375" s="4"/>
      <c r="BJ1375" s="4"/>
      <c r="BK1375" s="4"/>
      <c r="BL1375" s="4"/>
      <c r="BM1375" s="4"/>
      <c r="BN1375" s="4"/>
      <c r="BO1375" s="4"/>
      <c r="BP1375" s="39"/>
      <c r="BQ1375" s="39"/>
    </row>
    <row r="1376" spans="3:69" ht="15.75" customHeight="1">
      <c r="C1376" s="4"/>
      <c r="D1376" s="4"/>
      <c r="E1376" s="38"/>
      <c r="F1376" s="38"/>
      <c r="G1376" s="4"/>
      <c r="H1376" s="4"/>
      <c r="I1376" s="4"/>
      <c r="J1376" s="4"/>
      <c r="K1376" s="4"/>
      <c r="L1376" s="4"/>
      <c r="M1376" s="4"/>
      <c r="N1376" s="38"/>
      <c r="O1376" s="4"/>
      <c r="P1376" s="4"/>
      <c r="Q1376" s="4"/>
      <c r="R1376" s="4"/>
      <c r="S1376" s="4"/>
      <c r="T1376" s="38"/>
      <c r="U1376" s="4"/>
      <c r="V1376" s="4"/>
      <c r="W1376" s="4"/>
      <c r="X1376" s="4"/>
      <c r="Y1376" s="4"/>
      <c r="Z1376" s="4"/>
      <c r="AA1376" s="4"/>
      <c r="AB1376" s="4"/>
      <c r="AC1376" s="4"/>
      <c r="AD1376" s="4"/>
      <c r="AE1376" s="4"/>
      <c r="AF1376" s="4"/>
      <c r="AG1376" s="4"/>
      <c r="AH1376" s="4"/>
      <c r="AI1376" s="4"/>
      <c r="AJ1376" s="4"/>
      <c r="AK1376" s="4"/>
      <c r="AL1376" s="4"/>
      <c r="AM1376" s="38"/>
      <c r="AN1376" s="4"/>
      <c r="AO1376" s="4"/>
      <c r="AP1376" s="4"/>
      <c r="AQ1376" s="4"/>
      <c r="AR1376" s="4"/>
      <c r="AS1376" s="4"/>
      <c r="AT1376" s="4"/>
      <c r="AU1376" s="4"/>
      <c r="AV1376" s="4"/>
      <c r="AW1376" s="4"/>
      <c r="AX1376" s="4"/>
      <c r="AY1376" s="4"/>
      <c r="AZ1376" s="4"/>
      <c r="BA1376" s="4"/>
      <c r="BB1376" s="4"/>
      <c r="BC1376" s="4"/>
      <c r="BD1376" s="4"/>
      <c r="BE1376" s="4"/>
      <c r="BF1376" s="4"/>
      <c r="BG1376" s="4"/>
      <c r="BH1376" s="4"/>
      <c r="BI1376" s="4"/>
      <c r="BJ1376" s="4"/>
      <c r="BK1376" s="4"/>
      <c r="BL1376" s="4"/>
      <c r="BM1376" s="4"/>
      <c r="BN1376" s="4"/>
      <c r="BO1376" s="4"/>
      <c r="BP1376" s="39"/>
      <c r="BQ1376" s="39"/>
    </row>
    <row r="1377" spans="3:69" ht="15.75" customHeight="1">
      <c r="C1377" s="4"/>
      <c r="D1377" s="4"/>
      <c r="E1377" s="38"/>
      <c r="F1377" s="38"/>
      <c r="G1377" s="4"/>
      <c r="H1377" s="4"/>
      <c r="I1377" s="4"/>
      <c r="J1377" s="4"/>
      <c r="K1377" s="4"/>
      <c r="L1377" s="4"/>
      <c r="M1377" s="4"/>
      <c r="N1377" s="38"/>
      <c r="O1377" s="4"/>
      <c r="P1377" s="4"/>
      <c r="Q1377" s="4"/>
      <c r="R1377" s="4"/>
      <c r="S1377" s="4"/>
      <c r="T1377" s="38"/>
      <c r="U1377" s="4"/>
      <c r="V1377" s="4"/>
      <c r="W1377" s="4"/>
      <c r="X1377" s="4"/>
      <c r="Y1377" s="4"/>
      <c r="Z1377" s="4"/>
      <c r="AA1377" s="4"/>
      <c r="AB1377" s="4"/>
      <c r="AC1377" s="4"/>
      <c r="AD1377" s="4"/>
      <c r="AE1377" s="4"/>
      <c r="AF1377" s="4"/>
      <c r="AG1377" s="4"/>
      <c r="AH1377" s="4"/>
      <c r="AI1377" s="4"/>
      <c r="AJ1377" s="4"/>
      <c r="AK1377" s="4"/>
      <c r="AL1377" s="4"/>
      <c r="AM1377" s="38"/>
      <c r="AN1377" s="4"/>
      <c r="AO1377" s="4"/>
      <c r="AP1377" s="4"/>
      <c r="AQ1377" s="4"/>
      <c r="AR1377" s="4"/>
      <c r="AS1377" s="4"/>
      <c r="AT1377" s="4"/>
      <c r="AU1377" s="4"/>
      <c r="AV1377" s="4"/>
      <c r="AW1377" s="4"/>
      <c r="AX1377" s="4"/>
      <c r="AY1377" s="4"/>
      <c r="AZ1377" s="4"/>
      <c r="BA1377" s="4"/>
      <c r="BB1377" s="4"/>
      <c r="BC1377" s="4"/>
      <c r="BD1377" s="4"/>
      <c r="BE1377" s="4"/>
      <c r="BF1377" s="4"/>
      <c r="BG1377" s="4"/>
      <c r="BH1377" s="4"/>
      <c r="BI1377" s="4"/>
      <c r="BJ1377" s="4"/>
      <c r="BK1377" s="4"/>
      <c r="BL1377" s="4"/>
      <c r="BM1377" s="4"/>
      <c r="BN1377" s="4"/>
      <c r="BO1377" s="4"/>
      <c r="BP1377" s="39"/>
      <c r="BQ1377" s="39"/>
    </row>
    <row r="1378" spans="3:69" ht="15.75" customHeight="1">
      <c r="C1378" s="4"/>
      <c r="D1378" s="4"/>
      <c r="E1378" s="38"/>
      <c r="F1378" s="38"/>
      <c r="G1378" s="4"/>
      <c r="H1378" s="4"/>
      <c r="I1378" s="4"/>
      <c r="J1378" s="4"/>
      <c r="K1378" s="4"/>
      <c r="L1378" s="4"/>
      <c r="M1378" s="4"/>
      <c r="N1378" s="38"/>
      <c r="O1378" s="4"/>
      <c r="P1378" s="4"/>
      <c r="Q1378" s="4"/>
      <c r="R1378" s="4"/>
      <c r="S1378" s="4"/>
      <c r="T1378" s="38"/>
      <c r="U1378" s="4"/>
      <c r="V1378" s="4"/>
      <c r="W1378" s="4"/>
      <c r="X1378" s="4"/>
      <c r="Y1378" s="4"/>
      <c r="Z1378" s="4"/>
      <c r="AA1378" s="4"/>
      <c r="AB1378" s="4"/>
      <c r="AC1378" s="4"/>
      <c r="AD1378" s="4"/>
      <c r="AE1378" s="4"/>
      <c r="AF1378" s="4"/>
      <c r="AG1378" s="4"/>
      <c r="AH1378" s="4"/>
      <c r="AI1378" s="4"/>
      <c r="AJ1378" s="4"/>
      <c r="AK1378" s="4"/>
      <c r="AL1378" s="4"/>
      <c r="AM1378" s="38"/>
      <c r="AN1378" s="4"/>
      <c r="AO1378" s="4"/>
      <c r="AP1378" s="4"/>
      <c r="AQ1378" s="4"/>
      <c r="AR1378" s="4"/>
      <c r="AS1378" s="4"/>
      <c r="AT1378" s="4"/>
      <c r="AU1378" s="4"/>
      <c r="AV1378" s="4"/>
      <c r="AW1378" s="4"/>
      <c r="AX1378" s="4"/>
      <c r="AY1378" s="4"/>
      <c r="AZ1378" s="4"/>
      <c r="BA1378" s="4"/>
      <c r="BB1378" s="4"/>
      <c r="BC1378" s="4"/>
      <c r="BD1378" s="4"/>
      <c r="BE1378" s="4"/>
      <c r="BF1378" s="4"/>
      <c r="BG1378" s="4"/>
      <c r="BH1378" s="4"/>
      <c r="BI1378" s="4"/>
      <c r="BJ1378" s="4"/>
      <c r="BK1378" s="4"/>
      <c r="BL1378" s="4"/>
      <c r="BM1378" s="4"/>
      <c r="BN1378" s="4"/>
      <c r="BO1378" s="4"/>
      <c r="BP1378" s="39"/>
      <c r="BQ1378" s="39"/>
    </row>
    <row r="1379" spans="3:69" ht="15.75" customHeight="1">
      <c r="C1379" s="4"/>
      <c r="D1379" s="4"/>
      <c r="E1379" s="38"/>
      <c r="F1379" s="38"/>
      <c r="G1379" s="4"/>
      <c r="H1379" s="4"/>
      <c r="I1379" s="4"/>
      <c r="J1379" s="4"/>
      <c r="K1379" s="4"/>
      <c r="L1379" s="4"/>
      <c r="M1379" s="4"/>
      <c r="N1379" s="38"/>
      <c r="O1379" s="4"/>
      <c r="P1379" s="4"/>
      <c r="Q1379" s="4"/>
      <c r="R1379" s="4"/>
      <c r="S1379" s="4"/>
      <c r="T1379" s="38"/>
      <c r="U1379" s="4"/>
      <c r="V1379" s="4"/>
      <c r="W1379" s="4"/>
      <c r="X1379" s="4"/>
      <c r="Y1379" s="4"/>
      <c r="Z1379" s="4"/>
      <c r="AA1379" s="4"/>
      <c r="AB1379" s="4"/>
      <c r="AC1379" s="4"/>
      <c r="AD1379" s="4"/>
      <c r="AE1379" s="4"/>
      <c r="AF1379" s="4"/>
      <c r="AG1379" s="4"/>
      <c r="AH1379" s="4"/>
      <c r="AI1379" s="4"/>
      <c r="AJ1379" s="4"/>
      <c r="AK1379" s="4"/>
      <c r="AL1379" s="4"/>
      <c r="AM1379" s="38"/>
      <c r="AN1379" s="4"/>
      <c r="AO1379" s="4"/>
      <c r="AP1379" s="4"/>
      <c r="AQ1379" s="4"/>
      <c r="AR1379" s="4"/>
      <c r="AS1379" s="4"/>
      <c r="AT1379" s="4"/>
      <c r="AU1379" s="4"/>
      <c r="AV1379" s="4"/>
      <c r="AW1379" s="4"/>
      <c r="AX1379" s="4"/>
      <c r="AY1379" s="4"/>
      <c r="AZ1379" s="4"/>
      <c r="BA1379" s="4"/>
      <c r="BB1379" s="4"/>
      <c r="BC1379" s="4"/>
      <c r="BD1379" s="4"/>
      <c r="BE1379" s="4"/>
      <c r="BF1379" s="4"/>
      <c r="BG1379" s="4"/>
      <c r="BH1379" s="4"/>
      <c r="BI1379" s="4"/>
      <c r="BJ1379" s="4"/>
      <c r="BK1379" s="4"/>
      <c r="BL1379" s="4"/>
      <c r="BM1379" s="4"/>
      <c r="BN1379" s="4"/>
      <c r="BO1379" s="4"/>
      <c r="BP1379" s="39"/>
      <c r="BQ1379" s="39"/>
    </row>
    <row r="1380" spans="3:69" ht="15.75" customHeight="1">
      <c r="C1380" s="4"/>
      <c r="D1380" s="4"/>
      <c r="E1380" s="38"/>
      <c r="F1380" s="38"/>
      <c r="G1380" s="4"/>
      <c r="H1380" s="4"/>
      <c r="I1380" s="4"/>
      <c r="J1380" s="4"/>
      <c r="K1380" s="4"/>
      <c r="L1380" s="4"/>
      <c r="M1380" s="4"/>
      <c r="N1380" s="38"/>
      <c r="O1380" s="4"/>
      <c r="P1380" s="4"/>
      <c r="Q1380" s="4"/>
      <c r="R1380" s="4"/>
      <c r="S1380" s="4"/>
      <c r="T1380" s="38"/>
      <c r="U1380" s="4"/>
      <c r="V1380" s="4"/>
      <c r="W1380" s="4"/>
      <c r="X1380" s="4"/>
      <c r="Y1380" s="4"/>
      <c r="Z1380" s="4"/>
      <c r="AA1380" s="4"/>
      <c r="AB1380" s="4"/>
      <c r="AC1380" s="4"/>
      <c r="AD1380" s="4"/>
      <c r="AE1380" s="4"/>
      <c r="AF1380" s="4"/>
      <c r="AG1380" s="4"/>
      <c r="AH1380" s="4"/>
      <c r="AI1380" s="4"/>
      <c r="AJ1380" s="4"/>
      <c r="AK1380" s="4"/>
      <c r="AL1380" s="4"/>
      <c r="AM1380" s="38"/>
      <c r="AN1380" s="4"/>
      <c r="AO1380" s="4"/>
      <c r="AP1380" s="4"/>
      <c r="AQ1380" s="4"/>
      <c r="AR1380" s="4"/>
      <c r="AS1380" s="4"/>
      <c r="AT1380" s="4"/>
      <c r="AU1380" s="4"/>
      <c r="AV1380" s="4"/>
      <c r="AW1380" s="4"/>
      <c r="AX1380" s="4"/>
      <c r="AY1380" s="4"/>
      <c r="AZ1380" s="4"/>
      <c r="BA1380" s="4"/>
      <c r="BB1380" s="4"/>
      <c r="BC1380" s="4"/>
      <c r="BD1380" s="4"/>
      <c r="BE1380" s="4"/>
      <c r="BF1380" s="4"/>
      <c r="BG1380" s="4"/>
      <c r="BH1380" s="4"/>
      <c r="BI1380" s="4"/>
      <c r="BJ1380" s="4"/>
      <c r="BK1380" s="4"/>
      <c r="BL1380" s="4"/>
      <c r="BM1380" s="4"/>
      <c r="BN1380" s="4"/>
      <c r="BO1380" s="4"/>
      <c r="BP1380" s="39"/>
      <c r="BQ1380" s="39"/>
    </row>
    <row r="1381" spans="3:69" ht="15.75" customHeight="1">
      <c r="C1381" s="4"/>
      <c r="D1381" s="4"/>
      <c r="E1381" s="38"/>
      <c r="F1381" s="38"/>
      <c r="G1381" s="4"/>
      <c r="H1381" s="4"/>
      <c r="I1381" s="4"/>
      <c r="J1381" s="4"/>
      <c r="K1381" s="4"/>
      <c r="L1381" s="4"/>
      <c r="M1381" s="4"/>
      <c r="N1381" s="38"/>
      <c r="O1381" s="4"/>
      <c r="P1381" s="4"/>
      <c r="Q1381" s="4"/>
      <c r="R1381" s="4"/>
      <c r="S1381" s="4"/>
      <c r="T1381" s="38"/>
      <c r="U1381" s="4"/>
      <c r="V1381" s="4"/>
      <c r="W1381" s="4"/>
      <c r="X1381" s="4"/>
      <c r="Y1381" s="4"/>
      <c r="Z1381" s="4"/>
      <c r="AA1381" s="4"/>
      <c r="AB1381" s="4"/>
      <c r="AC1381" s="4"/>
      <c r="AD1381" s="4"/>
      <c r="AE1381" s="4"/>
      <c r="AF1381" s="4"/>
      <c r="AG1381" s="4"/>
      <c r="AH1381" s="4"/>
      <c r="AI1381" s="4"/>
      <c r="AJ1381" s="4"/>
      <c r="AK1381" s="4"/>
      <c r="AL1381" s="4"/>
      <c r="AM1381" s="38"/>
      <c r="AN1381" s="4"/>
      <c r="AO1381" s="4"/>
      <c r="AP1381" s="4"/>
      <c r="AQ1381" s="4"/>
      <c r="AR1381" s="4"/>
      <c r="AS1381" s="4"/>
      <c r="AT1381" s="4"/>
      <c r="AU1381" s="4"/>
      <c r="AV1381" s="4"/>
      <c r="AW1381" s="4"/>
      <c r="AX1381" s="4"/>
      <c r="AY1381" s="4"/>
      <c r="AZ1381" s="4"/>
      <c r="BA1381" s="4"/>
      <c r="BB1381" s="4"/>
      <c r="BC1381" s="4"/>
      <c r="BD1381" s="4"/>
      <c r="BE1381" s="4"/>
      <c r="BF1381" s="4"/>
      <c r="BG1381" s="4"/>
      <c r="BH1381" s="4"/>
      <c r="BI1381" s="4"/>
      <c r="BJ1381" s="4"/>
      <c r="BK1381" s="4"/>
      <c r="BL1381" s="4"/>
      <c r="BM1381" s="4"/>
      <c r="BN1381" s="4"/>
      <c r="BO1381" s="4"/>
      <c r="BP1381" s="39"/>
      <c r="BQ1381" s="39"/>
    </row>
    <row r="1382" spans="3:69" ht="15.75" customHeight="1">
      <c r="C1382" s="4"/>
      <c r="D1382" s="4"/>
      <c r="E1382" s="38"/>
      <c r="F1382" s="38"/>
      <c r="G1382" s="4"/>
      <c r="H1382" s="4"/>
      <c r="I1382" s="4"/>
      <c r="J1382" s="4"/>
      <c r="K1382" s="4"/>
      <c r="L1382" s="4"/>
      <c r="M1382" s="4"/>
      <c r="N1382" s="38"/>
      <c r="O1382" s="4"/>
      <c r="P1382" s="4"/>
      <c r="Q1382" s="4"/>
      <c r="R1382" s="4"/>
      <c r="S1382" s="4"/>
      <c r="T1382" s="38"/>
      <c r="U1382" s="4"/>
      <c r="V1382" s="4"/>
      <c r="W1382" s="4"/>
      <c r="X1382" s="4"/>
      <c r="Y1382" s="4"/>
      <c r="Z1382" s="4"/>
      <c r="AA1382" s="4"/>
      <c r="AB1382" s="4"/>
      <c r="AC1382" s="4"/>
      <c r="AD1382" s="4"/>
      <c r="AE1382" s="4"/>
      <c r="AF1382" s="4"/>
      <c r="AG1382" s="4"/>
      <c r="AH1382" s="4"/>
      <c r="AI1382" s="4"/>
      <c r="AJ1382" s="4"/>
      <c r="AK1382" s="4"/>
      <c r="AL1382" s="4"/>
      <c r="AM1382" s="38"/>
      <c r="AN1382" s="4"/>
      <c r="AO1382" s="4"/>
      <c r="AP1382" s="4"/>
      <c r="AQ1382" s="4"/>
      <c r="AR1382" s="4"/>
      <c r="AS1382" s="4"/>
      <c r="AT1382" s="4"/>
      <c r="AU1382" s="4"/>
      <c r="AV1382" s="4"/>
      <c r="AW1382" s="4"/>
      <c r="AX1382" s="4"/>
      <c r="AY1382" s="4"/>
      <c r="AZ1382" s="4"/>
      <c r="BA1382" s="4"/>
      <c r="BB1382" s="4"/>
      <c r="BC1382" s="4"/>
      <c r="BD1382" s="4"/>
      <c r="BE1382" s="4"/>
      <c r="BF1382" s="4"/>
      <c r="BG1382" s="4"/>
      <c r="BH1382" s="4"/>
      <c r="BI1382" s="4"/>
      <c r="BJ1382" s="4"/>
      <c r="BK1382" s="4"/>
      <c r="BL1382" s="4"/>
      <c r="BM1382" s="4"/>
      <c r="BN1382" s="4"/>
      <c r="BO1382" s="4"/>
      <c r="BP1382" s="39"/>
      <c r="BQ1382" s="39"/>
    </row>
    <row r="1383" spans="3:69" ht="15.75" customHeight="1">
      <c r="C1383" s="4"/>
      <c r="D1383" s="4"/>
      <c r="E1383" s="38"/>
      <c r="F1383" s="38"/>
      <c r="G1383" s="4"/>
      <c r="H1383" s="4"/>
      <c r="I1383" s="4"/>
      <c r="J1383" s="4"/>
      <c r="K1383" s="4"/>
      <c r="L1383" s="4"/>
      <c r="M1383" s="4"/>
      <c r="N1383" s="38"/>
      <c r="O1383" s="4"/>
      <c r="P1383" s="4"/>
      <c r="Q1383" s="4"/>
      <c r="R1383" s="4"/>
      <c r="S1383" s="4"/>
      <c r="T1383" s="38"/>
      <c r="U1383" s="4"/>
      <c r="V1383" s="4"/>
      <c r="W1383" s="4"/>
      <c r="X1383" s="4"/>
      <c r="Y1383" s="4"/>
      <c r="Z1383" s="4"/>
      <c r="AA1383" s="4"/>
      <c r="AB1383" s="4"/>
      <c r="AC1383" s="4"/>
      <c r="AD1383" s="4"/>
      <c r="AE1383" s="4"/>
      <c r="AF1383" s="4"/>
      <c r="AG1383" s="4"/>
      <c r="AH1383" s="4"/>
      <c r="AI1383" s="4"/>
      <c r="AJ1383" s="4"/>
      <c r="AK1383" s="4"/>
      <c r="AL1383" s="4"/>
      <c r="AM1383" s="38"/>
      <c r="AN1383" s="4"/>
      <c r="AO1383" s="4"/>
      <c r="AP1383" s="4"/>
      <c r="AQ1383" s="4"/>
      <c r="AR1383" s="4"/>
      <c r="AS1383" s="4"/>
      <c r="AT1383" s="4"/>
      <c r="AU1383" s="4"/>
      <c r="AV1383" s="4"/>
      <c r="AW1383" s="4"/>
      <c r="AX1383" s="4"/>
      <c r="AY1383" s="4"/>
      <c r="AZ1383" s="4"/>
      <c r="BA1383" s="4"/>
      <c r="BB1383" s="4"/>
      <c r="BC1383" s="4"/>
      <c r="BD1383" s="4"/>
      <c r="BE1383" s="4"/>
      <c r="BF1383" s="4"/>
      <c r="BG1383" s="4"/>
      <c r="BH1383" s="4"/>
      <c r="BI1383" s="4"/>
      <c r="BJ1383" s="4"/>
      <c r="BK1383" s="4"/>
      <c r="BL1383" s="4"/>
      <c r="BM1383" s="4"/>
      <c r="BN1383" s="4"/>
      <c r="BO1383" s="4"/>
      <c r="BP1383" s="39"/>
      <c r="BQ1383" s="39"/>
    </row>
    <row r="1384" spans="3:69" ht="15.75" customHeight="1">
      <c r="C1384" s="4"/>
      <c r="D1384" s="4"/>
      <c r="E1384" s="38"/>
      <c r="F1384" s="38"/>
      <c r="G1384" s="4"/>
      <c r="H1384" s="4"/>
      <c r="I1384" s="4"/>
      <c r="J1384" s="4"/>
      <c r="K1384" s="4"/>
      <c r="L1384" s="4"/>
      <c r="M1384" s="4"/>
      <c r="N1384" s="38"/>
      <c r="O1384" s="4"/>
      <c r="P1384" s="4"/>
      <c r="Q1384" s="4"/>
      <c r="R1384" s="4"/>
      <c r="S1384" s="4"/>
      <c r="T1384" s="38"/>
      <c r="U1384" s="4"/>
      <c r="V1384" s="4"/>
      <c r="W1384" s="4"/>
      <c r="X1384" s="4"/>
      <c r="Y1384" s="4"/>
      <c r="Z1384" s="4"/>
      <c r="AA1384" s="4"/>
      <c r="AB1384" s="4"/>
      <c r="AC1384" s="4"/>
      <c r="AD1384" s="4"/>
      <c r="AE1384" s="4"/>
      <c r="AF1384" s="4"/>
      <c r="AG1384" s="4"/>
      <c r="AH1384" s="4"/>
      <c r="AI1384" s="4"/>
      <c r="AJ1384" s="4"/>
      <c r="AK1384" s="4"/>
      <c r="AL1384" s="4"/>
      <c r="AM1384" s="38"/>
      <c r="AN1384" s="4"/>
      <c r="AO1384" s="4"/>
      <c r="AP1384" s="4"/>
      <c r="AQ1384" s="4"/>
      <c r="AR1384" s="4"/>
      <c r="AS1384" s="4"/>
      <c r="AT1384" s="4"/>
      <c r="AU1384" s="4"/>
      <c r="AV1384" s="4"/>
      <c r="AW1384" s="4"/>
      <c r="AX1384" s="4"/>
      <c r="AY1384" s="4"/>
      <c r="AZ1384" s="4"/>
      <c r="BA1384" s="4"/>
      <c r="BB1384" s="4"/>
      <c r="BC1384" s="4"/>
      <c r="BD1384" s="4"/>
      <c r="BE1384" s="4"/>
      <c r="BF1384" s="4"/>
      <c r="BG1384" s="4"/>
      <c r="BH1384" s="4"/>
      <c r="BI1384" s="4"/>
      <c r="BJ1384" s="4"/>
      <c r="BK1384" s="4"/>
      <c r="BL1384" s="4"/>
      <c r="BM1384" s="4"/>
      <c r="BN1384" s="4"/>
      <c r="BO1384" s="4"/>
      <c r="BP1384" s="39"/>
      <c r="BQ1384" s="39"/>
    </row>
    <row r="1385" spans="3:69" ht="15.75" customHeight="1">
      <c r="C1385" s="4"/>
      <c r="D1385" s="4"/>
      <c r="E1385" s="38"/>
      <c r="F1385" s="38"/>
      <c r="G1385" s="4"/>
      <c r="H1385" s="4"/>
      <c r="I1385" s="4"/>
      <c r="J1385" s="4"/>
      <c r="K1385" s="4"/>
      <c r="L1385" s="4"/>
      <c r="M1385" s="4"/>
      <c r="N1385" s="38"/>
      <c r="O1385" s="4"/>
      <c r="P1385" s="4"/>
      <c r="Q1385" s="4"/>
      <c r="R1385" s="4"/>
      <c r="S1385" s="4"/>
      <c r="T1385" s="38"/>
      <c r="U1385" s="4"/>
      <c r="V1385" s="4"/>
      <c r="W1385" s="4"/>
      <c r="X1385" s="4"/>
      <c r="Y1385" s="4"/>
      <c r="Z1385" s="4"/>
      <c r="AA1385" s="4"/>
      <c r="AB1385" s="4"/>
      <c r="AC1385" s="4"/>
      <c r="AD1385" s="4"/>
      <c r="AE1385" s="4"/>
      <c r="AF1385" s="4"/>
      <c r="AG1385" s="4"/>
      <c r="AH1385" s="4"/>
      <c r="AI1385" s="4"/>
      <c r="AJ1385" s="4"/>
      <c r="AK1385" s="4"/>
      <c r="AL1385" s="4"/>
      <c r="AM1385" s="38"/>
      <c r="AN1385" s="4"/>
      <c r="AO1385" s="4"/>
      <c r="AP1385" s="4"/>
      <c r="AQ1385" s="4"/>
      <c r="AR1385" s="4"/>
      <c r="AS1385" s="4"/>
      <c r="AT1385" s="4"/>
      <c r="AU1385" s="4"/>
      <c r="AV1385" s="4"/>
      <c r="AW1385" s="4"/>
      <c r="AX1385" s="4"/>
      <c r="AY1385" s="4"/>
      <c r="AZ1385" s="4"/>
      <c r="BA1385" s="4"/>
      <c r="BB1385" s="4"/>
      <c r="BC1385" s="4"/>
      <c r="BD1385" s="4"/>
      <c r="BE1385" s="4"/>
      <c r="BF1385" s="4"/>
      <c r="BG1385" s="4"/>
      <c r="BH1385" s="4"/>
      <c r="BI1385" s="4"/>
      <c r="BJ1385" s="4"/>
      <c r="BK1385" s="4"/>
      <c r="BL1385" s="4"/>
      <c r="BM1385" s="4"/>
      <c r="BN1385" s="4"/>
      <c r="BO1385" s="4"/>
      <c r="BP1385" s="39"/>
      <c r="BQ1385" s="39"/>
    </row>
    <row r="1386" spans="3:69" ht="15.75" customHeight="1">
      <c r="C1386" s="4"/>
      <c r="D1386" s="4"/>
      <c r="E1386" s="38"/>
      <c r="F1386" s="38"/>
      <c r="G1386" s="4"/>
      <c r="H1386" s="4"/>
      <c r="I1386" s="4"/>
      <c r="J1386" s="4"/>
      <c r="K1386" s="4"/>
      <c r="L1386" s="4"/>
      <c r="M1386" s="4"/>
      <c r="N1386" s="38"/>
      <c r="O1386" s="4"/>
      <c r="P1386" s="4"/>
      <c r="Q1386" s="4"/>
      <c r="R1386" s="4"/>
      <c r="S1386" s="4"/>
      <c r="T1386" s="38"/>
      <c r="U1386" s="4"/>
      <c r="V1386" s="4"/>
      <c r="W1386" s="4"/>
      <c r="X1386" s="4"/>
      <c r="Y1386" s="4"/>
      <c r="Z1386" s="4"/>
      <c r="AA1386" s="4"/>
      <c r="AB1386" s="4"/>
      <c r="AC1386" s="4"/>
      <c r="AD1386" s="4"/>
      <c r="AE1386" s="4"/>
      <c r="AF1386" s="4"/>
      <c r="AG1386" s="4"/>
      <c r="AH1386" s="4"/>
      <c r="AI1386" s="4"/>
      <c r="AJ1386" s="4"/>
      <c r="AK1386" s="4"/>
      <c r="AL1386" s="4"/>
      <c r="AM1386" s="38"/>
      <c r="AN1386" s="4"/>
      <c r="AO1386" s="4"/>
      <c r="AP1386" s="4"/>
      <c r="AQ1386" s="4"/>
      <c r="AR1386" s="4"/>
      <c r="AS1386" s="4"/>
      <c r="AT1386" s="4"/>
      <c r="AU1386" s="4"/>
      <c r="AV1386" s="4"/>
      <c r="AW1386" s="4"/>
      <c r="AX1386" s="4"/>
      <c r="AY1386" s="4"/>
      <c r="AZ1386" s="4"/>
      <c r="BA1386" s="4"/>
      <c r="BB1386" s="4"/>
      <c r="BC1386" s="4"/>
      <c r="BD1386" s="4"/>
      <c r="BE1386" s="4"/>
      <c r="BF1386" s="4"/>
      <c r="BG1386" s="4"/>
      <c r="BH1386" s="4"/>
      <c r="BI1386" s="4"/>
      <c r="BJ1386" s="4"/>
      <c r="BK1386" s="4"/>
      <c r="BL1386" s="4"/>
      <c r="BM1386" s="4"/>
      <c r="BN1386" s="4"/>
      <c r="BO1386" s="4"/>
      <c r="BP1386" s="39"/>
      <c r="BQ1386" s="39"/>
    </row>
    <row r="1387" spans="3:69" ht="15.75" customHeight="1">
      <c r="C1387" s="4"/>
      <c r="D1387" s="4"/>
      <c r="E1387" s="38"/>
      <c r="F1387" s="38"/>
      <c r="G1387" s="4"/>
      <c r="H1387" s="4"/>
      <c r="I1387" s="4"/>
      <c r="J1387" s="4"/>
      <c r="K1387" s="4"/>
      <c r="L1387" s="4"/>
      <c r="M1387" s="4"/>
      <c r="N1387" s="38"/>
      <c r="O1387" s="4"/>
      <c r="P1387" s="4"/>
      <c r="Q1387" s="4"/>
      <c r="R1387" s="4"/>
      <c r="S1387" s="4"/>
      <c r="T1387" s="38"/>
      <c r="U1387" s="4"/>
      <c r="V1387" s="4"/>
      <c r="W1387" s="4"/>
      <c r="X1387" s="4"/>
      <c r="Y1387" s="4"/>
      <c r="Z1387" s="4"/>
      <c r="AA1387" s="4"/>
      <c r="AB1387" s="4"/>
      <c r="AC1387" s="4"/>
      <c r="AD1387" s="4"/>
      <c r="AE1387" s="4"/>
      <c r="AF1387" s="4"/>
      <c r="AG1387" s="4"/>
      <c r="AH1387" s="4"/>
      <c r="AI1387" s="4"/>
      <c r="AJ1387" s="4"/>
      <c r="AK1387" s="4"/>
      <c r="AL1387" s="4"/>
      <c r="AM1387" s="38"/>
      <c r="AN1387" s="4"/>
      <c r="AO1387" s="4"/>
      <c r="AP1387" s="4"/>
      <c r="AQ1387" s="4"/>
      <c r="AR1387" s="4"/>
      <c r="AS1387" s="4"/>
      <c r="AT1387" s="4"/>
      <c r="AU1387" s="4"/>
      <c r="AV1387" s="4"/>
      <c r="AW1387" s="4"/>
      <c r="AX1387" s="4"/>
      <c r="AY1387" s="4"/>
      <c r="AZ1387" s="4"/>
      <c r="BA1387" s="4"/>
      <c r="BB1387" s="4"/>
      <c r="BC1387" s="4"/>
      <c r="BD1387" s="4"/>
      <c r="BE1387" s="4"/>
      <c r="BF1387" s="4"/>
      <c r="BG1387" s="4"/>
      <c r="BH1387" s="4"/>
      <c r="BI1387" s="4"/>
      <c r="BJ1387" s="4"/>
      <c r="BK1387" s="4"/>
      <c r="BL1387" s="4"/>
      <c r="BM1387" s="4"/>
      <c r="BN1387" s="4"/>
      <c r="BO1387" s="4"/>
      <c r="BP1387" s="39"/>
      <c r="BQ1387" s="39"/>
    </row>
    <row r="1388" spans="3:69" ht="15.75" customHeight="1">
      <c r="C1388" s="4"/>
      <c r="D1388" s="4"/>
      <c r="E1388" s="38"/>
      <c r="F1388" s="38"/>
      <c r="G1388" s="4"/>
      <c r="H1388" s="4"/>
      <c r="I1388" s="4"/>
      <c r="J1388" s="4"/>
      <c r="K1388" s="4"/>
      <c r="L1388" s="4"/>
      <c r="M1388" s="4"/>
      <c r="N1388" s="38"/>
      <c r="O1388" s="4"/>
      <c r="P1388" s="4"/>
      <c r="Q1388" s="4"/>
      <c r="R1388" s="4"/>
      <c r="S1388" s="4"/>
      <c r="T1388" s="38"/>
      <c r="U1388" s="4"/>
      <c r="V1388" s="4"/>
      <c r="W1388" s="4"/>
      <c r="X1388" s="4"/>
      <c r="Y1388" s="4"/>
      <c r="Z1388" s="4"/>
      <c r="AA1388" s="4"/>
      <c r="AB1388" s="4"/>
      <c r="AC1388" s="4"/>
      <c r="AD1388" s="4"/>
      <c r="AE1388" s="4"/>
      <c r="AF1388" s="4"/>
      <c r="AG1388" s="4"/>
      <c r="AH1388" s="4"/>
      <c r="AI1388" s="4"/>
      <c r="AJ1388" s="4"/>
      <c r="AK1388" s="4"/>
      <c r="AL1388" s="4"/>
      <c r="AM1388" s="38"/>
      <c r="AN1388" s="4"/>
      <c r="AO1388" s="4"/>
      <c r="AP1388" s="4"/>
      <c r="AQ1388" s="4"/>
      <c r="AR1388" s="4"/>
      <c r="AS1388" s="4"/>
      <c r="AT1388" s="4"/>
      <c r="AU1388" s="4"/>
      <c r="AV1388" s="4"/>
      <c r="AW1388" s="4"/>
      <c r="AX1388" s="4"/>
      <c r="AY1388" s="4"/>
      <c r="AZ1388" s="4"/>
      <c r="BA1388" s="4"/>
      <c r="BB1388" s="4"/>
      <c r="BC1388" s="4"/>
      <c r="BD1388" s="4"/>
      <c r="BE1388" s="4"/>
      <c r="BF1388" s="4"/>
      <c r="BG1388" s="4"/>
      <c r="BH1388" s="4"/>
      <c r="BI1388" s="4"/>
      <c r="BJ1388" s="4"/>
      <c r="BK1388" s="4"/>
      <c r="BL1388" s="4"/>
      <c r="BM1388" s="4"/>
      <c r="BN1388" s="4"/>
      <c r="BO1388" s="4"/>
      <c r="BP1388" s="39"/>
      <c r="BQ1388" s="39"/>
    </row>
    <row r="1389" spans="3:69" ht="15.75" customHeight="1">
      <c r="C1389" s="4"/>
      <c r="D1389" s="4"/>
      <c r="E1389" s="38"/>
      <c r="F1389" s="38"/>
      <c r="G1389" s="4"/>
      <c r="H1389" s="4"/>
      <c r="I1389" s="4"/>
      <c r="J1389" s="4"/>
      <c r="K1389" s="4"/>
      <c r="L1389" s="4"/>
      <c r="M1389" s="4"/>
      <c r="N1389" s="38"/>
      <c r="O1389" s="4"/>
      <c r="P1389" s="4"/>
      <c r="Q1389" s="4"/>
      <c r="R1389" s="4"/>
      <c r="S1389" s="4"/>
      <c r="T1389" s="38"/>
      <c r="U1389" s="4"/>
      <c r="V1389" s="4"/>
      <c r="W1389" s="4"/>
      <c r="X1389" s="4"/>
      <c r="Y1389" s="4"/>
      <c r="Z1389" s="4"/>
      <c r="AA1389" s="4"/>
      <c r="AB1389" s="4"/>
      <c r="AC1389" s="4"/>
      <c r="AD1389" s="4"/>
      <c r="AE1389" s="4"/>
      <c r="AF1389" s="4"/>
      <c r="AG1389" s="4"/>
      <c r="AH1389" s="4"/>
      <c r="AI1389" s="4"/>
      <c r="AJ1389" s="4"/>
      <c r="AK1389" s="4"/>
      <c r="AL1389" s="4"/>
      <c r="AM1389" s="38"/>
      <c r="AN1389" s="4"/>
      <c r="AO1389" s="4"/>
      <c r="AP1389" s="4"/>
      <c r="AQ1389" s="4"/>
      <c r="AR1389" s="4"/>
      <c r="AS1389" s="4"/>
      <c r="AT1389" s="4"/>
      <c r="AU1389" s="4"/>
      <c r="AV1389" s="4"/>
      <c r="AW1389" s="4"/>
      <c r="AX1389" s="4"/>
      <c r="AY1389" s="4"/>
      <c r="AZ1389" s="4"/>
      <c r="BA1389" s="4"/>
      <c r="BB1389" s="4"/>
      <c r="BC1389" s="4"/>
      <c r="BD1389" s="4"/>
      <c r="BE1389" s="4"/>
      <c r="BF1389" s="4"/>
      <c r="BG1389" s="4"/>
      <c r="BH1389" s="4"/>
      <c r="BI1389" s="4"/>
      <c r="BJ1389" s="4"/>
      <c r="BK1389" s="4"/>
      <c r="BL1389" s="4"/>
      <c r="BM1389" s="4"/>
      <c r="BN1389" s="4"/>
      <c r="BO1389" s="4"/>
      <c r="BP1389" s="39"/>
      <c r="BQ1389" s="39"/>
    </row>
    <row r="1390" spans="3:69" ht="15.75" customHeight="1">
      <c r="C1390" s="4"/>
      <c r="D1390" s="4"/>
      <c r="E1390" s="38"/>
      <c r="F1390" s="38"/>
      <c r="G1390" s="4"/>
      <c r="H1390" s="4"/>
      <c r="I1390" s="4"/>
      <c r="J1390" s="4"/>
      <c r="K1390" s="4"/>
      <c r="L1390" s="4"/>
      <c r="M1390" s="4"/>
      <c r="N1390" s="38"/>
      <c r="O1390" s="4"/>
      <c r="P1390" s="4"/>
      <c r="Q1390" s="4"/>
      <c r="R1390" s="4"/>
      <c r="S1390" s="4"/>
      <c r="T1390" s="38"/>
      <c r="U1390" s="4"/>
      <c r="V1390" s="4"/>
      <c r="W1390" s="4"/>
      <c r="X1390" s="4"/>
      <c r="Y1390" s="4"/>
      <c r="Z1390" s="4"/>
      <c r="AA1390" s="4"/>
      <c r="AB1390" s="4"/>
      <c r="AC1390" s="4"/>
      <c r="AD1390" s="4"/>
      <c r="AE1390" s="4"/>
      <c r="AF1390" s="4"/>
      <c r="AG1390" s="4"/>
      <c r="AH1390" s="4"/>
      <c r="AI1390" s="4"/>
      <c r="AJ1390" s="4"/>
      <c r="AK1390" s="4"/>
      <c r="AL1390" s="4"/>
      <c r="AM1390" s="38"/>
      <c r="AN1390" s="4"/>
      <c r="AO1390" s="4"/>
      <c r="AP1390" s="4"/>
      <c r="AQ1390" s="4"/>
      <c r="AR1390" s="4"/>
      <c r="AS1390" s="4"/>
      <c r="AT1390" s="4"/>
      <c r="AU1390" s="4"/>
      <c r="AV1390" s="4"/>
      <c r="AW1390" s="4"/>
      <c r="AX1390" s="4"/>
      <c r="AY1390" s="4"/>
      <c r="AZ1390" s="4"/>
      <c r="BA1390" s="4"/>
      <c r="BB1390" s="4"/>
      <c r="BC1390" s="4"/>
      <c r="BD1390" s="4"/>
      <c r="BE1390" s="4"/>
      <c r="BF1390" s="4"/>
      <c r="BG1390" s="4"/>
      <c r="BH1390" s="4"/>
      <c r="BI1390" s="4"/>
      <c r="BJ1390" s="4"/>
      <c r="BK1390" s="4"/>
      <c r="BL1390" s="4"/>
      <c r="BM1390" s="4"/>
      <c r="BN1390" s="4"/>
      <c r="BO1390" s="4"/>
      <c r="BP1390" s="39"/>
      <c r="BQ1390" s="39"/>
    </row>
    <row r="1391" spans="3:69" ht="15.75" customHeight="1">
      <c r="C1391" s="4"/>
      <c r="D1391" s="4"/>
      <c r="E1391" s="38"/>
      <c r="F1391" s="38"/>
      <c r="G1391" s="4"/>
      <c r="H1391" s="4"/>
      <c r="I1391" s="4"/>
      <c r="J1391" s="4"/>
      <c r="K1391" s="4"/>
      <c r="L1391" s="4"/>
      <c r="M1391" s="4"/>
      <c r="N1391" s="38"/>
      <c r="O1391" s="4"/>
      <c r="P1391" s="4"/>
      <c r="Q1391" s="4"/>
      <c r="R1391" s="4"/>
      <c r="S1391" s="4"/>
      <c r="T1391" s="38"/>
      <c r="U1391" s="4"/>
      <c r="V1391" s="4"/>
      <c r="W1391" s="4"/>
      <c r="X1391" s="4"/>
      <c r="Y1391" s="4"/>
      <c r="Z1391" s="4"/>
      <c r="AA1391" s="4"/>
      <c r="AB1391" s="4"/>
      <c r="AC1391" s="4"/>
      <c r="AD1391" s="4"/>
      <c r="AE1391" s="4"/>
      <c r="AF1391" s="4"/>
      <c r="AG1391" s="4"/>
      <c r="AH1391" s="4"/>
      <c r="AI1391" s="4"/>
      <c r="AJ1391" s="4"/>
      <c r="AK1391" s="4"/>
      <c r="AL1391" s="4"/>
      <c r="AM1391" s="38"/>
      <c r="AN1391" s="4"/>
      <c r="AO1391" s="4"/>
      <c r="AP1391" s="4"/>
      <c r="AQ1391" s="4"/>
      <c r="AR1391" s="4"/>
      <c r="AS1391" s="4"/>
      <c r="AT1391" s="4"/>
      <c r="AU1391" s="4"/>
      <c r="AV1391" s="4"/>
      <c r="AW1391" s="4"/>
      <c r="AX1391" s="4"/>
      <c r="AY1391" s="4"/>
      <c r="AZ1391" s="4"/>
      <c r="BA1391" s="4"/>
      <c r="BB1391" s="4"/>
      <c r="BC1391" s="4"/>
      <c r="BD1391" s="4"/>
      <c r="BE1391" s="4"/>
      <c r="BF1391" s="4"/>
      <c r="BG1391" s="4"/>
      <c r="BH1391" s="4"/>
      <c r="BI1391" s="4"/>
      <c r="BJ1391" s="4"/>
      <c r="BK1391" s="4"/>
      <c r="BL1391" s="4"/>
      <c r="BM1391" s="4"/>
      <c r="BN1391" s="4"/>
      <c r="BO1391" s="4"/>
      <c r="BP1391" s="39"/>
      <c r="BQ1391" s="39"/>
    </row>
  </sheetData>
  <mergeCells count="6">
    <mergeCell ref="BO2:BO3"/>
    <mergeCell ref="A2:A3"/>
    <mergeCell ref="B2:B3"/>
    <mergeCell ref="C2:AT2"/>
    <mergeCell ref="AU2:AU3"/>
    <mergeCell ref="AV2:BN2"/>
  </mergeCells>
  <pageMargins left="1" right="1" top="1" bottom="1" header="0" footer="0"/>
  <pageSetup paperSize="9" scale="82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3B425F-9DFF-470A-AF8A-2EE6116F0D8E}">
  <dimension ref="A1:D391"/>
  <sheetViews>
    <sheetView workbookViewId="0">
      <selection activeCell="I25" sqref="I25"/>
    </sheetView>
  </sheetViews>
  <sheetFormatPr defaultColWidth="8.453125" defaultRowHeight="14.5"/>
  <cols>
    <col min="1" max="1" width="3.81640625" style="40" bestFit="1" customWidth="1"/>
    <col min="2" max="2" width="21.453125" style="40" bestFit="1" customWidth="1"/>
    <col min="3" max="3" width="56.453125" style="40" bestFit="1" customWidth="1"/>
    <col min="4" max="4" width="8.26953125" style="40" customWidth="1"/>
    <col min="5" max="16384" width="8.453125" style="40"/>
  </cols>
  <sheetData>
    <row r="1" spans="1:4" ht="15.5">
      <c r="A1" s="98" t="s">
        <v>1536</v>
      </c>
      <c r="B1" s="99"/>
      <c r="C1" s="99"/>
      <c r="D1" s="99"/>
    </row>
    <row r="2" spans="1:4" ht="15.5">
      <c r="A2" s="58" t="s">
        <v>1390</v>
      </c>
      <c r="B2" s="46" t="s">
        <v>0</v>
      </c>
      <c r="C2" s="46" t="s">
        <v>1</v>
      </c>
      <c r="D2" s="46" t="s">
        <v>4</v>
      </c>
    </row>
    <row r="3" spans="1:4" ht="15.5">
      <c r="A3" s="59">
        <v>1</v>
      </c>
      <c r="B3" s="60" t="s">
        <v>57</v>
      </c>
      <c r="C3" s="60" t="s">
        <v>58</v>
      </c>
      <c r="D3" s="67">
        <v>4</v>
      </c>
    </row>
    <row r="4" spans="1:4" ht="15.5">
      <c r="A4" s="59">
        <v>2</v>
      </c>
      <c r="B4" s="60" t="s">
        <v>59</v>
      </c>
      <c r="C4" s="60" t="s">
        <v>60</v>
      </c>
      <c r="D4" s="67">
        <v>1</v>
      </c>
    </row>
    <row r="5" spans="1:4" ht="15.5">
      <c r="A5" s="59">
        <v>3</v>
      </c>
      <c r="B5" s="60" t="s">
        <v>61</v>
      </c>
      <c r="C5" s="60" t="s">
        <v>62</v>
      </c>
      <c r="D5" s="67">
        <v>2</v>
      </c>
    </row>
    <row r="6" spans="1:4" ht="15.5">
      <c r="A6" s="59">
        <v>4</v>
      </c>
      <c r="B6" s="60" t="s">
        <v>851</v>
      </c>
      <c r="C6" s="60" t="s">
        <v>852</v>
      </c>
      <c r="D6" s="67">
        <v>6</v>
      </c>
    </row>
    <row r="7" spans="1:4" ht="15.5">
      <c r="A7" s="59">
        <v>5</v>
      </c>
      <c r="B7" s="60" t="s">
        <v>853</v>
      </c>
      <c r="C7" s="60" t="s">
        <v>855</v>
      </c>
      <c r="D7" s="67">
        <v>3</v>
      </c>
    </row>
    <row r="8" spans="1:4" ht="15.5">
      <c r="A8" s="59">
        <v>6</v>
      </c>
      <c r="B8" s="60" t="s">
        <v>977</v>
      </c>
      <c r="C8" s="60" t="s">
        <v>978</v>
      </c>
      <c r="D8" s="67">
        <v>4</v>
      </c>
    </row>
    <row r="9" spans="1:4" ht="15.5">
      <c r="A9" s="59">
        <v>7</v>
      </c>
      <c r="B9" s="60" t="s">
        <v>63</v>
      </c>
      <c r="C9" s="60" t="s">
        <v>64</v>
      </c>
      <c r="D9" s="67">
        <v>10</v>
      </c>
    </row>
    <row r="10" spans="1:4" ht="15.5">
      <c r="A10" s="59">
        <v>8</v>
      </c>
      <c r="B10" s="60" t="s">
        <v>65</v>
      </c>
      <c r="C10" s="60" t="s">
        <v>66</v>
      </c>
      <c r="D10" s="67">
        <v>4</v>
      </c>
    </row>
    <row r="11" spans="1:4" ht="15.5">
      <c r="A11" s="59">
        <v>9</v>
      </c>
      <c r="B11" s="60" t="s">
        <v>67</v>
      </c>
      <c r="C11" s="60" t="s">
        <v>68</v>
      </c>
      <c r="D11" s="67">
        <v>8</v>
      </c>
    </row>
    <row r="12" spans="1:4" ht="15.5">
      <c r="A12" s="59">
        <v>10</v>
      </c>
      <c r="B12" s="60" t="s">
        <v>1385</v>
      </c>
      <c r="C12" s="60" t="s">
        <v>1384</v>
      </c>
      <c r="D12" s="67">
        <v>9</v>
      </c>
    </row>
    <row r="13" spans="1:4" ht="15.5">
      <c r="A13" s="59">
        <v>11</v>
      </c>
      <c r="B13" s="60" t="s">
        <v>863</v>
      </c>
      <c r="C13" s="60" t="s">
        <v>864</v>
      </c>
      <c r="D13" s="67">
        <v>5</v>
      </c>
    </row>
    <row r="14" spans="1:4" ht="15.5">
      <c r="A14" s="59">
        <v>12</v>
      </c>
      <c r="B14" s="60" t="s">
        <v>867</v>
      </c>
      <c r="C14" s="60" t="s">
        <v>868</v>
      </c>
      <c r="D14" s="67">
        <v>6</v>
      </c>
    </row>
    <row r="15" spans="1:4" ht="15.5">
      <c r="A15" s="59">
        <v>13</v>
      </c>
      <c r="B15" s="60" t="s">
        <v>871</v>
      </c>
      <c r="C15" s="60" t="s">
        <v>872</v>
      </c>
      <c r="D15" s="67">
        <v>1</v>
      </c>
    </row>
    <row r="16" spans="1:4" ht="15.5">
      <c r="A16" s="59">
        <v>14</v>
      </c>
      <c r="B16" s="60" t="s">
        <v>873</v>
      </c>
      <c r="C16" s="60" t="s">
        <v>874</v>
      </c>
      <c r="D16" s="67">
        <v>9</v>
      </c>
    </row>
    <row r="17" spans="1:4" ht="15.5">
      <c r="A17" s="59">
        <v>15</v>
      </c>
      <c r="B17" s="60" t="s">
        <v>979</v>
      </c>
      <c r="C17" s="60" t="s">
        <v>980</v>
      </c>
      <c r="D17" s="67">
        <v>2</v>
      </c>
    </row>
    <row r="18" spans="1:4" ht="15.5">
      <c r="A18" s="59">
        <v>16</v>
      </c>
      <c r="B18" s="60" t="s">
        <v>1537</v>
      </c>
      <c r="C18" s="60" t="s">
        <v>1538</v>
      </c>
      <c r="D18" s="67">
        <v>5</v>
      </c>
    </row>
    <row r="19" spans="1:4" ht="15.5">
      <c r="A19" s="59">
        <v>17</v>
      </c>
      <c r="B19" s="60" t="s">
        <v>1539</v>
      </c>
      <c r="C19" s="60" t="s">
        <v>1540</v>
      </c>
      <c r="D19" s="67">
        <v>1</v>
      </c>
    </row>
    <row r="20" spans="1:4" ht="15.5">
      <c r="A20" s="59">
        <v>18</v>
      </c>
      <c r="B20" s="60" t="s">
        <v>1541</v>
      </c>
      <c r="C20" s="60" t="s">
        <v>1542</v>
      </c>
      <c r="D20" s="67">
        <v>4</v>
      </c>
    </row>
    <row r="21" spans="1:4" ht="15.5">
      <c r="A21" s="59">
        <v>19</v>
      </c>
      <c r="B21" s="60" t="s">
        <v>1397</v>
      </c>
      <c r="C21" s="60" t="s">
        <v>1398</v>
      </c>
      <c r="D21" s="67">
        <v>5</v>
      </c>
    </row>
    <row r="22" spans="1:4" ht="15.5">
      <c r="A22" s="59">
        <v>20</v>
      </c>
      <c r="B22" s="60" t="s">
        <v>1403</v>
      </c>
      <c r="C22" s="60" t="s">
        <v>1404</v>
      </c>
      <c r="D22" s="67">
        <v>1</v>
      </c>
    </row>
    <row r="23" spans="1:4" ht="15.5">
      <c r="A23" s="59">
        <v>21</v>
      </c>
      <c r="B23" s="60" t="s">
        <v>1405</v>
      </c>
      <c r="C23" s="60" t="s">
        <v>1406</v>
      </c>
      <c r="D23" s="67">
        <v>2</v>
      </c>
    </row>
    <row r="24" spans="1:4" ht="15.5">
      <c r="A24" s="59">
        <v>22</v>
      </c>
      <c r="B24" s="60" t="s">
        <v>1543</v>
      </c>
      <c r="C24" s="60" t="s">
        <v>1544</v>
      </c>
      <c r="D24" s="67">
        <v>1</v>
      </c>
    </row>
    <row r="25" spans="1:4" ht="15.5">
      <c r="A25" s="59">
        <v>23</v>
      </c>
      <c r="B25" s="60" t="s">
        <v>1407</v>
      </c>
      <c r="C25" s="60" t="s">
        <v>1408</v>
      </c>
      <c r="D25" s="67">
        <v>9</v>
      </c>
    </row>
    <row r="26" spans="1:4" ht="15.5">
      <c r="A26" s="59">
        <v>24</v>
      </c>
      <c r="B26" s="60" t="s">
        <v>1409</v>
      </c>
      <c r="C26" s="60" t="s">
        <v>1410</v>
      </c>
      <c r="D26" s="67">
        <v>8</v>
      </c>
    </row>
    <row r="27" spans="1:4" ht="15.5">
      <c r="A27" s="59">
        <v>25</v>
      </c>
      <c r="B27" s="60" t="s">
        <v>1411</v>
      </c>
      <c r="C27" s="60" t="s">
        <v>1412</v>
      </c>
      <c r="D27" s="67">
        <v>7</v>
      </c>
    </row>
    <row r="28" spans="1:4" ht="15.5">
      <c r="A28" s="59">
        <v>26</v>
      </c>
      <c r="B28" s="60" t="s">
        <v>1413</v>
      </c>
      <c r="C28" s="60" t="s">
        <v>1414</v>
      </c>
      <c r="D28" s="67">
        <v>5</v>
      </c>
    </row>
    <row r="29" spans="1:4" ht="15.5">
      <c r="A29" s="59">
        <v>27</v>
      </c>
      <c r="B29" s="60" t="s">
        <v>1545</v>
      </c>
      <c r="C29" s="60" t="s">
        <v>1546</v>
      </c>
      <c r="D29" s="67">
        <v>7</v>
      </c>
    </row>
    <row r="30" spans="1:4" ht="15.5">
      <c r="A30" s="59">
        <v>28</v>
      </c>
      <c r="B30" s="60" t="s">
        <v>1415</v>
      </c>
      <c r="C30" s="60" t="s">
        <v>1416</v>
      </c>
      <c r="D30" s="67">
        <v>10</v>
      </c>
    </row>
    <row r="31" spans="1:4" ht="15.5">
      <c r="A31" s="59">
        <v>29</v>
      </c>
      <c r="B31" s="60" t="s">
        <v>1417</v>
      </c>
      <c r="C31" s="60" t="s">
        <v>1418</v>
      </c>
      <c r="D31" s="67">
        <v>14</v>
      </c>
    </row>
    <row r="32" spans="1:4" ht="15.5">
      <c r="A32" s="59">
        <v>30</v>
      </c>
      <c r="B32" s="60" t="s">
        <v>1419</v>
      </c>
      <c r="C32" s="60" t="s">
        <v>1420</v>
      </c>
      <c r="D32" s="67">
        <v>9</v>
      </c>
    </row>
    <row r="33" spans="1:4" ht="15.5">
      <c r="A33" s="59">
        <v>31</v>
      </c>
      <c r="B33" s="60" t="s">
        <v>1547</v>
      </c>
      <c r="C33" s="60" t="s">
        <v>1548</v>
      </c>
      <c r="D33" s="67">
        <v>18</v>
      </c>
    </row>
    <row r="34" spans="1:4" ht="15.5">
      <c r="A34" s="59">
        <v>32</v>
      </c>
      <c r="B34" s="60" t="s">
        <v>1421</v>
      </c>
      <c r="C34" s="60" t="s">
        <v>1422</v>
      </c>
      <c r="D34" s="67">
        <v>5</v>
      </c>
    </row>
    <row r="35" spans="1:4" ht="15.5">
      <c r="A35" s="59">
        <v>33</v>
      </c>
      <c r="B35" s="60" t="s">
        <v>1423</v>
      </c>
      <c r="C35" s="60" t="s">
        <v>1424</v>
      </c>
      <c r="D35" s="67">
        <v>3</v>
      </c>
    </row>
    <row r="36" spans="1:4" ht="15.5">
      <c r="A36" s="59">
        <v>34</v>
      </c>
      <c r="B36" s="60" t="s">
        <v>1425</v>
      </c>
      <c r="C36" s="60" t="s">
        <v>1426</v>
      </c>
      <c r="D36" s="67">
        <v>16</v>
      </c>
    </row>
    <row r="37" spans="1:4" ht="15.5">
      <c r="A37" s="59">
        <v>35</v>
      </c>
      <c r="B37" s="60" t="s">
        <v>1427</v>
      </c>
      <c r="C37" s="60" t="s">
        <v>1428</v>
      </c>
      <c r="D37" s="67">
        <v>15</v>
      </c>
    </row>
    <row r="38" spans="1:4" ht="15.5">
      <c r="A38" s="59">
        <v>36</v>
      </c>
      <c r="B38" s="60" t="s">
        <v>1429</v>
      </c>
      <c r="C38" s="60" t="s">
        <v>1430</v>
      </c>
      <c r="D38" s="67">
        <v>5</v>
      </c>
    </row>
    <row r="39" spans="1:4" ht="15.5">
      <c r="A39" s="59">
        <v>37</v>
      </c>
      <c r="B39" s="60" t="s">
        <v>1431</v>
      </c>
      <c r="C39" s="60" t="s">
        <v>1432</v>
      </c>
      <c r="D39" s="67">
        <v>7</v>
      </c>
    </row>
    <row r="40" spans="1:4" ht="15.5">
      <c r="A40" s="59">
        <v>38</v>
      </c>
      <c r="B40" s="60" t="s">
        <v>1433</v>
      </c>
      <c r="C40" s="60" t="s">
        <v>1434</v>
      </c>
      <c r="D40" s="67">
        <v>7</v>
      </c>
    </row>
    <row r="41" spans="1:4" ht="15.5">
      <c r="A41" s="59">
        <v>39</v>
      </c>
      <c r="B41" s="60" t="s">
        <v>1435</v>
      </c>
      <c r="C41" s="60" t="s">
        <v>1436</v>
      </c>
      <c r="D41" s="67">
        <v>17</v>
      </c>
    </row>
    <row r="42" spans="1:4" ht="15.5">
      <c r="A42" s="59">
        <v>40</v>
      </c>
      <c r="B42" s="60" t="s">
        <v>1437</v>
      </c>
      <c r="C42" s="60" t="s">
        <v>1438</v>
      </c>
      <c r="D42" s="67">
        <v>2</v>
      </c>
    </row>
    <row r="43" spans="1:4" ht="15.5">
      <c r="A43" s="59">
        <v>41</v>
      </c>
      <c r="B43" s="60" t="s">
        <v>1439</v>
      </c>
      <c r="C43" s="60" t="s">
        <v>1440</v>
      </c>
      <c r="D43" s="67">
        <v>5</v>
      </c>
    </row>
    <row r="44" spans="1:4" ht="15.5">
      <c r="A44" s="59">
        <v>42</v>
      </c>
      <c r="B44" s="60" t="s">
        <v>1441</v>
      </c>
      <c r="C44" s="60" t="s">
        <v>1442</v>
      </c>
      <c r="D44" s="67">
        <v>3</v>
      </c>
    </row>
    <row r="45" spans="1:4" ht="15.5">
      <c r="A45" s="59">
        <v>43</v>
      </c>
      <c r="B45" s="60" t="s">
        <v>1443</v>
      </c>
      <c r="C45" s="60" t="s">
        <v>1444</v>
      </c>
      <c r="D45" s="67">
        <v>5</v>
      </c>
    </row>
    <row r="46" spans="1:4" ht="15.5">
      <c r="A46" s="59">
        <v>44</v>
      </c>
      <c r="B46" s="60" t="s">
        <v>1445</v>
      </c>
      <c r="C46" s="60" t="s">
        <v>1446</v>
      </c>
      <c r="D46" s="67">
        <v>10</v>
      </c>
    </row>
    <row r="47" spans="1:4" ht="15.5">
      <c r="A47" s="59">
        <v>45</v>
      </c>
      <c r="B47" s="60" t="s">
        <v>1447</v>
      </c>
      <c r="C47" s="60" t="s">
        <v>1448</v>
      </c>
      <c r="D47" s="67">
        <v>8</v>
      </c>
    </row>
    <row r="48" spans="1:4" ht="15.5">
      <c r="A48" s="59">
        <v>46</v>
      </c>
      <c r="B48" s="60" t="s">
        <v>1449</v>
      </c>
      <c r="C48" s="60" t="s">
        <v>1450</v>
      </c>
      <c r="D48" s="67">
        <v>11</v>
      </c>
    </row>
    <row r="49" spans="1:4" ht="15.5">
      <c r="A49" s="59">
        <v>47</v>
      </c>
      <c r="B49" s="60" t="s">
        <v>1451</v>
      </c>
      <c r="C49" s="60" t="s">
        <v>1452</v>
      </c>
      <c r="D49" s="67">
        <v>5</v>
      </c>
    </row>
    <row r="50" spans="1:4" ht="15.5">
      <c r="A50" s="59">
        <v>48</v>
      </c>
      <c r="B50" s="60" t="s">
        <v>1453</v>
      </c>
      <c r="C50" s="60" t="s">
        <v>1454</v>
      </c>
      <c r="D50" s="67">
        <v>3</v>
      </c>
    </row>
    <row r="51" spans="1:4" ht="15.5">
      <c r="A51" s="59">
        <v>49</v>
      </c>
      <c r="B51" s="60" t="s">
        <v>1455</v>
      </c>
      <c r="C51" s="60" t="s">
        <v>1456</v>
      </c>
      <c r="D51" s="67">
        <v>7</v>
      </c>
    </row>
    <row r="52" spans="1:4" ht="15.5">
      <c r="A52" s="59">
        <v>50</v>
      </c>
      <c r="B52" s="60" t="s">
        <v>1457</v>
      </c>
      <c r="C52" s="60" t="s">
        <v>1458</v>
      </c>
      <c r="D52" s="67">
        <v>8</v>
      </c>
    </row>
    <row r="53" spans="1:4" ht="15.5">
      <c r="A53" s="59">
        <v>51</v>
      </c>
      <c r="B53" s="60" t="s">
        <v>1459</v>
      </c>
      <c r="C53" s="60" t="s">
        <v>1460</v>
      </c>
      <c r="D53" s="67">
        <v>5</v>
      </c>
    </row>
    <row r="54" spans="1:4" ht="15.5">
      <c r="A54" s="59">
        <v>52</v>
      </c>
      <c r="B54" s="60" t="s">
        <v>1007</v>
      </c>
      <c r="C54" s="60" t="s">
        <v>1008</v>
      </c>
      <c r="D54" s="67">
        <v>5</v>
      </c>
    </row>
    <row r="55" spans="1:4" ht="15.5">
      <c r="A55" s="59">
        <v>53</v>
      </c>
      <c r="B55" s="60" t="s">
        <v>1005</v>
      </c>
      <c r="C55" s="60" t="s">
        <v>1006</v>
      </c>
      <c r="D55" s="67">
        <v>5</v>
      </c>
    </row>
    <row r="56" spans="1:4" ht="15.5">
      <c r="A56" s="59">
        <v>54</v>
      </c>
      <c r="B56" s="60" t="s">
        <v>1003</v>
      </c>
      <c r="C56" s="60" t="s">
        <v>1004</v>
      </c>
      <c r="D56" s="67">
        <v>4</v>
      </c>
    </row>
    <row r="57" spans="1:4" ht="15.5">
      <c r="A57" s="59">
        <v>55</v>
      </c>
      <c r="B57" s="60" t="s">
        <v>1015</v>
      </c>
      <c r="C57" s="60" t="s">
        <v>1016</v>
      </c>
      <c r="D57" s="67">
        <v>4</v>
      </c>
    </row>
    <row r="58" spans="1:4" ht="15.5">
      <c r="A58" s="59">
        <v>56</v>
      </c>
      <c r="B58" s="60" t="s">
        <v>1011</v>
      </c>
      <c r="C58" s="60" t="s">
        <v>1012</v>
      </c>
      <c r="D58" s="67">
        <v>71</v>
      </c>
    </row>
    <row r="59" spans="1:4" ht="15.5">
      <c r="A59" s="59">
        <v>57</v>
      </c>
      <c r="B59" s="60" t="s">
        <v>1023</v>
      </c>
      <c r="C59" s="60" t="s">
        <v>1024</v>
      </c>
      <c r="D59" s="67">
        <v>3</v>
      </c>
    </row>
    <row r="60" spans="1:4" ht="15.5">
      <c r="A60" s="59">
        <v>58</v>
      </c>
      <c r="B60" s="60" t="s">
        <v>1027</v>
      </c>
      <c r="C60" s="60" t="s">
        <v>1028</v>
      </c>
      <c r="D60" s="67">
        <v>7</v>
      </c>
    </row>
    <row r="61" spans="1:4" ht="15.5">
      <c r="A61" s="59">
        <v>59</v>
      </c>
      <c r="B61" s="60" t="s">
        <v>1025</v>
      </c>
      <c r="C61" s="60" t="s">
        <v>1026</v>
      </c>
      <c r="D61" s="67">
        <v>4</v>
      </c>
    </row>
    <row r="62" spans="1:4" ht="15.5">
      <c r="A62" s="59">
        <v>60</v>
      </c>
      <c r="B62" s="60" t="s">
        <v>1019</v>
      </c>
      <c r="C62" s="60" t="s">
        <v>1020</v>
      </c>
      <c r="D62" s="67">
        <v>5</v>
      </c>
    </row>
    <row r="63" spans="1:4" ht="15.5">
      <c r="A63" s="59">
        <v>61</v>
      </c>
      <c r="B63" s="60" t="s">
        <v>1017</v>
      </c>
      <c r="C63" s="60" t="s">
        <v>1018</v>
      </c>
      <c r="D63" s="67">
        <v>2</v>
      </c>
    </row>
    <row r="64" spans="1:4" ht="15.5">
      <c r="A64" s="59">
        <v>62</v>
      </c>
      <c r="B64" s="60" t="s">
        <v>1021</v>
      </c>
      <c r="C64" s="60" t="s">
        <v>1022</v>
      </c>
      <c r="D64" s="67">
        <v>9</v>
      </c>
    </row>
    <row r="65" spans="1:4" ht="15.5">
      <c r="A65" s="59">
        <v>63</v>
      </c>
      <c r="B65" s="60" t="s">
        <v>1465</v>
      </c>
      <c r="C65" s="60" t="s">
        <v>1466</v>
      </c>
      <c r="D65" s="67">
        <v>4</v>
      </c>
    </row>
    <row r="66" spans="1:4" ht="15.5">
      <c r="A66" s="59">
        <v>64</v>
      </c>
      <c r="B66" s="60" t="s">
        <v>1467</v>
      </c>
      <c r="C66" s="60" t="s">
        <v>1468</v>
      </c>
      <c r="D66" s="67">
        <v>4</v>
      </c>
    </row>
    <row r="67" spans="1:4" ht="15.5">
      <c r="A67" s="59">
        <v>65</v>
      </c>
      <c r="B67" s="60" t="s">
        <v>71</v>
      </c>
      <c r="C67" s="60" t="s">
        <v>72</v>
      </c>
      <c r="D67" s="67">
        <v>1</v>
      </c>
    </row>
    <row r="68" spans="1:4" ht="15.5">
      <c r="A68" s="59">
        <v>66</v>
      </c>
      <c r="B68" s="60" t="s">
        <v>75</v>
      </c>
      <c r="C68" s="60" t="s">
        <v>76</v>
      </c>
      <c r="D68" s="67">
        <v>2</v>
      </c>
    </row>
    <row r="69" spans="1:4" ht="15.5">
      <c r="A69" s="59">
        <v>67</v>
      </c>
      <c r="B69" s="60" t="s">
        <v>79</v>
      </c>
      <c r="C69" s="60" t="s">
        <v>80</v>
      </c>
      <c r="D69" s="67">
        <v>1</v>
      </c>
    </row>
    <row r="70" spans="1:4" ht="15.5">
      <c r="A70" s="59">
        <v>68</v>
      </c>
      <c r="B70" s="60" t="s">
        <v>83</v>
      </c>
      <c r="C70" s="60" t="s">
        <v>84</v>
      </c>
      <c r="D70" s="67">
        <v>1</v>
      </c>
    </row>
    <row r="71" spans="1:4" ht="15.5">
      <c r="A71" s="59">
        <v>69</v>
      </c>
      <c r="B71" s="60" t="s">
        <v>87</v>
      </c>
      <c r="C71" s="60" t="s">
        <v>88</v>
      </c>
      <c r="D71" s="67">
        <v>1</v>
      </c>
    </row>
    <row r="72" spans="1:4" ht="15.5">
      <c r="A72" s="59">
        <v>70</v>
      </c>
      <c r="B72" s="60" t="s">
        <v>90</v>
      </c>
      <c r="C72" s="60" t="s">
        <v>92</v>
      </c>
      <c r="D72" s="67">
        <v>1</v>
      </c>
    </row>
    <row r="73" spans="1:4" ht="15.5">
      <c r="A73" s="59">
        <v>71</v>
      </c>
      <c r="B73" s="60" t="s">
        <v>99</v>
      </c>
      <c r="C73" s="60" t="s">
        <v>100</v>
      </c>
      <c r="D73" s="67">
        <v>1</v>
      </c>
    </row>
    <row r="74" spans="1:4" ht="15.5">
      <c r="A74" s="59">
        <v>72</v>
      </c>
      <c r="B74" s="60" t="s">
        <v>278</v>
      </c>
      <c r="C74" s="60" t="s">
        <v>279</v>
      </c>
      <c r="D74" s="67">
        <v>2</v>
      </c>
    </row>
    <row r="75" spans="1:4" ht="15.5">
      <c r="A75" s="59">
        <v>73</v>
      </c>
      <c r="B75" s="60" t="s">
        <v>166</v>
      </c>
      <c r="C75" s="60" t="s">
        <v>167</v>
      </c>
      <c r="D75" s="67">
        <v>1</v>
      </c>
    </row>
    <row r="76" spans="1:4" ht="15.5">
      <c r="A76" s="59">
        <v>74</v>
      </c>
      <c r="B76" s="60" t="s">
        <v>130</v>
      </c>
      <c r="C76" s="60" t="s">
        <v>131</v>
      </c>
      <c r="D76" s="67">
        <v>1</v>
      </c>
    </row>
    <row r="77" spans="1:4" ht="15.5">
      <c r="A77" s="59">
        <v>75</v>
      </c>
      <c r="B77" s="60" t="s">
        <v>132</v>
      </c>
      <c r="C77" s="60" t="s">
        <v>133</v>
      </c>
      <c r="D77" s="67">
        <v>1</v>
      </c>
    </row>
    <row r="78" spans="1:4" ht="15.5">
      <c r="A78" s="59">
        <v>76</v>
      </c>
      <c r="B78" s="60" t="s">
        <v>170</v>
      </c>
      <c r="C78" s="60" t="s">
        <v>171</v>
      </c>
      <c r="D78" s="67">
        <v>1</v>
      </c>
    </row>
    <row r="79" spans="1:4" ht="15.5">
      <c r="A79" s="59">
        <v>77</v>
      </c>
      <c r="B79" s="60" t="s">
        <v>172</v>
      </c>
      <c r="C79" s="60" t="s">
        <v>173</v>
      </c>
      <c r="D79" s="67">
        <v>1</v>
      </c>
    </row>
    <row r="80" spans="1:4" ht="15.5">
      <c r="A80" s="59">
        <v>78</v>
      </c>
      <c r="B80" s="60" t="s">
        <v>174</v>
      </c>
      <c r="C80" s="60" t="s">
        <v>175</v>
      </c>
      <c r="D80" s="67">
        <v>1</v>
      </c>
    </row>
    <row r="81" spans="1:4" ht="15.5">
      <c r="A81" s="59">
        <v>79</v>
      </c>
      <c r="B81" s="60" t="s">
        <v>983</v>
      </c>
      <c r="C81" s="60" t="s">
        <v>984</v>
      </c>
      <c r="D81" s="67">
        <v>1</v>
      </c>
    </row>
    <row r="82" spans="1:4" ht="15.5">
      <c r="A82" s="59">
        <v>80</v>
      </c>
      <c r="B82" s="60" t="s">
        <v>987</v>
      </c>
      <c r="C82" s="60" t="s">
        <v>988</v>
      </c>
      <c r="D82" s="67">
        <v>4</v>
      </c>
    </row>
    <row r="83" spans="1:4" ht="15.5">
      <c r="A83" s="59">
        <v>81</v>
      </c>
      <c r="B83" s="60" t="s">
        <v>989</v>
      </c>
      <c r="C83" s="60" t="s">
        <v>990</v>
      </c>
      <c r="D83" s="67">
        <v>3</v>
      </c>
    </row>
    <row r="84" spans="1:4" ht="15.5">
      <c r="A84" s="59">
        <v>82</v>
      </c>
      <c r="B84" s="60" t="s">
        <v>991</v>
      </c>
      <c r="C84" s="60" t="s">
        <v>992</v>
      </c>
      <c r="D84" s="67">
        <v>3</v>
      </c>
    </row>
    <row r="85" spans="1:4" ht="15.5">
      <c r="A85" s="59">
        <v>83</v>
      </c>
      <c r="B85" s="60" t="s">
        <v>993</v>
      </c>
      <c r="C85" s="60" t="s">
        <v>994</v>
      </c>
      <c r="D85" s="67">
        <v>4</v>
      </c>
    </row>
    <row r="86" spans="1:4" ht="15.5">
      <c r="A86" s="59">
        <v>84</v>
      </c>
      <c r="B86" s="60" t="s">
        <v>995</v>
      </c>
      <c r="C86" s="60" t="s">
        <v>996</v>
      </c>
      <c r="D86" s="67">
        <v>2</v>
      </c>
    </row>
    <row r="87" spans="1:4" ht="15.5">
      <c r="A87" s="59">
        <v>85</v>
      </c>
      <c r="B87" s="60" t="s">
        <v>997</v>
      </c>
      <c r="C87" s="60" t="s">
        <v>998</v>
      </c>
      <c r="D87" s="67">
        <v>4</v>
      </c>
    </row>
    <row r="88" spans="1:4" ht="15.5">
      <c r="A88" s="59">
        <v>86</v>
      </c>
      <c r="B88" s="60" t="s">
        <v>1317</v>
      </c>
      <c r="C88" s="60" t="s">
        <v>1497</v>
      </c>
      <c r="D88" s="67">
        <v>2</v>
      </c>
    </row>
    <row r="89" spans="1:4" ht="15.5">
      <c r="A89" s="59">
        <v>87</v>
      </c>
      <c r="B89" s="60" t="s">
        <v>1315</v>
      </c>
      <c r="C89" s="60" t="s">
        <v>1498</v>
      </c>
      <c r="D89" s="67">
        <v>1</v>
      </c>
    </row>
    <row r="90" spans="1:4" ht="15.5">
      <c r="A90" s="59">
        <v>88</v>
      </c>
      <c r="B90" s="60" t="s">
        <v>1307</v>
      </c>
      <c r="C90" s="60" t="s">
        <v>1499</v>
      </c>
      <c r="D90" s="67">
        <v>2</v>
      </c>
    </row>
    <row r="91" spans="1:4" ht="15.5">
      <c r="A91" s="59">
        <v>89</v>
      </c>
      <c r="B91" s="60" t="s">
        <v>1305</v>
      </c>
      <c r="C91" s="60" t="s">
        <v>1499</v>
      </c>
      <c r="D91" s="67">
        <v>2</v>
      </c>
    </row>
    <row r="92" spans="1:4" ht="15.5">
      <c r="A92" s="59">
        <v>90</v>
      </c>
      <c r="B92" s="60" t="s">
        <v>1303</v>
      </c>
      <c r="C92" s="60" t="s">
        <v>1499</v>
      </c>
      <c r="D92" s="67">
        <v>2</v>
      </c>
    </row>
    <row r="93" spans="1:4" ht="15.5">
      <c r="A93" s="59">
        <v>91</v>
      </c>
      <c r="B93" s="60" t="s">
        <v>1301</v>
      </c>
      <c r="C93" s="60" t="s">
        <v>1300</v>
      </c>
      <c r="D93" s="67">
        <v>2</v>
      </c>
    </row>
    <row r="94" spans="1:4" ht="15.5">
      <c r="A94" s="59">
        <v>92</v>
      </c>
      <c r="B94" s="60" t="s">
        <v>1299</v>
      </c>
      <c r="C94" s="60" t="s">
        <v>1298</v>
      </c>
      <c r="D94" s="67">
        <v>2</v>
      </c>
    </row>
    <row r="95" spans="1:4" ht="15.5">
      <c r="A95" s="59">
        <v>93</v>
      </c>
      <c r="B95" s="60" t="s">
        <v>1297</v>
      </c>
      <c r="C95" s="60" t="s">
        <v>1296</v>
      </c>
      <c r="D95" s="67">
        <v>1</v>
      </c>
    </row>
    <row r="96" spans="1:4" ht="15.5">
      <c r="A96" s="59">
        <v>94</v>
      </c>
      <c r="B96" s="60" t="s">
        <v>1295</v>
      </c>
      <c r="C96" s="60" t="s">
        <v>1294</v>
      </c>
      <c r="D96" s="67">
        <v>1</v>
      </c>
    </row>
    <row r="97" spans="1:4" ht="15.5">
      <c r="A97" s="59">
        <v>95</v>
      </c>
      <c r="B97" s="60" t="s">
        <v>1293</v>
      </c>
      <c r="C97" s="60" t="s">
        <v>1292</v>
      </c>
      <c r="D97" s="67">
        <v>2</v>
      </c>
    </row>
    <row r="98" spans="1:4" ht="15.5">
      <c r="A98" s="59">
        <v>96</v>
      </c>
      <c r="B98" s="60" t="s">
        <v>1291</v>
      </c>
      <c r="C98" s="60" t="s">
        <v>1290</v>
      </c>
      <c r="D98" s="67">
        <v>2</v>
      </c>
    </row>
    <row r="99" spans="1:4" ht="15.5">
      <c r="A99" s="59">
        <v>97</v>
      </c>
      <c r="B99" s="60" t="s">
        <v>1285</v>
      </c>
      <c r="C99" s="60" t="s">
        <v>1284</v>
      </c>
      <c r="D99" s="67">
        <v>1</v>
      </c>
    </row>
    <row r="100" spans="1:4" ht="15.5">
      <c r="A100" s="59">
        <v>98</v>
      </c>
      <c r="B100" s="60" t="s">
        <v>1283</v>
      </c>
      <c r="C100" s="60" t="s">
        <v>1282</v>
      </c>
      <c r="D100" s="67">
        <v>1</v>
      </c>
    </row>
    <row r="101" spans="1:4" ht="15.5">
      <c r="A101" s="59">
        <v>99</v>
      </c>
      <c r="B101" s="60" t="s">
        <v>1281</v>
      </c>
      <c r="C101" s="60" t="s">
        <v>1280</v>
      </c>
      <c r="D101" s="67">
        <v>1</v>
      </c>
    </row>
    <row r="102" spans="1:4" ht="15.5">
      <c r="A102" s="59">
        <v>100</v>
      </c>
      <c r="B102" s="60" t="s">
        <v>1279</v>
      </c>
      <c r="C102" s="60" t="s">
        <v>1278</v>
      </c>
      <c r="D102" s="67">
        <v>1</v>
      </c>
    </row>
    <row r="103" spans="1:4" ht="15.5">
      <c r="A103" s="59">
        <v>101</v>
      </c>
      <c r="B103" s="60" t="s">
        <v>1277</v>
      </c>
      <c r="C103" s="60" t="s">
        <v>1276</v>
      </c>
      <c r="D103" s="67">
        <v>1</v>
      </c>
    </row>
    <row r="104" spans="1:4" ht="15.5">
      <c r="A104" s="59">
        <v>102</v>
      </c>
      <c r="B104" s="60" t="s">
        <v>1273</v>
      </c>
      <c r="C104" s="60" t="s">
        <v>1272</v>
      </c>
      <c r="D104" s="67">
        <v>0</v>
      </c>
    </row>
    <row r="105" spans="1:4" ht="15.5">
      <c r="A105" s="59">
        <v>103</v>
      </c>
      <c r="B105" s="60" t="s">
        <v>1271</v>
      </c>
      <c r="C105" s="60" t="s">
        <v>1270</v>
      </c>
      <c r="D105" s="67">
        <v>1</v>
      </c>
    </row>
    <row r="106" spans="1:4" ht="15.5">
      <c r="A106" s="59">
        <v>104</v>
      </c>
      <c r="B106" s="60" t="s">
        <v>1269</v>
      </c>
      <c r="C106" s="60" t="s">
        <v>1268</v>
      </c>
      <c r="D106" s="67">
        <v>1</v>
      </c>
    </row>
    <row r="107" spans="1:4" ht="15.5">
      <c r="A107" s="59">
        <v>105</v>
      </c>
      <c r="B107" s="60" t="s">
        <v>1267</v>
      </c>
      <c r="C107" s="60" t="s">
        <v>1266</v>
      </c>
      <c r="D107" s="67">
        <v>1</v>
      </c>
    </row>
    <row r="108" spans="1:4" ht="15.5">
      <c r="A108" s="59">
        <v>106</v>
      </c>
      <c r="B108" s="60" t="s">
        <v>1265</v>
      </c>
      <c r="C108" s="60" t="s">
        <v>1264</v>
      </c>
      <c r="D108" s="67">
        <v>1</v>
      </c>
    </row>
    <row r="109" spans="1:4" ht="15.5">
      <c r="A109" s="59">
        <v>107</v>
      </c>
      <c r="B109" s="60" t="s">
        <v>1261</v>
      </c>
      <c r="C109" s="60" t="s">
        <v>1260</v>
      </c>
      <c r="D109" s="67">
        <v>1</v>
      </c>
    </row>
    <row r="110" spans="1:4" ht="15.5">
      <c r="A110" s="59">
        <v>108</v>
      </c>
      <c r="B110" s="60" t="s">
        <v>1231</v>
      </c>
      <c r="C110" s="60" t="s">
        <v>1230</v>
      </c>
      <c r="D110" s="67">
        <v>1</v>
      </c>
    </row>
    <row r="111" spans="1:4" ht="15.5">
      <c r="A111" s="59">
        <v>109</v>
      </c>
      <c r="B111" s="60" t="s">
        <v>1229</v>
      </c>
      <c r="C111" s="60" t="s">
        <v>1228</v>
      </c>
      <c r="D111" s="67">
        <v>1</v>
      </c>
    </row>
    <row r="112" spans="1:4" ht="15.5">
      <c r="A112" s="59">
        <v>110</v>
      </c>
      <c r="B112" s="60" t="s">
        <v>1225</v>
      </c>
      <c r="C112" s="60" t="s">
        <v>1224</v>
      </c>
      <c r="D112" s="67">
        <v>1</v>
      </c>
    </row>
    <row r="113" spans="1:4" ht="15.5">
      <c r="A113" s="59">
        <v>111</v>
      </c>
      <c r="B113" s="60" t="s">
        <v>1223</v>
      </c>
      <c r="C113" s="60" t="s">
        <v>1222</v>
      </c>
      <c r="D113" s="67">
        <v>1</v>
      </c>
    </row>
    <row r="114" spans="1:4" ht="15.5">
      <c r="A114" s="59">
        <v>112</v>
      </c>
      <c r="B114" s="60" t="s">
        <v>1221</v>
      </c>
      <c r="C114" s="60" t="s">
        <v>1220</v>
      </c>
      <c r="D114" s="67">
        <v>1</v>
      </c>
    </row>
    <row r="115" spans="1:4" ht="15.5">
      <c r="A115" s="59">
        <v>113</v>
      </c>
      <c r="B115" s="60" t="s">
        <v>1217</v>
      </c>
      <c r="C115" s="60" t="s">
        <v>1216</v>
      </c>
      <c r="D115" s="67">
        <v>1</v>
      </c>
    </row>
    <row r="116" spans="1:4" ht="15.5">
      <c r="A116" s="59">
        <v>114</v>
      </c>
      <c r="B116" s="60" t="s">
        <v>1215</v>
      </c>
      <c r="C116" s="60" t="s">
        <v>1214</v>
      </c>
      <c r="D116" s="67">
        <v>1</v>
      </c>
    </row>
    <row r="117" spans="1:4" ht="15.5">
      <c r="A117" s="59">
        <v>115</v>
      </c>
      <c r="B117" s="60" t="s">
        <v>1213</v>
      </c>
      <c r="C117" s="60" t="s">
        <v>1212</v>
      </c>
      <c r="D117" s="67">
        <v>1</v>
      </c>
    </row>
    <row r="118" spans="1:4" ht="15.5">
      <c r="A118" s="59">
        <v>116</v>
      </c>
      <c r="B118" s="60" t="s">
        <v>1209</v>
      </c>
      <c r="C118" s="60" t="s">
        <v>1208</v>
      </c>
      <c r="D118" s="67">
        <v>1</v>
      </c>
    </row>
    <row r="119" spans="1:4" ht="15.5">
      <c r="A119" s="59">
        <v>117</v>
      </c>
      <c r="B119" s="60" t="s">
        <v>73</v>
      </c>
      <c r="C119" s="60" t="s">
        <v>74</v>
      </c>
      <c r="D119" s="67">
        <v>1</v>
      </c>
    </row>
    <row r="120" spans="1:4" ht="15.5">
      <c r="A120" s="59">
        <v>118</v>
      </c>
      <c r="B120" s="60" t="s">
        <v>77</v>
      </c>
      <c r="C120" s="60" t="s">
        <v>78</v>
      </c>
      <c r="D120" s="67">
        <v>3</v>
      </c>
    </row>
    <row r="121" spans="1:4" ht="15.5">
      <c r="A121" s="59">
        <v>119</v>
      </c>
      <c r="B121" s="60" t="s">
        <v>81</v>
      </c>
      <c r="C121" s="60" t="s">
        <v>82</v>
      </c>
      <c r="D121" s="67">
        <v>1</v>
      </c>
    </row>
    <row r="122" spans="1:4" ht="15.5">
      <c r="A122" s="59">
        <v>120</v>
      </c>
      <c r="B122" s="60" t="s">
        <v>85</v>
      </c>
      <c r="C122" s="60" t="s">
        <v>86</v>
      </c>
      <c r="D122" s="67">
        <v>2</v>
      </c>
    </row>
    <row r="123" spans="1:4" ht="15.5">
      <c r="A123" s="59">
        <v>121</v>
      </c>
      <c r="B123" s="60" t="s">
        <v>89</v>
      </c>
      <c r="C123" s="60" t="s">
        <v>91</v>
      </c>
      <c r="D123" s="67">
        <v>1</v>
      </c>
    </row>
    <row r="124" spans="1:4" ht="15.5">
      <c r="A124" s="59">
        <v>122</v>
      </c>
      <c r="B124" s="60" t="s">
        <v>93</v>
      </c>
      <c r="C124" s="60" t="s">
        <v>94</v>
      </c>
      <c r="D124" s="67">
        <v>2</v>
      </c>
    </row>
    <row r="125" spans="1:4" ht="15.5">
      <c r="A125" s="59">
        <v>123</v>
      </c>
      <c r="B125" s="60" t="s">
        <v>95</v>
      </c>
      <c r="C125" s="60" t="s">
        <v>96</v>
      </c>
      <c r="D125" s="67">
        <v>1</v>
      </c>
    </row>
    <row r="126" spans="1:4" ht="15.5">
      <c r="A126" s="59">
        <v>124</v>
      </c>
      <c r="B126" s="60" t="s">
        <v>389</v>
      </c>
      <c r="C126" s="60" t="s">
        <v>390</v>
      </c>
      <c r="D126" s="67">
        <v>1</v>
      </c>
    </row>
    <row r="127" spans="1:4" ht="15.5">
      <c r="A127" s="59">
        <v>125</v>
      </c>
      <c r="B127" s="60" t="s">
        <v>393</v>
      </c>
      <c r="C127" s="60" t="s">
        <v>394</v>
      </c>
      <c r="D127" s="67">
        <v>1</v>
      </c>
    </row>
    <row r="128" spans="1:4" ht="15.5">
      <c r="A128" s="59">
        <v>126</v>
      </c>
      <c r="B128" s="60" t="s">
        <v>208</v>
      </c>
      <c r="C128" s="60" t="s">
        <v>209</v>
      </c>
      <c r="D128" s="67">
        <v>1</v>
      </c>
    </row>
    <row r="129" spans="1:4" ht="15.5">
      <c r="A129" s="59">
        <v>127</v>
      </c>
      <c r="B129" s="60" t="s">
        <v>210</v>
      </c>
      <c r="C129" s="60" t="s">
        <v>211</v>
      </c>
      <c r="D129" s="67">
        <v>1</v>
      </c>
    </row>
    <row r="130" spans="1:4" ht="15.5">
      <c r="A130" s="59">
        <v>128</v>
      </c>
      <c r="B130" s="60" t="s">
        <v>212</v>
      </c>
      <c r="C130" s="60" t="s">
        <v>213</v>
      </c>
      <c r="D130" s="67">
        <v>1</v>
      </c>
    </row>
    <row r="131" spans="1:4" ht="15.5">
      <c r="A131" s="59">
        <v>129</v>
      </c>
      <c r="B131" s="60" t="s">
        <v>214</v>
      </c>
      <c r="C131" s="60" t="s">
        <v>215</v>
      </c>
      <c r="D131" s="67">
        <v>1</v>
      </c>
    </row>
    <row r="132" spans="1:4" ht="15.5">
      <c r="A132" s="59">
        <v>130</v>
      </c>
      <c r="B132" s="60" t="s">
        <v>395</v>
      </c>
      <c r="C132" s="60" t="s">
        <v>396</v>
      </c>
      <c r="D132" s="67">
        <v>1</v>
      </c>
    </row>
    <row r="133" spans="1:4" ht="15.5">
      <c r="A133" s="59">
        <v>131</v>
      </c>
      <c r="B133" s="60" t="s">
        <v>1199</v>
      </c>
      <c r="C133" s="60" t="s">
        <v>1198</v>
      </c>
      <c r="D133" s="67">
        <v>1</v>
      </c>
    </row>
    <row r="134" spans="1:4" ht="15.5">
      <c r="A134" s="59">
        <v>132</v>
      </c>
      <c r="B134" s="60" t="s">
        <v>190</v>
      </c>
      <c r="C134" s="60" t="s">
        <v>191</v>
      </c>
      <c r="D134" s="67">
        <v>1</v>
      </c>
    </row>
    <row r="135" spans="1:4" ht="15.5">
      <c r="A135" s="59">
        <v>133</v>
      </c>
      <c r="B135" s="60" t="s">
        <v>192</v>
      </c>
      <c r="C135" s="60" t="s">
        <v>193</v>
      </c>
      <c r="D135" s="67">
        <v>1</v>
      </c>
    </row>
    <row r="136" spans="1:4" ht="15.5">
      <c r="A136" s="59">
        <v>134</v>
      </c>
      <c r="B136" s="60" t="s">
        <v>194</v>
      </c>
      <c r="C136" s="60" t="s">
        <v>195</v>
      </c>
      <c r="D136" s="67">
        <v>2</v>
      </c>
    </row>
    <row r="137" spans="1:4" ht="15.5">
      <c r="A137" s="59">
        <v>135</v>
      </c>
      <c r="B137" s="60" t="s">
        <v>196</v>
      </c>
      <c r="C137" s="60" t="s">
        <v>197</v>
      </c>
      <c r="D137" s="67">
        <v>2</v>
      </c>
    </row>
    <row r="138" spans="1:4" ht="15.5">
      <c r="A138" s="59">
        <v>136</v>
      </c>
      <c r="B138" s="60" t="s">
        <v>198</v>
      </c>
      <c r="C138" s="60" t="s">
        <v>199</v>
      </c>
      <c r="D138" s="67">
        <v>2</v>
      </c>
    </row>
    <row r="139" spans="1:4" ht="15.5">
      <c r="A139" s="59">
        <v>137</v>
      </c>
      <c r="B139" s="60" t="s">
        <v>1197</v>
      </c>
      <c r="C139" s="60" t="s">
        <v>1196</v>
      </c>
      <c r="D139" s="67">
        <v>1</v>
      </c>
    </row>
    <row r="140" spans="1:4" ht="15.5">
      <c r="A140" s="59">
        <v>138</v>
      </c>
      <c r="B140" s="60" t="s">
        <v>1195</v>
      </c>
      <c r="C140" s="60" t="s">
        <v>1194</v>
      </c>
      <c r="D140" s="67">
        <v>1</v>
      </c>
    </row>
    <row r="141" spans="1:4" ht="15.5">
      <c r="A141" s="59">
        <v>139</v>
      </c>
      <c r="B141" s="60" t="s">
        <v>1048</v>
      </c>
      <c r="C141" s="60" t="s">
        <v>1047</v>
      </c>
      <c r="D141" s="67">
        <v>1</v>
      </c>
    </row>
    <row r="142" spans="1:4" ht="15.5">
      <c r="A142" s="59">
        <v>140</v>
      </c>
      <c r="B142" s="60" t="s">
        <v>1046</v>
      </c>
      <c r="C142" s="60" t="s">
        <v>1045</v>
      </c>
      <c r="D142" s="67">
        <v>1</v>
      </c>
    </row>
    <row r="143" spans="1:4" ht="15.5">
      <c r="A143" s="59">
        <v>141</v>
      </c>
      <c r="B143" s="60" t="s">
        <v>1044</v>
      </c>
      <c r="C143" s="60" t="s">
        <v>1043</v>
      </c>
      <c r="D143" s="67">
        <v>2</v>
      </c>
    </row>
    <row r="144" spans="1:4" ht="15.5">
      <c r="A144" s="59">
        <v>142</v>
      </c>
      <c r="B144" s="60" t="s">
        <v>1042</v>
      </c>
      <c r="C144" s="60" t="s">
        <v>1041</v>
      </c>
      <c r="D144" s="67">
        <v>1</v>
      </c>
    </row>
    <row r="145" spans="1:4" ht="15.5">
      <c r="A145" s="59">
        <v>143</v>
      </c>
      <c r="B145" s="60" t="s">
        <v>1040</v>
      </c>
      <c r="C145" s="60" t="s">
        <v>1039</v>
      </c>
      <c r="D145" s="67">
        <v>1</v>
      </c>
    </row>
    <row r="146" spans="1:4" ht="15.5">
      <c r="A146" s="59">
        <v>144</v>
      </c>
      <c r="B146" s="60" t="s">
        <v>1038</v>
      </c>
      <c r="C146" s="60" t="s">
        <v>1037</v>
      </c>
      <c r="D146" s="67">
        <v>1</v>
      </c>
    </row>
    <row r="147" spans="1:4" ht="15.5">
      <c r="A147" s="59">
        <v>145</v>
      </c>
      <c r="B147" s="60" t="s">
        <v>1191</v>
      </c>
      <c r="C147" s="60" t="s">
        <v>1190</v>
      </c>
      <c r="D147" s="67">
        <v>1</v>
      </c>
    </row>
    <row r="148" spans="1:4" ht="15.5">
      <c r="A148" s="59">
        <v>146</v>
      </c>
      <c r="B148" s="60" t="s">
        <v>405</v>
      </c>
      <c r="C148" s="60" t="s">
        <v>406</v>
      </c>
      <c r="D148" s="67">
        <v>1</v>
      </c>
    </row>
    <row r="149" spans="1:4" ht="15.5">
      <c r="A149" s="59">
        <v>147</v>
      </c>
      <c r="B149" s="60" t="s">
        <v>407</v>
      </c>
      <c r="C149" s="60" t="s">
        <v>408</v>
      </c>
      <c r="D149" s="67">
        <v>1</v>
      </c>
    </row>
    <row r="150" spans="1:4" ht="15.5">
      <c r="A150" s="59">
        <v>148</v>
      </c>
      <c r="B150" s="60" t="s">
        <v>409</v>
      </c>
      <c r="C150" s="60" t="s">
        <v>410</v>
      </c>
      <c r="D150" s="67">
        <v>2</v>
      </c>
    </row>
    <row r="151" spans="1:4" ht="15.5">
      <c r="A151" s="59">
        <v>149</v>
      </c>
      <c r="B151" s="60" t="s">
        <v>411</v>
      </c>
      <c r="C151" s="60" t="s">
        <v>412</v>
      </c>
      <c r="D151" s="67">
        <v>1</v>
      </c>
    </row>
    <row r="152" spans="1:4" ht="15.5">
      <c r="A152" s="59">
        <v>150</v>
      </c>
      <c r="B152" s="60" t="s">
        <v>391</v>
      </c>
      <c r="C152" s="60" t="s">
        <v>392</v>
      </c>
      <c r="D152" s="67">
        <v>1</v>
      </c>
    </row>
    <row r="153" spans="1:4" ht="15.5">
      <c r="A153" s="59">
        <v>151</v>
      </c>
      <c r="B153" s="60" t="s">
        <v>178</v>
      </c>
      <c r="C153" s="60" t="s">
        <v>179</v>
      </c>
      <c r="D153" s="67">
        <v>3</v>
      </c>
    </row>
    <row r="154" spans="1:4" ht="15.5">
      <c r="A154" s="59">
        <v>152</v>
      </c>
      <c r="B154" s="60" t="s">
        <v>180</v>
      </c>
      <c r="C154" s="60" t="s">
        <v>181</v>
      </c>
      <c r="D154" s="67">
        <v>1</v>
      </c>
    </row>
    <row r="155" spans="1:4" ht="15.5">
      <c r="A155" s="59">
        <v>153</v>
      </c>
      <c r="B155" s="60" t="s">
        <v>182</v>
      </c>
      <c r="C155" s="60" t="s">
        <v>183</v>
      </c>
      <c r="D155" s="67">
        <v>1</v>
      </c>
    </row>
    <row r="156" spans="1:4" ht="15.5">
      <c r="A156" s="59">
        <v>154</v>
      </c>
      <c r="B156" s="60" t="s">
        <v>184</v>
      </c>
      <c r="C156" s="60" t="s">
        <v>185</v>
      </c>
      <c r="D156" s="67">
        <v>1</v>
      </c>
    </row>
    <row r="157" spans="1:4" ht="15.5">
      <c r="A157" s="59">
        <v>155</v>
      </c>
      <c r="B157" s="60" t="s">
        <v>186</v>
      </c>
      <c r="C157" s="60" t="s">
        <v>187</v>
      </c>
      <c r="D157" s="67">
        <v>1</v>
      </c>
    </row>
    <row r="158" spans="1:4" ht="15.5">
      <c r="A158" s="59">
        <v>156</v>
      </c>
      <c r="B158" s="60" t="s">
        <v>188</v>
      </c>
      <c r="C158" s="60" t="s">
        <v>189</v>
      </c>
      <c r="D158" s="67">
        <v>1</v>
      </c>
    </row>
    <row r="159" spans="1:4" ht="15.5">
      <c r="A159" s="59">
        <v>157</v>
      </c>
      <c r="B159" s="60" t="s">
        <v>1183</v>
      </c>
      <c r="C159" s="60" t="s">
        <v>1182</v>
      </c>
      <c r="D159" s="67">
        <v>2</v>
      </c>
    </row>
    <row r="160" spans="1:4" ht="15.5">
      <c r="A160" s="59">
        <v>158</v>
      </c>
      <c r="B160" s="60" t="s">
        <v>1505</v>
      </c>
      <c r="C160" s="60" t="s">
        <v>1506</v>
      </c>
      <c r="D160" s="67">
        <v>1</v>
      </c>
    </row>
    <row r="161" spans="1:4" ht="15.5">
      <c r="A161" s="59">
        <v>159</v>
      </c>
      <c r="B161" s="60" t="s">
        <v>1507</v>
      </c>
      <c r="C161" s="60" t="s">
        <v>1508</v>
      </c>
      <c r="D161" s="67">
        <v>1</v>
      </c>
    </row>
    <row r="162" spans="1:4" ht="15.5">
      <c r="A162" s="59">
        <v>160</v>
      </c>
      <c r="B162" s="60" t="s">
        <v>1181</v>
      </c>
      <c r="C162" s="60" t="s">
        <v>1180</v>
      </c>
      <c r="D162" s="67">
        <v>1</v>
      </c>
    </row>
    <row r="163" spans="1:4" ht="15.5">
      <c r="A163" s="59">
        <v>161</v>
      </c>
      <c r="B163" s="60" t="s">
        <v>1179</v>
      </c>
      <c r="C163" s="60" t="s">
        <v>1178</v>
      </c>
      <c r="D163" s="67">
        <v>1</v>
      </c>
    </row>
    <row r="164" spans="1:4" ht="15.5">
      <c r="A164" s="59">
        <v>162</v>
      </c>
      <c r="B164" s="60" t="s">
        <v>1177</v>
      </c>
      <c r="C164" s="60" t="s">
        <v>1176</v>
      </c>
      <c r="D164" s="67">
        <v>2</v>
      </c>
    </row>
    <row r="165" spans="1:4" ht="15.5">
      <c r="A165" s="59">
        <v>163</v>
      </c>
      <c r="B165" s="60" t="s">
        <v>1173</v>
      </c>
      <c r="C165" s="60" t="s">
        <v>1172</v>
      </c>
      <c r="D165" s="67">
        <v>1</v>
      </c>
    </row>
    <row r="166" spans="1:4" ht="15.5">
      <c r="A166" s="59">
        <v>164</v>
      </c>
      <c r="B166" s="60" t="s">
        <v>1171</v>
      </c>
      <c r="C166" s="60" t="s">
        <v>1170</v>
      </c>
      <c r="D166" s="67">
        <v>1</v>
      </c>
    </row>
    <row r="167" spans="1:4" ht="15.5">
      <c r="A167" s="59">
        <v>165</v>
      </c>
      <c r="B167" s="60" t="s">
        <v>1169</v>
      </c>
      <c r="C167" s="60" t="s">
        <v>1168</v>
      </c>
      <c r="D167" s="67">
        <v>1</v>
      </c>
    </row>
    <row r="168" spans="1:4" ht="15.5">
      <c r="A168" s="59">
        <v>166</v>
      </c>
      <c r="B168" s="60" t="s">
        <v>618</v>
      </c>
      <c r="C168" s="60" t="s">
        <v>619</v>
      </c>
      <c r="D168" s="67">
        <v>2</v>
      </c>
    </row>
    <row r="169" spans="1:4" ht="15.5">
      <c r="A169" s="59">
        <v>167</v>
      </c>
      <c r="B169" s="60" t="s">
        <v>620</v>
      </c>
      <c r="C169" s="60" t="s">
        <v>621</v>
      </c>
      <c r="D169" s="67">
        <v>2</v>
      </c>
    </row>
    <row r="170" spans="1:4" ht="15.5">
      <c r="A170" s="59">
        <v>168</v>
      </c>
      <c r="B170" s="60" t="s">
        <v>624</v>
      </c>
      <c r="C170" s="60" t="s">
        <v>625</v>
      </c>
      <c r="D170" s="67">
        <v>2</v>
      </c>
    </row>
    <row r="171" spans="1:4" ht="15.5">
      <c r="A171" s="59">
        <v>169</v>
      </c>
      <c r="B171" s="60" t="s">
        <v>626</v>
      </c>
      <c r="C171" s="60" t="s">
        <v>627</v>
      </c>
      <c r="D171" s="67">
        <v>1</v>
      </c>
    </row>
    <row r="172" spans="1:4" ht="15.5">
      <c r="A172" s="59">
        <v>170</v>
      </c>
      <c r="B172" s="60" t="s">
        <v>1167</v>
      </c>
      <c r="C172" s="60" t="s">
        <v>1166</v>
      </c>
      <c r="D172" s="67">
        <v>1</v>
      </c>
    </row>
    <row r="173" spans="1:4" ht="15.5">
      <c r="A173" s="59">
        <v>171</v>
      </c>
      <c r="B173" s="60" t="s">
        <v>218</v>
      </c>
      <c r="C173" s="60" t="s">
        <v>219</v>
      </c>
      <c r="D173" s="67">
        <v>1</v>
      </c>
    </row>
    <row r="174" spans="1:4" ht="15.5">
      <c r="A174" s="59">
        <v>172</v>
      </c>
      <c r="B174" s="60" t="s">
        <v>220</v>
      </c>
      <c r="C174" s="60" t="s">
        <v>221</v>
      </c>
      <c r="D174" s="67">
        <v>1</v>
      </c>
    </row>
    <row r="175" spans="1:4" ht="15.5">
      <c r="A175" s="59">
        <v>173</v>
      </c>
      <c r="B175" s="60" t="s">
        <v>259</v>
      </c>
      <c r="C175" s="60" t="s">
        <v>260</v>
      </c>
      <c r="D175" s="67">
        <v>1</v>
      </c>
    </row>
    <row r="176" spans="1:4" ht="15.5">
      <c r="A176" s="59">
        <v>174</v>
      </c>
      <c r="B176" s="60" t="s">
        <v>222</v>
      </c>
      <c r="C176" s="60" t="s">
        <v>223</v>
      </c>
      <c r="D176" s="67">
        <v>1</v>
      </c>
    </row>
    <row r="177" spans="1:4" ht="15.5">
      <c r="A177" s="59">
        <v>175</v>
      </c>
      <c r="B177" s="60" t="s">
        <v>261</v>
      </c>
      <c r="C177" s="60" t="s">
        <v>262</v>
      </c>
      <c r="D177" s="67">
        <v>2</v>
      </c>
    </row>
    <row r="178" spans="1:4" ht="15.5">
      <c r="A178" s="59">
        <v>176</v>
      </c>
      <c r="B178" s="60" t="s">
        <v>1165</v>
      </c>
      <c r="C178" s="60" t="s">
        <v>1164</v>
      </c>
      <c r="D178" s="67">
        <v>1</v>
      </c>
    </row>
    <row r="179" spans="1:4" ht="15.5">
      <c r="A179" s="59">
        <v>177</v>
      </c>
      <c r="B179" s="60" t="s">
        <v>413</v>
      </c>
      <c r="C179" s="60" t="s">
        <v>414</v>
      </c>
      <c r="D179" s="67">
        <v>1</v>
      </c>
    </row>
    <row r="180" spans="1:4" ht="15.5">
      <c r="A180" s="59">
        <v>178</v>
      </c>
      <c r="B180" s="60" t="s">
        <v>415</v>
      </c>
      <c r="C180" s="60" t="s">
        <v>416</v>
      </c>
      <c r="D180" s="67">
        <v>2</v>
      </c>
    </row>
    <row r="181" spans="1:4" ht="15.5">
      <c r="A181" s="59">
        <v>179</v>
      </c>
      <c r="B181" s="60" t="s">
        <v>417</v>
      </c>
      <c r="C181" s="60" t="s">
        <v>418</v>
      </c>
      <c r="D181" s="67">
        <v>1</v>
      </c>
    </row>
    <row r="182" spans="1:4" ht="15.5">
      <c r="A182" s="59">
        <v>180</v>
      </c>
      <c r="B182" s="60" t="s">
        <v>419</v>
      </c>
      <c r="C182" s="60" t="s">
        <v>420</v>
      </c>
      <c r="D182" s="67">
        <v>1</v>
      </c>
    </row>
    <row r="183" spans="1:4" ht="15.5">
      <c r="A183" s="59">
        <v>181</v>
      </c>
      <c r="B183" s="60" t="s">
        <v>1036</v>
      </c>
      <c r="C183" s="60" t="s">
        <v>1035</v>
      </c>
      <c r="D183" s="67">
        <v>1</v>
      </c>
    </row>
    <row r="184" spans="1:4" ht="15.5">
      <c r="A184" s="59">
        <v>182</v>
      </c>
      <c r="B184" s="60" t="s">
        <v>269</v>
      </c>
      <c r="C184" s="60" t="s">
        <v>270</v>
      </c>
      <c r="D184" s="67">
        <v>2</v>
      </c>
    </row>
    <row r="185" spans="1:4" ht="15.5">
      <c r="A185" s="59">
        <v>183</v>
      </c>
      <c r="B185" s="60" t="s">
        <v>272</v>
      </c>
      <c r="C185" s="60" t="s">
        <v>273</v>
      </c>
      <c r="D185" s="67">
        <v>1</v>
      </c>
    </row>
    <row r="186" spans="1:4" ht="15.5">
      <c r="A186" s="59">
        <v>184</v>
      </c>
      <c r="B186" s="60" t="s">
        <v>276</v>
      </c>
      <c r="C186" s="60" t="s">
        <v>277</v>
      </c>
      <c r="D186" s="67">
        <v>1</v>
      </c>
    </row>
    <row r="187" spans="1:4" ht="15.5">
      <c r="A187" s="59">
        <v>185</v>
      </c>
      <c r="B187" s="60" t="s">
        <v>1549</v>
      </c>
      <c r="C187" s="60" t="s">
        <v>1550</v>
      </c>
      <c r="D187" s="67">
        <v>1</v>
      </c>
    </row>
    <row r="188" spans="1:4" ht="15.5">
      <c r="A188" s="59">
        <v>186</v>
      </c>
      <c r="B188" s="60" t="s">
        <v>1161</v>
      </c>
      <c r="C188" s="60" t="s">
        <v>1160</v>
      </c>
      <c r="D188" s="67">
        <v>1</v>
      </c>
    </row>
    <row r="189" spans="1:4" ht="15.5">
      <c r="A189" s="59">
        <v>187</v>
      </c>
      <c r="B189" s="60" t="s">
        <v>421</v>
      </c>
      <c r="C189" s="60" t="s">
        <v>422</v>
      </c>
      <c r="D189" s="67">
        <v>1</v>
      </c>
    </row>
    <row r="190" spans="1:4" ht="15.5">
      <c r="A190" s="59">
        <v>188</v>
      </c>
      <c r="B190" s="60" t="s">
        <v>423</v>
      </c>
      <c r="C190" s="60" t="s">
        <v>424</v>
      </c>
      <c r="D190" s="67">
        <v>1</v>
      </c>
    </row>
    <row r="191" spans="1:4" ht="15.5">
      <c r="A191" s="59">
        <v>189</v>
      </c>
      <c r="B191" s="60" t="s">
        <v>425</v>
      </c>
      <c r="C191" s="60" t="s">
        <v>426</v>
      </c>
      <c r="D191" s="67">
        <v>1</v>
      </c>
    </row>
    <row r="192" spans="1:4" ht="15.5">
      <c r="A192" s="59">
        <v>190</v>
      </c>
      <c r="B192" s="60" t="s">
        <v>427</v>
      </c>
      <c r="C192" s="60" t="s">
        <v>428</v>
      </c>
      <c r="D192" s="67">
        <v>1</v>
      </c>
    </row>
    <row r="193" spans="1:4" ht="15.5">
      <c r="A193" s="59">
        <v>191</v>
      </c>
      <c r="B193" s="60" t="s">
        <v>429</v>
      </c>
      <c r="C193" s="60" t="s">
        <v>430</v>
      </c>
      <c r="D193" s="67">
        <v>3</v>
      </c>
    </row>
    <row r="194" spans="1:4" ht="15.5">
      <c r="A194" s="59">
        <v>192</v>
      </c>
      <c r="B194" s="60" t="s">
        <v>431</v>
      </c>
      <c r="C194" s="60" t="s">
        <v>432</v>
      </c>
      <c r="D194" s="67">
        <v>2</v>
      </c>
    </row>
    <row r="195" spans="1:4" ht="15.5">
      <c r="A195" s="59">
        <v>193</v>
      </c>
      <c r="B195" s="60" t="s">
        <v>1159</v>
      </c>
      <c r="C195" s="60" t="s">
        <v>1158</v>
      </c>
      <c r="D195" s="67">
        <v>1</v>
      </c>
    </row>
    <row r="196" spans="1:4" ht="15.5">
      <c r="A196" s="59">
        <v>194</v>
      </c>
      <c r="B196" s="60" t="s">
        <v>27</v>
      </c>
      <c r="C196" s="60" t="s">
        <v>28</v>
      </c>
      <c r="D196" s="67">
        <v>1</v>
      </c>
    </row>
    <row r="197" spans="1:4" ht="15.5">
      <c r="A197" s="59">
        <v>195</v>
      </c>
      <c r="B197" s="60" t="s">
        <v>1155</v>
      </c>
      <c r="C197" s="60" t="s">
        <v>285</v>
      </c>
      <c r="D197" s="67">
        <v>2</v>
      </c>
    </row>
    <row r="198" spans="1:4" ht="15.5">
      <c r="A198" s="59">
        <v>196</v>
      </c>
      <c r="B198" s="60" t="s">
        <v>433</v>
      </c>
      <c r="C198" s="60" t="s">
        <v>1509</v>
      </c>
      <c r="D198" s="67">
        <v>1</v>
      </c>
    </row>
    <row r="199" spans="1:4" ht="15.5">
      <c r="A199" s="59">
        <v>197</v>
      </c>
      <c r="B199" s="60" t="s">
        <v>434</v>
      </c>
      <c r="C199" s="60" t="s">
        <v>1510</v>
      </c>
      <c r="D199" s="67">
        <v>3</v>
      </c>
    </row>
    <row r="200" spans="1:4" ht="15.5">
      <c r="A200" s="59">
        <v>198</v>
      </c>
      <c r="B200" s="60" t="s">
        <v>251</v>
      </c>
      <c r="C200" s="60" t="s">
        <v>1511</v>
      </c>
      <c r="D200" s="67">
        <v>3</v>
      </c>
    </row>
    <row r="201" spans="1:4" ht="15.5">
      <c r="A201" s="59">
        <v>199</v>
      </c>
      <c r="B201" s="60" t="s">
        <v>252</v>
      </c>
      <c r="C201" s="60" t="s">
        <v>1512</v>
      </c>
      <c r="D201" s="67">
        <v>3</v>
      </c>
    </row>
    <row r="202" spans="1:4" ht="15.5">
      <c r="A202" s="59">
        <v>200</v>
      </c>
      <c r="B202" s="60" t="s">
        <v>253</v>
      </c>
      <c r="C202" s="60" t="s">
        <v>1551</v>
      </c>
      <c r="D202" s="67">
        <v>2</v>
      </c>
    </row>
    <row r="203" spans="1:4" ht="15.5">
      <c r="A203" s="59">
        <v>201</v>
      </c>
      <c r="B203" s="60" t="s">
        <v>254</v>
      </c>
      <c r="C203" s="60" t="s">
        <v>1513</v>
      </c>
      <c r="D203" s="67">
        <v>1</v>
      </c>
    </row>
    <row r="204" spans="1:4" ht="15.5">
      <c r="A204" s="59">
        <v>202</v>
      </c>
      <c r="B204" s="60" t="s">
        <v>1154</v>
      </c>
      <c r="C204" s="60" t="s">
        <v>1552</v>
      </c>
      <c r="D204" s="67">
        <v>2</v>
      </c>
    </row>
    <row r="205" spans="1:4" ht="15.5">
      <c r="A205" s="59">
        <v>203</v>
      </c>
      <c r="B205" s="60" t="s">
        <v>1151</v>
      </c>
      <c r="C205" s="60" t="s">
        <v>1150</v>
      </c>
      <c r="D205" s="67">
        <v>1</v>
      </c>
    </row>
    <row r="206" spans="1:4" ht="15.5">
      <c r="A206" s="59">
        <v>204</v>
      </c>
      <c r="B206" s="60" t="s">
        <v>1516</v>
      </c>
      <c r="C206" s="60" t="s">
        <v>1517</v>
      </c>
      <c r="D206" s="67">
        <v>2</v>
      </c>
    </row>
    <row r="207" spans="1:4" ht="15.5">
      <c r="A207" s="59">
        <v>205</v>
      </c>
      <c r="B207" s="60" t="s">
        <v>435</v>
      </c>
      <c r="C207" s="60" t="s">
        <v>436</v>
      </c>
      <c r="D207" s="67">
        <v>2</v>
      </c>
    </row>
    <row r="208" spans="1:4" ht="15.5">
      <c r="A208" s="59">
        <v>206</v>
      </c>
      <c r="B208" s="60" t="s">
        <v>437</v>
      </c>
      <c r="C208" s="60" t="s">
        <v>438</v>
      </c>
      <c r="D208" s="67">
        <v>2</v>
      </c>
    </row>
    <row r="209" spans="1:4" ht="15.5">
      <c r="A209" s="59">
        <v>207</v>
      </c>
      <c r="B209" s="60" t="s">
        <v>439</v>
      </c>
      <c r="C209" s="60" t="s">
        <v>440</v>
      </c>
      <c r="D209" s="67">
        <v>2</v>
      </c>
    </row>
    <row r="210" spans="1:4" ht="15.5">
      <c r="A210" s="59">
        <v>208</v>
      </c>
      <c r="B210" s="60" t="s">
        <v>441</v>
      </c>
      <c r="C210" s="60" t="s">
        <v>442</v>
      </c>
      <c r="D210" s="67">
        <v>2</v>
      </c>
    </row>
    <row r="211" spans="1:4" ht="15.5">
      <c r="A211" s="59">
        <v>209</v>
      </c>
      <c r="B211" s="60" t="s">
        <v>443</v>
      </c>
      <c r="C211" s="60" t="s">
        <v>444</v>
      </c>
      <c r="D211" s="67">
        <v>1</v>
      </c>
    </row>
    <row r="212" spans="1:4" ht="15.5">
      <c r="A212" s="59">
        <v>210</v>
      </c>
      <c r="B212" s="60" t="s">
        <v>445</v>
      </c>
      <c r="C212" s="60" t="s">
        <v>446</v>
      </c>
      <c r="D212" s="67">
        <v>1</v>
      </c>
    </row>
    <row r="213" spans="1:4" ht="15.5">
      <c r="A213" s="59">
        <v>211</v>
      </c>
      <c r="B213" s="60" t="s">
        <v>447</v>
      </c>
      <c r="C213" s="60" t="s">
        <v>448</v>
      </c>
      <c r="D213" s="67">
        <v>2</v>
      </c>
    </row>
    <row r="214" spans="1:4" ht="15.5">
      <c r="A214" s="59">
        <v>212</v>
      </c>
      <c r="B214" s="60" t="s">
        <v>449</v>
      </c>
      <c r="C214" s="60" t="s">
        <v>450</v>
      </c>
      <c r="D214" s="67">
        <v>1</v>
      </c>
    </row>
    <row r="215" spans="1:4" ht="15.5">
      <c r="A215" s="59">
        <v>213</v>
      </c>
      <c r="B215" s="60" t="s">
        <v>451</v>
      </c>
      <c r="C215" s="60" t="s">
        <v>452</v>
      </c>
      <c r="D215" s="67">
        <v>2</v>
      </c>
    </row>
    <row r="216" spans="1:4" ht="15.5">
      <c r="A216" s="59">
        <v>214</v>
      </c>
      <c r="B216" s="60" t="s">
        <v>453</v>
      </c>
      <c r="C216" s="60" t="s">
        <v>454</v>
      </c>
      <c r="D216" s="67">
        <v>3</v>
      </c>
    </row>
    <row r="217" spans="1:4" ht="15.5">
      <c r="A217" s="59">
        <v>215</v>
      </c>
      <c r="B217" s="60" t="s">
        <v>455</v>
      </c>
      <c r="C217" s="60" t="s">
        <v>456</v>
      </c>
      <c r="D217" s="67">
        <v>1</v>
      </c>
    </row>
    <row r="218" spans="1:4" ht="15.5">
      <c r="A218" s="59">
        <v>216</v>
      </c>
      <c r="B218" s="60" t="s">
        <v>457</v>
      </c>
      <c r="C218" s="60" t="s">
        <v>458</v>
      </c>
      <c r="D218" s="67">
        <v>1</v>
      </c>
    </row>
    <row r="219" spans="1:4" ht="15.5">
      <c r="A219" s="59">
        <v>217</v>
      </c>
      <c r="B219" s="60" t="s">
        <v>467</v>
      </c>
      <c r="C219" s="60" t="s">
        <v>468</v>
      </c>
      <c r="D219" s="67">
        <v>2</v>
      </c>
    </row>
    <row r="220" spans="1:4" ht="15.5">
      <c r="A220" s="59">
        <v>218</v>
      </c>
      <c r="B220" s="60" t="s">
        <v>469</v>
      </c>
      <c r="C220" s="60" t="s">
        <v>470</v>
      </c>
      <c r="D220" s="67">
        <v>2</v>
      </c>
    </row>
    <row r="221" spans="1:4" ht="15.5">
      <c r="A221" s="59">
        <v>219</v>
      </c>
      <c r="B221" s="60" t="s">
        <v>471</v>
      </c>
      <c r="C221" s="60" t="s">
        <v>472</v>
      </c>
      <c r="D221" s="67">
        <v>1</v>
      </c>
    </row>
    <row r="222" spans="1:4" ht="15.5">
      <c r="A222" s="59">
        <v>220</v>
      </c>
      <c r="B222" s="60" t="s">
        <v>473</v>
      </c>
      <c r="C222" s="60" t="s">
        <v>474</v>
      </c>
      <c r="D222" s="67">
        <v>4</v>
      </c>
    </row>
    <row r="223" spans="1:4" ht="15.5">
      <c r="A223" s="59">
        <v>221</v>
      </c>
      <c r="B223" s="60" t="s">
        <v>475</v>
      </c>
      <c r="C223" s="60" t="s">
        <v>476</v>
      </c>
      <c r="D223" s="67">
        <v>1</v>
      </c>
    </row>
    <row r="224" spans="1:4" ht="15.5">
      <c r="A224" s="59">
        <v>222</v>
      </c>
      <c r="B224" s="60" t="s">
        <v>477</v>
      </c>
      <c r="C224" s="60" t="s">
        <v>478</v>
      </c>
      <c r="D224" s="67">
        <v>1</v>
      </c>
    </row>
    <row r="225" spans="1:4" ht="15.5">
      <c r="A225" s="59">
        <v>223</v>
      </c>
      <c r="B225" s="60" t="s">
        <v>1128</v>
      </c>
      <c r="C225" s="60" t="s">
        <v>1127</v>
      </c>
      <c r="D225" s="67">
        <v>1</v>
      </c>
    </row>
    <row r="226" spans="1:4" ht="15.5">
      <c r="A226" s="59">
        <v>224</v>
      </c>
      <c r="B226" s="60" t="s">
        <v>31</v>
      </c>
      <c r="C226" s="60" t="s">
        <v>32</v>
      </c>
      <c r="D226" s="67">
        <v>2</v>
      </c>
    </row>
    <row r="227" spans="1:4" ht="15.5">
      <c r="A227" s="59">
        <v>225</v>
      </c>
      <c r="B227" s="60" t="s">
        <v>33</v>
      </c>
      <c r="C227" s="60" t="s">
        <v>34</v>
      </c>
      <c r="D227" s="67">
        <v>2</v>
      </c>
    </row>
    <row r="228" spans="1:4" ht="15.5">
      <c r="A228" s="59">
        <v>226</v>
      </c>
      <c r="B228" s="60" t="s">
        <v>35</v>
      </c>
      <c r="C228" s="60" t="s">
        <v>36</v>
      </c>
      <c r="D228" s="67">
        <v>2</v>
      </c>
    </row>
    <row r="229" spans="1:4" ht="15.5">
      <c r="A229" s="59">
        <v>227</v>
      </c>
      <c r="B229" s="60" t="s">
        <v>37</v>
      </c>
      <c r="C229" s="60" t="s">
        <v>38</v>
      </c>
      <c r="D229" s="67">
        <v>4</v>
      </c>
    </row>
    <row r="230" spans="1:4" ht="15.5">
      <c r="A230" s="59">
        <v>228</v>
      </c>
      <c r="B230" s="60" t="s">
        <v>39</v>
      </c>
      <c r="C230" s="60" t="s">
        <v>40</v>
      </c>
      <c r="D230" s="67">
        <v>1</v>
      </c>
    </row>
    <row r="231" spans="1:4" ht="15.5">
      <c r="A231" s="59">
        <v>229</v>
      </c>
      <c r="B231" s="60" t="s">
        <v>41</v>
      </c>
      <c r="C231" s="60" t="s">
        <v>42</v>
      </c>
      <c r="D231" s="67">
        <v>1</v>
      </c>
    </row>
    <row r="232" spans="1:4" ht="15.5">
      <c r="A232" s="59">
        <v>230</v>
      </c>
      <c r="B232" s="60" t="s">
        <v>43</v>
      </c>
      <c r="C232" s="60" t="s">
        <v>44</v>
      </c>
      <c r="D232" s="67">
        <v>1</v>
      </c>
    </row>
    <row r="233" spans="1:4" ht="15.5">
      <c r="A233" s="59">
        <v>231</v>
      </c>
      <c r="B233" s="60" t="s">
        <v>1518</v>
      </c>
      <c r="C233" s="60" t="s">
        <v>1519</v>
      </c>
      <c r="D233" s="67">
        <v>1</v>
      </c>
    </row>
    <row r="234" spans="1:4" ht="15.5">
      <c r="A234" s="59">
        <v>232</v>
      </c>
      <c r="B234" s="60" t="s">
        <v>288</v>
      </c>
      <c r="C234" s="60" t="s">
        <v>289</v>
      </c>
      <c r="D234" s="67">
        <v>1</v>
      </c>
    </row>
    <row r="235" spans="1:4" ht="15.5">
      <c r="A235" s="59">
        <v>233</v>
      </c>
      <c r="B235" s="60" t="s">
        <v>232</v>
      </c>
      <c r="C235" s="60" t="s">
        <v>233</v>
      </c>
      <c r="D235" s="67">
        <v>1</v>
      </c>
    </row>
    <row r="236" spans="1:4" ht="15.5">
      <c r="A236" s="59">
        <v>234</v>
      </c>
      <c r="B236" s="60" t="s">
        <v>234</v>
      </c>
      <c r="C236" s="60" t="s">
        <v>235</v>
      </c>
      <c r="D236" s="67">
        <v>1</v>
      </c>
    </row>
    <row r="237" spans="1:4" ht="15.5">
      <c r="A237" s="59">
        <v>235</v>
      </c>
      <c r="B237" s="60" t="s">
        <v>236</v>
      </c>
      <c r="C237" s="60" t="s">
        <v>237</v>
      </c>
      <c r="D237" s="67">
        <v>2</v>
      </c>
    </row>
    <row r="238" spans="1:4" ht="15.5">
      <c r="A238" s="59">
        <v>236</v>
      </c>
      <c r="B238" s="60" t="s">
        <v>238</v>
      </c>
      <c r="C238" s="60" t="s">
        <v>239</v>
      </c>
      <c r="D238" s="67">
        <v>1</v>
      </c>
    </row>
    <row r="239" spans="1:4" ht="15.5">
      <c r="A239" s="59">
        <v>237</v>
      </c>
      <c r="B239" s="60" t="s">
        <v>240</v>
      </c>
      <c r="C239" s="60" t="s">
        <v>241</v>
      </c>
      <c r="D239" s="67">
        <v>2</v>
      </c>
    </row>
    <row r="240" spans="1:4" ht="15.5">
      <c r="A240" s="59">
        <v>238</v>
      </c>
      <c r="B240" s="60" t="s">
        <v>242</v>
      </c>
      <c r="C240" s="60" t="s">
        <v>243</v>
      </c>
      <c r="D240" s="67">
        <v>2</v>
      </c>
    </row>
    <row r="241" spans="1:4" ht="15.5">
      <c r="A241" s="59">
        <v>239</v>
      </c>
      <c r="B241" s="60" t="s">
        <v>674</v>
      </c>
      <c r="C241" s="60" t="s">
        <v>675</v>
      </c>
      <c r="D241" s="67">
        <v>2</v>
      </c>
    </row>
    <row r="242" spans="1:4" ht="15.5">
      <c r="A242" s="59">
        <v>240</v>
      </c>
      <c r="B242" s="60" t="s">
        <v>294</v>
      </c>
      <c r="C242" s="60" t="s">
        <v>295</v>
      </c>
      <c r="D242" s="67">
        <v>2</v>
      </c>
    </row>
    <row r="243" spans="1:4" ht="15.5">
      <c r="A243" s="59">
        <v>241</v>
      </c>
      <c r="B243" s="60" t="s">
        <v>296</v>
      </c>
      <c r="C243" s="60" t="s">
        <v>297</v>
      </c>
      <c r="D243" s="67">
        <v>1</v>
      </c>
    </row>
    <row r="244" spans="1:4" ht="15.5">
      <c r="A244" s="59">
        <v>242</v>
      </c>
      <c r="B244" s="60" t="s">
        <v>298</v>
      </c>
      <c r="C244" s="60" t="s">
        <v>299</v>
      </c>
      <c r="D244" s="67">
        <v>2</v>
      </c>
    </row>
    <row r="245" spans="1:4" ht="15.5">
      <c r="A245" s="59">
        <v>243</v>
      </c>
      <c r="B245" s="60" t="s">
        <v>302</v>
      </c>
      <c r="C245" s="60" t="s">
        <v>303</v>
      </c>
      <c r="D245" s="67">
        <v>2</v>
      </c>
    </row>
    <row r="246" spans="1:4" ht="15.5">
      <c r="A246" s="59">
        <v>244</v>
      </c>
      <c r="B246" s="60" t="s">
        <v>1122</v>
      </c>
      <c r="C246" s="60" t="s">
        <v>1121</v>
      </c>
      <c r="D246" s="67">
        <v>1</v>
      </c>
    </row>
    <row r="247" spans="1:4" ht="15.5">
      <c r="A247" s="59">
        <v>245</v>
      </c>
      <c r="B247" s="60" t="s">
        <v>480</v>
      </c>
      <c r="C247" s="60" t="s">
        <v>481</v>
      </c>
      <c r="D247" s="67">
        <v>1</v>
      </c>
    </row>
    <row r="248" spans="1:4" ht="15.5">
      <c r="A248" s="59">
        <v>246</v>
      </c>
      <c r="B248" s="60" t="s">
        <v>304</v>
      </c>
      <c r="C248" s="60" t="s">
        <v>305</v>
      </c>
      <c r="D248" s="67">
        <v>1</v>
      </c>
    </row>
    <row r="249" spans="1:4" ht="15.5">
      <c r="A249" s="59">
        <v>247</v>
      </c>
      <c r="B249" s="60" t="s">
        <v>306</v>
      </c>
      <c r="C249" s="60" t="s">
        <v>307</v>
      </c>
      <c r="D249" s="67">
        <v>1</v>
      </c>
    </row>
    <row r="250" spans="1:4" ht="15.5">
      <c r="A250" s="59">
        <v>248</v>
      </c>
      <c r="B250" s="60" t="s">
        <v>308</v>
      </c>
      <c r="C250" s="60" t="s">
        <v>309</v>
      </c>
      <c r="D250" s="67">
        <v>1</v>
      </c>
    </row>
    <row r="251" spans="1:4" ht="15.5">
      <c r="A251" s="59">
        <v>249</v>
      </c>
      <c r="B251" s="60" t="s">
        <v>310</v>
      </c>
      <c r="C251" s="60" t="s">
        <v>311</v>
      </c>
      <c r="D251" s="67">
        <v>1</v>
      </c>
    </row>
    <row r="252" spans="1:4" ht="15.5">
      <c r="A252" s="59">
        <v>250</v>
      </c>
      <c r="B252" s="60" t="s">
        <v>1118</v>
      </c>
      <c r="C252" s="60" t="s">
        <v>1117</v>
      </c>
      <c r="D252" s="67">
        <v>1</v>
      </c>
    </row>
    <row r="253" spans="1:4" ht="15.5">
      <c r="A253" s="59">
        <v>251</v>
      </c>
      <c r="B253" s="60" t="s">
        <v>312</v>
      </c>
      <c r="C253" s="60" t="s">
        <v>313</v>
      </c>
      <c r="D253" s="67">
        <v>1</v>
      </c>
    </row>
    <row r="254" spans="1:4" ht="15.5">
      <c r="A254" s="59">
        <v>252</v>
      </c>
      <c r="B254" s="60" t="s">
        <v>314</v>
      </c>
      <c r="C254" s="60" t="s">
        <v>315</v>
      </c>
      <c r="D254" s="67">
        <v>1</v>
      </c>
    </row>
    <row r="255" spans="1:4" ht="15.5">
      <c r="A255" s="59">
        <v>253</v>
      </c>
      <c r="B255" s="60" t="s">
        <v>318</v>
      </c>
      <c r="C255" s="60" t="s">
        <v>319</v>
      </c>
      <c r="D255" s="67">
        <v>1</v>
      </c>
    </row>
    <row r="256" spans="1:4" ht="15.5">
      <c r="A256" s="59">
        <v>254</v>
      </c>
      <c r="B256" s="60" t="s">
        <v>1034</v>
      </c>
      <c r="C256" s="60" t="s">
        <v>1033</v>
      </c>
      <c r="D256" s="67">
        <v>1</v>
      </c>
    </row>
    <row r="257" spans="1:4" ht="15.5">
      <c r="A257" s="59">
        <v>255</v>
      </c>
      <c r="B257" s="60" t="s">
        <v>1032</v>
      </c>
      <c r="C257" s="60" t="s">
        <v>1031</v>
      </c>
      <c r="D257" s="67">
        <v>1</v>
      </c>
    </row>
    <row r="258" spans="1:4" ht="15.5">
      <c r="A258" s="59">
        <v>256</v>
      </c>
      <c r="B258" s="60" t="s">
        <v>320</v>
      </c>
      <c r="C258" s="60" t="s">
        <v>321</v>
      </c>
      <c r="D258" s="67">
        <v>1</v>
      </c>
    </row>
    <row r="259" spans="1:4" ht="15.5">
      <c r="A259" s="59">
        <v>257</v>
      </c>
      <c r="B259" s="60" t="s">
        <v>322</v>
      </c>
      <c r="C259" s="60" t="s">
        <v>323</v>
      </c>
      <c r="D259" s="67">
        <v>1</v>
      </c>
    </row>
    <row r="260" spans="1:4" ht="15.5">
      <c r="A260" s="59">
        <v>258</v>
      </c>
      <c r="B260" s="60" t="s">
        <v>324</v>
      </c>
      <c r="C260" s="60" t="s">
        <v>325</v>
      </c>
      <c r="D260" s="67">
        <v>1</v>
      </c>
    </row>
    <row r="261" spans="1:4" ht="15.5">
      <c r="A261" s="59">
        <v>259</v>
      </c>
      <c r="B261" s="60" t="s">
        <v>326</v>
      </c>
      <c r="C261" s="60" t="s">
        <v>327</v>
      </c>
      <c r="D261" s="67">
        <v>1</v>
      </c>
    </row>
    <row r="262" spans="1:4" ht="15.5">
      <c r="A262" s="59">
        <v>260</v>
      </c>
      <c r="B262" s="60" t="s">
        <v>1112</v>
      </c>
      <c r="C262" s="60" t="s">
        <v>1111</v>
      </c>
      <c r="D262" s="67">
        <v>1</v>
      </c>
    </row>
    <row r="263" spans="1:4" ht="15.5">
      <c r="A263" s="59">
        <v>261</v>
      </c>
      <c r="B263" s="60" t="s">
        <v>118</v>
      </c>
      <c r="C263" s="60" t="s">
        <v>119</v>
      </c>
      <c r="D263" s="67">
        <v>1</v>
      </c>
    </row>
    <row r="264" spans="1:4" ht="15.5">
      <c r="A264" s="59">
        <v>262</v>
      </c>
      <c r="B264" s="60" t="s">
        <v>122</v>
      </c>
      <c r="C264" s="60" t="s">
        <v>123</v>
      </c>
      <c r="D264" s="67">
        <v>2</v>
      </c>
    </row>
    <row r="265" spans="1:4" ht="15.5">
      <c r="A265" s="59">
        <v>263</v>
      </c>
      <c r="B265" s="60" t="s">
        <v>124</v>
      </c>
      <c r="C265" s="60" t="s">
        <v>125</v>
      </c>
      <c r="D265" s="67">
        <v>1</v>
      </c>
    </row>
    <row r="266" spans="1:4" ht="15.5">
      <c r="A266" s="59">
        <v>264</v>
      </c>
      <c r="B266" s="60" t="s">
        <v>126</v>
      </c>
      <c r="C266" s="60" t="s">
        <v>127</v>
      </c>
      <c r="D266" s="67">
        <v>1</v>
      </c>
    </row>
    <row r="267" spans="1:4" ht="15.5">
      <c r="A267" s="59">
        <v>265</v>
      </c>
      <c r="B267" s="60" t="s">
        <v>128</v>
      </c>
      <c r="C267" s="60" t="s">
        <v>129</v>
      </c>
      <c r="D267" s="67">
        <v>1</v>
      </c>
    </row>
    <row r="268" spans="1:4" ht="15.5">
      <c r="A268" s="59">
        <v>266</v>
      </c>
      <c r="B268" s="60" t="s">
        <v>1553</v>
      </c>
      <c r="C268" s="60" t="s">
        <v>1554</v>
      </c>
      <c r="D268" s="67">
        <v>1</v>
      </c>
    </row>
    <row r="269" spans="1:4" ht="15.5">
      <c r="A269" s="59">
        <v>267</v>
      </c>
      <c r="B269" s="60" t="s">
        <v>1555</v>
      </c>
      <c r="C269" s="60" t="s">
        <v>1556</v>
      </c>
      <c r="D269" s="67">
        <v>1</v>
      </c>
    </row>
    <row r="270" spans="1:4" ht="15.5">
      <c r="A270" s="59">
        <v>268</v>
      </c>
      <c r="B270" s="60" t="s">
        <v>136</v>
      </c>
      <c r="C270" s="60" t="s">
        <v>137</v>
      </c>
      <c r="D270" s="67">
        <v>1</v>
      </c>
    </row>
    <row r="271" spans="1:4" ht="15.5">
      <c r="A271" s="59">
        <v>269</v>
      </c>
      <c r="B271" s="60" t="s">
        <v>138</v>
      </c>
      <c r="C271" s="60" t="s">
        <v>139</v>
      </c>
      <c r="D271" s="67">
        <v>1</v>
      </c>
    </row>
    <row r="272" spans="1:4" ht="15.5">
      <c r="A272" s="59">
        <v>270</v>
      </c>
      <c r="B272" s="60" t="s">
        <v>1557</v>
      </c>
      <c r="C272" s="60" t="s">
        <v>1558</v>
      </c>
      <c r="D272" s="67">
        <v>1</v>
      </c>
    </row>
    <row r="273" spans="1:4" ht="15.5">
      <c r="A273" s="59">
        <v>271</v>
      </c>
      <c r="B273" s="60" t="s">
        <v>522</v>
      </c>
      <c r="C273" s="60" t="s">
        <v>523</v>
      </c>
      <c r="D273" s="67">
        <v>1</v>
      </c>
    </row>
    <row r="274" spans="1:4" ht="15.5">
      <c r="A274" s="59">
        <v>272</v>
      </c>
      <c r="B274" s="60" t="s">
        <v>524</v>
      </c>
      <c r="C274" s="60" t="s">
        <v>525</v>
      </c>
      <c r="D274" s="67">
        <v>2</v>
      </c>
    </row>
    <row r="275" spans="1:4" ht="15.5">
      <c r="A275" s="59">
        <v>273</v>
      </c>
      <c r="B275" s="60" t="s">
        <v>526</v>
      </c>
      <c r="C275" s="60" t="s">
        <v>527</v>
      </c>
      <c r="D275" s="67">
        <v>1</v>
      </c>
    </row>
    <row r="276" spans="1:4" ht="15.5">
      <c r="A276" s="59">
        <v>274</v>
      </c>
      <c r="B276" s="60" t="s">
        <v>528</v>
      </c>
      <c r="C276" s="60" t="s">
        <v>529</v>
      </c>
      <c r="D276" s="67">
        <v>1</v>
      </c>
    </row>
    <row r="277" spans="1:4" ht="15.5">
      <c r="A277" s="59">
        <v>275</v>
      </c>
      <c r="B277" s="60" t="s">
        <v>530</v>
      </c>
      <c r="C277" s="60" t="s">
        <v>531</v>
      </c>
      <c r="D277" s="67">
        <v>1</v>
      </c>
    </row>
    <row r="278" spans="1:4" ht="15.5">
      <c r="A278" s="59">
        <v>276</v>
      </c>
      <c r="B278" s="60" t="s">
        <v>1559</v>
      </c>
      <c r="C278" s="60" t="s">
        <v>1560</v>
      </c>
      <c r="D278" s="67">
        <v>1</v>
      </c>
    </row>
    <row r="279" spans="1:4" ht="15.5">
      <c r="A279" s="59">
        <v>277</v>
      </c>
      <c r="B279" s="60" t="s">
        <v>566</v>
      </c>
      <c r="C279" s="60" t="s">
        <v>567</v>
      </c>
      <c r="D279" s="67">
        <v>1</v>
      </c>
    </row>
    <row r="280" spans="1:4" ht="15.5">
      <c r="A280" s="59">
        <v>278</v>
      </c>
      <c r="B280" s="60" t="s">
        <v>572</v>
      </c>
      <c r="C280" s="60" t="s">
        <v>573</v>
      </c>
      <c r="D280" s="67">
        <v>1</v>
      </c>
    </row>
    <row r="281" spans="1:4" ht="15.5">
      <c r="A281" s="59">
        <v>279</v>
      </c>
      <c r="B281" s="60" t="s">
        <v>576</v>
      </c>
      <c r="C281" s="60" t="s">
        <v>577</v>
      </c>
      <c r="D281" s="67">
        <v>1</v>
      </c>
    </row>
    <row r="282" spans="1:4" ht="15.5">
      <c r="A282" s="59">
        <v>280</v>
      </c>
      <c r="B282" s="60" t="s">
        <v>578</v>
      </c>
      <c r="C282" s="60" t="s">
        <v>579</v>
      </c>
      <c r="D282" s="67">
        <v>2</v>
      </c>
    </row>
    <row r="283" spans="1:4" ht="15.5">
      <c r="A283" s="59">
        <v>281</v>
      </c>
      <c r="B283" s="60" t="s">
        <v>580</v>
      </c>
      <c r="C283" s="60" t="s">
        <v>581</v>
      </c>
      <c r="D283" s="67">
        <v>1</v>
      </c>
    </row>
    <row r="284" spans="1:4" ht="15.5">
      <c r="A284" s="59">
        <v>282</v>
      </c>
      <c r="B284" s="60" t="s">
        <v>582</v>
      </c>
      <c r="C284" s="60" t="s">
        <v>583</v>
      </c>
      <c r="D284" s="67">
        <v>1</v>
      </c>
    </row>
    <row r="285" spans="1:4" ht="15.5">
      <c r="A285" s="59">
        <v>283</v>
      </c>
      <c r="B285" s="60" t="s">
        <v>584</v>
      </c>
      <c r="C285" s="60" t="s">
        <v>585</v>
      </c>
      <c r="D285" s="67">
        <v>1</v>
      </c>
    </row>
    <row r="286" spans="1:4" ht="15.5">
      <c r="A286" s="59">
        <v>284</v>
      </c>
      <c r="B286" s="60" t="s">
        <v>1092</v>
      </c>
      <c r="C286" s="60" t="s">
        <v>1091</v>
      </c>
      <c r="D286" s="67">
        <v>1</v>
      </c>
    </row>
    <row r="287" spans="1:4" ht="15.5">
      <c r="A287" s="59">
        <v>285</v>
      </c>
      <c r="B287" s="60" t="s">
        <v>1527</v>
      </c>
      <c r="C287" s="60" t="s">
        <v>1528</v>
      </c>
      <c r="D287" s="67">
        <v>1</v>
      </c>
    </row>
    <row r="288" spans="1:4" ht="15.5">
      <c r="A288" s="59">
        <v>286</v>
      </c>
      <c r="B288" s="60" t="s">
        <v>588</v>
      </c>
      <c r="C288" s="60" t="s">
        <v>589</v>
      </c>
      <c r="D288" s="67">
        <v>1</v>
      </c>
    </row>
    <row r="289" spans="1:4" ht="15.5">
      <c r="A289" s="59">
        <v>287</v>
      </c>
      <c r="B289" s="60" t="s">
        <v>592</v>
      </c>
      <c r="C289" s="60" t="s">
        <v>593</v>
      </c>
      <c r="D289" s="67">
        <v>1</v>
      </c>
    </row>
    <row r="290" spans="1:4" ht="15.5">
      <c r="A290" s="59">
        <v>288</v>
      </c>
      <c r="B290" s="60" t="s">
        <v>596</v>
      </c>
      <c r="C290" s="60" t="s">
        <v>597</v>
      </c>
      <c r="D290" s="67">
        <v>2</v>
      </c>
    </row>
    <row r="291" spans="1:4" ht="15.5">
      <c r="A291" s="59">
        <v>289</v>
      </c>
      <c r="B291" s="60" t="s">
        <v>602</v>
      </c>
      <c r="C291" s="60" t="s">
        <v>603</v>
      </c>
      <c r="D291" s="67">
        <v>1</v>
      </c>
    </row>
    <row r="292" spans="1:4" ht="15.5">
      <c r="A292" s="59">
        <v>290</v>
      </c>
      <c r="B292" s="60" t="s">
        <v>606</v>
      </c>
      <c r="C292" s="60" t="s">
        <v>607</v>
      </c>
      <c r="D292" s="67">
        <v>1</v>
      </c>
    </row>
    <row r="293" spans="1:4" ht="15.5">
      <c r="A293" s="59">
        <v>291</v>
      </c>
      <c r="B293" s="60" t="s">
        <v>1561</v>
      </c>
      <c r="C293" s="60" t="s">
        <v>1562</v>
      </c>
      <c r="D293" s="67">
        <v>1</v>
      </c>
    </row>
    <row r="294" spans="1:4" ht="15.5">
      <c r="A294" s="59">
        <v>292</v>
      </c>
      <c r="B294" s="60" t="s">
        <v>292</v>
      </c>
      <c r="C294" s="60" t="s">
        <v>293</v>
      </c>
      <c r="D294" s="67">
        <v>1</v>
      </c>
    </row>
    <row r="295" spans="1:4" ht="15.5">
      <c r="A295" s="59">
        <v>293</v>
      </c>
      <c r="B295" s="60" t="s">
        <v>608</v>
      </c>
      <c r="C295" s="60" t="s">
        <v>609</v>
      </c>
      <c r="D295" s="67">
        <v>2</v>
      </c>
    </row>
    <row r="296" spans="1:4" ht="15.5">
      <c r="A296" s="59">
        <v>294</v>
      </c>
      <c r="B296" s="60" t="s">
        <v>610</v>
      </c>
      <c r="C296" s="60" t="s">
        <v>611</v>
      </c>
      <c r="D296" s="67">
        <v>3</v>
      </c>
    </row>
    <row r="297" spans="1:4" ht="15.5">
      <c r="A297" s="59">
        <v>295</v>
      </c>
      <c r="B297" s="60" t="s">
        <v>612</v>
      </c>
      <c r="C297" s="60" t="s">
        <v>613</v>
      </c>
      <c r="D297" s="67">
        <v>1</v>
      </c>
    </row>
    <row r="298" spans="1:4" ht="15.5">
      <c r="A298" s="59">
        <v>296</v>
      </c>
      <c r="B298" s="60" t="s">
        <v>614</v>
      </c>
      <c r="C298" s="60" t="s">
        <v>615</v>
      </c>
      <c r="D298" s="67">
        <v>1</v>
      </c>
    </row>
    <row r="299" spans="1:4" ht="15.5">
      <c r="A299" s="59">
        <v>297</v>
      </c>
      <c r="B299" s="60" t="s">
        <v>616</v>
      </c>
      <c r="C299" s="60" t="s">
        <v>617</v>
      </c>
      <c r="D299" s="67">
        <v>1</v>
      </c>
    </row>
    <row r="300" spans="1:4" ht="15.5">
      <c r="A300" s="59">
        <v>298</v>
      </c>
      <c r="B300" s="60" t="s">
        <v>622</v>
      </c>
      <c r="C300" s="60" t="s">
        <v>623</v>
      </c>
      <c r="D300" s="67">
        <v>1</v>
      </c>
    </row>
    <row r="301" spans="1:4" ht="15.5">
      <c r="A301" s="59">
        <v>299</v>
      </c>
      <c r="B301" s="60" t="s">
        <v>1529</v>
      </c>
      <c r="C301" s="60" t="s">
        <v>1089</v>
      </c>
      <c r="D301" s="67">
        <v>2</v>
      </c>
    </row>
    <row r="302" spans="1:4" ht="15.5">
      <c r="A302" s="59">
        <v>300</v>
      </c>
      <c r="B302" s="60" t="s">
        <v>628</v>
      </c>
      <c r="C302" s="60" t="s">
        <v>629</v>
      </c>
      <c r="D302" s="67">
        <v>1</v>
      </c>
    </row>
    <row r="303" spans="1:4" ht="15.5">
      <c r="A303" s="59">
        <v>301</v>
      </c>
      <c r="B303" s="60" t="s">
        <v>630</v>
      </c>
      <c r="C303" s="60" t="s">
        <v>631</v>
      </c>
      <c r="D303" s="67">
        <v>1</v>
      </c>
    </row>
    <row r="304" spans="1:4" ht="15.5">
      <c r="A304" s="59">
        <v>302</v>
      </c>
      <c r="B304" s="60" t="s">
        <v>632</v>
      </c>
      <c r="C304" s="60" t="s">
        <v>633</v>
      </c>
      <c r="D304" s="67">
        <v>1</v>
      </c>
    </row>
    <row r="305" spans="1:4" ht="15.5">
      <c r="A305" s="59">
        <v>303</v>
      </c>
      <c r="B305" s="60" t="s">
        <v>634</v>
      </c>
      <c r="C305" s="60" t="s">
        <v>635</v>
      </c>
      <c r="D305" s="67">
        <v>1</v>
      </c>
    </row>
    <row r="306" spans="1:4" ht="15.5">
      <c r="A306" s="59">
        <v>304</v>
      </c>
      <c r="B306" s="60" t="s">
        <v>1568</v>
      </c>
      <c r="C306" s="60" t="s">
        <v>641</v>
      </c>
      <c r="D306" s="67">
        <v>1</v>
      </c>
    </row>
    <row r="307" spans="1:4" ht="15.5">
      <c r="A307" s="59">
        <v>305</v>
      </c>
      <c r="B307" s="60" t="s">
        <v>726</v>
      </c>
      <c r="C307" s="60" t="s">
        <v>643</v>
      </c>
      <c r="D307" s="67">
        <v>1</v>
      </c>
    </row>
    <row r="308" spans="1:4" ht="15.5">
      <c r="A308" s="59">
        <v>306</v>
      </c>
      <c r="B308" s="60" t="s">
        <v>727</v>
      </c>
      <c r="C308" s="60" t="s">
        <v>645</v>
      </c>
      <c r="D308" s="67">
        <v>2</v>
      </c>
    </row>
    <row r="309" spans="1:4" ht="15.5">
      <c r="A309" s="59">
        <v>307</v>
      </c>
      <c r="B309" s="60" t="s">
        <v>731</v>
      </c>
      <c r="C309" s="60" t="s">
        <v>649</v>
      </c>
      <c r="D309" s="67">
        <v>1</v>
      </c>
    </row>
    <row r="310" spans="1:4" ht="15.5">
      <c r="A310" s="59">
        <v>308</v>
      </c>
      <c r="B310" s="60" t="s">
        <v>734</v>
      </c>
      <c r="C310" s="60" t="s">
        <v>651</v>
      </c>
      <c r="D310" s="67">
        <v>1</v>
      </c>
    </row>
    <row r="311" spans="1:4" ht="15.5">
      <c r="A311" s="59">
        <v>309</v>
      </c>
      <c r="B311" s="60" t="s">
        <v>1083</v>
      </c>
      <c r="C311" s="60" t="s">
        <v>1082</v>
      </c>
      <c r="D311" s="67">
        <v>1</v>
      </c>
    </row>
    <row r="312" spans="1:4" ht="15.5">
      <c r="A312" s="59">
        <v>310</v>
      </c>
      <c r="B312" s="60" t="s">
        <v>652</v>
      </c>
      <c r="C312" s="60" t="s">
        <v>653</v>
      </c>
      <c r="D312" s="67">
        <v>1</v>
      </c>
    </row>
    <row r="313" spans="1:4" ht="15.5">
      <c r="A313" s="59">
        <v>311</v>
      </c>
      <c r="B313" s="60" t="s">
        <v>654</v>
      </c>
      <c r="C313" s="60" t="s">
        <v>655</v>
      </c>
      <c r="D313" s="67">
        <v>1</v>
      </c>
    </row>
    <row r="314" spans="1:4" ht="15.5">
      <c r="A314" s="59">
        <v>312</v>
      </c>
      <c r="B314" s="60" t="s">
        <v>656</v>
      </c>
      <c r="C314" s="60" t="s">
        <v>657</v>
      </c>
      <c r="D314" s="67">
        <v>1</v>
      </c>
    </row>
    <row r="315" spans="1:4" ht="15.5">
      <c r="A315" s="59">
        <v>313</v>
      </c>
      <c r="B315" s="60" t="s">
        <v>658</v>
      </c>
      <c r="C315" s="60" t="s">
        <v>659</v>
      </c>
      <c r="D315" s="67">
        <v>1</v>
      </c>
    </row>
    <row r="316" spans="1:4" ht="15.5">
      <c r="A316" s="59">
        <v>314</v>
      </c>
      <c r="B316" s="60" t="s">
        <v>660</v>
      </c>
      <c r="C316" s="60" t="s">
        <v>661</v>
      </c>
      <c r="D316" s="67">
        <v>1</v>
      </c>
    </row>
    <row r="317" spans="1:4" ht="15.5">
      <c r="A317" s="59">
        <v>315</v>
      </c>
      <c r="B317" s="60" t="s">
        <v>662</v>
      </c>
      <c r="C317" s="60" t="s">
        <v>663</v>
      </c>
      <c r="D317" s="67">
        <v>1</v>
      </c>
    </row>
    <row r="318" spans="1:4" ht="15.5">
      <c r="A318" s="59">
        <v>316</v>
      </c>
      <c r="B318" s="60" t="s">
        <v>1079</v>
      </c>
      <c r="C318" s="60" t="s">
        <v>1078</v>
      </c>
      <c r="D318" s="67">
        <v>1</v>
      </c>
    </row>
    <row r="319" spans="1:4" ht="15.5">
      <c r="A319" s="59">
        <v>317</v>
      </c>
      <c r="B319" s="60" t="s">
        <v>666</v>
      </c>
      <c r="C319" s="60" t="s">
        <v>667</v>
      </c>
      <c r="D319" s="67">
        <v>2</v>
      </c>
    </row>
    <row r="320" spans="1:4" ht="15.5">
      <c r="A320" s="59">
        <v>318</v>
      </c>
      <c r="B320" s="60" t="s">
        <v>668</v>
      </c>
      <c r="C320" s="60" t="s">
        <v>669</v>
      </c>
      <c r="D320" s="67">
        <v>1</v>
      </c>
    </row>
    <row r="321" spans="1:4" ht="15.5">
      <c r="A321" s="59">
        <v>319</v>
      </c>
      <c r="B321" s="60" t="s">
        <v>670</v>
      </c>
      <c r="C321" s="60" t="s">
        <v>671</v>
      </c>
      <c r="D321" s="67">
        <v>2</v>
      </c>
    </row>
    <row r="322" spans="1:4" ht="15.5">
      <c r="A322" s="59">
        <v>320</v>
      </c>
      <c r="B322" s="60" t="s">
        <v>672</v>
      </c>
      <c r="C322" s="60" t="s">
        <v>673</v>
      </c>
      <c r="D322" s="67">
        <v>1</v>
      </c>
    </row>
    <row r="323" spans="1:4" ht="15.5">
      <c r="A323" s="59">
        <v>321</v>
      </c>
      <c r="B323" s="60" t="s">
        <v>676</v>
      </c>
      <c r="C323" s="60" t="s">
        <v>677</v>
      </c>
      <c r="D323" s="67">
        <v>2</v>
      </c>
    </row>
    <row r="324" spans="1:4" ht="15.5">
      <c r="A324" s="59">
        <v>322</v>
      </c>
      <c r="B324" s="60" t="s">
        <v>678</v>
      </c>
      <c r="C324" s="60" t="s">
        <v>679</v>
      </c>
      <c r="D324" s="67">
        <v>1</v>
      </c>
    </row>
    <row r="325" spans="1:4" ht="15.5">
      <c r="A325" s="59">
        <v>323</v>
      </c>
      <c r="B325" s="60" t="s">
        <v>680</v>
      </c>
      <c r="C325" s="60" t="s">
        <v>681</v>
      </c>
      <c r="D325" s="67">
        <v>1</v>
      </c>
    </row>
    <row r="326" spans="1:4" ht="15.5">
      <c r="A326" s="59">
        <v>324</v>
      </c>
      <c r="B326" s="60" t="s">
        <v>694</v>
      </c>
      <c r="C326" s="60" t="s">
        <v>695</v>
      </c>
      <c r="D326" s="67">
        <v>1</v>
      </c>
    </row>
    <row r="327" spans="1:4" ht="15.5">
      <c r="A327" s="59">
        <v>325</v>
      </c>
      <c r="B327" s="60" t="s">
        <v>698</v>
      </c>
      <c r="C327" s="60" t="s">
        <v>699</v>
      </c>
      <c r="D327" s="67">
        <v>1</v>
      </c>
    </row>
    <row r="328" spans="1:4" ht="15.5">
      <c r="A328" s="59">
        <v>326</v>
      </c>
      <c r="B328" s="60" t="s">
        <v>706</v>
      </c>
      <c r="C328" s="60" t="s">
        <v>707</v>
      </c>
      <c r="D328" s="67">
        <v>1</v>
      </c>
    </row>
    <row r="329" spans="1:4" ht="15.5">
      <c r="A329" s="59">
        <v>327</v>
      </c>
      <c r="B329" s="60" t="s">
        <v>708</v>
      </c>
      <c r="C329" s="60" t="s">
        <v>709</v>
      </c>
      <c r="D329" s="67">
        <v>1</v>
      </c>
    </row>
    <row r="330" spans="1:4" ht="15.5">
      <c r="A330" s="59">
        <v>328</v>
      </c>
      <c r="B330" s="60" t="s">
        <v>710</v>
      </c>
      <c r="C330" s="60" t="s">
        <v>711</v>
      </c>
      <c r="D330" s="67">
        <v>1</v>
      </c>
    </row>
    <row r="331" spans="1:4" ht="15.5">
      <c r="A331" s="59">
        <v>329</v>
      </c>
      <c r="B331" s="60" t="s">
        <v>712</v>
      </c>
      <c r="C331" s="60" t="s">
        <v>713</v>
      </c>
      <c r="D331" s="67">
        <v>1</v>
      </c>
    </row>
    <row r="332" spans="1:4" ht="15.5">
      <c r="A332" s="59">
        <v>330</v>
      </c>
      <c r="B332" s="60" t="s">
        <v>1075</v>
      </c>
      <c r="C332" s="60" t="s">
        <v>1074</v>
      </c>
      <c r="D332" s="67">
        <v>1</v>
      </c>
    </row>
    <row r="333" spans="1:4" ht="15.5">
      <c r="A333" s="59">
        <v>331</v>
      </c>
      <c r="B333" s="60" t="s">
        <v>716</v>
      </c>
      <c r="C333" s="60" t="s">
        <v>717</v>
      </c>
      <c r="D333" s="67">
        <v>1</v>
      </c>
    </row>
    <row r="334" spans="1:4" ht="15.5">
      <c r="A334" s="59">
        <v>332</v>
      </c>
      <c r="B334" s="60" t="s">
        <v>718</v>
      </c>
      <c r="C334" s="60" t="s">
        <v>719</v>
      </c>
      <c r="D334" s="67">
        <v>1</v>
      </c>
    </row>
    <row r="335" spans="1:4" ht="15.5">
      <c r="A335" s="59">
        <v>333</v>
      </c>
      <c r="B335" s="60" t="s">
        <v>720</v>
      </c>
      <c r="C335" s="60" t="s">
        <v>721</v>
      </c>
      <c r="D335" s="67">
        <v>1</v>
      </c>
    </row>
    <row r="336" spans="1:4" ht="15.5">
      <c r="A336" s="59">
        <v>334</v>
      </c>
      <c r="B336" s="60" t="s">
        <v>722</v>
      </c>
      <c r="C336" s="60" t="s">
        <v>723</v>
      </c>
      <c r="D336" s="67">
        <v>1</v>
      </c>
    </row>
    <row r="337" spans="1:4" ht="15.5">
      <c r="A337" s="59">
        <v>335</v>
      </c>
      <c r="B337" s="60" t="s">
        <v>724</v>
      </c>
      <c r="C337" s="60" t="s">
        <v>725</v>
      </c>
      <c r="D337" s="67">
        <v>1</v>
      </c>
    </row>
    <row r="338" spans="1:4" ht="15.5">
      <c r="A338" s="59">
        <v>336</v>
      </c>
      <c r="B338" s="60" t="s">
        <v>728</v>
      </c>
      <c r="C338" s="60" t="s">
        <v>729</v>
      </c>
      <c r="D338" s="67">
        <v>1</v>
      </c>
    </row>
    <row r="339" spans="1:4" ht="15.5">
      <c r="A339" s="59">
        <v>337</v>
      </c>
      <c r="B339" s="60" t="s">
        <v>732</v>
      </c>
      <c r="C339" s="60" t="s">
        <v>733</v>
      </c>
      <c r="D339" s="67">
        <v>1</v>
      </c>
    </row>
    <row r="340" spans="1:4" ht="15.5">
      <c r="A340" s="59">
        <v>338</v>
      </c>
      <c r="B340" s="60" t="s">
        <v>103</v>
      </c>
      <c r="C340" s="60" t="s">
        <v>104</v>
      </c>
      <c r="D340" s="67">
        <v>1</v>
      </c>
    </row>
    <row r="341" spans="1:4" ht="15.5">
      <c r="A341" s="59">
        <v>339</v>
      </c>
      <c r="B341" s="60" t="s">
        <v>105</v>
      </c>
      <c r="C341" s="60" t="s">
        <v>106</v>
      </c>
      <c r="D341" s="67">
        <v>1</v>
      </c>
    </row>
    <row r="342" spans="1:4" ht="15.5">
      <c r="A342" s="59">
        <v>340</v>
      </c>
      <c r="B342" s="60" t="s">
        <v>107</v>
      </c>
      <c r="C342" s="60" t="s">
        <v>108</v>
      </c>
      <c r="D342" s="67">
        <v>1</v>
      </c>
    </row>
    <row r="343" spans="1:4" ht="15.5">
      <c r="A343" s="59">
        <v>341</v>
      </c>
      <c r="B343" s="60" t="s">
        <v>109</v>
      </c>
      <c r="C343" s="60" t="s">
        <v>110</v>
      </c>
      <c r="D343" s="67">
        <v>2</v>
      </c>
    </row>
    <row r="344" spans="1:4" ht="15.5">
      <c r="A344" s="59">
        <v>342</v>
      </c>
      <c r="B344" s="60" t="s">
        <v>111</v>
      </c>
      <c r="C344" s="60" t="s">
        <v>112</v>
      </c>
      <c r="D344" s="67">
        <v>1</v>
      </c>
    </row>
    <row r="345" spans="1:4" ht="15.5">
      <c r="A345" s="59">
        <v>343</v>
      </c>
      <c r="B345" s="60" t="s">
        <v>113</v>
      </c>
      <c r="C345" s="60" t="s">
        <v>114</v>
      </c>
      <c r="D345" s="67">
        <v>1</v>
      </c>
    </row>
    <row r="346" spans="1:4" ht="15.5">
      <c r="A346" s="59">
        <v>344</v>
      </c>
      <c r="B346" s="60" t="s">
        <v>244</v>
      </c>
      <c r="C346" s="60" t="s">
        <v>245</v>
      </c>
      <c r="D346" s="67">
        <v>1</v>
      </c>
    </row>
    <row r="347" spans="1:4" ht="15.5">
      <c r="A347" s="59">
        <v>345</v>
      </c>
      <c r="B347" s="60" t="s">
        <v>246</v>
      </c>
      <c r="C347" s="60" t="s">
        <v>115</v>
      </c>
      <c r="D347" s="67">
        <v>1</v>
      </c>
    </row>
    <row r="348" spans="1:4" ht="15.5">
      <c r="A348" s="59">
        <v>346</v>
      </c>
      <c r="B348" s="60" t="s">
        <v>247</v>
      </c>
      <c r="C348" s="60" t="s">
        <v>116</v>
      </c>
      <c r="D348" s="67">
        <v>1</v>
      </c>
    </row>
    <row r="349" spans="1:4" ht="15.5">
      <c r="A349" s="59">
        <v>347</v>
      </c>
      <c r="B349" s="60" t="s">
        <v>248</v>
      </c>
      <c r="C349" s="60" t="s">
        <v>117</v>
      </c>
      <c r="D349" s="67">
        <v>1</v>
      </c>
    </row>
    <row r="350" spans="1:4" ht="15.5">
      <c r="A350" s="59">
        <v>348</v>
      </c>
      <c r="B350" s="60" t="s">
        <v>249</v>
      </c>
      <c r="C350" s="60" t="s">
        <v>250</v>
      </c>
      <c r="D350" s="67">
        <v>1</v>
      </c>
    </row>
    <row r="351" spans="1:4" ht="15.5">
      <c r="A351" s="59">
        <v>349</v>
      </c>
      <c r="B351" s="60" t="s">
        <v>140</v>
      </c>
      <c r="C351" s="60" t="s">
        <v>141</v>
      </c>
      <c r="D351" s="67">
        <v>0</v>
      </c>
    </row>
    <row r="352" spans="1:4" ht="15.5">
      <c r="A352" s="59">
        <v>350</v>
      </c>
      <c r="B352" s="60" t="s">
        <v>146</v>
      </c>
      <c r="C352" s="60" t="s">
        <v>147</v>
      </c>
      <c r="D352" s="67">
        <v>1</v>
      </c>
    </row>
    <row r="353" spans="1:4" ht="15.5">
      <c r="A353" s="59">
        <v>351</v>
      </c>
      <c r="B353" s="60" t="s">
        <v>148</v>
      </c>
      <c r="C353" s="60" t="s">
        <v>149</v>
      </c>
      <c r="D353" s="67">
        <v>1</v>
      </c>
    </row>
    <row r="354" spans="1:4" ht="15.5">
      <c r="A354" s="59">
        <v>352</v>
      </c>
      <c r="B354" s="60" t="s">
        <v>751</v>
      </c>
      <c r="C354" s="60" t="s">
        <v>752</v>
      </c>
      <c r="D354" s="67">
        <v>1</v>
      </c>
    </row>
    <row r="355" spans="1:4" ht="15.5">
      <c r="A355" s="59">
        <v>353</v>
      </c>
      <c r="B355" s="60" t="s">
        <v>152</v>
      </c>
      <c r="C355" s="60" t="s">
        <v>153</v>
      </c>
      <c r="D355" s="67">
        <v>1</v>
      </c>
    </row>
    <row r="356" spans="1:4" ht="15.5">
      <c r="A356" s="59">
        <v>354</v>
      </c>
      <c r="B356" s="60" t="s">
        <v>156</v>
      </c>
      <c r="C356" s="60" t="s">
        <v>157</v>
      </c>
      <c r="D356" s="67">
        <v>1</v>
      </c>
    </row>
    <row r="357" spans="1:4" ht="15.5">
      <c r="A357" s="59">
        <v>355</v>
      </c>
      <c r="B357" s="60" t="s">
        <v>158</v>
      </c>
      <c r="C357" s="60" t="s">
        <v>159</v>
      </c>
      <c r="D357" s="67">
        <v>1</v>
      </c>
    </row>
    <row r="358" spans="1:4" ht="15.5">
      <c r="A358" s="59">
        <v>356</v>
      </c>
      <c r="B358" s="60" t="s">
        <v>160</v>
      </c>
      <c r="C358" s="60" t="s">
        <v>161</v>
      </c>
      <c r="D358" s="67">
        <v>1</v>
      </c>
    </row>
    <row r="359" spans="1:4" ht="15.5">
      <c r="A359" s="59">
        <v>357</v>
      </c>
      <c r="B359" s="60" t="s">
        <v>761</v>
      </c>
      <c r="C359" s="60" t="s">
        <v>762</v>
      </c>
      <c r="D359" s="67">
        <v>1</v>
      </c>
    </row>
    <row r="360" spans="1:4" ht="15.5">
      <c r="A360" s="59">
        <v>358</v>
      </c>
      <c r="B360" s="60" t="s">
        <v>807</v>
      </c>
      <c r="C360" s="60" t="s">
        <v>808</v>
      </c>
      <c r="D360" s="67">
        <v>1</v>
      </c>
    </row>
    <row r="361" spans="1:4" ht="15.5">
      <c r="A361" s="59">
        <v>359</v>
      </c>
      <c r="B361" s="60" t="s">
        <v>755</v>
      </c>
      <c r="C361" s="60" t="s">
        <v>756</v>
      </c>
      <c r="D361" s="67">
        <v>1</v>
      </c>
    </row>
    <row r="362" spans="1:4" ht="15.5">
      <c r="A362" s="59">
        <v>360</v>
      </c>
      <c r="B362" s="60" t="s">
        <v>757</v>
      </c>
      <c r="C362" s="60" t="s">
        <v>758</v>
      </c>
      <c r="D362" s="67">
        <v>1</v>
      </c>
    </row>
    <row r="363" spans="1:4" ht="15.5">
      <c r="A363" s="59">
        <v>361</v>
      </c>
      <c r="B363" s="60" t="s">
        <v>763</v>
      </c>
      <c r="C363" s="60" t="s">
        <v>764</v>
      </c>
      <c r="D363" s="67">
        <v>2</v>
      </c>
    </row>
    <row r="364" spans="1:4" ht="15.5">
      <c r="A364" s="59">
        <v>362</v>
      </c>
      <c r="B364" s="60" t="s">
        <v>765</v>
      </c>
      <c r="C364" s="60" t="s">
        <v>766</v>
      </c>
      <c r="D364" s="67">
        <v>1</v>
      </c>
    </row>
    <row r="365" spans="1:4" ht="15.5">
      <c r="A365" s="59">
        <v>363</v>
      </c>
      <c r="B365" s="60" t="s">
        <v>769</v>
      </c>
      <c r="C365" s="60" t="s">
        <v>770</v>
      </c>
      <c r="D365" s="67">
        <v>1</v>
      </c>
    </row>
    <row r="366" spans="1:4" ht="15.5">
      <c r="A366" s="59">
        <v>364</v>
      </c>
      <c r="B366" s="60" t="s">
        <v>771</v>
      </c>
      <c r="C366" s="60" t="s">
        <v>772</v>
      </c>
      <c r="D366" s="67">
        <v>1</v>
      </c>
    </row>
    <row r="367" spans="1:4" ht="15.5">
      <c r="A367" s="59">
        <v>365</v>
      </c>
      <c r="B367" s="60" t="s">
        <v>775</v>
      </c>
      <c r="C367" s="60" t="s">
        <v>776</v>
      </c>
      <c r="D367" s="67">
        <v>1</v>
      </c>
    </row>
    <row r="368" spans="1:4" ht="15.5">
      <c r="A368" s="59">
        <v>366</v>
      </c>
      <c r="B368" s="60" t="s">
        <v>779</v>
      </c>
      <c r="C368" s="60" t="s">
        <v>780</v>
      </c>
      <c r="D368" s="67">
        <v>1</v>
      </c>
    </row>
    <row r="369" spans="1:4" ht="15.5">
      <c r="A369" s="59">
        <v>367</v>
      </c>
      <c r="B369" s="60" t="s">
        <v>781</v>
      </c>
      <c r="C369" s="60" t="s">
        <v>782</v>
      </c>
      <c r="D369" s="67">
        <v>0</v>
      </c>
    </row>
    <row r="370" spans="1:4" ht="15.5">
      <c r="A370" s="59">
        <v>368</v>
      </c>
      <c r="B370" s="60" t="s">
        <v>785</v>
      </c>
      <c r="C370" s="60" t="s">
        <v>786</v>
      </c>
      <c r="D370" s="67">
        <v>1</v>
      </c>
    </row>
    <row r="371" spans="1:4" ht="15.5">
      <c r="A371" s="59">
        <v>369</v>
      </c>
      <c r="B371" s="60" t="s">
        <v>787</v>
      </c>
      <c r="C371" s="60" t="s">
        <v>788</v>
      </c>
      <c r="D371" s="67">
        <v>1</v>
      </c>
    </row>
    <row r="372" spans="1:4" ht="15.5">
      <c r="A372" s="59">
        <v>370</v>
      </c>
      <c r="B372" s="60" t="s">
        <v>773</v>
      </c>
      <c r="C372" s="60" t="s">
        <v>774</v>
      </c>
      <c r="D372" s="67">
        <v>1</v>
      </c>
    </row>
    <row r="373" spans="1:4" ht="15.5">
      <c r="A373" s="59">
        <v>371</v>
      </c>
      <c r="B373" s="60" t="s">
        <v>777</v>
      </c>
      <c r="C373" s="60" t="s">
        <v>778</v>
      </c>
      <c r="D373" s="67">
        <v>1</v>
      </c>
    </row>
    <row r="374" spans="1:4" ht="15.5">
      <c r="A374" s="59">
        <v>372</v>
      </c>
      <c r="B374" s="60" t="s">
        <v>783</v>
      </c>
      <c r="C374" s="60" t="s">
        <v>784</v>
      </c>
      <c r="D374" s="67">
        <v>2</v>
      </c>
    </row>
    <row r="375" spans="1:4" ht="15.5">
      <c r="A375" s="59">
        <v>373</v>
      </c>
      <c r="B375" s="60" t="s">
        <v>789</v>
      </c>
      <c r="C375" s="60" t="s">
        <v>790</v>
      </c>
      <c r="D375" s="67">
        <v>1</v>
      </c>
    </row>
    <row r="376" spans="1:4" ht="15.5">
      <c r="A376" s="59">
        <v>374</v>
      </c>
      <c r="B376" s="60" t="s">
        <v>795</v>
      </c>
      <c r="C376" s="60" t="s">
        <v>797</v>
      </c>
      <c r="D376" s="67">
        <v>1</v>
      </c>
    </row>
    <row r="377" spans="1:4" ht="15.5">
      <c r="A377" s="59">
        <v>375</v>
      </c>
      <c r="B377" s="60" t="s">
        <v>1057</v>
      </c>
      <c r="C377" s="60" t="s">
        <v>1056</v>
      </c>
      <c r="D377" s="67">
        <v>1</v>
      </c>
    </row>
    <row r="378" spans="1:4" ht="15.5">
      <c r="A378" s="59">
        <v>376</v>
      </c>
      <c r="B378" s="60" t="s">
        <v>793</v>
      </c>
      <c r="C378" s="60" t="s">
        <v>794</v>
      </c>
      <c r="D378" s="67">
        <v>1</v>
      </c>
    </row>
    <row r="379" spans="1:4" ht="15.5">
      <c r="A379" s="59">
        <v>377</v>
      </c>
      <c r="B379" s="60" t="s">
        <v>799</v>
      </c>
      <c r="C379" s="60" t="s">
        <v>800</v>
      </c>
      <c r="D379" s="67">
        <v>3</v>
      </c>
    </row>
    <row r="380" spans="1:4" ht="15.5">
      <c r="A380" s="59">
        <v>378</v>
      </c>
      <c r="B380" s="60" t="s">
        <v>801</v>
      </c>
      <c r="C380" s="60" t="s">
        <v>802</v>
      </c>
      <c r="D380" s="67">
        <v>1</v>
      </c>
    </row>
    <row r="381" spans="1:4" ht="15.5">
      <c r="A381" s="59">
        <v>379</v>
      </c>
      <c r="B381" s="60" t="s">
        <v>803</v>
      </c>
      <c r="C381" s="60" t="s">
        <v>804</v>
      </c>
      <c r="D381" s="67">
        <v>1</v>
      </c>
    </row>
    <row r="382" spans="1:4" ht="15.5">
      <c r="A382" s="59">
        <v>380</v>
      </c>
      <c r="B382" s="60" t="s">
        <v>1534</v>
      </c>
      <c r="C382" s="60" t="s">
        <v>1535</v>
      </c>
      <c r="D382" s="67">
        <v>1</v>
      </c>
    </row>
    <row r="383" spans="1:4" ht="15.5">
      <c r="A383" s="59">
        <v>381</v>
      </c>
      <c r="B383" s="60" t="s">
        <v>925</v>
      </c>
      <c r="C383" s="60" t="s">
        <v>926</v>
      </c>
      <c r="D383" s="67">
        <v>1</v>
      </c>
    </row>
    <row r="384" spans="1:4" ht="15.5">
      <c r="A384" s="59">
        <v>382</v>
      </c>
      <c r="B384" s="60" t="s">
        <v>943</v>
      </c>
      <c r="C384" s="60" t="s">
        <v>944</v>
      </c>
      <c r="D384" s="67">
        <v>1</v>
      </c>
    </row>
    <row r="385" spans="1:4" ht="15.5">
      <c r="A385" s="59">
        <v>383</v>
      </c>
      <c r="B385" s="60" t="s">
        <v>947</v>
      </c>
      <c r="C385" s="60" t="s">
        <v>948</v>
      </c>
      <c r="D385" s="67">
        <v>3</v>
      </c>
    </row>
    <row r="386" spans="1:4" ht="15.5">
      <c r="A386" s="59">
        <v>384</v>
      </c>
      <c r="B386" s="60" t="s">
        <v>805</v>
      </c>
      <c r="C386" s="60" t="s">
        <v>806</v>
      </c>
      <c r="D386" s="67">
        <v>3</v>
      </c>
    </row>
    <row r="387" spans="1:4" ht="15.5">
      <c r="A387" s="59">
        <v>385</v>
      </c>
      <c r="B387" s="60" t="s">
        <v>809</v>
      </c>
      <c r="C387" s="60" t="s">
        <v>810</v>
      </c>
      <c r="D387" s="67">
        <v>1</v>
      </c>
    </row>
    <row r="388" spans="1:4" ht="15.5">
      <c r="A388" s="59">
        <v>386</v>
      </c>
      <c r="B388" s="60" t="s">
        <v>811</v>
      </c>
      <c r="C388" s="60" t="s">
        <v>812</v>
      </c>
      <c r="D388" s="67">
        <v>1</v>
      </c>
    </row>
    <row r="389" spans="1:4" ht="15.5">
      <c r="A389" s="59">
        <v>387</v>
      </c>
      <c r="B389" s="60" t="s">
        <v>813</v>
      </c>
      <c r="C389" s="60" t="s">
        <v>814</v>
      </c>
      <c r="D389" s="67">
        <v>1</v>
      </c>
    </row>
    <row r="390" spans="1:4" ht="15.5">
      <c r="A390" s="59">
        <v>388</v>
      </c>
      <c r="B390" s="60" t="s">
        <v>815</v>
      </c>
      <c r="C390" s="60" t="s">
        <v>816</v>
      </c>
      <c r="D390" s="67">
        <v>1</v>
      </c>
    </row>
    <row r="391" spans="1:4" ht="15.5">
      <c r="A391" s="59">
        <v>389</v>
      </c>
      <c r="B391" s="60" t="s">
        <v>817</v>
      </c>
      <c r="C391" s="60" t="s">
        <v>818</v>
      </c>
      <c r="D391" s="67">
        <v>1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VFF Shoes Stock</vt:lpstr>
      <vt:lpstr>K Village</vt:lpstr>
      <vt:lpstr>Paradise Park</vt:lpstr>
      <vt:lpstr>Siam Discovery</vt:lpstr>
      <vt:lpstr>Central CL (Department)</vt:lpstr>
      <vt:lpstr>Central LP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Accounting EDV</cp:lastModifiedBy>
  <dcterms:created xsi:type="dcterms:W3CDTF">2024-03-07T09:36:31Z</dcterms:created>
  <dcterms:modified xsi:type="dcterms:W3CDTF">2026-09-26T04:55:41Z</dcterms:modified>
</cp:coreProperties>
</file>