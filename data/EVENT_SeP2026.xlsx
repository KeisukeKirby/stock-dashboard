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efootinc TH\Downloads\"/>
    </mc:Choice>
  </mc:AlternateContent>
  <xr:revisionPtr revIDLastSave="0" documentId="13_ncr:1_{8638FE2E-6343-4447-9AF5-E003D7C4F76D}" xr6:coauthVersionLast="47" xr6:coauthVersionMax="47" xr10:uidLastSave="{00000000-0000-0000-0000-000000000000}"/>
  <bookViews>
    <workbookView xWindow="-120" yWindow="-16320" windowWidth="29040" windowHeight="15720" activeTab="5" xr2:uid="{00000000-000D-0000-FFFF-FFFF00000000}"/>
  </bookViews>
  <sheets>
    <sheet name="VIVO" sheetId="12" r:id="rId1"/>
    <sheet name="Tabio" sheetId="3" r:id="rId2"/>
    <sheet name="VFF" sheetId="13" r:id="rId3"/>
    <sheet name="Not all sizes&amp;Slow seller" sheetId="21" r:id="rId4"/>
    <sheet name="2023-2024" sheetId="22" r:id="rId5"/>
    <sheet name="Oleno" sheetId="8" r:id="rId6"/>
    <sheet name="BFJ Sock" sheetId="10" r:id="rId7"/>
    <sheet name="AQOZ" sheetId="14" state="hidden" r:id="rId8"/>
    <sheet name="Klean Kanteen" sheetId="17" r:id="rId9"/>
    <sheet name="Knockaround" sheetId="11" r:id="rId10"/>
    <sheet name="CC goods&amp;price" sheetId="15" r:id="rId11"/>
    <sheet name="Insect shield" sheetId="7" r:id="rId12"/>
  </sheets>
  <definedNames>
    <definedName name="_xlnm.Print_Area" localSheetId="4">'2023-2024'!$A$1:$L$63</definedName>
    <definedName name="_xlnm.Print_Area" localSheetId="6">'BFJ Sock'!$A$1:$I$40</definedName>
    <definedName name="_xlnm.Print_Area" localSheetId="10">'CC goods&amp;price'!$A$1:$G$45</definedName>
    <definedName name="_xlnm.Print_Area" localSheetId="11">'Insect shield'!$A$1:$F$17</definedName>
    <definedName name="_xlnm.Print_Area" localSheetId="9">Knockaround!$A$1:$I$86</definedName>
    <definedName name="_xlnm.Print_Area" localSheetId="3">'Not all sizes&amp;Slow seller'!$A$1:$L$73</definedName>
    <definedName name="_xlnm.Print_Area" localSheetId="5">Oleno!$A$1:$L$101</definedName>
    <definedName name="_xlnm.Print_Area" localSheetId="2">VFF!$A$1:$L$213</definedName>
    <definedName name="_xlnm.Print_Titles" localSheetId="4">'2023-2024'!$1:$1</definedName>
    <definedName name="_xlnm.Print_Titles" localSheetId="3">'Not all sizes&amp;Slow seller'!$1:$1</definedName>
    <definedName name="_xlnm.Print_Titles" localSheetId="5">Oleno!$1:$1</definedName>
    <definedName name="_xlnm.Print_Titles" localSheetId="2">VFF!$1:$1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7" l="1"/>
  <c r="I2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G41" i="10"/>
  <c r="F41" i="10"/>
  <c r="E41" i="10"/>
  <c r="J101" i="8"/>
  <c r="I101" i="8"/>
  <c r="H101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I63" i="22"/>
  <c r="G63" i="22"/>
  <c r="F63" i="22"/>
  <c r="E63" i="22"/>
  <c r="D63" i="22"/>
  <c r="L62" i="22"/>
  <c r="H62" i="22"/>
  <c r="L61" i="22"/>
  <c r="H61" i="22"/>
  <c r="L60" i="22"/>
  <c r="H60" i="22"/>
  <c r="L59" i="22"/>
  <c r="H59" i="22"/>
  <c r="L58" i="22"/>
  <c r="H58" i="22"/>
  <c r="L57" i="22"/>
  <c r="H57" i="22"/>
  <c r="L56" i="22"/>
  <c r="H56" i="22"/>
  <c r="L55" i="22"/>
  <c r="H55" i="22"/>
  <c r="L54" i="22"/>
  <c r="H54" i="22"/>
  <c r="L53" i="22"/>
  <c r="H53" i="22"/>
  <c r="L52" i="22"/>
  <c r="H52" i="22"/>
  <c r="L51" i="22"/>
  <c r="H51" i="22"/>
  <c r="L50" i="22"/>
  <c r="H50" i="22"/>
  <c r="L49" i="22"/>
  <c r="H49" i="22"/>
  <c r="L48" i="22"/>
  <c r="H48" i="22"/>
  <c r="L47" i="22"/>
  <c r="H47" i="22"/>
  <c r="L46" i="22"/>
  <c r="H46" i="22"/>
  <c r="L45" i="22"/>
  <c r="H45" i="22"/>
  <c r="L44" i="22"/>
  <c r="H44" i="22"/>
  <c r="L43" i="22"/>
  <c r="H43" i="22"/>
  <c r="L42" i="22"/>
  <c r="H42" i="22"/>
  <c r="L41" i="22"/>
  <c r="H41" i="22"/>
  <c r="L40" i="22"/>
  <c r="H40" i="22"/>
  <c r="L39" i="22"/>
  <c r="H39" i="22"/>
  <c r="L38" i="22"/>
  <c r="H38" i="22"/>
  <c r="L37" i="22"/>
  <c r="H37" i="22"/>
  <c r="L36" i="22"/>
  <c r="H36" i="22"/>
  <c r="L35" i="22"/>
  <c r="H35" i="22"/>
  <c r="L34" i="22"/>
  <c r="H34" i="22"/>
  <c r="L33" i="22"/>
  <c r="H33" i="22"/>
  <c r="L32" i="22"/>
  <c r="H32" i="22"/>
  <c r="L31" i="22"/>
  <c r="H31" i="22"/>
  <c r="L30" i="22"/>
  <c r="H30" i="22"/>
  <c r="L29" i="22"/>
  <c r="H29" i="22"/>
  <c r="L28" i="22"/>
  <c r="H28" i="22"/>
  <c r="L27" i="22"/>
  <c r="H27" i="22"/>
  <c r="L26" i="22"/>
  <c r="H26" i="22"/>
  <c r="L25" i="22"/>
  <c r="H25" i="22"/>
  <c r="L24" i="22"/>
  <c r="H24" i="22"/>
  <c r="L23" i="22"/>
  <c r="H23" i="22"/>
  <c r="L22" i="22"/>
  <c r="H22" i="22"/>
  <c r="L21" i="22"/>
  <c r="H21" i="22"/>
  <c r="L20" i="22"/>
  <c r="H20" i="22"/>
  <c r="L19" i="22"/>
  <c r="H19" i="22"/>
  <c r="L18" i="22"/>
  <c r="H18" i="22"/>
  <c r="L17" i="22"/>
  <c r="H17" i="22"/>
  <c r="L16" i="22"/>
  <c r="H16" i="22"/>
  <c r="L15" i="22"/>
  <c r="H15" i="22"/>
  <c r="L14" i="22"/>
  <c r="H14" i="22"/>
  <c r="L13" i="22"/>
  <c r="H13" i="22"/>
  <c r="L12" i="22"/>
  <c r="H12" i="22"/>
  <c r="L11" i="22"/>
  <c r="H11" i="22"/>
  <c r="L10" i="22"/>
  <c r="H10" i="22"/>
  <c r="L9" i="22"/>
  <c r="H9" i="22"/>
  <c r="L8" i="22"/>
  <c r="H8" i="22"/>
  <c r="L7" i="22"/>
  <c r="H7" i="22"/>
  <c r="L6" i="22"/>
  <c r="H6" i="22"/>
  <c r="L5" i="22"/>
  <c r="H5" i="22"/>
  <c r="L4" i="22"/>
  <c r="H4" i="22"/>
  <c r="L3" i="22"/>
  <c r="H3" i="22"/>
  <c r="L2" i="22"/>
  <c r="H2" i="22"/>
  <c r="H213" i="13"/>
  <c r="J73" i="21"/>
  <c r="I73" i="21"/>
  <c r="H73" i="21"/>
  <c r="G72" i="21"/>
  <c r="G71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" i="21"/>
  <c r="F73" i="21"/>
  <c r="L72" i="21"/>
  <c r="L71" i="21"/>
  <c r="L70" i="21"/>
  <c r="L69" i="21"/>
  <c r="L68" i="21"/>
  <c r="L67" i="21"/>
  <c r="L66" i="21"/>
  <c r="L65" i="21"/>
  <c r="L64" i="21"/>
  <c r="L63" i="21"/>
  <c r="L62" i="21"/>
  <c r="L61" i="21"/>
  <c r="L60" i="21"/>
  <c r="L59" i="21"/>
  <c r="L58" i="21"/>
  <c r="L57" i="21"/>
  <c r="L56" i="21"/>
  <c r="L55" i="21"/>
  <c r="L54" i="21"/>
  <c r="L53" i="21"/>
  <c r="L52" i="21"/>
  <c r="L51" i="21"/>
  <c r="L50" i="21"/>
  <c r="L49" i="21"/>
  <c r="L48" i="21"/>
  <c r="L47" i="21"/>
  <c r="L46" i="21"/>
  <c r="L45" i="21"/>
  <c r="L44" i="21"/>
  <c r="L43" i="21"/>
  <c r="L42" i="21"/>
  <c r="L41" i="21"/>
  <c r="L40" i="21"/>
  <c r="L39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I213" i="13"/>
  <c r="L122" i="13"/>
  <c r="L121" i="13"/>
  <c r="L120" i="13"/>
  <c r="L119" i="13"/>
  <c r="L105" i="13"/>
  <c r="L40" i="13"/>
  <c r="L39" i="13"/>
  <c r="L38" i="13"/>
  <c r="L37" i="13"/>
  <c r="L36" i="13"/>
  <c r="L35" i="13"/>
  <c r="L8" i="13"/>
  <c r="L7" i="13"/>
  <c r="L6" i="13"/>
  <c r="L5" i="13"/>
  <c r="L4" i="13"/>
  <c r="L3" i="13"/>
  <c r="J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I49" i="12"/>
  <c r="H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H63" i="22" l="1"/>
  <c r="G45" i="15" l="1"/>
  <c r="C45" i="15"/>
  <c r="G44" i="15"/>
  <c r="G43" i="15"/>
  <c r="C43" i="15"/>
  <c r="G42" i="15"/>
  <c r="C42" i="15"/>
  <c r="G41" i="15"/>
  <c r="C41" i="15"/>
  <c r="G40" i="15"/>
  <c r="C40" i="15"/>
  <c r="G39" i="15"/>
  <c r="G38" i="15"/>
  <c r="G37" i="15"/>
  <c r="G36" i="15"/>
  <c r="G35" i="15"/>
  <c r="G34" i="15"/>
  <c r="G33" i="15"/>
  <c r="C33" i="15"/>
  <c r="G32" i="15"/>
  <c r="G31" i="15"/>
  <c r="C31" i="15"/>
  <c r="G30" i="15"/>
  <c r="C30" i="15"/>
  <c r="G29" i="15"/>
  <c r="G28" i="15"/>
  <c r="G27" i="15"/>
  <c r="C27" i="15"/>
  <c r="G26" i="15"/>
  <c r="C26" i="15"/>
  <c r="G25" i="15"/>
  <c r="C25" i="15"/>
  <c r="G24" i="15"/>
  <c r="C24" i="15"/>
  <c r="G23" i="15"/>
  <c r="G22" i="15"/>
  <c r="C22" i="15"/>
  <c r="G21" i="15"/>
  <c r="C21" i="15"/>
  <c r="G20" i="15"/>
  <c r="C20" i="15"/>
  <c r="G19" i="15"/>
  <c r="C19" i="15"/>
  <c r="G18" i="15"/>
  <c r="G17" i="15"/>
  <c r="G16" i="15"/>
  <c r="G15" i="15"/>
  <c r="C15" i="15"/>
  <c r="G14" i="15"/>
  <c r="G13" i="15"/>
  <c r="G12" i="15"/>
  <c r="C12" i="15"/>
  <c r="G11" i="15"/>
  <c r="G10" i="15"/>
  <c r="C10" i="15"/>
  <c r="G9" i="15"/>
  <c r="G8" i="15"/>
  <c r="G7" i="15"/>
  <c r="G6" i="15"/>
  <c r="G5" i="15"/>
  <c r="G4" i="15"/>
  <c r="G3" i="15"/>
  <c r="F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F86" i="11"/>
  <c r="E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E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" i="3"/>
  <c r="C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</calcChain>
</file>

<file path=xl/sharedStrings.xml><?xml version="1.0" encoding="utf-8"?>
<sst xmlns="http://schemas.openxmlformats.org/spreadsheetml/2006/main" count="2220" uniqueCount="2100">
  <si>
    <t>รหัสสินค้า</t>
  </si>
  <si>
    <t>ชื่อสินค้า</t>
  </si>
  <si>
    <t>จำนวน</t>
  </si>
  <si>
    <t>ราคาขาย</t>
  </si>
  <si>
    <t>Barcode</t>
  </si>
  <si>
    <t>TBO0031(C93,S)</t>
  </si>
  <si>
    <t>TBO 071120036 (Racing Run Five-Toe Socks)(S, C93)</t>
  </si>
  <si>
    <t>4549017195232</t>
  </si>
  <si>
    <t>TBO0031(C78,S)</t>
  </si>
  <si>
    <t>TBO 071120036 (Racing Run Five-Toe Socks)(S, C78)</t>
  </si>
  <si>
    <t>4549017195201</t>
  </si>
  <si>
    <t>TBO0031(C67,S)</t>
  </si>
  <si>
    <t>TBO 071120036 (Racing Run Five-Toe Socks)(S, C67)</t>
  </si>
  <si>
    <t>4549017195195</t>
  </si>
  <si>
    <t>TBO0031(C12,S)</t>
  </si>
  <si>
    <t>TBO 071120036 (Racing Run Five-Toe Socks)(S, C12)</t>
  </si>
  <si>
    <t>4549017195164</t>
  </si>
  <si>
    <t>TBO0031(C10,S)</t>
  </si>
  <si>
    <t>TBO 071120036 (Racing Run Five-Toe Socks)(S, C10)</t>
  </si>
  <si>
    <t>4549017195157</t>
  </si>
  <si>
    <t>TBO0031(C87,M)</t>
  </si>
  <si>
    <t>TBO 072120037 (Racing Run Five-Toe Socks)(M, C87)</t>
  </si>
  <si>
    <t>4549017195652</t>
  </si>
  <si>
    <t>TBO0031(C84,M)</t>
  </si>
  <si>
    <t>TBO 072120037 (Racing Run Five-Toe Socks)(M, C84)</t>
  </si>
  <si>
    <t>4549017195638</t>
  </si>
  <si>
    <t>TBO0031(C77,M)</t>
  </si>
  <si>
    <t>TBO 072120037 (Racing Run Five-Toe Socks)(M, C77)</t>
  </si>
  <si>
    <t>4549017195621</t>
  </si>
  <si>
    <t>TBO0031(C67,M)</t>
  </si>
  <si>
    <t>TBO 072120037 (Racing Run Five-Toe Socks)(M, C67)</t>
  </si>
  <si>
    <t>4549017195614</t>
  </si>
  <si>
    <t>TBO0031(C51,M)</t>
  </si>
  <si>
    <t>TBO 072120037 (Racing Run Five-Toe Socks)(M, C51)</t>
  </si>
  <si>
    <t>4549017195607</t>
  </si>
  <si>
    <t>TBO0031(C43,M)</t>
  </si>
  <si>
    <t>TBO 072120037 (Racing Run Five-Toe Socks)(M, C43)</t>
  </si>
  <si>
    <t>4549017195591</t>
  </si>
  <si>
    <t>TBO0031(C12,M)</t>
  </si>
  <si>
    <t>TBO 072120037 (Racing Run Five-Toe Socks)(M, C12)</t>
  </si>
  <si>
    <t>4549017195584</t>
  </si>
  <si>
    <t>TBO0031(C10,M)</t>
  </si>
  <si>
    <t>TBO 072120037 (Racing Run Five-Toe Socks)(M, C10)</t>
  </si>
  <si>
    <t>4549017195577</t>
  </si>
  <si>
    <t>TBO0031(C87,L)</t>
  </si>
  <si>
    <t>TBO 072120038 (Racing Run Five-Toe Socks)(L, C87)</t>
  </si>
  <si>
    <t>4549017195751</t>
  </si>
  <si>
    <t>TBO0031(C85,L)</t>
  </si>
  <si>
    <t>TBO 072120038 (Racing Run Five-Toe Socks)(L, C85)</t>
  </si>
  <si>
    <t>4549017195744</t>
  </si>
  <si>
    <t>TBO0031(C84,L)</t>
  </si>
  <si>
    <t>TBO 072120038 (Racing Run Five-Toe Socks)(L, C84)</t>
  </si>
  <si>
    <t>4549017195737</t>
  </si>
  <si>
    <t>TBO0031(C77,L)</t>
  </si>
  <si>
    <t>TBO 072120038 (Racing Run Five-Toe Socks)(L, C77)</t>
  </si>
  <si>
    <t>4549017195720</t>
  </si>
  <si>
    <t>TBO0031(C67,L)</t>
  </si>
  <si>
    <t>TBO 072120038 (Racing Run Five-Toe Socks)(L, C67)</t>
  </si>
  <si>
    <t>4549017195713</t>
  </si>
  <si>
    <t>TBO0031(C51,L)</t>
  </si>
  <si>
    <t>TBO 072120038 (Racing Run Five-Toe Socks)(L, C51)</t>
  </si>
  <si>
    <t>4549017195706</t>
  </si>
  <si>
    <t>TBO0031(C43,L)</t>
  </si>
  <si>
    <t>TBO 072120038 (Racing Run Five-Toe Socks)(L, C43)</t>
  </si>
  <si>
    <t>4549017195690</t>
  </si>
  <si>
    <t>TBO0031(C12,L)</t>
  </si>
  <si>
    <t>TBO 072120038 (Racing Run Five-Toe Socks)(L, C12)</t>
  </si>
  <si>
    <t>4549017195683</t>
  </si>
  <si>
    <t>TBO0031(C10,L)</t>
  </si>
  <si>
    <t>TBO 072120038 (Racing Run Five-Toe Socks)(L, C10)</t>
  </si>
  <si>
    <t>4549017195676</t>
  </si>
  <si>
    <t>Example</t>
  </si>
  <si>
    <t>เขียวอ่อน/กรมเข้ม</t>
  </si>
  <si>
    <t>colour</t>
  </si>
  <si>
    <t>เทา/ม่วง</t>
  </si>
  <si>
    <t>ขาว/คราม</t>
  </si>
  <si>
    <t>เขียวขี้ม้า/ฟ้า</t>
  </si>
  <si>
    <t>กรม/เขียวมิ้นท์</t>
  </si>
  <si>
    <t>เหลือง</t>
  </si>
  <si>
    <t>นีออน/เทา</t>
  </si>
  <si>
    <t>น้ำเงิน/ส้ม</t>
  </si>
  <si>
    <t>แดง</t>
  </si>
  <si>
    <t>ชมพู/ดำ</t>
  </si>
  <si>
    <t>น้ำเงิน/ดำ</t>
  </si>
  <si>
    <t>เขียว/ดำ</t>
  </si>
  <si>
    <t>CODE</t>
  </si>
  <si>
    <t>ITMES</t>
  </si>
  <si>
    <t>Office</t>
  </si>
  <si>
    <t>Dis</t>
  </si>
  <si>
    <t>Normal 
Price</t>
  </si>
  <si>
    <t>Dis 
Price</t>
  </si>
  <si>
    <t>IS0003(OR,S)</t>
  </si>
  <si>
    <t>Blanket(Orange, S)</t>
  </si>
  <si>
    <t>IS0003(RD,S)</t>
  </si>
  <si>
    <t>Blanket(Red, S)</t>
  </si>
  <si>
    <t>IS0007(GY,XS)</t>
  </si>
  <si>
    <t>Dog T-shirt(Gray, XS)</t>
  </si>
  <si>
    <t>IS0009(BL,XS)</t>
  </si>
  <si>
    <t>Pet Cool Tank(Blue, XS)</t>
  </si>
  <si>
    <t>IS0009(PK,XS)</t>
  </si>
  <si>
    <t>Pet Cool Tank(Pink, XS)</t>
  </si>
  <si>
    <t>IS0009(PK,XXL)</t>
  </si>
  <si>
    <t>Pet Cool Tank(Pink, XXL)</t>
  </si>
  <si>
    <t>IS0010(BG)</t>
  </si>
  <si>
    <t>Mesh Cloth(Beige)</t>
  </si>
  <si>
    <t>IS0010(WT)</t>
  </si>
  <si>
    <t>Mesh Cloth(White)</t>
  </si>
  <si>
    <t>IS0013(NV)</t>
  </si>
  <si>
    <t>Kid's Half Pants(Navy Dot)</t>
  </si>
  <si>
    <t>IS0017(GY,L)</t>
  </si>
  <si>
    <t>Socks(Gray, L)</t>
  </si>
  <si>
    <t>IS0018(GGN,L)</t>
  </si>
  <si>
    <t>Socks(Gray Green, L)</t>
  </si>
  <si>
    <t>IS0018(WGY,L)</t>
  </si>
  <si>
    <t>Socks(White Gray, L)</t>
  </si>
  <si>
    <t>IS0018(WGY,M)</t>
  </si>
  <si>
    <t>Socks(White Gray, M)</t>
  </si>
  <si>
    <t>IS0019(EL,CPK)</t>
  </si>
  <si>
    <t>Stole(Elegant, Coral Pink)</t>
  </si>
  <si>
    <t>KA0001 (FLMS3346)</t>
  </si>
  <si>
    <t>Knockaround FLMS3346(Rocket Pop, Fast Lanes Sport)</t>
  </si>
  <si>
    <t>810093761159</t>
  </si>
  <si>
    <t>KA0001 (FLRS3001)</t>
  </si>
  <si>
    <t>Knockaround FLRS3001(Matte Black / Red Sunset, Fast Lanes Sport)</t>
  </si>
  <si>
    <t>814663027935</t>
  </si>
  <si>
    <t>KA0001 (FLSK3080)</t>
  </si>
  <si>
    <t>Knockaround FLSK3080(Black On Black, Fast Lanes Sport)</t>
  </si>
  <si>
    <t>814663023548</t>
  </si>
  <si>
    <t>KA0001 (FSAQ3360)</t>
  </si>
  <si>
    <t>Knockaround FSAQ3360(Hill Charge, Fast Lanes Sport)</t>
  </si>
  <si>
    <t>810093760862</t>
  </si>
  <si>
    <t>KA0001 (FSGM3901)</t>
  </si>
  <si>
    <t>Knockaround FSGM3901(Clear Gray/Green Moonshine, Fast Lanes Sport)</t>
  </si>
  <si>
    <t>814663026358</t>
  </si>
  <si>
    <t>KA0001 (FSMS3177)</t>
  </si>
  <si>
    <t>Knockaround FSMS3177(Neon Orange/Moonshine, Fast Lanes Sport)</t>
  </si>
  <si>
    <t>814663026365</t>
  </si>
  <si>
    <t>KA0001 (FSMT3182)</t>
  </si>
  <si>
    <t>Knockaround FSMT3182(Rubberized Navy/Mint, Fast Lanes Sport)</t>
  </si>
  <si>
    <t>814663028505</t>
  </si>
  <si>
    <t>KA0001 (FSPP3153)</t>
  </si>
  <si>
    <t>Knockaround FSPP3153(Jelly Grey/Peach, Fast Lanes Sport)</t>
  </si>
  <si>
    <t>814663027881</t>
  </si>
  <si>
    <t>KA0001 (FSRB3308)</t>
  </si>
  <si>
    <t>Knockaround FSRB3308(Show Opener, Fast Lanes Sport)</t>
  </si>
  <si>
    <t>814663029908</t>
  </si>
  <si>
    <t>KA0001 (FSRB3369)</t>
  </si>
  <si>
    <t>Knockaround FSRB3369(Rainbow On Black, Fast Lanes Sport)</t>
  </si>
  <si>
    <t>810093765638</t>
  </si>
  <si>
    <t>KA0001 (FSRG3384)</t>
  </si>
  <si>
    <t>Knockaround FSRG3384(Desert Overlook, Fast Lanes Sport)</t>
  </si>
  <si>
    <t>810093761418</t>
  </si>
  <si>
    <t>KA0001 (FSRM3325)</t>
  </si>
  <si>
    <t>Knockaround FSRM3325(Funkwave, Fast Lanes Sport)</t>
  </si>
  <si>
    <t>810093760329</t>
  </si>
  <si>
    <t>KA0001 (FSRO3218)</t>
  </si>
  <si>
    <t>Knockaround FSRO3218(Desert, Fast Lanes Sport)</t>
  </si>
  <si>
    <t>814663028178</t>
  </si>
  <si>
    <t>KA0001 (FSRS3176)</t>
  </si>
  <si>
    <t>Knockaround FSRS3176(Spearmint/Red Sunset, Fast Lanes Sport)</t>
  </si>
  <si>
    <t>814663026389</t>
  </si>
  <si>
    <t>KA0001 (FSSB3173)</t>
  </si>
  <si>
    <t>Knockaround FSSB3173(Jelly Black/Sky Blue, Fast Lanes Sport)</t>
  </si>
  <si>
    <t>814663026396</t>
  </si>
  <si>
    <t>KA0001 (FSSK3001)</t>
  </si>
  <si>
    <t>Knockaround FSSK3001(Black/Smoke, Fast Lanes Sport)</t>
  </si>
  <si>
    <t>814663026402</t>
  </si>
  <si>
    <t>KA0001 (FSYB3315)</t>
  </si>
  <si>
    <t>Knockaround FSYB3315(Apex, Fast Lanes Sport)</t>
  </si>
  <si>
    <t>810093760114</t>
  </si>
  <si>
    <t>KA0001 (FSYL3201)</t>
  </si>
  <si>
    <t>Knockaround FSYL3201(Cool Runnings, Fast Lanes Sport)</t>
  </si>
  <si>
    <t>814663027607</t>
  </si>
  <si>
    <t>KA0002 (COLB3014)</t>
  </si>
  <si>
    <t>Knockaround COLB3014(Nerf, Premiums Sport)</t>
  </si>
  <si>
    <t>814663028093</t>
  </si>
  <si>
    <t>KA0002 (COLB3027)</t>
  </si>
  <si>
    <t>Knockaround COLB3027(Pelotonia, Premiums Sport)</t>
  </si>
  <si>
    <t>810093760879</t>
  </si>
  <si>
    <t>KA0002 (COLB3031)</t>
  </si>
  <si>
    <t>Knockaround COLB3031(Care Bears, Premiums Sport)</t>
  </si>
  <si>
    <t>810093760893</t>
  </si>
  <si>
    <t>KA0002 (COLB3033)</t>
  </si>
  <si>
    <t>Knockaround COLB3033(Major League Pickleball, Premiums Sport)</t>
  </si>
  <si>
    <t>810093761081</t>
  </si>
  <si>
    <t>KA0002 (COLB3049)</t>
  </si>
  <si>
    <t>Knockaround COLB3049(San Francisco Giants, Premiums Sport)</t>
  </si>
  <si>
    <t>810093761531</t>
  </si>
  <si>
    <t>KA0002 (LEGL1181)</t>
  </si>
  <si>
    <t>Knockaround LEGL1181(Low Gravity Day, Premiums Sport)</t>
  </si>
  <si>
    <t>810093761647</t>
  </si>
  <si>
    <t>KA0002 (PMMS3346)</t>
  </si>
  <si>
    <t>Knockaround PMMS3346(Rocket Pop, Premiums Sport)</t>
  </si>
  <si>
    <t>810093761128</t>
  </si>
  <si>
    <t>KA0002 (PMSK3345)</t>
  </si>
  <si>
    <t>Knockaround PMSK3345(Loud And Proud, Premiums Sport)</t>
  </si>
  <si>
    <t>810093760695</t>
  </si>
  <si>
    <t>KA0002 (PMSK3352)</t>
  </si>
  <si>
    <t>Knockaround PMSK3352(Malibu Pink, Premiums)</t>
  </si>
  <si>
    <t>810093761746</t>
  </si>
  <si>
    <t>KA0002 (PSAQ3168)</t>
  </si>
  <si>
    <t>Knockaround PSAQ3168(Fruit Punch/Aqua, Premiums Sport)</t>
  </si>
  <si>
    <t>814663027348</t>
  </si>
  <si>
    <t>KA0002 (PSAQ3216)</t>
  </si>
  <si>
    <t>Knockaround PSAQ3216(Coastal, Premiums Sport)</t>
  </si>
  <si>
    <t>814663028185</t>
  </si>
  <si>
    <t>KA0002 (PSAQ3310)</t>
  </si>
  <si>
    <t>Knockaround PSAQ3310(Encore, Premiums Sport)</t>
  </si>
  <si>
    <t>814663029922</t>
  </si>
  <si>
    <t>KA0002 (PSAQ3360)</t>
  </si>
  <si>
    <t>Knockaround PSAQ3360(Hill Charge, Premiums Sport)</t>
  </si>
  <si>
    <t>810093760855</t>
  </si>
  <si>
    <t>KA0002 (PSCM3326)</t>
  </si>
  <si>
    <t>Knockaround PSCM3326(Inflow, Premiums Sport)</t>
  </si>
  <si>
    <t>810093760435</t>
  </si>
  <si>
    <t>KA0002 (PSFU3008)</t>
  </si>
  <si>
    <t>Knockaround PSFU3008(Aquamarine/Fuchsia, Premiums Sport)</t>
  </si>
  <si>
    <t>814663026426</t>
  </si>
  <si>
    <t>KA0002 (PSGM3385)</t>
  </si>
  <si>
    <t>Knockaround PSGM3385(Jungle Summit, Premiums Sport)</t>
  </si>
  <si>
    <t>810093761401</t>
  </si>
  <si>
    <t>KA0002 (PSLM4363)</t>
  </si>
  <si>
    <t>Knockaround PSLM4363(Moonshot/CE, Premiums Sport)</t>
  </si>
  <si>
    <t>810093763634</t>
  </si>
  <si>
    <t>KA0002 (PSMS3173)</t>
  </si>
  <si>
    <t>Knockaround PSMS3173(Jelly Black/Moonshine, Premiums Sport)</t>
  </si>
  <si>
    <t>814663026433</t>
  </si>
  <si>
    <t>KA0002 (PSMS3200)</t>
  </si>
  <si>
    <t>Knockaround PSMS3200(Icy Blue/Moonshine, Premiums Sport)</t>
  </si>
  <si>
    <t>814663027386</t>
  </si>
  <si>
    <t>KA0002 (PSMS3423)</t>
  </si>
  <si>
    <t>Knockaround PSMS3423(Largemouth Bass, Premiums Sport)</t>
  </si>
  <si>
    <t>810093765553</t>
  </si>
  <si>
    <t>KA0002 (PSMT3182)</t>
  </si>
  <si>
    <t>Knockaround PSMT3182(Rubberized Navy/Mint, Premiums Sport)</t>
  </si>
  <si>
    <t>814663026730</t>
  </si>
  <si>
    <t>KA0002 (PSPL3174)</t>
  </si>
  <si>
    <t>Knockaround PSPL3174(Clear Jelly/Purple, Premiums Sport)</t>
  </si>
  <si>
    <t>814663026440</t>
  </si>
  <si>
    <t>KA0002 (PSPP3153)</t>
  </si>
  <si>
    <t>Knockaround PSPP3153(Jelly Grey/Peach, Premiums Sport)</t>
  </si>
  <si>
    <t>814663027898</t>
  </si>
  <si>
    <t>KA0002 (PSRB3208)</t>
  </si>
  <si>
    <t>Knockaround PSRB3208(Rainbow Blues, Premiums Sport)</t>
  </si>
  <si>
    <t>810093761920</t>
  </si>
  <si>
    <t>KA0002 (PSRB3369)</t>
  </si>
  <si>
    <t>Knockaround PSRB3369(Rainbow On Black, Premiums Sport)</t>
  </si>
  <si>
    <t>810093765621</t>
  </si>
  <si>
    <t>KA0002 (PSRE4362)</t>
  </si>
  <si>
    <t>Knockaround PSRE4362(Fairway/CE, Premiums Sport)</t>
  </si>
  <si>
    <t>810093763610</t>
  </si>
  <si>
    <t>KA0002 (PSRO3218)</t>
  </si>
  <si>
    <t>Knockaround PSRO3218(Desert, Premiums Sport)</t>
  </si>
  <si>
    <t>814663028208</t>
  </si>
  <si>
    <t>KA0002 (PSSK3080)</t>
  </si>
  <si>
    <t>Knockaround PSSK3080(Black On Black, Premiums Sport)</t>
  </si>
  <si>
    <t>814663026495</t>
  </si>
  <si>
    <t>KA0002 (PSSS3901)</t>
  </si>
  <si>
    <t>Knockaround PSSS3901(Clear Grey/Sunset, Premiums Sport)</t>
  </si>
  <si>
    <t>814663026464</t>
  </si>
  <si>
    <t>KA0002 (PSYB3314)</t>
  </si>
  <si>
    <t>Knockaround PSYB3314(Prismic, Premiums Sport)</t>
  </si>
  <si>
    <t>810093760213</t>
  </si>
  <si>
    <t>KA0002 (PSYL3201)</t>
  </si>
  <si>
    <t>Knockaround PSYL3201(Cool Runnings, Premiums Sport)</t>
  </si>
  <si>
    <t>814663027614</t>
  </si>
  <si>
    <t>KA0002 (QSTK0016)</t>
  </si>
  <si>
    <t>Knockaround QSTK0016(Paint Party, Premiums Sport)</t>
  </si>
  <si>
    <t>810093762477</t>
  </si>
  <si>
    <t>KA0003 (TSAQ3360)</t>
  </si>
  <si>
    <t>Knockaround TSAQ3360(Hill Charge, Torrey Pines Sport)</t>
  </si>
  <si>
    <t>810093760848</t>
  </si>
  <si>
    <t>KA0003 (TSCM3316)</t>
  </si>
  <si>
    <t>Knockaround TSCM3316(Cubic, Torrey Pines Sport)</t>
  </si>
  <si>
    <t>810093760176</t>
  </si>
  <si>
    <t>KA0003 (TSCM3386)</t>
  </si>
  <si>
    <t>Knockaround TSCM3386(Astro Climb, Torrey Pines Sport)</t>
  </si>
  <si>
    <t>810093761425</t>
  </si>
  <si>
    <t>KA0003 (TSLM4363)</t>
  </si>
  <si>
    <t>Knockaround TSLM4363(Moonshot/CE, Torrey Pines Sport)</t>
  </si>
  <si>
    <t>810093763641</t>
  </si>
  <si>
    <t>KA0003 (TSMS3239)</t>
  </si>
  <si>
    <t>Knockaround TSMS3239(Victory Lap, Torrey Pines Sport)</t>
  </si>
  <si>
    <t>814663028789</t>
  </si>
  <si>
    <t>KA0003 (TSMT3182)</t>
  </si>
  <si>
    <t>Knockaround TSMT3182(Rubberized Navy/Mint, Torrey Pines Sport)</t>
  </si>
  <si>
    <t>814663028574</t>
  </si>
  <si>
    <t>KA0003 (TSPS3309)</t>
  </si>
  <si>
    <t>Knockaround TSPS3309(Second Set, Torrey Pines Sport)</t>
  </si>
  <si>
    <t>814663029915</t>
  </si>
  <si>
    <t>KA0003 (TSRG3240)</t>
  </si>
  <si>
    <t>Knockaround TSRG3240(Morning Moon, Torrey Pines Sport)</t>
  </si>
  <si>
    <t>814663028796</t>
  </si>
  <si>
    <t>KA0003 (TSRS3901)</t>
  </si>
  <si>
    <t>Knockaround TSRS3901(Clear Gray/Red Sunset, Torrey Pines Sport)</t>
  </si>
  <si>
    <t>814663028765</t>
  </si>
  <si>
    <t>KA0003 (TSSB3173)</t>
  </si>
  <si>
    <t>Knockaround TSSB3173(Jelly Black/Sky Blue, Torrey Pines Sport)</t>
  </si>
  <si>
    <t>814663028758</t>
  </si>
  <si>
    <t>KA0003 (TSSK3001)</t>
  </si>
  <si>
    <t>Knockaround TSSK3001(Black On Black, Torrey Pines Sport)</t>
  </si>
  <si>
    <t>814663028741</t>
  </si>
  <si>
    <t>KA0003 (TSSK3327)</t>
  </si>
  <si>
    <t>Knockaround TSSK3327(Pop, Torrey Pines Sport)</t>
  </si>
  <si>
    <t>810093760442</t>
  </si>
  <si>
    <t>KA0004 (PPMT3287)</t>
  </si>
  <si>
    <t>Knockaround PPMT3287(Rubberized Navy Rider, Pacific Palisades)</t>
  </si>
  <si>
    <t>814663029274</t>
  </si>
  <si>
    <t>KA0004 (PPSB3207)</t>
  </si>
  <si>
    <t>Knockaround PPSB3207(Soul Surfer, Pacific Palisades)</t>
  </si>
  <si>
    <t>814663029304</t>
  </si>
  <si>
    <t>KA0004 (PPSB3347)</t>
  </si>
  <si>
    <t>Knockaround PPSB3347(Shorebreak, Pacific Palisades)</t>
  </si>
  <si>
    <t>810093760800</t>
  </si>
  <si>
    <t>KA0004 (PPSB3391)</t>
  </si>
  <si>
    <t>Knockaround PPSB3391(Villa Palms, Pacific Palisades)</t>
  </si>
  <si>
    <t>810093761388</t>
  </si>
  <si>
    <t>KA0004 (PPSG3163)</t>
  </si>
  <si>
    <t>Knockaround PPSG3163(Dusk On The Water, Pacific Palisades)</t>
  </si>
  <si>
    <t>814663029380</t>
  </si>
  <si>
    <t>KA0004 (PPSK3080)</t>
  </si>
  <si>
    <t>Knockaround PPSK3080(Black On Black, Pacific Palisades)</t>
  </si>
  <si>
    <t>814663029250</t>
  </si>
  <si>
    <t>KA0004 (PPSM3144)</t>
  </si>
  <si>
    <t>Knockaround PPSM3144(Midnight Ink, Pacific Palisades)</t>
  </si>
  <si>
    <t>814663029366</t>
  </si>
  <si>
    <t>KA0005 (CAAQ2360)</t>
  </si>
  <si>
    <t>Knockaround CAAQ2360(Hill Charge, Campeones)</t>
  </si>
  <si>
    <t>810093761593</t>
  </si>
  <si>
    <t>KA0005 (CACM2182)</t>
  </si>
  <si>
    <t>Knockaround CACM2182(Rubberized Navy/Mint, Campeones)</t>
  </si>
  <si>
    <t>810093761258</t>
  </si>
  <si>
    <t>KA0005 (CARB2369)</t>
  </si>
  <si>
    <t>Knockaround CARB2369(Rainbow On Black, Campeones)</t>
  </si>
  <si>
    <t>810093761272</t>
  </si>
  <si>
    <t>KA0005 (CARS2379)</t>
  </si>
  <si>
    <t>Knockaround CARS2379(Spring Break, Campeones)</t>
  </si>
  <si>
    <t>810093761609</t>
  </si>
  <si>
    <t>KA0005 (CASM2380)</t>
  </si>
  <si>
    <t>Knockaround CASM2380(Robotron 5000, Campeones)</t>
  </si>
  <si>
    <t>810093761227</t>
  </si>
  <si>
    <t>KA0005 (CAYB2378)</t>
  </si>
  <si>
    <t>Knockaround CAYB2378(High Voltage, Campeones)</t>
  </si>
  <si>
    <t>810093761234</t>
  </si>
  <si>
    <t>KA0006 (FPAV2399)</t>
  </si>
  <si>
    <t>Knockaround FPAV2399(Full Focus, Flight Path Knockterra)</t>
  </si>
  <si>
    <t>810093763580</t>
  </si>
  <si>
    <t>KA0006 (FPLM4363)</t>
  </si>
  <si>
    <t>Knockaround FPLM4363(Moonshot, Flight Path Knockterra)</t>
  </si>
  <si>
    <t>810093763566</t>
  </si>
  <si>
    <t>KA0006 (FPLM4364)</t>
  </si>
  <si>
    <t>Knockaround FPLM4364(Odyssey/CE, Flight Path Knockterra)</t>
  </si>
  <si>
    <t>810093763542</t>
  </si>
  <si>
    <t>KA0006 (FPRE4362)</t>
  </si>
  <si>
    <t>Knockaround FPRE4362(Fairway, Flight Path Knockterra)</t>
  </si>
  <si>
    <t>810093763559</t>
  </si>
  <si>
    <t>KA0006 (FPRS2366)</t>
  </si>
  <si>
    <t>Knockaround FPRS2366(Lava, Flight Path Knockterra)</t>
  </si>
  <si>
    <t>810093763603</t>
  </si>
  <si>
    <t>KA0006 (FPSB2365)</t>
  </si>
  <si>
    <t>Knockaround FPSB2365(Clean Sweep, Flight Path Knockterra)</t>
  </si>
  <si>
    <t>810093763597</t>
  </si>
  <si>
    <t>KA0006 (FPSK2080)</t>
  </si>
  <si>
    <t>Knockaround FPSK2080(Black On Black, Flight Path Knockterra)</t>
  </si>
  <si>
    <t>810093763573</t>
  </si>
  <si>
    <t>K-village</t>
  </si>
  <si>
    <t>Code</t>
  </si>
  <si>
    <t>ITEMS</t>
  </si>
  <si>
    <t>Normal Price</t>
  </si>
  <si>
    <t>Price</t>
  </si>
  <si>
    <t>office</t>
  </si>
  <si>
    <t>import</t>
  </si>
  <si>
    <t>my</t>
  </si>
  <si>
    <t>T21 
Rama3</t>
  </si>
  <si>
    <t>Dis Price</t>
  </si>
  <si>
    <t>OLN0001(BK,25)</t>
  </si>
  <si>
    <t>Oleno Ultimate(23-25, Black)</t>
  </si>
  <si>
    <t>4580558422661</t>
  </si>
  <si>
    <t>OLN0001(BK,27)</t>
  </si>
  <si>
    <t>Oleno Ultimate(25-27, Black)</t>
  </si>
  <si>
    <t>4580558422678</t>
  </si>
  <si>
    <t>OLN0001(BK,29)</t>
  </si>
  <si>
    <t>Oleno Ultimate(27-29, Black)</t>
  </si>
  <si>
    <t>4580558422685</t>
  </si>
  <si>
    <t>OLN0002(BK,25)</t>
  </si>
  <si>
    <t>Oleno Ultimate ASO(23-25, Black)</t>
  </si>
  <si>
    <t>4580558423347</t>
  </si>
  <si>
    <t>OLN0002(BK,27)</t>
  </si>
  <si>
    <t>Oleno Ultimate ASO(25-27, Black)</t>
  </si>
  <si>
    <t>4580558423354</t>
  </si>
  <si>
    <t>OLN0002(BK,29)</t>
  </si>
  <si>
    <t>Oleno Ultimate ASO(27-29, Black)</t>
  </si>
  <si>
    <t>4580558423361</t>
  </si>
  <si>
    <t>OLN0003(BL/M,25)</t>
  </si>
  <si>
    <t>Oleno Ultimate SHR(23-25, Blue Mix)</t>
  </si>
  <si>
    <t>4580558425365</t>
  </si>
  <si>
    <t>OLN0003(BL/M,27)</t>
  </si>
  <si>
    <t>Oleno Ultimate SHR(25-27, Blue Mix)</t>
  </si>
  <si>
    <t>4580558425372</t>
  </si>
  <si>
    <t>OLN0003(BL/M,29)</t>
  </si>
  <si>
    <t>Oleno Ultimate SHR(27-29, Blue Mix)</t>
  </si>
  <si>
    <t>4580558425389</t>
  </si>
  <si>
    <t>OLN0003(RD/PP,25)</t>
  </si>
  <si>
    <t>Oleno Ultimate SHR(23-25, Red Purple)</t>
  </si>
  <si>
    <t>4580558425280</t>
  </si>
  <si>
    <t>OLN0003(RD/PP,27)</t>
  </si>
  <si>
    <t>Oleno Ultimate SHR(25-27, Red Purple)</t>
  </si>
  <si>
    <t>4580558425297</t>
  </si>
  <si>
    <t>OLN0003(RD/PP,29)</t>
  </si>
  <si>
    <t>Oleno Ultimate SHR(27-29, Red Purple)</t>
  </si>
  <si>
    <t>4580558425303</t>
  </si>
  <si>
    <t>OLN0003(KK/M,25)</t>
  </si>
  <si>
    <t>Oleno Ultimate SHR(23-25, Khaki Mix)</t>
  </si>
  <si>
    <t>4580558425327</t>
  </si>
  <si>
    <t>OLN0003(KK/M,27)</t>
  </si>
  <si>
    <t>Oleno Ultimate SHR(25-27, Khaki Mix)</t>
  </si>
  <si>
    <t>4580558425334</t>
  </si>
  <si>
    <t>OLN0003(KK/M,29)</t>
  </si>
  <si>
    <t>Oleno Ultimate SHR(27-29, Khaki Mix)</t>
  </si>
  <si>
    <t>4580558425341</t>
  </si>
  <si>
    <t>OLN0004(BK/M,25)</t>
  </si>
  <si>
    <t>Oleno Ultimate SHR Round(23-25, Black Mix)</t>
  </si>
  <si>
    <t>4580558424580</t>
  </si>
  <si>
    <t>OLN0004(BK/M,27)</t>
  </si>
  <si>
    <t>Oleno Ultimate SHR Round(25-27, Black Mix)</t>
  </si>
  <si>
    <t>4580558424597</t>
  </si>
  <si>
    <t>OLN0004(BK/M,29)</t>
  </si>
  <si>
    <t>Oleno Ultimate SHR Round(27-29, Black Mix)</t>
  </si>
  <si>
    <t>4580558424603</t>
  </si>
  <si>
    <t>OLN0005(BK/BL,25)</t>
  </si>
  <si>
    <t>Oleno Ultimate TNG(23-25, Black/Blue)</t>
  </si>
  <si>
    <t>4580558420025</t>
  </si>
  <si>
    <t>OLN0005(BK/BL,27)</t>
  </si>
  <si>
    <t>Oleno Ultimate TNG(25-27, Black/Blue)</t>
  </si>
  <si>
    <t>4580558420032</t>
  </si>
  <si>
    <t>OLN0005(BK/BL,29)</t>
  </si>
  <si>
    <t>Oleno Ultimate TNG(27-29, Black/Blue)</t>
  </si>
  <si>
    <t>4580558420049</t>
  </si>
  <si>
    <t>OLN0005(BK/GY,25)</t>
  </si>
  <si>
    <t>Oleno Ultimate TNG(23-25, Black/Gray)</t>
  </si>
  <si>
    <t>4580558423828</t>
  </si>
  <si>
    <t>OLN0005(BK/GY,27)</t>
  </si>
  <si>
    <t>Oleno Ultimate TNG(25-27, Black/Gray)</t>
  </si>
  <si>
    <t>4580558423835</t>
  </si>
  <si>
    <t>OLN0005(BK/GY,29)</t>
  </si>
  <si>
    <t>Oleno Ultimate TNG(27-29, Black/Gray)</t>
  </si>
  <si>
    <t>4580558421893</t>
  </si>
  <si>
    <t>OLN0005(BK/RD,25)</t>
  </si>
  <si>
    <t>Oleno Ultimate TNG(23-25, Black/Red)</t>
  </si>
  <si>
    <t>4580558423859</t>
  </si>
  <si>
    <t>OLN0005(BK/RD,27)</t>
  </si>
  <si>
    <t>Oleno Ultimate TNG(25-27, Black/Red)</t>
  </si>
  <si>
    <t>4580558423866</t>
  </si>
  <si>
    <t>OLN0005(BK/RD,29)</t>
  </si>
  <si>
    <t>Oleno Ultimate TNG(27-29, Black/Red)</t>
  </si>
  <si>
    <t>4580558423873</t>
  </si>
  <si>
    <t>OLN0006(BK,25)</t>
  </si>
  <si>
    <t>Oleno Ultimate ASO Long(23-25, Black)</t>
  </si>
  <si>
    <t>4580558423897</t>
  </si>
  <si>
    <t>OLN0006(BK,27)</t>
  </si>
  <si>
    <t>Oleno Ultimate ASO Long(25-27, Black)</t>
  </si>
  <si>
    <t>4580558423903</t>
  </si>
  <si>
    <t>OLN0006(BK,29)</t>
  </si>
  <si>
    <t>Oleno Ultimate ASO Long(27-29, Black)</t>
  </si>
  <si>
    <t>4580558423910</t>
  </si>
  <si>
    <t>OLN0007(DN,25)</t>
  </si>
  <si>
    <t>Oleno Hadashi Socks Road(23-25, Denim)</t>
  </si>
  <si>
    <t>4580558420230</t>
  </si>
  <si>
    <t>OLN0007(DN,27)</t>
  </si>
  <si>
    <t>Oleno Hadashi Socks Road(25-27, Denim)</t>
  </si>
  <si>
    <t>4580558420247</t>
  </si>
  <si>
    <t>OLN0007(DN,29)</t>
  </si>
  <si>
    <t>Oleno Hadashi Socks Road(27-29, Denim)</t>
  </si>
  <si>
    <t>4580558420254</t>
  </si>
  <si>
    <t>OLN0007(W/M,27)</t>
  </si>
  <si>
    <t>Oleno Hadashi Socks Road(25-27, Wine Mix)</t>
  </si>
  <si>
    <t>4580558420209</t>
  </si>
  <si>
    <t>OLN0009(DN,25)</t>
  </si>
  <si>
    <t>Oleno Hadashi Socks Openfinger(23-25, Denim)</t>
  </si>
  <si>
    <t>4580558420308</t>
  </si>
  <si>
    <t>OLN0009(DN,27)</t>
  </si>
  <si>
    <t>Oleno Hadashi Socks Openfinger(25-27, Denim)</t>
  </si>
  <si>
    <t>4580558420315</t>
  </si>
  <si>
    <t>OLN0009(DN,29)</t>
  </si>
  <si>
    <t>Oleno Hadashi Socks Openfinger(27-29, Denim)</t>
  </si>
  <si>
    <t>4580558420322</t>
  </si>
  <si>
    <t>OLN0016(BK/GO,25)</t>
  </si>
  <si>
    <t>Oleno S-70(23-25, Black/Gold)</t>
  </si>
  <si>
    <t>4580558426089</t>
  </si>
  <si>
    <t>OLN0016(BK/GO,27)</t>
  </si>
  <si>
    <t>Oleno S-70(25-27, Black/Gold)</t>
  </si>
  <si>
    <t>4580558426096</t>
  </si>
  <si>
    <t>OLN0016(BK/GO,29)</t>
  </si>
  <si>
    <t>Oleno S-70(27-29, Black/Gold)</t>
  </si>
  <si>
    <t>4580558426102</t>
  </si>
  <si>
    <t>OLN0016(BK/TQ,25)</t>
  </si>
  <si>
    <t>Oleno S-70(23-25, Black Turquoise)</t>
  </si>
  <si>
    <t>4580558426126</t>
  </si>
  <si>
    <t>OLN0016(BK/TQ,27)</t>
  </si>
  <si>
    <t>Oleno S-70(25-27, Black Turquoise)</t>
  </si>
  <si>
    <t>4580558426133</t>
  </si>
  <si>
    <t>OLN0016(BK/TQ,29)</t>
  </si>
  <si>
    <t>Oleno S-70(27-29, Black Turquoise)</t>
  </si>
  <si>
    <t>4580558426140</t>
  </si>
  <si>
    <t>OLN0017(GY,24)</t>
  </si>
  <si>
    <t>Oleno Performance Wool Crew Middle Thickness(22-24, Gray)</t>
  </si>
  <si>
    <t>4580558423033</t>
  </si>
  <si>
    <t>OLN0017(GY,26)</t>
  </si>
  <si>
    <t>Oleno Performance Wool Crew Middle Thickness(24-26, Gray)</t>
  </si>
  <si>
    <t>4580558423040</t>
  </si>
  <si>
    <t>OLN0017(GY,28)</t>
  </si>
  <si>
    <t>Oleno Performance Wool Crew Middle Thickness(26-28, Gray)</t>
  </si>
  <si>
    <t>4580558423057</t>
  </si>
  <si>
    <t>OLN0018(GY,24)</t>
  </si>
  <si>
    <t>Oleno Performance Wool Crew Heavyweight(22-24, Gray)</t>
  </si>
  <si>
    <t>4580558424498</t>
  </si>
  <si>
    <t>OLN0018(GY,26)</t>
  </si>
  <si>
    <t>Oleno Performance Wool Crew Heavyweight(24-26, Gray)</t>
  </si>
  <si>
    <t>4580558424504</t>
  </si>
  <si>
    <t>OLN0018(GY,28)</t>
  </si>
  <si>
    <t>Oleno Performance Wool Crew Heavyweight(26-28, Gray)</t>
  </si>
  <si>
    <t>4580558424511</t>
  </si>
  <si>
    <t>OLN0019(BK,24)</t>
  </si>
  <si>
    <t>Oleno Comod (Y) Life(22-24, Black)</t>
  </si>
  <si>
    <t>4580558425600</t>
  </si>
  <si>
    <t>OLN0019(BK,26)</t>
  </si>
  <si>
    <t>Oleno Comod (Y) Life(24-26, Black)</t>
  </si>
  <si>
    <t>4580558425679</t>
  </si>
  <si>
    <t>OLN0019(BK,28)</t>
  </si>
  <si>
    <t>Oleno Comod (Y) Life(26-28, Black)</t>
  </si>
  <si>
    <t>4580558425747</t>
  </si>
  <si>
    <t>OLN0019(GN,24)</t>
  </si>
  <si>
    <t>Oleno Comod (Y) Life(22-24, Green)</t>
  </si>
  <si>
    <t>4580558425655</t>
  </si>
  <si>
    <t>OLN0019(GN,26)</t>
  </si>
  <si>
    <t>Oleno Comod (Y) Life(24-26, Green)</t>
  </si>
  <si>
    <t>4580558425723</t>
  </si>
  <si>
    <t>OLN0019(GN,28)</t>
  </si>
  <si>
    <t>Oleno Comod (Y) Life(26-28, Green)</t>
  </si>
  <si>
    <t>4580558425792</t>
  </si>
  <si>
    <t>OLN0019(OR,24)</t>
  </si>
  <si>
    <t>Oleno Comod (Y) Life(22-24, Orange)</t>
  </si>
  <si>
    <t>4580558425662</t>
  </si>
  <si>
    <t>OLN0019(OR,26)</t>
  </si>
  <si>
    <t>Oleno Comod (Y) Life(24-26, Orange)</t>
  </si>
  <si>
    <t>4580558425730</t>
  </si>
  <si>
    <t>OLN0019(OR,28)</t>
  </si>
  <si>
    <t>Oleno Comod (Y) Life(26-28, Orange)</t>
  </si>
  <si>
    <t>4580558425808</t>
  </si>
  <si>
    <t>OLN0019(SX,24)</t>
  </si>
  <si>
    <t>Oleno Comod (Y) Life(22-24, Saxophone)</t>
  </si>
  <si>
    <t>4580558425631</t>
  </si>
  <si>
    <t>OLN0019(SX,26)</t>
  </si>
  <si>
    <t>Oleno Comod (Y) Life(24-26, Saxophone)</t>
  </si>
  <si>
    <t>4580558425709</t>
  </si>
  <si>
    <t>OLN0019(SX,28)</t>
  </si>
  <si>
    <t>Oleno Comod (Y) Life(26-28, Saxophone)</t>
  </si>
  <si>
    <t>4580558425778</t>
  </si>
  <si>
    <t>OLN0020(CC,24)</t>
  </si>
  <si>
    <t>Oleno Premium Outdoor Socks(22-24, Charcoal)</t>
  </si>
  <si>
    <t>4580558424177</t>
  </si>
  <si>
    <t>OLN0020(CC,26)</t>
  </si>
  <si>
    <t>Oleno Premium Outdoor Socks(24-26, Charcoal)</t>
  </si>
  <si>
    <t>4580558424184</t>
  </si>
  <si>
    <t>OLN0020(CC,28)</t>
  </si>
  <si>
    <t>Oleno Premium Outdoor Socks(26-28, Charcoal)</t>
  </si>
  <si>
    <t>4580558424191</t>
  </si>
  <si>
    <t>OLN0010(BK,L)</t>
  </si>
  <si>
    <t>Oleno Calf Protection(L, Black)</t>
  </si>
  <si>
    <t>4580558421466</t>
  </si>
  <si>
    <t>OLN0010(BK,M)</t>
  </si>
  <si>
    <t>Oleno Calf Protection(M, Black)</t>
  </si>
  <si>
    <t>4580558421459</t>
  </si>
  <si>
    <t>OLN0010(BK,S)</t>
  </si>
  <si>
    <t>Oleno Calf Protection(S, Black)</t>
  </si>
  <si>
    <t>4580558421442</t>
  </si>
  <si>
    <t>OLN0010(BK,XL)</t>
  </si>
  <si>
    <t>Oleno Calf Protection(XL, Black)</t>
  </si>
  <si>
    <t>4580558421473</t>
  </si>
  <si>
    <t>OLN0011(BK,L)</t>
  </si>
  <si>
    <t>Oleno Calf Supporten Plain(L, Black)</t>
  </si>
  <si>
    <t>4580558421602</t>
  </si>
  <si>
    <t>OLN0011(BK,M)</t>
  </si>
  <si>
    <t>Oleno Calf Supporten Plain(M, Black)</t>
  </si>
  <si>
    <t>4580558421596</t>
  </si>
  <si>
    <t>OLN0012(BK/CC,L)</t>
  </si>
  <si>
    <t>Oleno Calf Supporten Bicolor(L, Black/Charcoal)</t>
  </si>
  <si>
    <t>4580558426027</t>
  </si>
  <si>
    <t>OLN0012(BK/CC,M)</t>
  </si>
  <si>
    <t>Oleno Calf Supporten Bicolor(M, Black/Charcoal)</t>
  </si>
  <si>
    <t>4580558426010</t>
  </si>
  <si>
    <t>OLN0012(NV/RD,L)</t>
  </si>
  <si>
    <t>Oleno Calf Supporten Bicolor(L, Navy/Red)</t>
  </si>
  <si>
    <t>4580558426041</t>
  </si>
  <si>
    <t>OLN0012(NV/RD,M)</t>
  </si>
  <si>
    <t>Oleno Calf Supporten Bicolor(M, Navy/Red)</t>
  </si>
  <si>
    <t>4580558426034</t>
  </si>
  <si>
    <t>OLN0011(NV,L)</t>
  </si>
  <si>
    <t>Oleno Calf Supporten Plain(L, Navy)</t>
  </si>
  <si>
    <t>4580558421565</t>
  </si>
  <si>
    <t>OLN0011(NV,M)</t>
  </si>
  <si>
    <t>Oleno Calf Supporten Plain(M, Navy)</t>
  </si>
  <si>
    <t>4580558421558</t>
  </si>
  <si>
    <t>OLN0015(BK,L)</t>
  </si>
  <si>
    <t>Oleno Calf Supporten Pixel Map(L, Black)</t>
  </si>
  <si>
    <t>4580558421701</t>
  </si>
  <si>
    <t>OLN0015(BK,M)</t>
  </si>
  <si>
    <t>Oleno Calf Supporten Pixel Map(M, Black)</t>
  </si>
  <si>
    <t>4580558421695</t>
  </si>
  <si>
    <t>OLN0013(BK/CC,M)</t>
  </si>
  <si>
    <t>Oleno Arm Sleeve UL(M, Black/Charcoal)</t>
  </si>
  <si>
    <t>4580558425082</t>
  </si>
  <si>
    <t>OLN0013(BK/CC,S)</t>
  </si>
  <si>
    <t>Oleno Arm Sleeve UL(S, Black/Charcoal)</t>
  </si>
  <si>
    <t>4580558425075</t>
  </si>
  <si>
    <t>OLN0013(BK/KK,M)</t>
  </si>
  <si>
    <t>Oleno Arm Sleeve UL(M, Black/Khaki)</t>
  </si>
  <si>
    <t>4580558425105</t>
  </si>
  <si>
    <t>OLN0013(BK/KK,S)</t>
  </si>
  <si>
    <t>Oleno Arm Sleeve UL(S, Black/Khaki)</t>
  </si>
  <si>
    <t>4580558425099</t>
  </si>
  <si>
    <t>OLN0013(CC/LGY,M)</t>
  </si>
  <si>
    <t>Oleno Arm Sleeve UL(M, Charcoal/Light Gray)</t>
  </si>
  <si>
    <t>4580558424245</t>
  </si>
  <si>
    <t>OLN0013(CC/LGY,S)</t>
  </si>
  <si>
    <t>Oleno Arm Sleeve UL(S, Charcoal/Light Gray)</t>
  </si>
  <si>
    <t>4580558424238</t>
  </si>
  <si>
    <t>OLN0013(ER/SBL,M)</t>
  </si>
  <si>
    <t>Oleno Arm Sleeve UL(M, Emerald/Smoke Blue)</t>
  </si>
  <si>
    <t>4580558425266</t>
  </si>
  <si>
    <t>OLN0013(ER/SBL,S)</t>
  </si>
  <si>
    <t>Oleno Arm Sleeve UL(S, Emerald/Smoke Blue)</t>
  </si>
  <si>
    <t>4580558425259</t>
  </si>
  <si>
    <t>OLN0013(JG/ML,M)</t>
  </si>
  <si>
    <t>Oleno Arm Sleeve UL(M, Jungle Green/Melon)</t>
  </si>
  <si>
    <t>4580558421411</t>
  </si>
  <si>
    <t>OLN0013(JG/ML,S)</t>
  </si>
  <si>
    <t>Oleno Arm Sleeve UL(S, Jungle Green/Melon)</t>
  </si>
  <si>
    <t>4580558421404</t>
  </si>
  <si>
    <t>OLN0014(BK/CC,L)</t>
  </si>
  <si>
    <t>Oleno Arm Sleeve UL With Thumb Hole(L, Black/Charcoal)</t>
  </si>
  <si>
    <t>4580558427666</t>
  </si>
  <si>
    <t>OLN0014(BK/CC,M)</t>
  </si>
  <si>
    <t>Oleno Arm Sleeve UL With Thumb Hole(M, Black/Charcoal)</t>
  </si>
  <si>
    <t>4580558423200</t>
  </si>
  <si>
    <t>OLN0014(BK/CC,S)</t>
  </si>
  <si>
    <t>Oleno Arm Sleeve UL With Thumb Hole(S, Black/Charcoal)</t>
  </si>
  <si>
    <t>4580558422548</t>
  </si>
  <si>
    <t>OLN0014(BR/RD,M)</t>
  </si>
  <si>
    <t>Oleno Arm Sleeve UL With Thumb Hole(M, Brown/Red)</t>
  </si>
  <si>
    <t>4580558425006</t>
  </si>
  <si>
    <t>OLN0014(BR/RD,S)</t>
  </si>
  <si>
    <t>Oleno Arm Sleeve UL With Thumb Hole(S, Brown/Red)</t>
  </si>
  <si>
    <t>4580558424993</t>
  </si>
  <si>
    <t>OLN0014(BK/ER,M)</t>
  </si>
  <si>
    <t>Oleno Arm Sleeve UL With Thumb Hole(M, Black/Emerald)</t>
  </si>
  <si>
    <t>4580558425044</t>
  </si>
  <si>
    <t>OLN0014(BK/ER,S)</t>
  </si>
  <si>
    <t>Oleno Arm Sleeve UL With Thumb Hole(S, Black/Emerald)</t>
  </si>
  <si>
    <t>4580558425037</t>
  </si>
  <si>
    <t>OLN0014(CC/GO,M)</t>
  </si>
  <si>
    <t>Oleno Arm Sleeve UL With Thumb Hole(M, Charcoal/Gold)</t>
  </si>
  <si>
    <t>4580558421022</t>
  </si>
  <si>
    <t>OLN0014(CC/GO,S)</t>
  </si>
  <si>
    <t>Oleno Arm Sleeve UL With Thumb Hole(S, Charcoal/Gold)</t>
  </si>
  <si>
    <t>4580558421015</t>
  </si>
  <si>
    <t>OLN0013(BK/NV/CR,M)</t>
  </si>
  <si>
    <t>Oleno Arm Sleeve UL(M, Black Navy/Cherry)</t>
  </si>
  <si>
    <t>OLN0013(BK/NV/CR,S)</t>
  </si>
  <si>
    <t>Oleno Arm Sleeve UL(S, Black Navy/Cherry)</t>
  </si>
  <si>
    <t>price</t>
  </si>
  <si>
    <t>BFJ0001(BK,L)</t>
  </si>
  <si>
    <t>BFJ Socks(L, Black)</t>
  </si>
  <si>
    <t>165001609963</t>
  </si>
  <si>
    <t>BFJ0001(BK,M)</t>
  </si>
  <si>
    <t>BFJ Socks(M, Black)</t>
  </si>
  <si>
    <t>165001109968</t>
  </si>
  <si>
    <t>BFJ0001(BK,S)</t>
  </si>
  <si>
    <t>BFJ Socks(S, Black)</t>
  </si>
  <si>
    <t>165001609949</t>
  </si>
  <si>
    <t>BFJ0001(BL,L)</t>
  </si>
  <si>
    <t>BFJ Socks(L, Blue)</t>
  </si>
  <si>
    <t>0165000460978</t>
  </si>
  <si>
    <t>BFJ0001(BL,M)</t>
  </si>
  <si>
    <t>BFJ Socks(M, Blue)</t>
  </si>
  <si>
    <t>0165001460960</t>
  </si>
  <si>
    <t>BFJ0001(BL,S)</t>
  </si>
  <si>
    <t>BFJ Socks(S, Blue)</t>
  </si>
  <si>
    <t>0165001960941</t>
  </si>
  <si>
    <t>BFJ0001(GY,L)</t>
  </si>
  <si>
    <t>BFJ Socks(L, Gray)</t>
  </si>
  <si>
    <t>165001705962</t>
  </si>
  <si>
    <t>BFJ0001(GY,M)</t>
  </si>
  <si>
    <t>BFJ Socks(M, Gray)</t>
  </si>
  <si>
    <t>165001205967</t>
  </si>
  <si>
    <t>BFJ0001(GY,S)</t>
  </si>
  <si>
    <t>BFJ Socks(S, Gray)</t>
  </si>
  <si>
    <t>165001705948</t>
  </si>
  <si>
    <t>BFJ0001(PK,L)</t>
  </si>
  <si>
    <t>BFJ Socks(L, Pink)</t>
  </si>
  <si>
    <t>0165000511977</t>
  </si>
  <si>
    <t>BFJ0001(PK,M)</t>
  </si>
  <si>
    <t>BFJ Socks(M, Pink)</t>
  </si>
  <si>
    <t>0165001511969</t>
  </si>
  <si>
    <t>BFJ0001(PK,S)</t>
  </si>
  <si>
    <t>BFJ Socks(S, Pink)</t>
  </si>
  <si>
    <t>0165002011949</t>
  </si>
  <si>
    <t>BFJ0001(YL,L)</t>
  </si>
  <si>
    <t>BFJ Socks(L, Yellow)</t>
  </si>
  <si>
    <t>0165000330974</t>
  </si>
  <si>
    <t>BFJ0001(YL,M)</t>
  </si>
  <si>
    <t>BFJ Socks(M, Yellow)</t>
  </si>
  <si>
    <t>0165001330966</t>
  </si>
  <si>
    <t>BFJ0001(YL,S)</t>
  </si>
  <si>
    <t>BFJ Socks(S, Yellow)</t>
  </si>
  <si>
    <t>0165001830947</t>
  </si>
  <si>
    <t>VFF0029(BK,XL)</t>
  </si>
  <si>
    <t>VFF Socks High Crew Summer(XL, Black)</t>
  </si>
  <si>
    <t>840213255077</t>
  </si>
  <si>
    <t>VFF0029(BK,L)</t>
  </si>
  <si>
    <t>VFF Socks High Crew Summer(L, Black)</t>
  </si>
  <si>
    <t>840213255060</t>
  </si>
  <si>
    <t>VFF0029(BK,M)</t>
  </si>
  <si>
    <t>VFF Socks High Crew Summer(M, Black)</t>
  </si>
  <si>
    <t>840213255053</t>
  </si>
  <si>
    <t>VFF0029(BK,S)</t>
  </si>
  <si>
    <t>VFF Socks High Crew Summer(S, Black)</t>
  </si>
  <si>
    <t>840213255046</t>
  </si>
  <si>
    <t>VFF0028(BK,XL)</t>
  </si>
  <si>
    <t>VFF Socks Crew Summer(XL, Black)</t>
  </si>
  <si>
    <t>840213254834</t>
  </si>
  <si>
    <t>VFF0028(BK,L)</t>
  </si>
  <si>
    <t>VFF Socks Crew Summer(L, Black)</t>
  </si>
  <si>
    <t>840213254827</t>
  </si>
  <si>
    <t>VFF0028(BK,M)</t>
  </si>
  <si>
    <t>VFF Socks Crew Summer(M, Black)</t>
  </si>
  <si>
    <t>840213254810</t>
  </si>
  <si>
    <t>VFF0028(BK,S)</t>
  </si>
  <si>
    <t>VFF Socks Crew Summer(S, Black)</t>
  </si>
  <si>
    <t>840213254803</t>
  </si>
  <si>
    <t>VFF0027(LI,XL)</t>
  </si>
  <si>
    <t>VFF Socks Mini Crew Summer(XL, Lime)</t>
  </si>
  <si>
    <t>840213254711</t>
  </si>
  <si>
    <t>VFF0027(LI,L)</t>
  </si>
  <si>
    <t>VFF Socks Mini Crew Summer(L, Lime)</t>
  </si>
  <si>
    <t>840213254704</t>
  </si>
  <si>
    <t>VFF0027(LI,M)</t>
  </si>
  <si>
    <t>VFF Socks Mini Crew Summer(M, Lime)</t>
  </si>
  <si>
    <t>840213254698</t>
  </si>
  <si>
    <t>VFF0027(LI,S)</t>
  </si>
  <si>
    <t>VFF Socks Mini Crew Summer(S, Lime)</t>
  </si>
  <si>
    <t>840213254681</t>
  </si>
  <si>
    <t>VFF0027(FI,XL)</t>
  </si>
  <si>
    <t>VFF Socks Mini Crew Summer(XL, Fig)</t>
  </si>
  <si>
    <t>840213254674</t>
  </si>
  <si>
    <t>VFF0027(FI,L)</t>
  </si>
  <si>
    <t>VFF Socks Mini Crew Summer(L, Fig)</t>
  </si>
  <si>
    <t>840213254667</t>
  </si>
  <si>
    <t>VFF0027(FI,M)</t>
  </si>
  <si>
    <t>VFF Socks Mini Crew Summer(M, Fig)</t>
  </si>
  <si>
    <t>840213254650</t>
  </si>
  <si>
    <t>VFF0027(FI,S)</t>
  </si>
  <si>
    <t>VFF Socks Mini Crew Summer(S, Fig)</t>
  </si>
  <si>
    <t>840213254643</t>
  </si>
  <si>
    <t>VFF0027(IV,XL)</t>
  </si>
  <si>
    <t>VFF Socks Mini Crew Summer(XL, Ivory)</t>
  </si>
  <si>
    <t>840213254636</t>
  </si>
  <si>
    <t>VFF0027(IV,L)</t>
  </si>
  <si>
    <t>VFF Socks Mini Crew Summer(L, Ivory)</t>
  </si>
  <si>
    <t>840213254629</t>
  </si>
  <si>
    <t>VFF0027(IV,M)</t>
  </si>
  <si>
    <t>VFF Socks Mini Crew Summer(M, Ivory)</t>
  </si>
  <si>
    <t>840213254612</t>
  </si>
  <si>
    <t>VFF0027(IV,S)</t>
  </si>
  <si>
    <t>VFF Socks Mini Crew Summer(S, Ivory)</t>
  </si>
  <si>
    <t>840213254605</t>
  </si>
  <si>
    <t>VFF0027(BK,XL)</t>
  </si>
  <si>
    <t>VFF Socks Mini Crew Summer(XL, Black)</t>
  </si>
  <si>
    <t>840213254599</t>
  </si>
  <si>
    <t>VFF0027(BK,L)</t>
  </si>
  <si>
    <t>VFF Socks Mini Crew Summer(L, Black)</t>
  </si>
  <si>
    <t>840213254582</t>
  </si>
  <si>
    <t>VFF0027(BK,M)</t>
  </si>
  <si>
    <t>VFF Socks Mini Crew Summer(M, Black)</t>
  </si>
  <si>
    <t>840213254575</t>
  </si>
  <si>
    <t>VFF0027(BK,S)</t>
  </si>
  <si>
    <t>VFF Socks Mini Crew Summer(S, Black)</t>
  </si>
  <si>
    <t>840213254568</t>
  </si>
  <si>
    <t>KA0007 (MTSO3354)</t>
  </si>
  <si>
    <t>Knockaround MTSO3354(A.M. Snack, Mai Tais)</t>
  </si>
  <si>
    <t>810093761104</t>
  </si>
  <si>
    <t>Order</t>
  </si>
  <si>
    <t>209123-01-W36</t>
  </si>
  <si>
    <t>GOBI III SNEAKER LEATHER WOMEN Obsidian</t>
  </si>
  <si>
    <t>209123-01-W37</t>
  </si>
  <si>
    <t>209123-01-W38</t>
  </si>
  <si>
    <t>209123-01-W39</t>
  </si>
  <si>
    <t>209123-01-W40</t>
  </si>
  <si>
    <t>209123-02-W37</t>
  </si>
  <si>
    <t>GOBI III SNEAKER LEATHER WOMEN Limestone</t>
  </si>
  <si>
    <t>209123-02-W38</t>
  </si>
  <si>
    <t>209123-02-W39</t>
  </si>
  <si>
    <t>209253-01-W37</t>
  </si>
  <si>
    <t>PRIMUS LITE IV WOMEN Obsidian</t>
  </si>
  <si>
    <t>209253-01-W38</t>
  </si>
  <si>
    <t>209253-01-W39</t>
  </si>
  <si>
    <t>209253-01-W40</t>
  </si>
  <si>
    <t>209253-04-W37</t>
  </si>
  <si>
    <t xml:space="preserve">PRIMUS LITE IV WOMEN MINERAL </t>
  </si>
  <si>
    <t>209253-04-W38</t>
  </si>
  <si>
    <t>209253-04-W39</t>
  </si>
  <si>
    <t xml:space="preserve">PRIMUS LITE IV WOMEN STORM CLOUD </t>
  </si>
  <si>
    <t>209253-07-W37</t>
  </si>
  <si>
    <t>209253-07-W38</t>
  </si>
  <si>
    <t>209253-07-W39</t>
  </si>
  <si>
    <t>209576-03-W36</t>
  </si>
  <si>
    <t>PRIMUS LITE KNIT NATURAL WOMEN Eclipse</t>
  </si>
  <si>
    <t>209576-03-W37</t>
  </si>
  <si>
    <t>209576-03-W38</t>
  </si>
  <si>
    <t>209576-03-W39</t>
  </si>
  <si>
    <t>209576-03-W40</t>
  </si>
  <si>
    <t>309123-02-M41</t>
  </si>
  <si>
    <t xml:space="preserve">GOBI III SNEAKER LEATHER MEN LIMESTONE </t>
  </si>
  <si>
    <t>309123-02-M42</t>
  </si>
  <si>
    <t>309123-02-M43</t>
  </si>
  <si>
    <t>309123-02-M44</t>
  </si>
  <si>
    <t>309123-02-M45</t>
  </si>
  <si>
    <t>309123-02-M46</t>
  </si>
  <si>
    <t>309253-01-M42</t>
  </si>
  <si>
    <t xml:space="preserve">PRIMUS LITE IV MEN OBSIDIAN </t>
  </si>
  <si>
    <t>309253-01-M43</t>
  </si>
  <si>
    <t>309253-04-M42</t>
  </si>
  <si>
    <t xml:space="preserve">PRIMUS LITE IV MEN MINERAL </t>
  </si>
  <si>
    <t>309253-04-M43</t>
  </si>
  <si>
    <t>309553-01-M40</t>
  </si>
  <si>
    <t xml:space="preserve">SENSUS II MEN TAN </t>
  </si>
  <si>
    <t>309553-01-M41</t>
  </si>
  <si>
    <t>309553-01-M42</t>
  </si>
  <si>
    <t>309553-01-M43</t>
  </si>
  <si>
    <t>309553-01-M44</t>
  </si>
  <si>
    <t>309553-01-M45</t>
  </si>
  <si>
    <t xml:space="preserve">PRIMUS LITE KNIT NATURAL MEN ECLIPSE </t>
  </si>
  <si>
    <t>309576-03-M44</t>
  </si>
  <si>
    <t>Name</t>
  </si>
  <si>
    <t>Sale price</t>
  </si>
  <si>
    <t>VFF0002(BK/LI/BK,M38)</t>
  </si>
  <si>
    <t>VFF V-Run(M38, Black Lime/Black)</t>
  </si>
  <si>
    <t>840213259792</t>
  </si>
  <si>
    <t>VFF0002(BK/LI/BK,M39)</t>
  </si>
  <si>
    <t>VFF V-Run(M39, Black Lime/Black)</t>
  </si>
  <si>
    <t>840213259808</t>
  </si>
  <si>
    <t>VFF0002(BK/LI/BK,M40)</t>
  </si>
  <si>
    <t>VFF V-Run(M40, Black Lime/Black)</t>
  </si>
  <si>
    <t>840213259815</t>
  </si>
  <si>
    <t>VFF0002(BK/LI/BK,M41)</t>
  </si>
  <si>
    <t>VFF V-Run(M41, Black Lime/Black)</t>
  </si>
  <si>
    <t>840213259822</t>
  </si>
  <si>
    <t>VFF0002(BK/LI/BK,M42)</t>
  </si>
  <si>
    <t>VFF V-Run(M42, Black Lime/Black)</t>
  </si>
  <si>
    <t>840213259839</t>
  </si>
  <si>
    <t>VFF0002(BK/LI/BK,M43)</t>
  </si>
  <si>
    <t>VFF V-Run(M43, Black Lime/Black)</t>
  </si>
  <si>
    <t>840213259846</t>
  </si>
  <si>
    <t>VFF0002(BK/LI/BK,M44)</t>
  </si>
  <si>
    <t>VFF V-Run(M44, Black Lime/Black)</t>
  </si>
  <si>
    <t>840213259853</t>
  </si>
  <si>
    <t>VFF0002(BK/LI/BK,M45)</t>
  </si>
  <si>
    <t>VFF V-Run(M45, Black Lime/Black)</t>
  </si>
  <si>
    <t>840213259860</t>
  </si>
  <si>
    <t>VFF0002(BK/LI/BK,M46)</t>
  </si>
  <si>
    <t>VFF V-Run(M46, Black Lime/Black)</t>
  </si>
  <si>
    <t>840213259877</t>
  </si>
  <si>
    <t>VFF0002(BK/LI/BK,M47)</t>
  </si>
  <si>
    <t>VFF V-Run(M47, Black Lime/Black)</t>
  </si>
  <si>
    <t>840213259884</t>
  </si>
  <si>
    <t>VFF0002(BR/IV/BK,M39)</t>
  </si>
  <si>
    <t>VFF V-Run(M39, Brown Ivory/Black)</t>
  </si>
  <si>
    <t>840213259587</t>
  </si>
  <si>
    <t>VFF0002(BR/IV/BK,M40)</t>
  </si>
  <si>
    <t>VFF V-Run(M40, Brown Ivory/Black)</t>
  </si>
  <si>
    <t>840213259594</t>
  </si>
  <si>
    <t>VFF0002(BR/IV/BK,M41)</t>
  </si>
  <si>
    <t>VFF V-Run(M41, Brown Ivory/Black)</t>
  </si>
  <si>
    <t>840213259600</t>
  </si>
  <si>
    <t>VFF0002(BR/IV/BK,M42)</t>
  </si>
  <si>
    <t>VFF V-Run(M42, Brown Ivory/Black)</t>
  </si>
  <si>
    <t>840213259617</t>
  </si>
  <si>
    <t>VFF0002(BR/IV/BK,M43)</t>
  </si>
  <si>
    <t>VFF V-Run(M43, Brown Ivory/Black)</t>
  </si>
  <si>
    <t>840213259624</t>
  </si>
  <si>
    <t>VFF0002(BR/IV/BK,M44)</t>
  </si>
  <si>
    <t>VFF V-Run(M44, Brown Ivory/Black)</t>
  </si>
  <si>
    <t>840213259631</t>
  </si>
  <si>
    <t>VFF0002(BR/IV/BK,M45)</t>
  </si>
  <si>
    <t>VFF V-Run(M45, Brown Ivory/Black)</t>
  </si>
  <si>
    <t>840213259648</t>
  </si>
  <si>
    <t>VFF0002(BR/IV/BK,M46)</t>
  </si>
  <si>
    <t>VFF V-Run(M46, Brown Ivory/Black)</t>
  </si>
  <si>
    <t>840213259655</t>
  </si>
  <si>
    <t>VFF0002(F/IV/GN,M40)</t>
  </si>
  <si>
    <t>VFF V-Run(M40, Fig/Ivory/A.Green)</t>
  </si>
  <si>
    <t>840213245443</t>
  </si>
  <si>
    <t>VFF0002(F/IV/GN,M41)</t>
  </si>
  <si>
    <t>VFF V-Run(M41, Fig/Ivory/A.Green)</t>
  </si>
  <si>
    <t>840213245450</t>
  </si>
  <si>
    <t>VFF0002(F/IV/GN,M42)</t>
  </si>
  <si>
    <t>VFF V-Run(M42, Fig/Ivory/A.Green)</t>
  </si>
  <si>
    <t>840213245467</t>
  </si>
  <si>
    <t>VFF0002(F/IV/GN,M43)</t>
  </si>
  <si>
    <t>VFF V-Run(M43, Fig/Ivory/A.Green)</t>
  </si>
  <si>
    <t>840213245474</t>
  </si>
  <si>
    <t>VFF0002(F/IV/GN,M44)</t>
  </si>
  <si>
    <t>VFF V-Run(M44, Fig/Ivory/A.Green)</t>
  </si>
  <si>
    <t>840213245481</t>
  </si>
  <si>
    <t>VFF0002(F/IV/GN,M45)</t>
  </si>
  <si>
    <t>VFF V-Run(M45, Fig/Ivory/A.Green)</t>
  </si>
  <si>
    <t>840213245498</t>
  </si>
  <si>
    <t>VFF0002(F/IV/GN,M46)</t>
  </si>
  <si>
    <t>VFF V-Run(M46, Fig/Ivory/A.Green)</t>
  </si>
  <si>
    <t>840213245504</t>
  </si>
  <si>
    <t>VFF0002(F/IV/GN,M47)</t>
  </si>
  <si>
    <t>VFF V-Run(M47, Fig/Ivory/A.Green)</t>
  </si>
  <si>
    <t>840213245511</t>
  </si>
  <si>
    <t>VFF0002(TT/IV,M40)</t>
  </si>
  <si>
    <t>VFF V-Run(M40, Total Ivory)</t>
  </si>
  <si>
    <t>840213252700</t>
  </si>
  <si>
    <t>VFF0002(TT/IV,M41)</t>
  </si>
  <si>
    <t>VFF V-Run(M41, Total Ivory)</t>
  </si>
  <si>
    <t>840213252717</t>
  </si>
  <si>
    <t>VFF0002(TT/IV,M42)</t>
  </si>
  <si>
    <t>VFF V-Run(M42, Total Ivory)</t>
  </si>
  <si>
    <t>840213252724</t>
  </si>
  <si>
    <t>VFF0002(TT/IV,M43)</t>
  </si>
  <si>
    <t>VFF V-Run(M43, Total Ivory)</t>
  </si>
  <si>
    <t>840213252731</t>
  </si>
  <si>
    <t>VFF0002(TT/IV,M44)</t>
  </si>
  <si>
    <t>VFF V-Run(M44, Total Ivory)</t>
  </si>
  <si>
    <t>840213252748</t>
  </si>
  <si>
    <t>VFF0002(TT/IV,M45)</t>
  </si>
  <si>
    <t>VFF V-Run(M45, Total Ivory)</t>
  </si>
  <si>
    <t>840213252755</t>
  </si>
  <si>
    <t>VFF0002(TT/IV,M46)</t>
  </si>
  <si>
    <t>VFF V-Run(M46, Total Ivory)</t>
  </si>
  <si>
    <t>840213252762</t>
  </si>
  <si>
    <t>VFF0002(BK/F,W37)</t>
  </si>
  <si>
    <t>VFF V-Run(W37, Black/Fig)</t>
  </si>
  <si>
    <t>840213246679</t>
  </si>
  <si>
    <t>VFF0002(BK/F,W38)</t>
  </si>
  <si>
    <t>VFF V-Run(W38, Black/Fig)</t>
  </si>
  <si>
    <t>840213246686</t>
  </si>
  <si>
    <t>VFF0002(BK/F,W39)</t>
  </si>
  <si>
    <t>VFF V-Run(W39, Black/Fig)</t>
  </si>
  <si>
    <t>840213246693</t>
  </si>
  <si>
    <t>VFF0002(BK/F,W40)</t>
  </si>
  <si>
    <t>VFF V-Run(W40, Black/Fig)</t>
  </si>
  <si>
    <t>840213246709</t>
  </si>
  <si>
    <t>VFF0002(BK/F,W41)</t>
  </si>
  <si>
    <t>VFF V-Run(W41, Black/Fig)</t>
  </si>
  <si>
    <t>840213246716</t>
  </si>
  <si>
    <t>VFF0002(TT/IV,W37)</t>
  </si>
  <si>
    <t>VFF V-Run(W37, Total Ivory)</t>
  </si>
  <si>
    <t>840213252830</t>
  </si>
  <si>
    <t>VFF0002(TT/IV,W38)</t>
  </si>
  <si>
    <t>VFF V-Run(W38, Total Ivory)</t>
  </si>
  <si>
    <t>840213252847</t>
  </si>
  <si>
    <t>VFF0002(TT/IV,W39)</t>
  </si>
  <si>
    <t>VFF V-Run(W39, Total Ivory)</t>
  </si>
  <si>
    <t>840213252854</t>
  </si>
  <si>
    <t>VFF0002(TT/IV,W40)</t>
  </si>
  <si>
    <t>VFF V-Run(W40, Total Ivory)</t>
  </si>
  <si>
    <t>840213252861</t>
  </si>
  <si>
    <t>VFF0002(TT/IV,W41)</t>
  </si>
  <si>
    <t>VFF V-Run(W41, Total Ivory)</t>
  </si>
  <si>
    <t>840213252878</t>
  </si>
  <si>
    <t>VFF0002(DPK,W37)</t>
  </si>
  <si>
    <t>VFF V-Run(W37, Dusty Pink)</t>
  </si>
  <si>
    <t>840213238636</t>
  </si>
  <si>
    <t>VFF0002(DPK,W38)</t>
  </si>
  <si>
    <t>VFF V-Run(W38, Dusty Pink)</t>
  </si>
  <si>
    <t>840213238643</t>
  </si>
  <si>
    <t>VFF0002(DPK,W39)</t>
  </si>
  <si>
    <t>VFF V-Run(W39, Dusty Pink)</t>
  </si>
  <si>
    <t>840213238650</t>
  </si>
  <si>
    <t>VFF0002(DPK,W40)</t>
  </si>
  <si>
    <t>VFF V-Run(W40, Dusty Pink)</t>
  </si>
  <si>
    <t>840213238667</t>
  </si>
  <si>
    <t>VFF0002(DPK,W41)</t>
  </si>
  <si>
    <t>VFF V-Run(W41, Dusty Pink)</t>
  </si>
  <si>
    <t>840213238674</t>
  </si>
  <si>
    <t>VFF0005(BK/BK,M39</t>
  </si>
  <si>
    <t>VFF V-Train 2.0(M39, Black/Black)</t>
  </si>
  <si>
    <t>847100085045</t>
  </si>
  <si>
    <t>VFF0005(BK/BK,M40</t>
  </si>
  <si>
    <t>VFF V-Train 2.0(M40, Black/Black)</t>
  </si>
  <si>
    <t>847100085052</t>
  </si>
  <si>
    <t>VFF0005(BK/BK,M41</t>
  </si>
  <si>
    <t>VFF V-Train 2.0(M41, Black/Black)</t>
  </si>
  <si>
    <t>847100085069</t>
  </si>
  <si>
    <t>VFF0005(BK/BK,M42</t>
  </si>
  <si>
    <t>VFF V-Train 2.0(M42, Black/Black)</t>
  </si>
  <si>
    <t>847100085076</t>
  </si>
  <si>
    <t>VFF0005(BK/BK,M43</t>
  </si>
  <si>
    <t>VFF V-Train 2.0(M43, Black/Black)</t>
  </si>
  <si>
    <t>847100085083</t>
  </si>
  <si>
    <t>VFF0005(BK/BK,M44</t>
  </si>
  <si>
    <t>VFF V-Train 2.0(M44, Black/Black)</t>
  </si>
  <si>
    <t>847100085090</t>
  </si>
  <si>
    <t>VFF0005(BK/BK,M45</t>
  </si>
  <si>
    <t>VFF V-Train 2.0(M45, Black/Black)</t>
  </si>
  <si>
    <t>847100085106</t>
  </si>
  <si>
    <t>VFF0005(BK/BK,M46</t>
  </si>
  <si>
    <t>VFF V-Train 2.0(M46, Black/Black)</t>
  </si>
  <si>
    <t>847100085113</t>
  </si>
  <si>
    <t>VFF0005(BK/BK,M47</t>
  </si>
  <si>
    <t>VFF V-Train 2.0(M47, Black/Black)</t>
  </si>
  <si>
    <t>847100085120</t>
  </si>
  <si>
    <t>VFF0005(BK/BK,W36)</t>
  </si>
  <si>
    <t>VFF V-Train 2.0(W36, Black/Black)</t>
  </si>
  <si>
    <t>847100085793</t>
  </si>
  <si>
    <t>VFF0005(BK/BK,W37)</t>
  </si>
  <si>
    <t>VFF V-Train 2.0(W37, Black/Black)</t>
  </si>
  <si>
    <t>847100085809</t>
  </si>
  <si>
    <t>VFF0005(BK/BK,W38)</t>
  </si>
  <si>
    <t>VFF V-Train 2.0(W38, Black/Black)</t>
  </si>
  <si>
    <t>847100085816</t>
  </si>
  <si>
    <t>VFF0005(BK/BK,W39)</t>
  </si>
  <si>
    <t>VFF V-Train 2.0(W39, Black/Black)</t>
  </si>
  <si>
    <t>847100085823</t>
  </si>
  <si>
    <t>VFF0005(BK/BK,W40)</t>
  </si>
  <si>
    <t>VFF V-Train 2.0(W40, Black/Black)</t>
  </si>
  <si>
    <t>847100085830</t>
  </si>
  <si>
    <t>VFF0005(BK/BK,W41)</t>
  </si>
  <si>
    <t>VFF V-Train 2.0(W41, Black/Black)</t>
  </si>
  <si>
    <t>847100085847</t>
  </si>
  <si>
    <t>VFF0005(BK/BK,W42)</t>
  </si>
  <si>
    <t>VFF V-Train 2.0(W42, Black/Black)</t>
  </si>
  <si>
    <t>847100085854</t>
  </si>
  <si>
    <t>VFF0008(BB/BL,W35)</t>
  </si>
  <si>
    <t>VFF V-Soul(W35, Baby Blue)</t>
  </si>
  <si>
    <t>840213260019</t>
  </si>
  <si>
    <t>VFF0008(BB/BL,W36)</t>
  </si>
  <si>
    <t>VFF V-Soul(W36, Baby Blue)</t>
  </si>
  <si>
    <t>840213260026</t>
  </si>
  <si>
    <t>VFF0008(BB/BL,W37)</t>
  </si>
  <si>
    <t>VFF V-Soul(W37, Baby Blue)</t>
  </si>
  <si>
    <t>840213260033</t>
  </si>
  <si>
    <t>VFF0008(BB/BL,W38)</t>
  </si>
  <si>
    <t>VFF V-Soul(W38, Baby Blue)</t>
  </si>
  <si>
    <t>840213260040</t>
  </si>
  <si>
    <t>VFF0008(BB/BL,W39)</t>
  </si>
  <si>
    <t>VFF V-Soul(W39, Baby Blue)</t>
  </si>
  <si>
    <t>840213260057</t>
  </si>
  <si>
    <t>VFF0008(BB/BL,W40)</t>
  </si>
  <si>
    <t>VFF V-Soul(W40, Baby Blue)</t>
  </si>
  <si>
    <t>840213260064</t>
  </si>
  <si>
    <t>VFF0008(BB/BL,W41)</t>
  </si>
  <si>
    <t>VFF V-Soul(W41, Baby Blue)</t>
  </si>
  <si>
    <t>840213260071</t>
  </si>
  <si>
    <t>VFF0008(BB/BL,W42)</t>
  </si>
  <si>
    <t>VFF V-Soul(W42, Baby Blue)</t>
  </si>
  <si>
    <t>840213260088</t>
  </si>
  <si>
    <t>VFF0008(BB/BL,W43)</t>
  </si>
  <si>
    <t>VFF V-Soul(W43, Baby Blue)</t>
  </si>
  <si>
    <t>840213260095</t>
  </si>
  <si>
    <t>VFF0008(BK26,W35)</t>
  </si>
  <si>
    <t>VFF V-Soul(W35, Black)</t>
  </si>
  <si>
    <t>840213259921</t>
  </si>
  <si>
    <t>VFF0008(BK26,W36)</t>
  </si>
  <si>
    <t>VFF V-Soul(W36, Black)</t>
  </si>
  <si>
    <t>840213259938</t>
  </si>
  <si>
    <t>VFF0008(BK26,W37)</t>
  </si>
  <si>
    <t>VFF V-Soul(W37, Black)</t>
  </si>
  <si>
    <t>840213259945</t>
  </si>
  <si>
    <t>VFF0008(BK26,W38)</t>
  </si>
  <si>
    <t>VFF V-Soul(W38, Black)</t>
  </si>
  <si>
    <t>840213259952</t>
  </si>
  <si>
    <t>VFF0008(BK26,W39)</t>
  </si>
  <si>
    <t>VFF V-Soul(W39, Black)</t>
  </si>
  <si>
    <t>840213259969</t>
  </si>
  <si>
    <t>VFF0008(BK26,W40)</t>
  </si>
  <si>
    <t>VFF V-Soul(W40, Black)</t>
  </si>
  <si>
    <t>840213259976</t>
  </si>
  <si>
    <t>VFF0008(BK26,W41)</t>
  </si>
  <si>
    <t>VFF V-Soul(W41, Black)</t>
  </si>
  <si>
    <t>840213259983</t>
  </si>
  <si>
    <t>VFF0008(BK26,W42)</t>
  </si>
  <si>
    <t>VFF V-Soul(W42, Black)</t>
  </si>
  <si>
    <t>840213259990</t>
  </si>
  <si>
    <t>VFF0008(BK26,W43)</t>
  </si>
  <si>
    <t>VFF V-Soul(W43, Black)</t>
  </si>
  <si>
    <t>840213260002</t>
  </si>
  <si>
    <t>VFF0008(FU,W37)</t>
  </si>
  <si>
    <t>VFF V-Soul(W37, Fuchsia)</t>
  </si>
  <si>
    <t>840213252922</t>
  </si>
  <si>
    <t>VFF0008(FU,W38)</t>
  </si>
  <si>
    <t>VFF V-Soul(W38, Fuchsia)</t>
  </si>
  <si>
    <t>840213252939</t>
  </si>
  <si>
    <t>VFF0008(FU,W39)</t>
  </si>
  <si>
    <t>VFF V-Soul(W39, Fuchsia)</t>
  </si>
  <si>
    <t>840213252946</t>
  </si>
  <si>
    <t>VFF0008(FU,W40)</t>
  </si>
  <si>
    <t>VFF V-Soul(W40, Fuchsia)</t>
  </si>
  <si>
    <t>840213252953</t>
  </si>
  <si>
    <t>VFF0008(LI/GN,W37)</t>
  </si>
  <si>
    <t>VFF V-Soul(W37, Lime Green)</t>
  </si>
  <si>
    <t>840213253011</t>
  </si>
  <si>
    <t>VFF0008(LI/GN,W38)</t>
  </si>
  <si>
    <t>VFF V-Soul(W38, Lime Green)</t>
  </si>
  <si>
    <t>840213253028</t>
  </si>
  <si>
    <t>VFF0008(LI/GN,W39)</t>
  </si>
  <si>
    <t>VFF V-Soul(W39, Lime Green)</t>
  </si>
  <si>
    <t>840213253035</t>
  </si>
  <si>
    <t>VFF0008(LI/GN,W40)</t>
  </si>
  <si>
    <t>VFF V-Soul(W40, Lime Green)</t>
  </si>
  <si>
    <t>840213253042</t>
  </si>
  <si>
    <t>VFF0008(PP,W37)</t>
  </si>
  <si>
    <t>VFF V-Soul(W37, Purple)</t>
  </si>
  <si>
    <t>840213260217</t>
  </si>
  <si>
    <t>VFF0008(PP,W38)</t>
  </si>
  <si>
    <t>VFF V-Soul(W38, Purple)</t>
  </si>
  <si>
    <t>840213260224</t>
  </si>
  <si>
    <t>VFF0008(PP,W39)</t>
  </si>
  <si>
    <t>VFF V-Soul(W39, Purple)</t>
  </si>
  <si>
    <t>840213260231</t>
  </si>
  <si>
    <t>VFF0008(PP,W40)</t>
  </si>
  <si>
    <t>VFF V-Soul(W40, Purple)</t>
  </si>
  <si>
    <t>840213260248</t>
  </si>
  <si>
    <t>VFF0008(PP,W41)</t>
  </si>
  <si>
    <t>VFF V-Soul(W41, Purple)</t>
  </si>
  <si>
    <t>840213260255</t>
  </si>
  <si>
    <t>VFF0008(NU,W35)</t>
  </si>
  <si>
    <t>VFF V-Soul(W35, Nude)</t>
  </si>
  <si>
    <t>847100075350</t>
  </si>
  <si>
    <t>VFF0008(NU,W36)</t>
  </si>
  <si>
    <t>VFF V-Soul(W36, Nude)</t>
  </si>
  <si>
    <t>847100072090</t>
  </si>
  <si>
    <t>VFF0008(NU,W37)</t>
  </si>
  <si>
    <t>VFF V-Soul(W37, Nude)</t>
  </si>
  <si>
    <t>847100072106</t>
  </si>
  <si>
    <t>VFF0008(NU,W38)</t>
  </si>
  <si>
    <t>VFF V-Soul(W38, Nude)</t>
  </si>
  <si>
    <t>847100072113</t>
  </si>
  <si>
    <t>VFF0008(NU,W39)</t>
  </si>
  <si>
    <t>VFF V-Soul(W39, Nude)</t>
  </si>
  <si>
    <t>847100072120</t>
  </si>
  <si>
    <t>VFF0008(NU,W40)</t>
  </si>
  <si>
    <t>VFF V-Soul(W40, Nude)</t>
  </si>
  <si>
    <t>847100072137</t>
  </si>
  <si>
    <t>VFF0008(NU,W41)</t>
  </si>
  <si>
    <t>VFF V-Soul(W41, Nude)</t>
  </si>
  <si>
    <t>847100072144</t>
  </si>
  <si>
    <t>VFF0008(NU,W42)</t>
  </si>
  <si>
    <t>VFF V-Soul(W42, Nude)</t>
  </si>
  <si>
    <t>847100072151</t>
  </si>
  <si>
    <t>VFF0009(BK,M40)</t>
  </si>
  <si>
    <t>VFF KSO EVO(M40, Black)</t>
  </si>
  <si>
    <t>847100041546</t>
  </si>
  <si>
    <t>VFF0009(BK,M41)</t>
  </si>
  <si>
    <t>VFF KSO EVO(M41, Black)</t>
  </si>
  <si>
    <t>847100041584</t>
  </si>
  <si>
    <t>VFF0009(BK,M42)</t>
  </si>
  <si>
    <t>VFF KSO EVO(M42, Black)</t>
  </si>
  <si>
    <t>847100041621</t>
  </si>
  <si>
    <t>VFF0009(BK,M43)</t>
  </si>
  <si>
    <t>VFF KSO EVO(M43, Black)</t>
  </si>
  <si>
    <t>847100041652</t>
  </si>
  <si>
    <t>VFF0009(BK,M44)</t>
  </si>
  <si>
    <t>VFF KSO EVO(M44, Black)</t>
  </si>
  <si>
    <t>847100041683</t>
  </si>
  <si>
    <t>VFF0009(BK,M45)</t>
  </si>
  <si>
    <t>VFF KSO EVO(M45, Black)</t>
  </si>
  <si>
    <t>847100041737</t>
  </si>
  <si>
    <t>VFF0009(BK,M46)</t>
  </si>
  <si>
    <t>VFF KSO EVO(M46, Black)</t>
  </si>
  <si>
    <t>847100041768</t>
  </si>
  <si>
    <t>VFF0009(BK,M47)</t>
  </si>
  <si>
    <t>VFF KSO EVO(M47, Black)</t>
  </si>
  <si>
    <t>847100041805</t>
  </si>
  <si>
    <t>VFF0009(BK,W37)</t>
  </si>
  <si>
    <t>VFF KSO EVO(W37, Black)</t>
  </si>
  <si>
    <t>847100042321</t>
  </si>
  <si>
    <t>VFF0009(BK,W38)</t>
  </si>
  <si>
    <t>VFF KSO EVO(W38, Black)</t>
  </si>
  <si>
    <t>847100042338</t>
  </si>
  <si>
    <t>VFF0009(BK,W39)</t>
  </si>
  <si>
    <t>VFF KSO EVO(W39, Black)</t>
  </si>
  <si>
    <t>847100042369</t>
  </si>
  <si>
    <t>VFF0009(BK,W40)</t>
  </si>
  <si>
    <t>VFF KSO EVO(W40, Black)</t>
  </si>
  <si>
    <t>847100042383</t>
  </si>
  <si>
    <t>VFF0009(BK,W41)</t>
  </si>
  <si>
    <t>VFF KSO EVO(W41, Black)</t>
  </si>
  <si>
    <t>847100042437</t>
  </si>
  <si>
    <t>VFF0021(TT/BK,M40)</t>
  </si>
  <si>
    <t>VFF Graspifier(M40, Total Black)</t>
  </si>
  <si>
    <t>840213244750</t>
  </si>
  <si>
    <t>VFF0021(TT/BK,M41)</t>
  </si>
  <si>
    <t>VFF Graspifier(M41, Total Black)</t>
  </si>
  <si>
    <t>840213244767</t>
  </si>
  <si>
    <t>VFF0021(TT/BK,M42)</t>
  </si>
  <si>
    <t>VFF Graspifier(M42, Total Black)</t>
  </si>
  <si>
    <t>840213244774</t>
  </si>
  <si>
    <t>VFF0021(TT/BK,M43)</t>
  </si>
  <si>
    <t>VFF Graspifier(M43, Total Black)</t>
  </si>
  <si>
    <t>840213244781</t>
  </si>
  <si>
    <t>VFF0021(TT/BK,M44)</t>
  </si>
  <si>
    <t>VFF Graspifier(M44, Total Black)</t>
  </si>
  <si>
    <t>840213244798</t>
  </si>
  <si>
    <t>VFF0021(TT/BK,M45)</t>
  </si>
  <si>
    <t>VFF Graspifier(M45, Total Black)</t>
  </si>
  <si>
    <t>840213244804</t>
  </si>
  <si>
    <t>VFF0021(TT/BK,M46)</t>
  </si>
  <si>
    <t>VFF Graspifier(M46, Total Black)</t>
  </si>
  <si>
    <t>840213244811</t>
  </si>
  <si>
    <t>VFF0021(TT/BK,M47)</t>
  </si>
  <si>
    <t>VFF Graspifier(M47, Total Black)</t>
  </si>
  <si>
    <t>840213244828</t>
  </si>
  <si>
    <t>VFF0022(BK,W36)</t>
  </si>
  <si>
    <t>VFF Breezandal(W36, Black)</t>
  </si>
  <si>
    <t>840213240660</t>
  </si>
  <si>
    <t>VFF0022(BK,W37)</t>
  </si>
  <si>
    <t>VFF Breezandal(W37, Black)</t>
  </si>
  <si>
    <t>840213240677</t>
  </si>
  <si>
    <t>VFF0022(BK,W38)</t>
  </si>
  <si>
    <t>VFF Breezandal(W38, Black)</t>
  </si>
  <si>
    <t>840213240684</t>
  </si>
  <si>
    <t>VFF0022(BK,W39)</t>
  </si>
  <si>
    <t>VFF Breezandal(W39, Black)</t>
  </si>
  <si>
    <t>840213240691</t>
  </si>
  <si>
    <t>VFF0022(BK,W40)</t>
  </si>
  <si>
    <t>VFF Breezandal(W40, Black)</t>
  </si>
  <si>
    <t>840213240707</t>
  </si>
  <si>
    <t>VFF0022(BK,W41)</t>
  </si>
  <si>
    <t>VFF Breezandal(W41, Black)</t>
  </si>
  <si>
    <t>840213240714</t>
  </si>
  <si>
    <t>VFF0022(IV/G,M40)</t>
  </si>
  <si>
    <t>VFF Breezandal(M40, Ivory/Green)</t>
  </si>
  <si>
    <t>840213253103</t>
  </si>
  <si>
    <t>VFF0022(IV/G,M41)</t>
  </si>
  <si>
    <t>VFF Breezandal(M41, Ivory/Green)</t>
  </si>
  <si>
    <t>840213253110</t>
  </si>
  <si>
    <t>VFF0022(IV/G,M42)</t>
  </si>
  <si>
    <t>VFF Breezandal(M42, Ivory/Green)</t>
  </si>
  <si>
    <t>840213253127</t>
  </si>
  <si>
    <t>VFF0022(IV/G,M43)</t>
  </si>
  <si>
    <t>VFF Breezandal(M43, Ivory/Green)</t>
  </si>
  <si>
    <t>840213253134</t>
  </si>
  <si>
    <t>VFF0022(IV/G,M44)</t>
  </si>
  <si>
    <t>VFF Breezandal(M44, Ivory/Green)</t>
  </si>
  <si>
    <t>840213253141</t>
  </si>
  <si>
    <t>VFF0022(IV/GN,W38)</t>
  </si>
  <si>
    <t>VFF Breezandal(W38, Ivory/Green)</t>
  </si>
  <si>
    <t>840213240769</t>
  </si>
  <si>
    <t>VFF0022(IV/GN,W39)</t>
  </si>
  <si>
    <t>VFF Breezandal(W39, Ivory/Green)</t>
  </si>
  <si>
    <t>840213240776</t>
  </si>
  <si>
    <t>VFF0022(IV/GN,W40)</t>
  </si>
  <si>
    <t>VFF Breezandal(W40, Ivory/Green)</t>
  </si>
  <si>
    <t>840213240783</t>
  </si>
  <si>
    <t>VFF0022(IV/GN,W41)</t>
  </si>
  <si>
    <t>VFF Breezandal(W41, Ivory/Green)</t>
  </si>
  <si>
    <t>840213240790</t>
  </si>
  <si>
    <t>VFF0022(MT/BK,M42)</t>
  </si>
  <si>
    <t>VFF Breezandal(M42, Mustard/Black)</t>
  </si>
  <si>
    <t>840213253257</t>
  </si>
  <si>
    <t>VFF0022(MT/BK,M43)</t>
  </si>
  <si>
    <t>VFF Breezandal(M43, Mustard/Black)</t>
  </si>
  <si>
    <t>840213253264</t>
  </si>
  <si>
    <t>VFF0022(MT/BK,M44)</t>
  </si>
  <si>
    <t>VFF Breezandal(M44, Mustard/Black)</t>
  </si>
  <si>
    <t>840213253271</t>
  </si>
  <si>
    <t>VFF0023(BK,M41)</t>
  </si>
  <si>
    <t>VFF V-Alpha(M41, Black)</t>
  </si>
  <si>
    <t>847100070638</t>
  </si>
  <si>
    <t>VFF0023(BK,M42)</t>
  </si>
  <si>
    <t>VFF V-Alpha(M42, Black)</t>
  </si>
  <si>
    <t>847100070645</t>
  </si>
  <si>
    <t>VFF0023(BK,M43)</t>
  </si>
  <si>
    <t>VFF V-Alpha(M43, Black)</t>
  </si>
  <si>
    <t>847100070652</t>
  </si>
  <si>
    <t>VFF0023(BK,M44)</t>
  </si>
  <si>
    <t>VFF V-Alpha(M44, Black)</t>
  </si>
  <si>
    <t>847100070669</t>
  </si>
  <si>
    <t>VFF0023(BK,M45)</t>
  </si>
  <si>
    <t>VFF V-Alpha(M45, Black)</t>
  </si>
  <si>
    <t>847100070676</t>
  </si>
  <si>
    <t>VFF0023(BK,M46)</t>
  </si>
  <si>
    <t>VFF V-Alpha(M46, Black)</t>
  </si>
  <si>
    <t>847100070683</t>
  </si>
  <si>
    <t>VFF0023(BK,M47)</t>
  </si>
  <si>
    <t>VFF V-Alpha(M47, Black)</t>
  </si>
  <si>
    <t>847100070690</t>
  </si>
  <si>
    <t>VFF0024(BK,M40)</t>
  </si>
  <si>
    <t>VFF Trailope(M40, Black)</t>
  </si>
  <si>
    <t>840213245689</t>
  </si>
  <si>
    <t>VFF0024(BK,M41)</t>
  </si>
  <si>
    <t>VFF Trailope(M41, Black)</t>
  </si>
  <si>
    <t>840213245696</t>
  </si>
  <si>
    <t>VFF0024(BK,M42)</t>
  </si>
  <si>
    <t>VFF Trailope(M42, Black)</t>
  </si>
  <si>
    <t>840213245702</t>
  </si>
  <si>
    <t>VFF0024(BK,M43)</t>
  </si>
  <si>
    <t>VFF Trailope(M43, Black)</t>
  </si>
  <si>
    <t>840213245719</t>
  </si>
  <si>
    <t>VFF0024(BK,M44)</t>
  </si>
  <si>
    <t>VFF Trailope(M44, Black)</t>
  </si>
  <si>
    <t>840213245726</t>
  </si>
  <si>
    <t>VFF0024(BK,M45)</t>
  </si>
  <si>
    <t>VFF Trailope(M45, Black)</t>
  </si>
  <si>
    <t>840213245733</t>
  </si>
  <si>
    <t>VFF0024(BK,M46)</t>
  </si>
  <si>
    <t>VFF Trailope(M46, Black)</t>
  </si>
  <si>
    <t>840213245740</t>
  </si>
  <si>
    <t>VFF0024(BK,M47)</t>
  </si>
  <si>
    <t>VFF Trailope(M47, Black)</t>
  </si>
  <si>
    <t>840213245757</t>
  </si>
  <si>
    <t>VFF0026(FU,W36)</t>
  </si>
  <si>
    <t>VFF Spidrwalk(W36, Fuchsia)</t>
  </si>
  <si>
    <t>840213253721</t>
  </si>
  <si>
    <t>VFF0026(FU,W37)</t>
  </si>
  <si>
    <t>VFF Spidrwalk(W37, Fuchsia)</t>
  </si>
  <si>
    <t>840213253738</t>
  </si>
  <si>
    <t>VFF0026(FU,W38)</t>
  </si>
  <si>
    <t>VFF Spidrwalk(W38, Fuchsia)</t>
  </si>
  <si>
    <t>840213253745</t>
  </si>
  <si>
    <t>VFF0026(FU,W39)</t>
  </si>
  <si>
    <t>VFF Spidrwalk(W39, Fuchsia)</t>
  </si>
  <si>
    <t>840213253752</t>
  </si>
  <si>
    <t>VFF0026(FU,W40)</t>
  </si>
  <si>
    <t>VFF Spidrwalk(W40, Fuchsia)</t>
  </si>
  <si>
    <t>840213253769</t>
  </si>
  <si>
    <t>VFF0026(FU,W41)</t>
  </si>
  <si>
    <t>VFF Spidrwalk(W41, Fuchsia)</t>
  </si>
  <si>
    <t>840213253776</t>
  </si>
  <si>
    <t>VFF0026(LI/GN,M40)</t>
  </si>
  <si>
    <t>VFF Spidrwalk(M40, Lime Green)</t>
  </si>
  <si>
    <t>840213253806</t>
  </si>
  <si>
    <t>VFF0026(LI/GN,M41)</t>
  </si>
  <si>
    <t>VFF Spidrwalk(M41, Lime Green)</t>
  </si>
  <si>
    <t>840213253813</t>
  </si>
  <si>
    <t>VFF0026(LI/GN,M42)</t>
  </si>
  <si>
    <t>VFF Spidrwalk(M42, Lime Green)</t>
  </si>
  <si>
    <t>840213253820</t>
  </si>
  <si>
    <t>VFF0026(LI/GN,M43)</t>
  </si>
  <si>
    <t>VFF Spidrwalk(M43, Lime Green)</t>
  </si>
  <si>
    <t>840213253837</t>
  </si>
  <si>
    <t>VFF0026(LI/GN,M44)</t>
  </si>
  <si>
    <t>VFF Spidrwalk(M44, Lime Green)</t>
  </si>
  <si>
    <t>840213253844</t>
  </si>
  <si>
    <t>VFF0026(LI/GN,M45)</t>
  </si>
  <si>
    <t>VFF Spidrwalk(M45, Lime Green)</t>
  </si>
  <si>
    <t>840213253851</t>
  </si>
  <si>
    <t>VFF0026(LI/GN,M46)</t>
  </si>
  <si>
    <t>VFF Spidrwalk(M46, Lime Green)</t>
  </si>
  <si>
    <t>840213253868</t>
  </si>
  <si>
    <t>VFF0026(LI/GN,M47)</t>
  </si>
  <si>
    <t>VFF Spidrwalk(M47, Lime Green)</t>
  </si>
  <si>
    <t>840213253875</t>
  </si>
  <si>
    <t>VFF0026(TT/BK,M40)</t>
  </si>
  <si>
    <t>VFF Spidrwalk(M40, Total Black)</t>
  </si>
  <si>
    <t>840213253981</t>
  </si>
  <si>
    <t>VFF0026(TT/BK,M41)</t>
  </si>
  <si>
    <t>VFF Spidrwalk(M41, Total Black)</t>
  </si>
  <si>
    <t>840213253998</t>
  </si>
  <si>
    <t>VFF0026(TT/BK,M42)</t>
  </si>
  <si>
    <t>VFF Spidrwalk(M42, Total Black)</t>
  </si>
  <si>
    <t>840213254001</t>
  </si>
  <si>
    <t>VFF0026(TT/BK,M43)</t>
  </si>
  <si>
    <t>VFF Spidrwalk(M43, Total Black)</t>
  </si>
  <si>
    <t>840213254018</t>
  </si>
  <si>
    <t>VFF0026(TT/BK,M44)</t>
  </si>
  <si>
    <t>VFF Spidrwalk(M44, Total Black)</t>
  </si>
  <si>
    <t>840213254025</t>
  </si>
  <si>
    <t>VFF0026(TT/BK,M45)</t>
  </si>
  <si>
    <t>VFF Spidrwalk(M45, Total Black)</t>
  </si>
  <si>
    <t>840213254032</t>
  </si>
  <si>
    <t>VFF0026(TT/BK,M46)</t>
  </si>
  <si>
    <t>VFF Spidrwalk(M46, Total Black)</t>
  </si>
  <si>
    <t>840213254049</t>
  </si>
  <si>
    <t>VFF0026(TT/BK,M47)</t>
  </si>
  <si>
    <t>VFF Spidrwalk(M47, Total Black)</t>
  </si>
  <si>
    <t>840213254056</t>
  </si>
  <si>
    <t>VFF0026(TT/BK,W36)</t>
  </si>
  <si>
    <t>VFF Spidrwalk(W36, Total Black)</t>
  </si>
  <si>
    <t>840213254087</t>
  </si>
  <si>
    <t>VFF0026(TT/BK,W37)</t>
  </si>
  <si>
    <t>VFF Spidrwalk(W37, Total Black)</t>
  </si>
  <si>
    <t>840213254094</t>
  </si>
  <si>
    <t>VFF0026(TT/BK,W38)</t>
  </si>
  <si>
    <t>VFF Spidrwalk(W38, Total Black)</t>
  </si>
  <si>
    <t>840213254100</t>
  </si>
  <si>
    <t>VFF0026(TT/BK,W39)</t>
  </si>
  <si>
    <t>VFF Spidrwalk(W39, Total Black)</t>
  </si>
  <si>
    <t>840213254117</t>
  </si>
  <si>
    <t>VFF0026(TT/BK,W40)</t>
  </si>
  <si>
    <t>VFF Spidrwalk(W40, Total Black)</t>
  </si>
  <si>
    <t>840213254124</t>
  </si>
  <si>
    <t>VFF0026(TT/BK,W41)</t>
  </si>
  <si>
    <t>VFF Spidrwalk(W41, Total Black)</t>
  </si>
  <si>
    <t>840213254131</t>
  </si>
  <si>
    <t>VFF0030(BK,M40)</t>
  </si>
  <si>
    <t>VFF Groundsplay(M40, Black)</t>
  </si>
  <si>
    <t>840213255602</t>
  </si>
  <si>
    <t>VFF0030(BK,M41)</t>
  </si>
  <si>
    <t>VFF Groundsplay(M41, Black)</t>
  </si>
  <si>
    <t>840213255619</t>
  </si>
  <si>
    <t>VFF0030(BK,M42)</t>
  </si>
  <si>
    <t>VFF Groundsplay(M42, Black)</t>
  </si>
  <si>
    <t>840213255626</t>
  </si>
  <si>
    <t>VFF0030(BK,M43)</t>
  </si>
  <si>
    <t>VFF Groundsplay(M43, Black)</t>
  </si>
  <si>
    <t>840213255633</t>
  </si>
  <si>
    <t>VFF0030(BK,M44)</t>
  </si>
  <si>
    <t>VFF Groundsplay(M44, Black)</t>
  </si>
  <si>
    <t>840213255640</t>
  </si>
  <si>
    <t>VFF0030(BK,M45)</t>
  </si>
  <si>
    <t>VFF Groundsplay(M45, Black)</t>
  </si>
  <si>
    <t>840213255657</t>
  </si>
  <si>
    <t>VFF0030(BK,M46)</t>
  </si>
  <si>
    <t>VFF Groundsplay(M46, Black)</t>
  </si>
  <si>
    <t>840213255664</t>
  </si>
  <si>
    <t>VFF0030(BK,M47)</t>
  </si>
  <si>
    <t>VFF Groundsplay(M47, Black)</t>
  </si>
  <si>
    <t>840213255671</t>
  </si>
  <si>
    <t>AQ0002(WT,XL)</t>
  </si>
  <si>
    <t>Sports Polo (Aqua Hole)(XL, White)</t>
  </si>
  <si>
    <t>820890607001</t>
  </si>
  <si>
    <t>AQ0002(WT,L)</t>
  </si>
  <si>
    <t>Sports Polo (Aqua Hole)(L, White)</t>
  </si>
  <si>
    <t>820890606994</t>
  </si>
  <si>
    <t>AQ0002(WT,M)</t>
  </si>
  <si>
    <t>Sports Polo (Aqua Hole)(M, White)</t>
  </si>
  <si>
    <t>820890606987</t>
  </si>
  <si>
    <t>AQ0002(WT,S)</t>
  </si>
  <si>
    <t>Sports Polo (Aqua Hole)(S, White)</t>
  </si>
  <si>
    <t>820890606980</t>
  </si>
  <si>
    <t>AQ0002(BK,XL)</t>
  </si>
  <si>
    <t>Sports Polo (Aqua Hole)(XL, Black)</t>
  </si>
  <si>
    <t>820890606973</t>
  </si>
  <si>
    <t>AQ0002(BK,L)</t>
  </si>
  <si>
    <t>Sports Polo (Aqua Hole)(L, Black)</t>
  </si>
  <si>
    <t>820890606966</t>
  </si>
  <si>
    <t>AQ0002(BK,M)</t>
  </si>
  <si>
    <t>Sports Polo (Aqua Hole)(M, Black)</t>
  </si>
  <si>
    <t>820890606959</t>
  </si>
  <si>
    <t>AQ0002(BK,S)</t>
  </si>
  <si>
    <t>Sports Polo (Aqua Hole)(S, Black)</t>
  </si>
  <si>
    <t>820890606952</t>
  </si>
  <si>
    <t>AQ0001(W,WT,L)</t>
  </si>
  <si>
    <t>Running Tops for Women(Aqua Hole)(L, White)</t>
  </si>
  <si>
    <t>820890606945</t>
  </si>
  <si>
    <t>AQ0001(W,WT,M)</t>
  </si>
  <si>
    <t>Running Tops for Women(Aqua Hole)(M, White)</t>
  </si>
  <si>
    <t>820890606938</t>
  </si>
  <si>
    <t>AQ0001(W,WT,S)</t>
  </si>
  <si>
    <t>Running Tops for Women(Aqua Hole)(S, White)</t>
  </si>
  <si>
    <t>820890606931</t>
  </si>
  <si>
    <t>AQ0001(M,WT,XL)</t>
  </si>
  <si>
    <t>Running Tops for Men(Aqua Hole)(XL, White)</t>
  </si>
  <si>
    <t>820890606924</t>
  </si>
  <si>
    <t>AQ0001(M,WT,L)</t>
  </si>
  <si>
    <t>Running Tops for Men(Aqua Hole)(L, White)</t>
  </si>
  <si>
    <t>820890606917</t>
  </si>
  <si>
    <t>AQ0001(M,WT,M)</t>
  </si>
  <si>
    <t>Running Tops for Men(Aqua Hole)(M, White)</t>
  </si>
  <si>
    <t>820890606910</t>
  </si>
  <si>
    <t>AQ0001(M,WT,S)</t>
  </si>
  <si>
    <t>Running Tops for Men(Aqua Hole)(S, White)</t>
  </si>
  <si>
    <t>820890606903</t>
  </si>
  <si>
    <t>AQ0001(W,BK,L)</t>
  </si>
  <si>
    <t>Running Tops for Women(Aqua Hole)(L, Black)</t>
  </si>
  <si>
    <t>820890606896</t>
  </si>
  <si>
    <t>AQ0001(W,BK,M)</t>
  </si>
  <si>
    <t>Running Tops for Women(Aqua Hole)(M, Black)</t>
  </si>
  <si>
    <t>820890606889</t>
  </si>
  <si>
    <t>AQ0001(W,BK,S)</t>
  </si>
  <si>
    <t>Running Tops for Women(Aqua Hole)(S, Black)</t>
  </si>
  <si>
    <t>820890606882</t>
  </si>
  <si>
    <t>AQ0001(M,BK,XL)</t>
  </si>
  <si>
    <t>Running Tops for Men(Aqua Hole)(XL, Black)</t>
  </si>
  <si>
    <t>820890606875</t>
  </si>
  <si>
    <t>AQ0001(M,BK,L)</t>
  </si>
  <si>
    <t>Running Tops for Men(Aqua Hole)(L, Black)</t>
  </si>
  <si>
    <t>820890606868</t>
  </si>
  <si>
    <t>AQ0001(M,BK,M)</t>
  </si>
  <si>
    <t>Running Tops for Men(Aqua Hole)(M, Black)</t>
  </si>
  <si>
    <t>820890606861</t>
  </si>
  <si>
    <t>AQ0001(M,BK,S)</t>
  </si>
  <si>
    <t>Running Tops for Men(Aqua Hole)(S, Black)</t>
  </si>
  <si>
    <t>820890606854</t>
  </si>
  <si>
    <t>CP0001(BK,XS)</t>
  </si>
  <si>
    <t>CP Arm Sleeves (Black, XS)</t>
  </si>
  <si>
    <t>CP0001(BK,S)</t>
  </si>
  <si>
    <t>CP Arm Sleeves (Black, S)</t>
  </si>
  <si>
    <t>CP0001(BK,M)</t>
  </si>
  <si>
    <t>CP Arm Sleeves (Black, M)</t>
  </si>
  <si>
    <t>CP0001(BK,L)</t>
  </si>
  <si>
    <t>CP Arm Sleeves (Black, L)</t>
  </si>
  <si>
    <t>CP0001(BK,XL)</t>
  </si>
  <si>
    <t>CP Arm Sleeves (Black, XL)</t>
  </si>
  <si>
    <t>CP0001(GY,XS,24)</t>
  </si>
  <si>
    <t>CP Arm Sleeves(Gray, XS)</t>
  </si>
  <si>
    <t>CP0001(GY,S,24)</t>
  </si>
  <si>
    <t>CP Arm Sleeves(Gray, S)</t>
  </si>
  <si>
    <t>CP0001(GY,M,24)</t>
  </si>
  <si>
    <t>CP Arm Sleeves(Gray, M)</t>
  </si>
  <si>
    <t>CP0001(GY,L,24)</t>
  </si>
  <si>
    <t>CP Arm Sleeves(Gray, L)</t>
  </si>
  <si>
    <t>CP0001(GY,XL,24)</t>
  </si>
  <si>
    <t>CP Arm Sleeves(Gray, XL)</t>
  </si>
  <si>
    <t>CP0001(WT,XS)</t>
  </si>
  <si>
    <t>CP Arm Sleeves (White, XS)</t>
  </si>
  <si>
    <t>CP0001(WT,S)</t>
  </si>
  <si>
    <t>CP Arm Sleeves (White, S)</t>
  </si>
  <si>
    <t>CP0001(WT,M)</t>
  </si>
  <si>
    <t>CP Arm Sleeves (White, M)</t>
  </si>
  <si>
    <t>CP0001(WT,L)</t>
  </si>
  <si>
    <t>CP Arm Sleeves (White, L)</t>
  </si>
  <si>
    <t>CP0001(WT,XL)</t>
  </si>
  <si>
    <t>CP Arm Sleeves (White, XL)</t>
  </si>
  <si>
    <t>CP0001(CMGY,XS,24)</t>
  </si>
  <si>
    <t>CP Arm Sleeves(Camo Gray, XS)</t>
  </si>
  <si>
    <t>CP0001(CMGY,S,24)</t>
  </si>
  <si>
    <t>CP Arm Sleeves(Camo Gray, S)</t>
  </si>
  <si>
    <t>CP0001(CMGY,M,24)</t>
  </si>
  <si>
    <t>CP Arm Sleeves(Camo Gray, M)</t>
  </si>
  <si>
    <t>CP0001(CMGY,L,24)</t>
  </si>
  <si>
    <t>CP Arm Sleeves(Camo Gray, L)</t>
  </si>
  <si>
    <t>CP0001(CMGY,XL,24)</t>
  </si>
  <si>
    <t>CP Arm Sleeves(Camo Gray, XL)</t>
  </si>
  <si>
    <t>CP0001(CMNV,XS,24)</t>
  </si>
  <si>
    <t>CP Arm Sleeves(Camo Navy, XS)</t>
  </si>
  <si>
    <t>CP0001(CMNV,S,24)</t>
  </si>
  <si>
    <t>CP Arm Sleeves(Camo Navy, S)</t>
  </si>
  <si>
    <t>CP0001(CMNV,M,24)</t>
  </si>
  <si>
    <t>CP Arm Sleeves(Camo Navy, M)</t>
  </si>
  <si>
    <t>CP0001(CMNV,L,24)</t>
  </si>
  <si>
    <t>CP Arm Sleeves(Camo Navy, L)</t>
  </si>
  <si>
    <t>CP0001(CMNV,XL,24)</t>
  </si>
  <si>
    <t>CP Arm Sleeves(Camo Navy, XL)</t>
  </si>
  <si>
    <t>CP0002(BK)</t>
  </si>
  <si>
    <t>CP Multi-Chill(Black)</t>
  </si>
  <si>
    <t>CP0002(CMF)</t>
  </si>
  <si>
    <t>CP Multi-Chill(Camouflage)</t>
  </si>
  <si>
    <t>CP0002(CMGY,24)</t>
  </si>
  <si>
    <t>CP Multi-Chill(Camo Gray)</t>
  </si>
  <si>
    <t>CP0002(CMNV,24)</t>
  </si>
  <si>
    <t>CP Multi-Chill(Camo Navy)</t>
  </si>
  <si>
    <t>CP0002(GY,24)</t>
  </si>
  <si>
    <t>CP Multi-Chill(Gray)</t>
  </si>
  <si>
    <t>CP0002(WT)</t>
  </si>
  <si>
    <t>CP Multi-Chill(White)</t>
  </si>
  <si>
    <t>CP0005(BK,M)</t>
  </si>
  <si>
    <t>CP Multi-Chill Open Ear(Black, M)</t>
  </si>
  <si>
    <t>CP0005(BK,L)</t>
  </si>
  <si>
    <t>CP Multi-Chill Open Ear(Black, L)</t>
  </si>
  <si>
    <t>CP0005(WT,M)</t>
  </si>
  <si>
    <t>CP Multi-Chill Open Ear(White, M)</t>
  </si>
  <si>
    <t>CP0005(WT,L)</t>
  </si>
  <si>
    <t>CP Multi-Chill Open Ear(White, L)</t>
  </si>
  <si>
    <t>CP0003(BL)</t>
  </si>
  <si>
    <t>CP Outdoor Chill Towel(Diva Blue)</t>
  </si>
  <si>
    <t>CP0003(HBL)</t>
  </si>
  <si>
    <t>CP Outdoor Chill Towel(Heritage Blue)</t>
  </si>
  <si>
    <t>CP0004(BK)</t>
  </si>
  <si>
    <t>CP Sports Chill Towel(Black)</t>
  </si>
  <si>
    <t>CP0004(BL)</t>
  </si>
  <si>
    <t>CP Sports Chill Towel(Diva Blue)</t>
  </si>
  <si>
    <t>CP0004(DGY)</t>
  </si>
  <si>
    <t>CP Sports Chill Towel(Dark Gray)</t>
  </si>
  <si>
    <t>CP0004(FU,24)</t>
  </si>
  <si>
    <t>CP Sports Chill Towel(Fuscia)</t>
  </si>
  <si>
    <t>CP0004(TQ,24)</t>
  </si>
  <si>
    <t>CP Sports Chill Towel(Turquoise)</t>
  </si>
  <si>
    <t>CP0004(YL,24)</t>
  </si>
  <si>
    <t>CP Sports Chill Towel(Yellow)</t>
  </si>
  <si>
    <t>KK0005(BK,LOB)</t>
  </si>
  <si>
    <t>TKClassic(Black, Loop Cap with Bale)</t>
  </si>
  <si>
    <t>KK0005(BK,SP)</t>
  </si>
  <si>
    <t>TKClassic(Black, Sport Cap 2021)</t>
  </si>
  <si>
    <t>KK0005(BKBS,BAM)</t>
  </si>
  <si>
    <t>TKClassic(Black / Brushed Stainless, Bamboo Cap)</t>
  </si>
  <si>
    <t>KK0006(12,BK,TWI)</t>
  </si>
  <si>
    <t>TKWide Vacuum Insulated(12oz, Black, Twist Cap)</t>
  </si>
  <si>
    <t>KK0006(12,EC,TWI)</t>
  </si>
  <si>
    <t>TKWide Vacuum Insulated(12oz, Electric Camo, Twist Cap)</t>
  </si>
  <si>
    <t>KK0006(20,BLT,TWI)</t>
  </si>
  <si>
    <t>TKWide Vacuum Insulated(20oz, Blue Tint, Twist Cap)</t>
  </si>
  <si>
    <t>KK0006(20,PUP,TWI)</t>
  </si>
  <si>
    <t>TKWide Vacuum Insulated(20oz, Purple Potion, Twist Cap)</t>
  </si>
  <si>
    <t>KK0006(64,BS,LO)</t>
  </si>
  <si>
    <t>TKWide Vacuum Insulated(64oz, Brushed Stainless, Loop Cap)</t>
  </si>
  <si>
    <t>KK0007(BKBS,CAF)</t>
  </si>
  <si>
    <t>TKWide(black/brushed stainless , Café Cap)</t>
  </si>
  <si>
    <t>KK0007(BKBS,CHU)</t>
  </si>
  <si>
    <t>TKWide(black/brushed stainless , Chug Cap)</t>
  </si>
  <si>
    <t>KK0007(BKBS,LO)</t>
  </si>
  <si>
    <t>TKWide(black/brushed stainless , Loop Cap)</t>
  </si>
  <si>
    <t>KK0007(BKBS,WST)</t>
  </si>
  <si>
    <t>TKWide(black/brushed stainless , Wide Straw Cap)</t>
  </si>
  <si>
    <t>KK0007(TA,CAF)</t>
  </si>
  <si>
    <t>TKWide Café Cap(Taupe, Café Cap)</t>
  </si>
  <si>
    <t>KK0007(TA,TWI)</t>
  </si>
  <si>
    <t>TKWide(Taupe, Twist Cap)</t>
  </si>
  <si>
    <t>KK0008(16,BK,)</t>
  </si>
  <si>
    <t>TKPro Vacuum Insulated(16oz, Black)</t>
  </si>
  <si>
    <t>KK0008(16,TF,)</t>
  </si>
  <si>
    <t>TKPro Vacuum Insulated(16oz, Tofu)</t>
  </si>
  <si>
    <t>KK0008(25,BK,)</t>
  </si>
  <si>
    <t>TKPro Vacuum Insulated(25oz, Black)</t>
  </si>
  <si>
    <t>KK0008(25,TF,)</t>
  </si>
  <si>
    <t>TKPro Vacuum Insulated(25oz, Tofu)</t>
  </si>
  <si>
    <t>KK0008(33,TF,)</t>
  </si>
  <si>
    <t>TKPro Vacuum Insulated(33oz, Tofu)</t>
  </si>
  <si>
    <t>KK0012(6,MCBS)</t>
  </si>
  <si>
    <t>Recycled Steel Straw(multi color/brushed stainless)</t>
  </si>
  <si>
    <t>KK0012(78,BK,FL)</t>
  </si>
  <si>
    <t>Rise Flip Lid(Black)</t>
  </si>
  <si>
    <t>KK0012(90,BK,FL)</t>
  </si>
  <si>
    <t>KK0009(10,ATG,FL)</t>
  </si>
  <si>
    <t>Rise Low Ball(10oz, Autumn Glaze)</t>
  </si>
  <si>
    <t>KK0014(14,SS,FL)</t>
  </si>
  <si>
    <t>Rise Mug(14oz, Sea Spray)</t>
  </si>
  <si>
    <t>KK0014(14,SL,FL)</t>
  </si>
  <si>
    <t>Rise Mug(14oz, Stellar)</t>
  </si>
  <si>
    <t>KK0009(26,ATG,FL)</t>
  </si>
  <si>
    <t>Rise Tumbler(26oz, Autumn Glaze)</t>
  </si>
  <si>
    <t>KK0009(10,ATG)</t>
  </si>
  <si>
    <t>Rise Wine Tumbler(10oz, Autumn Glaze)</t>
  </si>
  <si>
    <t>KK0015(16,BS,)</t>
  </si>
  <si>
    <t>TKCanister Vacuum Insulated(16oz, Brushed Stainless)</t>
  </si>
  <si>
    <t>KK0015(16,TF,)</t>
  </si>
  <si>
    <t>TKCanister Vacuum Insulated(16oz, Tofu)</t>
  </si>
  <si>
    <t>KK0015(8,BS,)</t>
  </si>
  <si>
    <t>TKCanister Vacuum Insulated(8oz, Brushed Stainless)</t>
  </si>
  <si>
    <t>KK0017(2,MCBS)</t>
  </si>
  <si>
    <t>Steel Straw(multi color/brushed stainless)</t>
  </si>
  <si>
    <t>KK0017(4,MCBS)</t>
  </si>
  <si>
    <t>Steel Straw(multi-color/brushed stainless)</t>
  </si>
  <si>
    <t>KK0018(BK)</t>
  </si>
  <si>
    <t>Straw Lid(Black)</t>
  </si>
  <si>
    <t>KK0023(GN,SIP)</t>
  </si>
  <si>
    <t>Kid Sippy Cap(green)</t>
  </si>
  <si>
    <t>KK0027(20,AGM)</t>
  </si>
  <si>
    <t>Food Boxes(20oz, Agave Mint)</t>
  </si>
  <si>
    <t>KK0027(34,BLB)</t>
  </si>
  <si>
    <t>Food Boxes(34oz, Blueberry Bliss)</t>
  </si>
  <si>
    <t>Shop</t>
  </si>
  <si>
    <t>Total</t>
  </si>
  <si>
    <t>5057794296930</t>
  </si>
  <si>
    <t>309253-04-M41</t>
  </si>
  <si>
    <t>5057794297210</t>
  </si>
  <si>
    <t>309253-04-M44</t>
  </si>
  <si>
    <t>5057794297241</t>
  </si>
  <si>
    <t>VV0004(ST/CD,M42)</t>
  </si>
  <si>
    <t>Vivo Primus lite iv(M42, Storm Cloud)</t>
  </si>
  <si>
    <t>VV0004(ST/CD,M43)</t>
  </si>
  <si>
    <t>Vivo Primus lite iv(M43, Storm Cloud)</t>
  </si>
  <si>
    <t>5057794306363</t>
  </si>
  <si>
    <t>5057794306356</t>
  </si>
  <si>
    <t>VV0006(OSD,M41)</t>
  </si>
  <si>
    <t>Vivo Primus trail fg 3.5(M41, Obsidian)</t>
  </si>
  <si>
    <t>VV0006(OSD,M42)</t>
  </si>
  <si>
    <t>Vivo Primus trail fg 3.5(M42, Obsidian)</t>
  </si>
  <si>
    <t>VV0006(OSD,M43)</t>
  </si>
  <si>
    <t>Vivo Primus trail fg 3.5(M43, Obsidian)</t>
  </si>
  <si>
    <t>5057794236752</t>
  </si>
  <si>
    <t>5057794236769</t>
  </si>
  <si>
    <t>5057794236776</t>
  </si>
  <si>
    <t>763332074278</t>
  </si>
  <si>
    <t>763332074131</t>
  </si>
  <si>
    <t>763332074698</t>
  </si>
  <si>
    <t>763332070928</t>
  </si>
  <si>
    <t>763332065443</t>
  </si>
  <si>
    <t>763332065436</t>
  </si>
  <si>
    <t>763332065245</t>
  </si>
  <si>
    <t>763332065214</t>
  </si>
  <si>
    <t>763332071550</t>
  </si>
  <si>
    <t>763332071512</t>
  </si>
  <si>
    <t>763332071024</t>
  </si>
  <si>
    <t>763332071000</t>
  </si>
  <si>
    <t>763332070980</t>
  </si>
  <si>
    <t>763332070935</t>
  </si>
  <si>
    <t>763332055727</t>
  </si>
  <si>
    <t>763332055703</t>
  </si>
  <si>
    <t>763332071413</t>
  </si>
  <si>
    <t>763332071406</t>
  </si>
  <si>
    <t>763332065528</t>
  </si>
  <si>
    <t>763332024648</t>
  </si>
  <si>
    <t>763332069250</t>
  </si>
  <si>
    <t>763332068291</t>
  </si>
  <si>
    <t>Event 
K-village</t>
  </si>
  <si>
    <t>Event 
Asoke</t>
  </si>
  <si>
    <t>Event 
Promenade</t>
  </si>
  <si>
    <r>
      <t xml:space="preserve">Event 
K-village
</t>
    </r>
    <r>
      <rPr>
        <b/>
        <sz val="12"/>
        <color theme="4"/>
        <rFont val="Calibri"/>
        <family val="2"/>
      </rPr>
      <t>(Show)</t>
    </r>
  </si>
  <si>
    <t>Thaniya</t>
  </si>
  <si>
    <t>VFF0002(BK/BL,M42)</t>
  </si>
  <si>
    <t>VFF V-Run(M42, Black/Blue)</t>
  </si>
  <si>
    <t>840213245337</t>
  </si>
  <si>
    <t>VFF0002(BK/BL,M43)</t>
  </si>
  <si>
    <t>VFF V-Run(M43, Black/Blue)</t>
  </si>
  <si>
    <t>840213245344</t>
  </si>
  <si>
    <t>VFF0002(BK/BL,M44)</t>
  </si>
  <si>
    <t>VFF V-Run(M44, Black/Blue)</t>
  </si>
  <si>
    <t>840213245351</t>
  </si>
  <si>
    <t>VFF0002(BK/BL,M45)</t>
  </si>
  <si>
    <t>VFF V-Run(M45, Black/Blue)</t>
  </si>
  <si>
    <t>840213245368</t>
  </si>
  <si>
    <t>VFF0002(BK/BL,M46)</t>
  </si>
  <si>
    <t>VFF V-Run(M46, Black/Blue)</t>
  </si>
  <si>
    <t>840213245375</t>
  </si>
  <si>
    <t>VFF0002(BK/BL,M47)</t>
  </si>
  <si>
    <t>VFF V-Run(M47, Black/Blue)</t>
  </si>
  <si>
    <t>840213245382</t>
  </si>
  <si>
    <t>VFF0002(BK/BL,M48)</t>
  </si>
  <si>
    <t>VFF V-Run(M48, Black/Blue)</t>
  </si>
  <si>
    <t>840213245399</t>
  </si>
  <si>
    <t>VFF0002(TT/BK,M41)</t>
  </si>
  <si>
    <t>VFF V-Run(M41, Total Black)</t>
  </si>
  <si>
    <t>840213252496</t>
  </si>
  <si>
    <t>VFF0002(TT/BK,M42)</t>
  </si>
  <si>
    <t>VFF V-Run(M42, Total Black)</t>
  </si>
  <si>
    <t>840213252502</t>
  </si>
  <si>
    <t>VFF0002(TT/BK,M43)</t>
  </si>
  <si>
    <t>VFF V-Run(M43, Total Black)</t>
  </si>
  <si>
    <t>840213252519</t>
  </si>
  <si>
    <t>VFF0002(TT/BK,M44)</t>
  </si>
  <si>
    <t>VFF V-Run(M44, Total Black)</t>
  </si>
  <si>
    <t>840213252526</t>
  </si>
  <si>
    <t>VFF0002(TT/BK,M45)</t>
  </si>
  <si>
    <t>VFF V-Run(M45, Total Black)</t>
  </si>
  <si>
    <t>840213252533</t>
  </si>
  <si>
    <t>VFF0002(TT/BK,M46)</t>
  </si>
  <si>
    <t>VFF V-Run(M46, Total Black)</t>
  </si>
  <si>
    <t>840213252540</t>
  </si>
  <si>
    <t>VFF0008(PP,W36)</t>
  </si>
  <si>
    <t>VFF V-Soul(W36, Purple)</t>
  </si>
  <si>
    <t>840213260200</t>
  </si>
  <si>
    <t>VFF0008(SV,W35)</t>
  </si>
  <si>
    <t>VFF V-Soul(W35, Silver)</t>
  </si>
  <si>
    <t>VFF0008(SV,W39)</t>
  </si>
  <si>
    <t>VFF V-Soul(W39, Silver)</t>
  </si>
  <si>
    <t>847100072052</t>
  </si>
  <si>
    <t>VFF0008(SV,W40)</t>
  </si>
  <si>
    <t>VFF V-Soul(W40, Silver)</t>
  </si>
  <si>
    <t>847100072069</t>
  </si>
  <si>
    <t>VFF0008(SV,W42)</t>
  </si>
  <si>
    <t>VFF V-Soul(W42, Silver)</t>
  </si>
  <si>
    <t>847100072083</t>
  </si>
  <si>
    <t>VFF0009(DL/BK,M41)</t>
  </si>
  <si>
    <t>VFF KSO EVO(M41, Deep Lake/Black)</t>
  </si>
  <si>
    <t>840213251215</t>
  </si>
  <si>
    <t>VFF0009(DL/BK,M42)</t>
  </si>
  <si>
    <t>VFF KSO EVO(M42, Deep Lake/Black)</t>
  </si>
  <si>
    <t>840213251222</t>
  </si>
  <si>
    <t>VFF0009(DL/BK,M43)</t>
  </si>
  <si>
    <t>VFF KSO EVO(M43, Deep Lake/Black)</t>
  </si>
  <si>
    <t>840213251239</t>
  </si>
  <si>
    <t>VFF0009(DL/BK,M44)</t>
  </si>
  <si>
    <t>VFF KSO EVO(M44, Deep Lake/Black)</t>
  </si>
  <si>
    <t>840213251246</t>
  </si>
  <si>
    <t>VFF0009(DL/BK,M45)</t>
  </si>
  <si>
    <t>VFF KSO EVO(M45, Deep Lake/Black)</t>
  </si>
  <si>
    <t>840213251253</t>
  </si>
  <si>
    <t>VFF0009(DL/BK,M46)</t>
  </si>
  <si>
    <t>VFF KSO EVO(M46, Deep Lake/Black)</t>
  </si>
  <si>
    <t>840213251260</t>
  </si>
  <si>
    <t>VFF0009(DL/BK,M47)</t>
  </si>
  <si>
    <t>VFF KSO EVO(M47, Deep Lake/Black)</t>
  </si>
  <si>
    <t>840213251277</t>
  </si>
  <si>
    <t>VFF0009(DL/BK,W37)</t>
  </si>
  <si>
    <t>VFF KSO EVO(W37, Deep Lake/Black)</t>
  </si>
  <si>
    <t>840213251338</t>
  </si>
  <si>
    <t>VFF0009(DL/BK,W38)</t>
  </si>
  <si>
    <t>VFF KSO EVO(W38, Deep Lake/Black)</t>
  </si>
  <si>
    <t>840213251345</t>
  </si>
  <si>
    <t>VFF0009(DL/BK,W39)</t>
  </si>
  <si>
    <t>VFF KSO EVO(W39, Deep Lake/Black)</t>
  </si>
  <si>
    <t>840213251352</t>
  </si>
  <si>
    <t>VFF0009(DL/BK,W40)</t>
  </si>
  <si>
    <t>VFF KSO EVO(W40, Deep Lake/Black)</t>
  </si>
  <si>
    <t>840213251369</t>
  </si>
  <si>
    <t>VFF0009(DL/BK,W41)</t>
  </si>
  <si>
    <t>VFF KSO EVO(W41, Deep Lake/Black)</t>
  </si>
  <si>
    <t>840213251376</t>
  </si>
  <si>
    <t>VFF0009(F/GN,M42)</t>
  </si>
  <si>
    <t>VFF KSO EVO(M42, Fig/A Green)</t>
  </si>
  <si>
    <t>840213251451</t>
  </si>
  <si>
    <t>VFF0009(F/GN,M43)</t>
  </si>
  <si>
    <t>VFF KSO EVO(M43, Fig/A Green)</t>
  </si>
  <si>
    <t>840213251468</t>
  </si>
  <si>
    <t>VFF0009(F/GN,M44)</t>
  </si>
  <si>
    <t>VFF KSO EVO(M44, Fig/A Green)</t>
  </si>
  <si>
    <t>840213251475</t>
  </si>
  <si>
    <t>VFF0009(F/GN,M45)</t>
  </si>
  <si>
    <t>VFF KSO EVO(M45, Fig/A Green)</t>
  </si>
  <si>
    <t>840213251482</t>
  </si>
  <si>
    <t>VFF0009(F/GN,M47)</t>
  </si>
  <si>
    <t>VFF KSO EVO(M47, Fig/A Green)</t>
  </si>
  <si>
    <t>840213251505</t>
  </si>
  <si>
    <t>VFF0009(F/GN,W37)</t>
  </si>
  <si>
    <t>VFF KSO EVO(W37, Fig/A Green)</t>
  </si>
  <si>
    <t>840213246440</t>
  </si>
  <si>
    <t>VFF0009(F/GN,W38)</t>
  </si>
  <si>
    <t>VFF KSO EVO(W38, Fig/A Green)</t>
  </si>
  <si>
    <t>840213246457</t>
  </si>
  <si>
    <t>VFF0009(F/GN,W39)</t>
  </si>
  <si>
    <t>VFF KSO EVO(W39, Fig/A Green)</t>
  </si>
  <si>
    <t>840213246464</t>
  </si>
  <si>
    <t>VFF0009(F/GN,W40)</t>
  </si>
  <si>
    <t>VFF KSO EVO(W40, Fig/A Green)</t>
  </si>
  <si>
    <t>840213246471</t>
  </si>
  <si>
    <t>VFF0009(F/GN,W41)</t>
  </si>
  <si>
    <t>VFF KSO EVO(W41, Fig/A Green)</t>
  </si>
  <si>
    <t>840213246488</t>
  </si>
  <si>
    <t>toe Yellow</t>
  </si>
  <si>
    <t>VFF0021(BK,M45)</t>
  </si>
  <si>
    <t>VFF Graspifier(M45, Black)</t>
  </si>
  <si>
    <t>840213240141</t>
  </si>
  <si>
    <t>VFF0021(BK,M46)</t>
  </si>
  <si>
    <t>VFF Graspifier(M46, Black)</t>
  </si>
  <si>
    <t>840213240158</t>
  </si>
  <si>
    <t>VFF0021(BK,M47)</t>
  </si>
  <si>
    <t>VFF Graspifier(M47, Black)</t>
  </si>
  <si>
    <t>840213240165</t>
  </si>
  <si>
    <t>VFF0023(DL,M40)</t>
  </si>
  <si>
    <t>VFF V-Alpha(M40, Deep Lake)</t>
  </si>
  <si>
    <t>840213245566</t>
  </si>
  <si>
    <t>VFF0023(DL,M41)</t>
  </si>
  <si>
    <t>VFF V-Alpha(M41, Deep Lake)</t>
  </si>
  <si>
    <t>840213245573</t>
  </si>
  <si>
    <t>VFF0023(DL,M42)</t>
  </si>
  <si>
    <t>VFF V-Alpha(M42, Deep Lake)</t>
  </si>
  <si>
    <t>840213245580</t>
  </si>
  <si>
    <t>VFF0023(DL,M43)</t>
  </si>
  <si>
    <t>VFF V-Alpha(M43, Deep Lake)</t>
  </si>
  <si>
    <t>840213245597</t>
  </si>
  <si>
    <t>VFF0023(DL,M46)</t>
  </si>
  <si>
    <t>VFF V-Alpha(M46, Deep Lake)</t>
  </si>
  <si>
    <t>840213245627</t>
  </si>
  <si>
    <t>VFF0023(DL,M47)</t>
  </si>
  <si>
    <t>VFF V-Alpha(M47, Deep Lake)</t>
  </si>
  <si>
    <t>840213245634</t>
  </si>
  <si>
    <t>VFF0023(DL,W36)</t>
  </si>
  <si>
    <t>VFF V-Alpha(W36, Deep Lake)</t>
  </si>
  <si>
    <t>840213246839</t>
  </si>
  <si>
    <t>VFF0023(DL,W37)</t>
  </si>
  <si>
    <t>VFF V-Alpha(W37, Deep Lake)</t>
  </si>
  <si>
    <t>840213246846</t>
  </si>
  <si>
    <t>VFF0023(DL,W38)</t>
  </si>
  <si>
    <t>VFF V-Alpha(W38, Deep Lake)</t>
  </si>
  <si>
    <t>840213246853</t>
  </si>
  <si>
    <t>VFF0023(DL,W39)</t>
  </si>
  <si>
    <t>VFF V-Alpha(W39, Deep Lake)</t>
  </si>
  <si>
    <t>840213246860</t>
  </si>
  <si>
    <t>VFF0023(DL,W40)</t>
  </si>
  <si>
    <t>VFF V-Alpha(W40, Deep Lake)</t>
  </si>
  <si>
    <t>840213246877</t>
  </si>
  <si>
    <t>VFF0023(LGN/BK,M40)</t>
  </si>
  <si>
    <t>VFF V-Alpha(M40, Lime Green/Black)</t>
  </si>
  <si>
    <t>840213238827</t>
  </si>
  <si>
    <t>VFF0023(LGN/BK,M41)</t>
  </si>
  <si>
    <t>VFF V-Alpha(M41, Lime Green/Black)</t>
  </si>
  <si>
    <t>840213238834</t>
  </si>
  <si>
    <t>VFF0023(LGN/BK,M42)</t>
  </si>
  <si>
    <t>VFF V-Alpha(M42, Lime Green/Black)</t>
  </si>
  <si>
    <t>840213238841</t>
  </si>
  <si>
    <t>VFF0023(LGN/BK,M43)</t>
  </si>
  <si>
    <t>VFF V-Alpha(M43, Lime Green/Black)</t>
  </si>
  <si>
    <t>840213238858</t>
  </si>
  <si>
    <t>VFF0023(LGN/BK,M44)</t>
  </si>
  <si>
    <t>VFF V-Alpha(M44, Lime Green/Black)</t>
  </si>
  <si>
    <t>840213238865</t>
  </si>
  <si>
    <t>VFF0023(LGN/BK,M45)</t>
  </si>
  <si>
    <t>VFF V-Alpha(M45, Lime Green/Black)</t>
  </si>
  <si>
    <t>840213238872</t>
  </si>
  <si>
    <t>VFF0023(LGN/BK,M46)</t>
  </si>
  <si>
    <t>VFF V-Alpha(M46, Lime Green/Black)</t>
  </si>
  <si>
    <t>840213238889</t>
  </si>
  <si>
    <t>VFF0023(LGN/BK,M47)</t>
  </si>
  <si>
    <t>VFF V-Alpha(M47, Lime Green/Black)</t>
  </si>
  <si>
    <t>840213238896</t>
  </si>
  <si>
    <t>VFF0024(DL,M42)</t>
  </si>
  <si>
    <t>VFF Trailope(M42, Deep Lake)</t>
  </si>
  <si>
    <t>840213252151</t>
  </si>
  <si>
    <t>VFF0024(DL,M43)</t>
  </si>
  <si>
    <t>VFF Trailope(M43, Deep Lake)</t>
  </si>
  <si>
    <t>840213252168</t>
  </si>
  <si>
    <t>VFF0024(DL,M44)</t>
  </si>
  <si>
    <t>VFF Trailope(M44, Deep Lake)</t>
  </si>
  <si>
    <t>840213252175</t>
  </si>
  <si>
    <t>VFF0024(DL,M45)</t>
  </si>
  <si>
    <t>VFF Trailope(M45, Deep Lake)</t>
  </si>
  <si>
    <t>840213252182</t>
  </si>
  <si>
    <t>VFF0024(DL,M46)</t>
  </si>
  <si>
    <t>VFF Trailope(M46, Deep Lake)</t>
  </si>
  <si>
    <t>840213252199</t>
  </si>
  <si>
    <t>VFF0024(DL,M47)</t>
  </si>
  <si>
    <t>VFF Trailope(M47, Deep Lake)</t>
  </si>
  <si>
    <t>840213252205</t>
  </si>
  <si>
    <t>VFF0025(BK,U36)</t>
  </si>
  <si>
    <t>VFF Scramkey(U36, Black)</t>
  </si>
  <si>
    <t>840213237042</t>
  </si>
  <si>
    <t>VFF0025(BK,U37)</t>
  </si>
  <si>
    <t>VFF Scramkey(U37, Black)</t>
  </si>
  <si>
    <t>840213237059</t>
  </si>
  <si>
    <t>VFF0025(BK,U38)</t>
  </si>
  <si>
    <t>VFF Scramkey(U38, Black)</t>
  </si>
  <si>
    <t>840213237066</t>
  </si>
  <si>
    <t>VFF0025(BK,U39)</t>
  </si>
  <si>
    <t>VFF Scramkey(U39, Black)</t>
  </si>
  <si>
    <t>840213237073</t>
  </si>
  <si>
    <t>VFF0025(BK,U40)</t>
  </si>
  <si>
    <t>VFF Scramkey(U40, Black)</t>
  </si>
  <si>
    <t>840213237080</t>
  </si>
  <si>
    <t>VFF0025(BK,U41)</t>
  </si>
  <si>
    <t>VFF Scramkey(U41, Black)</t>
  </si>
  <si>
    <t>840213237097</t>
  </si>
  <si>
    <t>VFF0025(BK,U42)</t>
  </si>
  <si>
    <t>VFF Scramkey(U42, Black)</t>
  </si>
  <si>
    <t>840213237103</t>
  </si>
  <si>
    <t>VFF0025(BK,U43)</t>
  </si>
  <si>
    <t>VFF Scramkey(U43, Black)</t>
  </si>
  <si>
    <t>840213237110</t>
  </si>
  <si>
    <t>VFF0025(BK,U44)</t>
  </si>
  <si>
    <t>VFF Scramkey(U44, Black)</t>
  </si>
  <si>
    <t>840213237127</t>
  </si>
  <si>
    <t>VFF0025(BK,U45)</t>
  </si>
  <si>
    <t>VFF Scramkey(U45, Black)</t>
  </si>
  <si>
    <t>840213237134</t>
  </si>
  <si>
    <t>VFF0025(BK,U46)</t>
  </si>
  <si>
    <t>VFF Scramkey(U46, Black)</t>
  </si>
  <si>
    <t>840213237141</t>
  </si>
  <si>
    <t>VFF0025(DL/BK,U41)</t>
  </si>
  <si>
    <t>VFF Scramkey(U41, Deep Lake/Black)</t>
  </si>
  <si>
    <t>840213250966</t>
  </si>
  <si>
    <t>VFF0025(DL/BK,U42)</t>
  </si>
  <si>
    <t>VFF Scramkey(U42, Deep Lake/Black)</t>
  </si>
  <si>
    <t>840213250973</t>
  </si>
  <si>
    <t>VFF0025(DL/BK,U43)</t>
  </si>
  <si>
    <t>VFF Scramkey(U43, Deep Lake/Black)</t>
  </si>
  <si>
    <t>840213250980</t>
  </si>
  <si>
    <t>VFF0025(DL/BK,U44)</t>
  </si>
  <si>
    <t>VFF Scramkey(U44, Deep Lake/Black)</t>
  </si>
  <si>
    <t>840213250997</t>
  </si>
  <si>
    <t>VFF0025(DL/BK,U45)</t>
  </si>
  <si>
    <t>VFF Scramkey(U45, Deep Lake/Black)</t>
  </si>
  <si>
    <t>840213251000</t>
  </si>
  <si>
    <t>VFF0025(DL/BK,U46)</t>
  </si>
  <si>
    <t>VFF Scramkey(U46, Deep Lake/Black)</t>
  </si>
  <si>
    <t>840213251017</t>
  </si>
  <si>
    <t>VFF0025(DL/BK,U47)</t>
  </si>
  <si>
    <t>VFF Scramkey(U47, Deep Lake/Black)</t>
  </si>
  <si>
    <t>840213251024</t>
  </si>
  <si>
    <t>3/2024</t>
  </si>
  <si>
    <t>9/2024</t>
  </si>
  <si>
    <t>VFF0001(BK,M46)</t>
  </si>
  <si>
    <t>VFF V-Aqua(M46, Black)</t>
  </si>
  <si>
    <t>VFF0001(BK,M47)</t>
  </si>
  <si>
    <t>VFF V-Aqua(M47, Black)</t>
  </si>
  <si>
    <t>VFF0001(BK,M48)</t>
  </si>
  <si>
    <t>VFF V-Aqua(M48, Black)</t>
  </si>
  <si>
    <t>VFF0001(BK,W36)</t>
  </si>
  <si>
    <t>VFF V-Aqua(W36, Black)</t>
  </si>
  <si>
    <t>VFF0001(BK,W37)</t>
  </si>
  <si>
    <t>VFF V-Aqua(W37, Black)</t>
  </si>
  <si>
    <t>VFF0002(BK/YL,M45)</t>
  </si>
  <si>
    <t>VFF V-Run(M45, Black/Yellow)</t>
  </si>
  <si>
    <t>VFF0002(BK/YL,M46)</t>
  </si>
  <si>
    <t>VFF V-Run(M46, Black/Yellow)</t>
  </si>
  <si>
    <t>VFF0002(BK/YL,M47)</t>
  </si>
  <si>
    <t>VFF V-Run(M47, Black/Yellow)</t>
  </si>
  <si>
    <t>VFF0002(BK/YL,M48)</t>
  </si>
  <si>
    <t>VFF V-Run(M48, Black/Yellow)</t>
  </si>
  <si>
    <t>VFF0002(GO/YL/BK,M47)</t>
  </si>
  <si>
    <t>VFF V-Run(M47, Golden/Yellow/Black)</t>
  </si>
  <si>
    <t>VFF0002(GO/YL/BK,M48)</t>
  </si>
  <si>
    <t>VFF V-Run(M48, Golden/Yellow/Black)</t>
  </si>
  <si>
    <t>VFF0002(IV/YL,M46)</t>
  </si>
  <si>
    <t>VFF V-Run(M46, Ivory/Yellow)</t>
  </si>
  <si>
    <t>VFF0009(YL/WT,M43)</t>
  </si>
  <si>
    <t>VFF KSO EVO(M43, Yellow/White)</t>
  </si>
  <si>
    <t>VFF0009(YL/WT,M44)</t>
  </si>
  <si>
    <t>VFF KSO EVO(M44, Yellow/White)</t>
  </si>
  <si>
    <t>VFF0009(YL/WT,M45)</t>
  </si>
  <si>
    <t>VFF KSO EVO(M45, Yellow/White)</t>
  </si>
  <si>
    <t>VFF0009(YL/WT,M46)</t>
  </si>
  <si>
    <t>VFF KSO EVO(M46, Yellow/White)</t>
  </si>
  <si>
    <t>VFF0009(YL/WT,M47)</t>
  </si>
  <si>
    <t>VFF KSO EVO(M47, Yellow/White)</t>
  </si>
  <si>
    <t>VFF0009(YL/WT,M48)</t>
  </si>
  <si>
    <t>VFF KSO EVO(M48, Yellow/White)</t>
  </si>
  <si>
    <t>VFF0009(YL/WT,W37)</t>
  </si>
  <si>
    <t>VFF KSO EVO(W37, Yellow/White)</t>
  </si>
  <si>
    <t>VFF0009(BK/BK,M42)</t>
  </si>
  <si>
    <t>VFF KSO(M42, Black/Black)</t>
  </si>
  <si>
    <t>VFF0009(BK/BK,M45)</t>
  </si>
  <si>
    <t>VFF KSO(M45, Black/Black)</t>
  </si>
  <si>
    <t>VFF0009(BK/BK,M46)</t>
  </si>
  <si>
    <t>VFF KSO(M46, Black/Black)</t>
  </si>
  <si>
    <t>VFF0009(BK/BK,M47)</t>
  </si>
  <si>
    <t>VFF KSO(M47, Black/Black)</t>
  </si>
  <si>
    <t>VFF0017(BK/BK,W36)</t>
  </si>
  <si>
    <t>VFF V-Trek(W36, Black/Black)</t>
  </si>
  <si>
    <t>VFF0017(BK/BK,W37)</t>
  </si>
  <si>
    <t>VFF V-Trek(W37, Black/Black)</t>
  </si>
  <si>
    <t>VFF0018(BK,M43)</t>
  </si>
  <si>
    <t>VFF KMD Evo(M43, Black)</t>
  </si>
  <si>
    <t>VFF0018(BK,M45)</t>
  </si>
  <si>
    <t>VFF KMD Evo(M45, Black)</t>
  </si>
  <si>
    <t>VFF0018(BK,M46)</t>
  </si>
  <si>
    <t>VFF KMD Evo(M46, Black)</t>
  </si>
  <si>
    <t>VFF0018(YL/BL/RD,M41)</t>
  </si>
  <si>
    <t>VFF KMD Evo(M41, Yellow/Blue/Red)</t>
  </si>
  <si>
    <t>VFF0018(YL/BL/RD,M42)</t>
  </si>
  <si>
    <t>VFF KMD Evo(M42, Yellow/Blue/Red)</t>
  </si>
  <si>
    <t>VFF0018(YL/BL/RD,M43)</t>
  </si>
  <si>
    <t>VFF KMD Evo(M43, Yellow/Blue/Red)</t>
  </si>
  <si>
    <t>VFF0018(YL/BL/RD,M44)</t>
  </si>
  <si>
    <t>VFF KMD Evo(M44, Yellow/Blue/Red)</t>
  </si>
  <si>
    <t>VFF0018(YL/BL/RD,M46)</t>
  </si>
  <si>
    <t>VFF KMD Evo(M46, Yellow/Blue/Red)</t>
  </si>
  <si>
    <t>VFF0018(YL/BL/RD,M47)</t>
  </si>
  <si>
    <t>VFF KMD Evo(M47, Yellow/Blue/Red)</t>
  </si>
  <si>
    <t>VFF0019(BR,M46)</t>
  </si>
  <si>
    <t>VFF CVT-Leather(M46, Brown)</t>
  </si>
  <si>
    <t>VFF0023(BK,W36)</t>
  </si>
  <si>
    <t>VFF V-Alpha(W36, Black)</t>
  </si>
  <si>
    <t>VFF0005(LIG/GY,M42)</t>
  </si>
  <si>
    <t>VFF V-Train 2.0(M42, Lime Green/Gray)</t>
  </si>
  <si>
    <t>VFF0005(LIG/GY,M44)</t>
  </si>
  <si>
    <t>VFF V-Train 2.0(M44, Lime Green/Gray)</t>
  </si>
  <si>
    <t>VFF0005(LIG/GY,M45)</t>
  </si>
  <si>
    <t>VFF V-Train 2.0(M45, Lime Green/Gray)</t>
  </si>
  <si>
    <t>VFF0005(LIG/GY,M47)</t>
  </si>
  <si>
    <t>VFF V-Train 2.0(M47, Lime Green/Gray)</t>
  </si>
  <si>
    <t>VFF0010(GY,M46)</t>
  </si>
  <si>
    <t>VFF EL-X Knit(M46, Gray)</t>
  </si>
  <si>
    <t>VFF0010(GY,M47)</t>
  </si>
  <si>
    <t>VFF EL-X Knit(M47, Gray)</t>
  </si>
  <si>
    <t>VFF0012(GY,M46)</t>
  </si>
  <si>
    <t>VFF KSO ECO(M46, Gray)</t>
  </si>
  <si>
    <t>VFF0012(GY,M47)</t>
  </si>
  <si>
    <t>VFF KSO ECO(M47, Gray)</t>
  </si>
  <si>
    <t>VFF0012(GY,W36)</t>
  </si>
  <si>
    <t>VFF KSO ECO(W36, Gray)</t>
  </si>
  <si>
    <t>VFF0012(GY,W37)</t>
  </si>
  <si>
    <t>VFF KSO ECO(W37, Gray)</t>
  </si>
  <si>
    <t>VFF0012(BG,W36)</t>
  </si>
  <si>
    <t>VFF KSO ECO(W36, Beige)</t>
  </si>
  <si>
    <t>VFF0012(BG,W37)</t>
  </si>
  <si>
    <t>VFF KSO ECO(W37, Beige)</t>
  </si>
  <si>
    <t>VFF0013(BK,M41)</t>
  </si>
  <si>
    <t>VFF CVT-Hemp(M41, Black)</t>
  </si>
  <si>
    <t>VFF0013(BK,M45)</t>
  </si>
  <si>
    <t>VFF CVT-Hemp(M45, Black)</t>
  </si>
  <si>
    <t>VFF0013(BK,M46)</t>
  </si>
  <si>
    <t>VFF CVT-Hemp(M46, Black)</t>
  </si>
  <si>
    <t>VFF0013(BK,M47)</t>
  </si>
  <si>
    <t>VFF CVT-Hemp(M47, Black)</t>
  </si>
  <si>
    <t>VFF0013(KK,M47)</t>
  </si>
  <si>
    <t>VFF CVT-Hemp(M47, Khaki)</t>
  </si>
  <si>
    <t>VFF0013(BK,W36)</t>
  </si>
  <si>
    <t>VFF CVT-Hemp(W36, Black)</t>
  </si>
  <si>
    <t>VFF0013(KK,W36)</t>
  </si>
  <si>
    <t>VFF CVT-Hemp(W36, Khaki)</t>
  </si>
  <si>
    <t>VFF0013(KK,W42)</t>
  </si>
  <si>
    <t>VFF CVT-Hemp(W42, Khaki)</t>
  </si>
  <si>
    <t>VFF0015(DN,M44)</t>
  </si>
  <si>
    <t>Vibram Furoshiki Eco F(M44, Denim)</t>
  </si>
  <si>
    <t>VFF0015(DN,M45)</t>
  </si>
  <si>
    <t>Vibram Furoshiki Eco F(M45, Denim)</t>
  </si>
  <si>
    <t>VFF0015(DN,M46)</t>
  </si>
  <si>
    <t>Vibram Furoshiki Eco F(M46, Denim)</t>
  </si>
  <si>
    <t>VFF0009(DL/BK,M40)</t>
  </si>
  <si>
    <t>VFF KSO EVO(M40, Deep Lake/Black)</t>
  </si>
  <si>
    <t>VFF0009(F/GN,M40)</t>
  </si>
  <si>
    <t>VFF KSO EVO(M40, Fig/A Green)</t>
  </si>
  <si>
    <t>VFF0023(DL,W41)</t>
  </si>
  <si>
    <t>VFF V-Alpha(W41, Deep Lake)</t>
  </si>
  <si>
    <r>
      <t xml:space="preserve">Event 
K-village
</t>
    </r>
    <r>
      <rPr>
        <b/>
        <sz val="12"/>
        <color theme="4"/>
        <rFont val="Calibri"/>
        <family val="2"/>
      </rPr>
      <t>30%</t>
    </r>
  </si>
  <si>
    <t>VFF0018(YL/BL/RD,M45)</t>
  </si>
  <si>
    <t>VFF KMD Evo(M45, Yellow/Blue/Red)</t>
  </si>
  <si>
    <t>VFF0005(LIG/GY,M46)</t>
  </si>
  <si>
    <t>VFF V-Train 2.0(M46, Lime Green/Gray)</t>
  </si>
  <si>
    <t>***Wait Event T21 Rama3</t>
  </si>
  <si>
    <t>763332055109</t>
  </si>
  <si>
    <t>763332055093</t>
  </si>
  <si>
    <t>763332074025</t>
  </si>
  <si>
    <t>763332074018</t>
  </si>
  <si>
    <t>763332074391</t>
  </si>
  <si>
    <t>763332074377</t>
  </si>
  <si>
    <t>763332054959</t>
  </si>
  <si>
    <t>763332057196</t>
  </si>
  <si>
    <t>763332057738</t>
  </si>
  <si>
    <t>763332055673</t>
  </si>
  <si>
    <t>763332069618</t>
  </si>
  <si>
    <t>763332054379</t>
  </si>
  <si>
    <t>763332054362</t>
  </si>
  <si>
    <t>763332070942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</si>
</sst>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Blue]#,##0.00;[Red]\(#,##0.00\);[Black]0.00"/>
    <numFmt numFmtId="166" formatCode="#,###_);\(#,###\)"/>
    <numFmt numFmtId="167" formatCode="&quot;฿&quot;#,##0.00"/>
  </numFmts>
  <fonts count="30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sz val="11"/>
      <color indexed="8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2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charset val="222"/>
    </font>
    <font>
      <sz val="11"/>
      <name val="Arial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 Light"/>
      <family val="2"/>
      <scheme val="major"/>
    </font>
    <font>
      <sz val="11"/>
      <color indexed="8"/>
      <name val="Calibri Light"/>
      <family val="2"/>
      <scheme val="maj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22"/>
      <scheme val="minor"/>
    </font>
    <font>
      <b/>
      <sz val="12"/>
      <name val="Calibri"/>
      <family val="2"/>
      <charset val="222"/>
    </font>
    <font>
      <sz val="1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2"/>
      <color rgb="FFFF0000"/>
      <name val="Calibri"/>
      <family val="2"/>
    </font>
    <font>
      <sz val="12"/>
      <color indexed="8"/>
      <name val="Calibri"/>
      <family val="2"/>
    </font>
    <font>
      <sz val="8"/>
      <name val="Calibri"/>
      <family val="2"/>
      <scheme val="minor"/>
    </font>
    <font>
      <sz val="12"/>
      <color theme="4"/>
      <name val="Calibri"/>
      <family val="2"/>
    </font>
    <font>
      <b/>
      <sz val="12"/>
      <color theme="4"/>
      <name val="Calibri"/>
      <family val="2"/>
    </font>
    <font>
      <b/>
      <sz val="1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none">
        <fgColor rgb="FFA9D08E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A4C2F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rgb="FFA9D08E"/>
      </patternFill>
    </fill>
    <fill>
      <patternFill patternType="solid">
        <fgColor theme="0"/>
        <bgColor rgb="FFA9D08E"/>
      </patternFill>
    </fill>
    <fill>
      <patternFill patternType="solid">
        <fgColor theme="0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8" tint="0.79998168889431442"/>
        <bgColor rgb="FFA4C2F4"/>
      </patternFill>
    </fill>
    <fill>
      <patternFill patternType="solid">
        <fgColor theme="8" tint="0.79998168889431442"/>
        <bgColor rgb="FFA9D08E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0">
    <xf numFmtId="0" fontId="0" fillId="0" borderId="0"/>
    <xf numFmtId="0" fontId="3" fillId="2" borderId="0"/>
    <xf numFmtId="0" fontId="7" fillId="2" borderId="0"/>
    <xf numFmtId="0" fontId="3" fillId="2" borderId="0"/>
    <xf numFmtId="0" fontId="3" fillId="2" borderId="0"/>
    <xf numFmtId="164" fontId="3" fillId="2" borderId="0" applyFont="0" applyFill="0" applyBorder="0" applyAlignment="0" applyProtection="0"/>
    <xf numFmtId="0" fontId="3" fillId="2" borderId="0"/>
    <xf numFmtId="0" fontId="3" fillId="2" borderId="0"/>
    <xf numFmtId="0" fontId="3" fillId="2" borderId="0"/>
    <xf numFmtId="0" fontId="3" fillId="2" borderId="0"/>
  </cellStyleXfs>
  <cellXfs count="209">
    <xf numFmtId="0" fontId="0" fillId="0" borderId="0" xfId="0"/>
    <xf numFmtId="0" fontId="1" fillId="3" borderId="2" xfId="0" applyFont="1" applyFill="1" applyBorder="1" applyAlignment="1">
      <alignment horizontal="center"/>
    </xf>
    <xf numFmtId="165" fontId="0" fillId="0" borderId="0" xfId="0" applyNumberFormat="1"/>
    <xf numFmtId="0" fontId="3" fillId="2" borderId="0" xfId="1"/>
    <xf numFmtId="0" fontId="3" fillId="2" borderId="0" xfId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2" fillId="2" borderId="0" xfId="1" applyFont="1" applyAlignment="1">
      <alignment horizontal="left"/>
    </xf>
    <xf numFmtId="165" fontId="2" fillId="2" borderId="0" xfId="1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2" xfId="0" applyNumberFormat="1" applyFon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7" fillId="8" borderId="0" xfId="2" applyFill="1"/>
    <xf numFmtId="0" fontId="7" fillId="8" borderId="0" xfId="2" applyFill="1" applyAlignment="1">
      <alignment horizontal="center"/>
    </xf>
    <xf numFmtId="0" fontId="8" fillId="8" borderId="0" xfId="2" applyFont="1" applyFill="1" applyAlignment="1">
      <alignment horizontal="center"/>
    </xf>
    <xf numFmtId="0" fontId="4" fillId="8" borderId="2" xfId="3" applyFont="1" applyFill="1" applyBorder="1" applyAlignment="1">
      <alignment horizontal="left"/>
    </xf>
    <xf numFmtId="166" fontId="10" fillId="10" borderId="2" xfId="2" applyNumberFormat="1" applyFont="1" applyFill="1" applyBorder="1" applyAlignment="1">
      <alignment horizontal="center" vertical="center"/>
    </xf>
    <xf numFmtId="9" fontId="13" fillId="8" borderId="2" xfId="2" applyNumberFormat="1" applyFont="1" applyFill="1" applyBorder="1" applyAlignment="1">
      <alignment horizontal="center" vertical="center"/>
    </xf>
    <xf numFmtId="165" fontId="5" fillId="8" borderId="2" xfId="3" applyNumberFormat="1" applyFont="1" applyFill="1" applyBorder="1" applyAlignment="1">
      <alignment horizontal="right"/>
    </xf>
    <xf numFmtId="0" fontId="14" fillId="8" borderId="8" xfId="2" applyFont="1" applyFill="1" applyBorder="1"/>
    <xf numFmtId="166" fontId="8" fillId="8" borderId="0" xfId="2" applyNumberFormat="1" applyFont="1" applyFill="1" applyAlignment="1">
      <alignment horizontal="center"/>
    </xf>
    <xf numFmtId="0" fontId="4" fillId="2" borderId="2" xfId="3" applyFont="1" applyBorder="1" applyAlignment="1">
      <alignment horizontal="left"/>
    </xf>
    <xf numFmtId="0" fontId="5" fillId="2" borderId="2" xfId="3" applyFont="1" applyBorder="1" applyAlignment="1">
      <alignment horizontal="left"/>
    </xf>
    <xf numFmtId="0" fontId="14" fillId="8" borderId="2" xfId="2" applyFont="1" applyFill="1" applyBorder="1"/>
    <xf numFmtId="0" fontId="1" fillId="3" borderId="2" xfId="0" applyFont="1" applyFill="1" applyBorder="1" applyAlignment="1">
      <alignment horizontal="center" vertical="center" wrapText="1"/>
    </xf>
    <xf numFmtId="165" fontId="2" fillId="2" borderId="0" xfId="0" applyNumberFormat="1" applyFont="1" applyFill="1" applyAlignment="1">
      <alignment horizontal="right"/>
    </xf>
    <xf numFmtId="0" fontId="4" fillId="3" borderId="2" xfId="3" applyFont="1" applyFill="1" applyBorder="1" applyAlignment="1">
      <alignment horizontal="center" vertical="center"/>
    </xf>
    <xf numFmtId="1" fontId="9" fillId="8" borderId="2" xfId="1" applyNumberFormat="1" applyFont="1" applyFill="1" applyBorder="1" applyAlignment="1">
      <alignment horizontal="right" vertical="center"/>
    </xf>
    <xf numFmtId="1" fontId="9" fillId="11" borderId="2" xfId="1" applyNumberFormat="1" applyFont="1" applyFill="1" applyBorder="1" applyAlignment="1">
      <alignment horizontal="right" vertical="center"/>
    </xf>
    <xf numFmtId="1" fontId="9" fillId="7" borderId="2" xfId="1" applyNumberFormat="1" applyFont="1" applyFill="1" applyBorder="1" applyAlignment="1">
      <alignment horizontal="center" vertical="center"/>
    </xf>
    <xf numFmtId="0" fontId="6" fillId="2" borderId="2" xfId="4" applyFont="1" applyBorder="1" applyAlignment="1">
      <alignment horizontal="center" vertical="center"/>
    </xf>
    <xf numFmtId="1" fontId="9" fillId="12" borderId="2" xfId="2" applyNumberFormat="1" applyFont="1" applyFill="1" applyBorder="1" applyAlignment="1">
      <alignment horizontal="center" vertical="center" wrapText="1"/>
    </xf>
    <xf numFmtId="0" fontId="3" fillId="2" borderId="0" xfId="3" applyAlignment="1">
      <alignment vertical="center"/>
    </xf>
    <xf numFmtId="165" fontId="5" fillId="2" borderId="2" xfId="3" applyNumberFormat="1" applyFont="1" applyBorder="1" applyAlignment="1">
      <alignment horizontal="center"/>
    </xf>
    <xf numFmtId="1" fontId="9" fillId="8" borderId="2" xfId="1" applyNumberFormat="1" applyFont="1" applyFill="1" applyBorder="1" applyAlignment="1">
      <alignment horizontal="right"/>
    </xf>
    <xf numFmtId="1" fontId="12" fillId="11" borderId="2" xfId="1" applyNumberFormat="1" applyFont="1" applyFill="1" applyBorder="1" applyAlignment="1">
      <alignment horizontal="right"/>
    </xf>
    <xf numFmtId="1" fontId="12" fillId="7" borderId="2" xfId="1" applyNumberFormat="1" applyFont="1" applyFill="1" applyBorder="1" applyAlignment="1">
      <alignment horizontal="center"/>
    </xf>
    <xf numFmtId="9" fontId="6" fillId="2" borderId="2" xfId="3" applyNumberFormat="1" applyFont="1" applyBorder="1"/>
    <xf numFmtId="0" fontId="11" fillId="7" borderId="2" xfId="2" applyFont="1" applyFill="1" applyBorder="1"/>
    <xf numFmtId="0" fontId="3" fillId="2" borderId="0" xfId="3"/>
    <xf numFmtId="1" fontId="12" fillId="8" borderId="2" xfId="3" applyNumberFormat="1" applyFont="1" applyFill="1" applyBorder="1" applyAlignment="1">
      <alignment horizontal="right"/>
    </xf>
    <xf numFmtId="1" fontId="12" fillId="11" borderId="2" xfId="3" applyNumberFormat="1" applyFont="1" applyFill="1" applyBorder="1" applyAlignment="1">
      <alignment horizontal="right"/>
    </xf>
    <xf numFmtId="1" fontId="12" fillId="7" borderId="2" xfId="3" applyNumberFormat="1" applyFont="1" applyFill="1" applyBorder="1" applyAlignment="1">
      <alignment horizontal="center"/>
    </xf>
    <xf numFmtId="0" fontId="5" fillId="2" borderId="2" xfId="1" applyFont="1" applyBorder="1" applyAlignment="1">
      <alignment horizontal="left"/>
    </xf>
    <xf numFmtId="0" fontId="4" fillId="2" borderId="2" xfId="1" applyFont="1" applyBorder="1" applyAlignment="1">
      <alignment horizontal="left"/>
    </xf>
    <xf numFmtId="165" fontId="5" fillId="2" borderId="2" xfId="1" applyNumberFormat="1" applyFont="1" applyBorder="1" applyAlignment="1">
      <alignment horizontal="center"/>
    </xf>
    <xf numFmtId="0" fontId="4" fillId="2" borderId="10" xfId="3" applyFont="1" applyBorder="1" applyAlignment="1">
      <alignment horizontal="left"/>
    </xf>
    <xf numFmtId="0" fontId="5" fillId="2" borderId="10" xfId="3" applyFont="1" applyBorder="1" applyAlignment="1">
      <alignment horizontal="left"/>
    </xf>
    <xf numFmtId="165" fontId="5" fillId="2" borderId="10" xfId="3" applyNumberFormat="1" applyFont="1" applyBorder="1" applyAlignment="1">
      <alignment horizontal="center"/>
    </xf>
    <xf numFmtId="1" fontId="12" fillId="8" borderId="10" xfId="3" applyNumberFormat="1" applyFont="1" applyFill="1" applyBorder="1" applyAlignment="1">
      <alignment horizontal="right"/>
    </xf>
    <xf numFmtId="1" fontId="12" fillId="11" borderId="10" xfId="3" applyNumberFormat="1" applyFont="1" applyFill="1" applyBorder="1" applyAlignment="1">
      <alignment horizontal="right"/>
    </xf>
    <xf numFmtId="1" fontId="12" fillId="7" borderId="10" xfId="3" applyNumberFormat="1" applyFont="1" applyFill="1" applyBorder="1" applyAlignment="1">
      <alignment horizontal="center"/>
    </xf>
    <xf numFmtId="9" fontId="6" fillId="2" borderId="0" xfId="3" applyNumberFormat="1" applyFont="1"/>
    <xf numFmtId="0" fontId="5" fillId="2" borderId="0" xfId="1" applyFont="1" applyAlignment="1">
      <alignment horizontal="left"/>
    </xf>
    <xf numFmtId="0" fontId="6" fillId="2" borderId="0" xfId="3" applyFont="1"/>
    <xf numFmtId="0" fontId="0" fillId="2" borderId="0" xfId="3" applyFont="1"/>
    <xf numFmtId="49" fontId="3" fillId="2" borderId="11" xfId="1" applyNumberFormat="1" applyBorder="1" applyAlignment="1">
      <alignment horizontal="center"/>
    </xf>
    <xf numFmtId="0" fontId="4" fillId="8" borderId="2" xfId="1" applyFont="1" applyFill="1" applyBorder="1" applyAlignment="1">
      <alignment horizontal="left"/>
    </xf>
    <xf numFmtId="1" fontId="5" fillId="2" borderId="2" xfId="1" applyNumberFormat="1" applyFont="1" applyBorder="1" applyAlignment="1">
      <alignment horizontal="left"/>
    </xf>
    <xf numFmtId="0" fontId="3" fillId="2" borderId="0" xfId="3" applyAlignment="1">
      <alignment horizontal="center"/>
    </xf>
    <xf numFmtId="1" fontId="14" fillId="14" borderId="0" xfId="5" applyNumberFormat="1" applyFont="1" applyFill="1" applyAlignment="1">
      <alignment horizontal="right"/>
    </xf>
    <xf numFmtId="1" fontId="14" fillId="14" borderId="0" xfId="3" applyNumberFormat="1" applyFont="1" applyFill="1" applyAlignment="1">
      <alignment horizontal="right"/>
    </xf>
    <xf numFmtId="1" fontId="14" fillId="14" borderId="0" xfId="3" applyNumberFormat="1" applyFont="1" applyFill="1" applyAlignment="1">
      <alignment horizontal="center"/>
    </xf>
    <xf numFmtId="0" fontId="16" fillId="2" borderId="0" xfId="3" applyFont="1" applyAlignment="1">
      <alignment horizontal="center"/>
    </xf>
    <xf numFmtId="0" fontId="4" fillId="15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3" fillId="14" borderId="0" xfId="1" applyFill="1" applyAlignment="1">
      <alignment vertical="center"/>
    </xf>
    <xf numFmtId="0" fontId="4" fillId="14" borderId="2" xfId="1" applyFont="1" applyFill="1" applyBorder="1" applyAlignment="1">
      <alignment horizontal="left"/>
    </xf>
    <xf numFmtId="0" fontId="5" fillId="14" borderId="2" xfId="1" applyFont="1" applyFill="1" applyBorder="1" applyAlignment="1">
      <alignment horizontal="center"/>
    </xf>
    <xf numFmtId="165" fontId="5" fillId="14" borderId="2" xfId="1" applyNumberFormat="1" applyFont="1" applyFill="1" applyBorder="1" applyAlignment="1">
      <alignment horizontal="center"/>
    </xf>
    <xf numFmtId="9" fontId="6" fillId="14" borderId="2" xfId="3" applyNumberFormat="1" applyFont="1" applyFill="1" applyBorder="1" applyAlignment="1">
      <alignment horizontal="center"/>
    </xf>
    <xf numFmtId="0" fontId="3" fillId="14" borderId="0" xfId="1" applyFill="1"/>
    <xf numFmtId="0" fontId="3" fillId="14" borderId="0" xfId="1" applyFill="1" applyAlignment="1">
      <alignment horizontal="center"/>
    </xf>
    <xf numFmtId="0" fontId="20" fillId="14" borderId="0" xfId="1" applyFont="1" applyFill="1"/>
    <xf numFmtId="0" fontId="4" fillId="2" borderId="2" xfId="6" applyFont="1" applyBorder="1" applyAlignment="1">
      <alignment horizontal="left"/>
    </xf>
    <xf numFmtId="0" fontId="5" fillId="2" borderId="2" xfId="6" applyFont="1" applyBorder="1" applyAlignment="1">
      <alignment horizontal="left"/>
    </xf>
    <xf numFmtId="166" fontId="12" fillId="8" borderId="12" xfId="2" applyNumberFormat="1" applyFont="1" applyFill="1" applyBorder="1" applyAlignment="1">
      <alignment horizontal="center" vertical="center"/>
    </xf>
    <xf numFmtId="166" fontId="10" fillId="17" borderId="2" xfId="2" applyNumberFormat="1" applyFont="1" applyFill="1" applyBorder="1" applyAlignment="1">
      <alignment horizontal="center" vertical="center"/>
    </xf>
    <xf numFmtId="165" fontId="5" fillId="2" borderId="2" xfId="6" applyNumberFormat="1" applyFont="1" applyBorder="1" applyAlignment="1">
      <alignment horizontal="right"/>
    </xf>
    <xf numFmtId="0" fontId="14" fillId="7" borderId="8" xfId="2" applyFont="1" applyFill="1" applyBorder="1"/>
    <xf numFmtId="166" fontId="12" fillId="8" borderId="13" xfId="2" applyNumberFormat="1" applyFont="1" applyFill="1" applyBorder="1" applyAlignment="1">
      <alignment horizontal="center" vertical="center"/>
    </xf>
    <xf numFmtId="0" fontId="14" fillId="7" borderId="4" xfId="2" applyFont="1" applyFill="1" applyBorder="1"/>
    <xf numFmtId="0" fontId="14" fillId="7" borderId="2" xfId="2" applyFont="1" applyFill="1" applyBorder="1"/>
    <xf numFmtId="166" fontId="12" fillId="8" borderId="14" xfId="2" applyNumberFormat="1" applyFont="1" applyFill="1" applyBorder="1" applyAlignment="1">
      <alignment horizontal="center" vertical="center"/>
    </xf>
    <xf numFmtId="0" fontId="6" fillId="8" borderId="0" xfId="2" applyFont="1" applyFill="1"/>
    <xf numFmtId="0" fontId="7" fillId="8" borderId="2" xfId="2" applyFill="1" applyBorder="1" applyAlignment="1">
      <alignment horizontal="center"/>
    </xf>
    <xf numFmtId="166" fontId="7" fillId="8" borderId="0" xfId="2" applyNumberFormat="1" applyFill="1" applyAlignment="1">
      <alignment horizontal="center"/>
    </xf>
    <xf numFmtId="0" fontId="6" fillId="2" borderId="0" xfId="4" applyFont="1" applyAlignment="1">
      <alignment horizontal="center" vertical="center"/>
    </xf>
    <xf numFmtId="0" fontId="3" fillId="2" borderId="0" xfId="1" applyAlignment="1">
      <alignment vertical="center"/>
    </xf>
    <xf numFmtId="165" fontId="5" fillId="2" borderId="2" xfId="1" applyNumberFormat="1" applyFont="1" applyBorder="1" applyAlignment="1">
      <alignment horizontal="right"/>
    </xf>
    <xf numFmtId="0" fontId="3" fillId="8" borderId="2" xfId="1" applyFill="1" applyBorder="1"/>
    <xf numFmtId="0" fontId="5" fillId="2" borderId="2" xfId="1" quotePrefix="1" applyFont="1" applyBorder="1" applyAlignment="1">
      <alignment horizontal="left"/>
    </xf>
    <xf numFmtId="0" fontId="3" fillId="8" borderId="0" xfId="1" applyFill="1"/>
    <xf numFmtId="0" fontId="20" fillId="2" borderId="0" xfId="1" applyFont="1" applyAlignment="1">
      <alignment horizontal="center"/>
    </xf>
    <xf numFmtId="0" fontId="6" fillId="2" borderId="0" xfId="1" applyFont="1"/>
    <xf numFmtId="0" fontId="1" fillId="2" borderId="0" xfId="1" applyFont="1" applyAlignment="1">
      <alignment horizontal="left"/>
    </xf>
    <xf numFmtId="0" fontId="3" fillId="2" borderId="2" xfId="1" applyBorder="1"/>
    <xf numFmtId="0" fontId="4" fillId="5" borderId="2" xfId="1" applyFont="1" applyFill="1" applyBorder="1" applyAlignment="1">
      <alignment horizontal="center" vertical="center"/>
    </xf>
    <xf numFmtId="0" fontId="3" fillId="14" borderId="2" xfId="1" applyFill="1" applyBorder="1"/>
    <xf numFmtId="0" fontId="25" fillId="2" borderId="2" xfId="1" applyFont="1" applyBorder="1" applyAlignment="1">
      <alignment vertical="center" wrapText="1"/>
    </xf>
    <xf numFmtId="1" fontId="25" fillId="2" borderId="2" xfId="1" applyNumberFormat="1" applyFont="1" applyBorder="1" applyAlignment="1">
      <alignment vertical="center" wrapText="1"/>
    </xf>
    <xf numFmtId="0" fontId="25" fillId="14" borderId="2" xfId="1" applyFont="1" applyFill="1" applyBorder="1"/>
    <xf numFmtId="0" fontId="25" fillId="13" borderId="2" xfId="1" applyFont="1" applyFill="1" applyBorder="1"/>
    <xf numFmtId="0" fontId="25" fillId="2" borderId="2" xfId="1" applyFont="1" applyBorder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67" fontId="11" fillId="7" borderId="2" xfId="2" applyNumberFormat="1" applyFont="1" applyFill="1" applyBorder="1"/>
    <xf numFmtId="167" fontId="27" fillId="2" borderId="2" xfId="1" applyNumberFormat="1" applyFont="1" applyBorder="1"/>
    <xf numFmtId="0" fontId="28" fillId="3" borderId="2" xfId="1" applyFont="1" applyFill="1" applyBorder="1" applyAlignment="1">
      <alignment horizontal="center" vertical="center"/>
    </xf>
    <xf numFmtId="0" fontId="3" fillId="2" borderId="0" xfId="8"/>
    <xf numFmtId="165" fontId="5" fillId="2" borderId="2" xfId="8" applyNumberFormat="1" applyFont="1" applyBorder="1" applyAlignment="1">
      <alignment horizontal="right"/>
    </xf>
    <xf numFmtId="0" fontId="1" fillId="7" borderId="2" xfId="0" applyFont="1" applyFill="1" applyBorder="1" applyAlignment="1">
      <alignment horizontal="center" vertical="center" wrapText="1"/>
    </xf>
    <xf numFmtId="0" fontId="6" fillId="14" borderId="2" xfId="4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/>
    </xf>
    <xf numFmtId="165" fontId="27" fillId="2" borderId="2" xfId="1" applyNumberFormat="1" applyFont="1" applyBorder="1" applyAlignment="1">
      <alignment horizontal="right"/>
    </xf>
    <xf numFmtId="1" fontId="9" fillId="12" borderId="2" xfId="2" applyNumberFormat="1" applyFont="1" applyFill="1" applyBorder="1" applyAlignment="1">
      <alignment horizontal="center" vertical="center"/>
    </xf>
    <xf numFmtId="0" fontId="25" fillId="18" borderId="2" xfId="1" applyFont="1" applyFill="1" applyBorder="1"/>
    <xf numFmtId="0" fontId="3" fillId="18" borderId="2" xfId="1" applyFill="1" applyBorder="1"/>
    <xf numFmtId="0" fontId="4" fillId="4" borderId="2" xfId="1" applyFont="1" applyFill="1" applyBorder="1" applyAlignment="1">
      <alignment horizontal="center" vertical="center" wrapText="1"/>
    </xf>
    <xf numFmtId="0" fontId="21" fillId="8" borderId="2" xfId="1" applyFont="1" applyFill="1" applyBorder="1" applyAlignment="1">
      <alignment horizontal="center" vertical="center" wrapText="1"/>
    </xf>
    <xf numFmtId="0" fontId="20" fillId="8" borderId="2" xfId="1" applyFont="1" applyFill="1" applyBorder="1" applyAlignment="1">
      <alignment horizontal="center"/>
    </xf>
    <xf numFmtId="0" fontId="4" fillId="19" borderId="2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2" borderId="2" xfId="9" applyFont="1" applyBorder="1" applyAlignment="1">
      <alignment horizontal="left"/>
    </xf>
    <xf numFmtId="0" fontId="5" fillId="2" borderId="2" xfId="9" applyFont="1" applyBorder="1" applyAlignment="1">
      <alignment horizontal="left"/>
    </xf>
    <xf numFmtId="0" fontId="3" fillId="8" borderId="2" xfId="9" applyFill="1" applyBorder="1"/>
    <xf numFmtId="1" fontId="9" fillId="8" borderId="2" xfId="1" applyNumberFormat="1" applyFont="1" applyFill="1" applyBorder="1" applyAlignment="1">
      <alignment horizontal="center" vertical="center"/>
    </xf>
    <xf numFmtId="9" fontId="6" fillId="2" borderId="2" xfId="3" applyNumberFormat="1" applyFont="1" applyBorder="1" applyAlignment="1">
      <alignment horizontal="center"/>
    </xf>
    <xf numFmtId="0" fontId="5" fillId="2" borderId="2" xfId="1" applyFont="1" applyBorder="1" applyAlignment="1">
      <alignment horizontal="center"/>
    </xf>
    <xf numFmtId="0" fontId="6" fillId="2" borderId="0" xfId="1" applyFont="1" applyAlignment="1">
      <alignment horizontal="center"/>
    </xf>
    <xf numFmtId="0" fontId="6" fillId="2" borderId="0" xfId="4" applyFont="1" applyAlignment="1">
      <alignment horizontal="center"/>
    </xf>
    <xf numFmtId="0" fontId="3" fillId="2" borderId="0" xfId="4"/>
    <xf numFmtId="0" fontId="4" fillId="2" borderId="2" xfId="4" applyFont="1" applyBorder="1" applyAlignment="1">
      <alignment horizontal="left"/>
    </xf>
    <xf numFmtId="0" fontId="4" fillId="8" borderId="2" xfId="4" applyFont="1" applyFill="1" applyBorder="1" applyAlignment="1">
      <alignment horizontal="left"/>
    </xf>
    <xf numFmtId="165" fontId="5" fillId="2" borderId="2" xfId="4" applyNumberFormat="1" applyFont="1" applyBorder="1" applyAlignment="1">
      <alignment horizontal="right"/>
    </xf>
    <xf numFmtId="1" fontId="5" fillId="2" borderId="2" xfId="4" applyNumberFormat="1" applyFont="1" applyBorder="1" applyAlignment="1">
      <alignment horizontal="right"/>
    </xf>
    <xf numFmtId="1" fontId="9" fillId="8" borderId="2" xfId="4" applyNumberFormat="1" applyFont="1" applyFill="1" applyBorder="1" applyAlignment="1">
      <alignment horizontal="center"/>
    </xf>
    <xf numFmtId="1" fontId="5" fillId="14" borderId="2" xfId="4" applyNumberFormat="1" applyFont="1" applyFill="1" applyBorder="1" applyAlignment="1">
      <alignment horizontal="right"/>
    </xf>
    <xf numFmtId="1" fontId="5" fillId="8" borderId="2" xfId="4" applyNumberFormat="1" applyFont="1" applyFill="1" applyBorder="1" applyAlignment="1">
      <alignment horizontal="right"/>
    </xf>
    <xf numFmtId="0" fontId="0" fillId="2" borderId="0" xfId="4" applyFont="1"/>
    <xf numFmtId="1" fontId="3" fillId="2" borderId="0" xfId="4" applyNumberFormat="1"/>
    <xf numFmtId="0" fontId="4" fillId="14" borderId="2" xfId="4" applyFont="1" applyFill="1" applyBorder="1" applyAlignment="1">
      <alignment horizontal="left"/>
    </xf>
    <xf numFmtId="165" fontId="5" fillId="14" borderId="2" xfId="4" applyNumberFormat="1" applyFont="1" applyFill="1" applyBorder="1" applyAlignment="1">
      <alignment horizontal="right"/>
    </xf>
    <xf numFmtId="9" fontId="6" fillId="8" borderId="0" xfId="4" applyNumberFormat="1" applyFont="1" applyFill="1" applyAlignment="1">
      <alignment horizontal="center"/>
    </xf>
    <xf numFmtId="0" fontId="3" fillId="14" borderId="0" xfId="4" applyFill="1"/>
    <xf numFmtId="1" fontId="14" fillId="14" borderId="0" xfId="4" applyNumberFormat="1" applyFont="1" applyFill="1"/>
    <xf numFmtId="0" fontId="14" fillId="14" borderId="0" xfId="4" applyFont="1" applyFill="1"/>
    <xf numFmtId="0" fontId="19" fillId="8" borderId="2" xfId="9" applyFont="1" applyFill="1" applyBorder="1" applyAlignment="1">
      <alignment horizontal="center"/>
    </xf>
    <xf numFmtId="9" fontId="6" fillId="6" borderId="2" xfId="1" applyNumberFormat="1" applyFont="1" applyFill="1" applyBorder="1" applyAlignment="1">
      <alignment horizontal="center"/>
    </xf>
    <xf numFmtId="0" fontId="20" fillId="14" borderId="0" xfId="1" applyFont="1" applyFill="1" applyAlignment="1">
      <alignment horizontal="center"/>
    </xf>
    <xf numFmtId="0" fontId="4" fillId="3" borderId="2" xfId="4" applyFont="1" applyFill="1" applyBorder="1" applyAlignment="1">
      <alignment horizontal="center" vertical="center"/>
    </xf>
    <xf numFmtId="1" fontId="4" fillId="3" borderId="2" xfId="4" applyNumberFormat="1" applyFont="1" applyFill="1" applyBorder="1" applyAlignment="1">
      <alignment horizontal="center" vertical="center"/>
    </xf>
    <xf numFmtId="1" fontId="4" fillId="3" borderId="2" xfId="4" quotePrefix="1" applyNumberFormat="1" applyFont="1" applyFill="1" applyBorder="1" applyAlignment="1">
      <alignment horizontal="center" vertical="center"/>
    </xf>
    <xf numFmtId="0" fontId="9" fillId="8" borderId="2" xfId="4" applyFont="1" applyFill="1" applyBorder="1" applyAlignment="1">
      <alignment horizontal="center" vertical="center"/>
    </xf>
    <xf numFmtId="0" fontId="3" fillId="2" borderId="0" xfId="4" applyAlignment="1">
      <alignment vertical="center"/>
    </xf>
    <xf numFmtId="9" fontId="6" fillId="2" borderId="2" xfId="4" applyNumberFormat="1" applyFont="1" applyBorder="1" applyAlignment="1">
      <alignment horizontal="center"/>
    </xf>
    <xf numFmtId="1" fontId="3" fillId="2" borderId="2" xfId="4" applyNumberFormat="1" applyBorder="1"/>
    <xf numFmtId="9" fontId="6" fillId="8" borderId="2" xfId="4" applyNumberFormat="1" applyFont="1" applyFill="1" applyBorder="1" applyAlignment="1">
      <alignment horizontal="center"/>
    </xf>
    <xf numFmtId="9" fontId="6" fillId="14" borderId="2" xfId="4" applyNumberFormat="1" applyFont="1" applyFill="1" applyBorder="1" applyAlignment="1">
      <alignment horizontal="center"/>
    </xf>
    <xf numFmtId="1" fontId="18" fillId="14" borderId="0" xfId="4" applyNumberFormat="1" applyFont="1" applyFill="1"/>
    <xf numFmtId="1" fontId="19" fillId="2" borderId="0" xfId="4" applyNumberFormat="1" applyFont="1" applyAlignment="1">
      <alignment horizontal="center"/>
    </xf>
    <xf numFmtId="0" fontId="17" fillId="8" borderId="2" xfId="1" applyFont="1" applyFill="1" applyBorder="1" applyAlignment="1">
      <alignment horizontal="center" vertical="center" wrapText="1"/>
    </xf>
    <xf numFmtId="1" fontId="17" fillId="8" borderId="2" xfId="4" applyNumberFormat="1" applyFont="1" applyFill="1" applyBorder="1" applyAlignment="1">
      <alignment horizontal="center"/>
    </xf>
    <xf numFmtId="1" fontId="19" fillId="8" borderId="2" xfId="4" applyNumberFormat="1" applyFont="1" applyFill="1" applyBorder="1" applyAlignment="1">
      <alignment horizontal="center"/>
    </xf>
    <xf numFmtId="0" fontId="9" fillId="8" borderId="2" xfId="2" applyFont="1" applyFill="1" applyBorder="1" applyAlignment="1">
      <alignment horizontal="left"/>
    </xf>
    <xf numFmtId="166" fontId="12" fillId="8" borderId="2" xfId="2" applyNumberFormat="1" applyFont="1" applyFill="1" applyBorder="1" applyAlignment="1">
      <alignment horizontal="center" vertical="center"/>
    </xf>
    <xf numFmtId="166" fontId="23" fillId="16" borderId="2" xfId="2" applyNumberFormat="1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right"/>
    </xf>
    <xf numFmtId="0" fontId="6" fillId="0" borderId="0" xfId="4" applyFont="1" applyFill="1"/>
    <xf numFmtId="0" fontId="29" fillId="6" borderId="0" xfId="4" applyFont="1" applyFill="1"/>
    <xf numFmtId="1" fontId="17" fillId="19" borderId="2" xfId="4" applyNumberFormat="1" applyFont="1" applyFill="1" applyBorder="1" applyAlignment="1">
      <alignment horizontal="center"/>
    </xf>
    <xf numFmtId="0" fontId="15" fillId="18" borderId="2" xfId="3" applyFont="1" applyFill="1" applyBorder="1" applyAlignment="1">
      <alignment horizontal="center"/>
    </xf>
    <xf numFmtId="0" fontId="15" fillId="19" borderId="2" xfId="3" applyFont="1" applyFill="1" applyBorder="1" applyAlignment="1">
      <alignment horizontal="center"/>
    </xf>
    <xf numFmtId="0" fontId="6" fillId="2" borderId="1" xfId="4" applyFont="1" applyBorder="1" applyAlignment="1">
      <alignment horizontal="center" vertical="center"/>
    </xf>
    <xf numFmtId="9" fontId="6" fillId="2" borderId="1" xfId="3" applyNumberFormat="1" applyFont="1" applyBorder="1"/>
    <xf numFmtId="0" fontId="6" fillId="2" borderId="1" xfId="3" applyFont="1" applyBorder="1"/>
    <xf numFmtId="0" fontId="4" fillId="0" borderId="2" xfId="0" applyFont="1" applyBorder="1" applyAlignment="1">
      <alignment horizontal="left"/>
    </xf>
    <xf numFmtId="165" fontId="5" fillId="0" borderId="2" xfId="0" applyNumberFormat="1" applyFont="1" applyBorder="1" applyAlignment="1">
      <alignment horizontal="right"/>
    </xf>
    <xf numFmtId="0" fontId="3" fillId="2" borderId="2" xfId="8" applyBorder="1"/>
    <xf numFmtId="0" fontId="4" fillId="3" borderId="2" xfId="8" applyFont="1" applyFill="1" applyBorder="1" applyAlignment="1">
      <alignment horizontal="center" vertical="center"/>
    </xf>
    <xf numFmtId="0" fontId="3" fillId="2" borderId="0" xfId="8" applyAlignment="1">
      <alignment horizontal="center" vertical="center"/>
    </xf>
    <xf numFmtId="0" fontId="3" fillId="19" borderId="2" xfId="8" applyFill="1" applyBorder="1"/>
    <xf numFmtId="0" fontId="7" fillId="8" borderId="1" xfId="2" applyFill="1" applyBorder="1" applyAlignment="1">
      <alignment horizontal="center"/>
    </xf>
    <xf numFmtId="0" fontId="5" fillId="2" borderId="2" xfId="6" applyFont="1" applyBorder="1" applyAlignment="1">
      <alignment horizontal="center"/>
    </xf>
    <xf numFmtId="1" fontId="9" fillId="9" borderId="3" xfId="2" applyNumberFormat="1" applyFont="1" applyFill="1" applyBorder="1" applyAlignment="1">
      <alignment horizontal="center" vertical="center" wrapText="1"/>
    </xf>
    <xf numFmtId="0" fontId="11" fillId="8" borderId="7" xfId="2" applyFont="1" applyFill="1" applyBorder="1"/>
    <xf numFmtId="0" fontId="9" fillId="9" borderId="3" xfId="2" applyFont="1" applyFill="1" applyBorder="1" applyAlignment="1">
      <alignment horizontal="center" vertical="center" wrapText="1"/>
    </xf>
    <xf numFmtId="0" fontId="11" fillId="8" borderId="5" xfId="2" applyFont="1" applyFill="1" applyBorder="1"/>
    <xf numFmtId="1" fontId="10" fillId="10" borderId="2" xfId="2" applyNumberFormat="1" applyFont="1" applyFill="1" applyBorder="1" applyAlignment="1">
      <alignment horizontal="center" vertical="center" wrapText="1"/>
    </xf>
    <xf numFmtId="1" fontId="9" fillId="9" borderId="4" xfId="2" applyNumberFormat="1" applyFont="1" applyFill="1" applyBorder="1" applyAlignment="1">
      <alignment horizontal="center" vertical="center" wrapText="1"/>
    </xf>
    <xf numFmtId="0" fontId="11" fillId="8" borderId="6" xfId="2" applyFont="1" applyFill="1" applyBorder="1" applyAlignment="1">
      <alignment horizontal="center"/>
    </xf>
    <xf numFmtId="0" fontId="11" fillId="8" borderId="5" xfId="2" applyFont="1" applyFill="1" applyBorder="1" applyAlignment="1">
      <alignment horizontal="center" vertical="center" wrapText="1"/>
    </xf>
    <xf numFmtId="1" fontId="9" fillId="12" borderId="3" xfId="2" applyNumberFormat="1" applyFont="1" applyFill="1" applyBorder="1" applyAlignment="1">
      <alignment horizontal="center" vertical="center" wrapText="1"/>
    </xf>
    <xf numFmtId="0" fontId="11" fillId="7" borderId="7" xfId="2" applyFont="1" applyFill="1" applyBorder="1"/>
    <xf numFmtId="0" fontId="11" fillId="8" borderId="5" xfId="2" applyFont="1" applyFill="1" applyBorder="1" applyAlignment="1">
      <alignment horizontal="center"/>
    </xf>
    <xf numFmtId="0" fontId="9" fillId="9" borderId="9" xfId="2" applyFont="1" applyFill="1" applyBorder="1" applyAlignment="1">
      <alignment horizontal="center" vertical="center" wrapText="1"/>
    </xf>
    <xf numFmtId="0" fontId="11" fillId="8" borderId="7" xfId="2" applyFont="1" applyFill="1" applyBorder="1" applyAlignment="1">
      <alignment horizontal="center"/>
    </xf>
    <xf numFmtId="1" fontId="10" fillId="17" borderId="2" xfId="2" applyNumberFormat="1" applyFont="1" applyFill="1" applyBorder="1" applyAlignment="1">
      <alignment horizontal="center" vertical="center" wrapText="1"/>
    </xf>
    <xf numFmtId="1" fontId="9" fillId="12" borderId="2" xfId="2" applyNumberFormat="1" applyFont="1" applyFill="1" applyBorder="1" applyAlignment="1">
      <alignment horizontal="center" vertical="center" wrapText="1"/>
    </xf>
    <xf numFmtId="0" fontId="11" fillId="7" borderId="2" xfId="2" applyFont="1" applyFill="1" applyBorder="1" applyAlignment="1">
      <alignment horizontal="center"/>
    </xf>
    <xf numFmtId="0" fontId="9" fillId="9" borderId="2" xfId="2" applyFont="1" applyFill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/>
    </xf>
    <xf numFmtId="1" fontId="9" fillId="9" borderId="2" xfId="2" applyNumberFormat="1" applyFont="1" applyFill="1" applyBorder="1" applyAlignment="1">
      <alignment horizontal="center" vertical="center" wrapText="1"/>
    </xf>
    <xf numFmtId="1" fontId="18" fillId="16" borderId="2" xfId="2" applyNumberFormat="1" applyFont="1" applyFill="1" applyBorder="1" applyAlignment="1">
      <alignment horizontal="center" vertical="center" wrapText="1"/>
    </xf>
    <xf numFmtId="0" fontId="22" fillId="11" borderId="2" xfId="2" applyFont="1" applyFill="1" applyBorder="1" applyAlignment="1">
      <alignment horizontal="center"/>
    </xf>
    <xf numFmtId="0" fontId="11" fillId="8" borderId="2" xfId="2" applyFont="1" applyFill="1" applyBorder="1" applyAlignment="1">
      <alignment horizontal="center" vertical="center" wrapText="1"/>
    </xf>
  </cellXfs>
  <cellStyles count="10">
    <cellStyle name="Normal" xfId="0" builtinId="0"/>
    <cellStyle name="จุลภาค 2" xfId="5" xr:uid="{185AFCC6-0BCD-4D7E-83BE-F8C90B9B326E}"/>
    <cellStyle name="ปกติ 2" xfId="1" xr:uid="{85F7B23F-12DE-45EC-A94D-3FA5E306191A}"/>
    <cellStyle name="ปกติ 3" xfId="3" xr:uid="{ED966C00-5597-468C-9538-811A6523A3F5}"/>
    <cellStyle name="ปกติ 4" xfId="4" xr:uid="{5F5B559F-6084-4E63-A093-E30D8C32CE4E}"/>
    <cellStyle name="ปกติ 5" xfId="2" xr:uid="{0EEE261E-308E-4C98-BD7D-3FDFE389686E}"/>
    <cellStyle name="ปกติ 6" xfId="6" xr:uid="{7A0A0196-A5FE-43C3-9941-CCEB4EA3CB80}"/>
    <cellStyle name="ปกติ 7" xfId="7" xr:uid="{19D8160F-226F-41AF-9290-889B1DE8A30A}"/>
    <cellStyle name="ปกติ 8" xfId="8" xr:uid="{CFDFDF04-9A43-4F28-A8CC-F65D1A07A4E6}"/>
    <cellStyle name="ปกติ 9" xfId="9" xr:uid="{48FC55BF-7534-49CC-BEE1-F0314304F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114300</xdr:colOff>
      <xdr:row>37</xdr:row>
      <xdr:rowOff>152400</xdr:rowOff>
    </xdr:from>
    <xdr:to>
      <xdr:col>14</xdr:col>
      <xdr:colOff>475740</xdr:colOff>
      <xdr:row>46</xdr:row>
      <xdr:rowOff>10920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9F866820-3219-409C-92E0-FC8DB5EC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440" y="771144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591960</xdr:colOff>
      <xdr:row>28</xdr:row>
      <xdr:rowOff>58560</xdr:rowOff>
    </xdr:from>
    <xdr:to>
      <xdr:col>17</xdr:col>
      <xdr:colOff>313320</xdr:colOff>
      <xdr:row>36</xdr:row>
      <xdr:rowOff>115200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62E19D0-36A4-4B8D-9E11-EF6AEFD2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7260" y="583452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12</xdr:col>
      <xdr:colOff>155220</xdr:colOff>
      <xdr:row>28</xdr:row>
      <xdr:rowOff>147600</xdr:rowOff>
    </xdr:from>
    <xdr:to>
      <xdr:col>14</xdr:col>
      <xdr:colOff>516660</xdr:colOff>
      <xdr:row>37</xdr:row>
      <xdr:rowOff>12470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402B1EDF-0041-4BCA-BBAC-E26A76C1B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0360" y="592356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12</xdr:col>
      <xdr:colOff>91860</xdr:colOff>
      <xdr:row>46</xdr:row>
      <xdr:rowOff>114720</xdr:rowOff>
    </xdr:from>
    <xdr:to>
      <xdr:col>14</xdr:col>
      <xdr:colOff>446950</xdr:colOff>
      <xdr:row>56</xdr:row>
      <xdr:rowOff>171360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F737938E-69F9-4CF7-8A7E-73C803987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000" y="945684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12</xdr:col>
      <xdr:colOff>188520</xdr:colOff>
      <xdr:row>64</xdr:row>
      <xdr:rowOff>142800</xdr:rowOff>
    </xdr:from>
    <xdr:to>
      <xdr:col>14</xdr:col>
      <xdr:colOff>549960</xdr:colOff>
      <xdr:row>74</xdr:row>
      <xdr:rowOff>47040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9449233-FDE1-42D3-993F-16D2B8607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3920" y="1321872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12</xdr:col>
      <xdr:colOff>64200</xdr:colOff>
      <xdr:row>55</xdr:row>
      <xdr:rowOff>48960</xdr:rowOff>
    </xdr:from>
    <xdr:to>
      <xdr:col>14</xdr:col>
      <xdr:colOff>425640</xdr:colOff>
      <xdr:row>64</xdr:row>
      <xdr:rowOff>56640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FFB69CED-B108-48A9-8F4D-76477D8FE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9340" y="1117416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130380</xdr:colOff>
      <xdr:row>8</xdr:row>
      <xdr:rowOff>31320</xdr:rowOff>
    </xdr:from>
    <xdr:to>
      <xdr:col>14</xdr:col>
      <xdr:colOff>485470</xdr:colOff>
      <xdr:row>16</xdr:row>
      <xdr:rowOff>87960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457AA24-900F-44B4-A8F2-D477FA902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5520" y="184488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508980</xdr:colOff>
      <xdr:row>0</xdr:row>
      <xdr:rowOff>53340</xdr:rowOff>
    </xdr:from>
    <xdr:to>
      <xdr:col>17</xdr:col>
      <xdr:colOff>230340</xdr:colOff>
      <xdr:row>5</xdr:row>
      <xdr:rowOff>103630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DA117B57-8FD6-4DB0-8170-4B29A8E19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4280" y="5334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117960</xdr:colOff>
      <xdr:row>0</xdr:row>
      <xdr:rowOff>91440</xdr:rowOff>
    </xdr:from>
    <xdr:to>
      <xdr:col>14</xdr:col>
      <xdr:colOff>479400</xdr:colOff>
      <xdr:row>5</xdr:row>
      <xdr:rowOff>141730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274607EF-679A-469D-97C1-A72D9676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100" y="9144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13</xdr:col>
      <xdr:colOff>252720</xdr:colOff>
      <xdr:row>18</xdr:row>
      <xdr:rowOff>175260</xdr:rowOff>
    </xdr:from>
    <xdr:to>
      <xdr:col>15</xdr:col>
      <xdr:colOff>582410</xdr:colOff>
      <xdr:row>27</xdr:row>
      <xdr:rowOff>27430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D6B43710-0822-4F84-ADDE-3A1CF93C7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7940" y="3970020"/>
          <a:ext cx="1641600" cy="164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624840</xdr:colOff>
      <xdr:row>8</xdr:row>
      <xdr:rowOff>14100</xdr:rowOff>
    </xdr:from>
    <xdr:to>
      <xdr:col>17</xdr:col>
      <xdr:colOff>352550</xdr:colOff>
      <xdr:row>16</xdr:row>
      <xdr:rowOff>64390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873567CC-861D-4014-A0A7-951CD5795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140" y="1827660"/>
          <a:ext cx="1641600" cy="164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17E3-E947-43DA-8312-FB8A08AE0AEE}">
  <dimension ref="A1:K49"/>
  <sheetViews>
    <sheetView view="pageBreakPreview" zoomScale="60" zoomScaleNormal="100" workbookViewId="0">
      <pane ySplit="1" topLeftCell="A3" activePane="bottomLeft" state="frozen"/>
      <selection pane="bottomLeft" activeCell="I1" sqref="I1"/>
    </sheetView>
  </sheetViews>
  <sheetFormatPr defaultColWidth="8.81640625" defaultRowHeight="14.5"/>
  <cols>
    <col min="1" max="1" width="17.7265625" style="3" bestFit="1" customWidth="1" collapsed="1"/>
    <col min="2" max="2" width="40.26953125" style="3" bestFit="1" customWidth="1" collapsed="1"/>
    <col min="3" max="3" width="14" style="3" bestFit="1" customWidth="1" collapsed="1"/>
    <col min="4" max="4" width="8.90625" style="3" bestFit="1" customWidth="1"/>
    <col min="5" max="5" width="5.90625" style="73" bestFit="1" customWidth="1"/>
    <col min="6" max="6" width="5.81640625" style="73" customWidth="1"/>
    <col min="7" max="7" width="5.1796875" style="3" bestFit="1" customWidth="1"/>
    <col min="8" max="8" width="5.08984375" style="3" bestFit="1" customWidth="1"/>
    <col min="9" max="9" width="10.08984375" style="3" bestFit="1" customWidth="1"/>
    <col min="10" max="10" width="4.7265625" style="3" bestFit="1" customWidth="1"/>
    <col min="11" max="11" width="9" style="3" customWidth="1"/>
    <col min="12" max="16384" width="8.81640625" style="3"/>
  </cols>
  <sheetData>
    <row r="1" spans="1:11" ht="52.75" customHeight="1">
      <c r="A1" s="67" t="s">
        <v>366</v>
      </c>
      <c r="B1" s="67" t="s">
        <v>843</v>
      </c>
      <c r="C1" s="67" t="s">
        <v>4</v>
      </c>
      <c r="D1" s="111" t="s">
        <v>844</v>
      </c>
      <c r="E1" s="66" t="s">
        <v>791</v>
      </c>
      <c r="F1" s="66" t="s">
        <v>87</v>
      </c>
      <c r="G1" s="99" t="s">
        <v>1648</v>
      </c>
      <c r="H1" s="67" t="s">
        <v>1647</v>
      </c>
      <c r="I1" s="121" t="s">
        <v>1691</v>
      </c>
      <c r="J1" s="32" t="s">
        <v>88</v>
      </c>
      <c r="K1" s="118" t="s">
        <v>374</v>
      </c>
    </row>
    <row r="2" spans="1:11" ht="31">
      <c r="A2" s="101" t="s">
        <v>792</v>
      </c>
      <c r="B2" s="101" t="s">
        <v>793</v>
      </c>
      <c r="C2" s="102">
        <v>5057794326385</v>
      </c>
      <c r="D2" s="110">
        <v>5990</v>
      </c>
      <c r="E2" s="103">
        <v>1</v>
      </c>
      <c r="F2" s="103"/>
      <c r="G2" s="104">
        <f>SUM(E2:F2)</f>
        <v>1</v>
      </c>
      <c r="H2" s="105"/>
      <c r="I2" s="119">
        <v>1</v>
      </c>
      <c r="J2" s="39">
        <v>0.1</v>
      </c>
      <c r="K2" s="109">
        <f>D2-(J2*D2)</f>
        <v>5391</v>
      </c>
    </row>
    <row r="3" spans="1:11" ht="31">
      <c r="A3" s="101" t="s">
        <v>794</v>
      </c>
      <c r="B3" s="101" t="s">
        <v>793</v>
      </c>
      <c r="C3" s="102">
        <v>5057794326378</v>
      </c>
      <c r="D3" s="110">
        <v>5990</v>
      </c>
      <c r="E3" s="103">
        <v>1</v>
      </c>
      <c r="F3" s="103"/>
      <c r="G3" s="104">
        <f t="shared" ref="G3:G48" si="0">SUM(E3:F3)</f>
        <v>1</v>
      </c>
      <c r="H3" s="105"/>
      <c r="I3" s="119">
        <v>1</v>
      </c>
      <c r="J3" s="39">
        <v>0.1</v>
      </c>
      <c r="K3" s="109">
        <f t="shared" ref="K3:K48" si="1">D3-(J3*D3)</f>
        <v>5391</v>
      </c>
    </row>
    <row r="4" spans="1:11" ht="31">
      <c r="A4" s="101" t="s">
        <v>795</v>
      </c>
      <c r="B4" s="101" t="s">
        <v>793</v>
      </c>
      <c r="C4" s="102">
        <v>5057794326361</v>
      </c>
      <c r="D4" s="110">
        <v>5990</v>
      </c>
      <c r="E4" s="103">
        <v>1</v>
      </c>
      <c r="F4" s="103"/>
      <c r="G4" s="104">
        <f t="shared" si="0"/>
        <v>1</v>
      </c>
      <c r="H4" s="105"/>
      <c r="I4" s="119">
        <v>1</v>
      </c>
      <c r="J4" s="39">
        <v>0.1</v>
      </c>
      <c r="K4" s="109">
        <f t="shared" si="1"/>
        <v>5391</v>
      </c>
    </row>
    <row r="5" spans="1:11" ht="31">
      <c r="A5" s="101" t="s">
        <v>796</v>
      </c>
      <c r="B5" s="101" t="s">
        <v>793</v>
      </c>
      <c r="C5" s="102">
        <v>5057794326354</v>
      </c>
      <c r="D5" s="110">
        <v>5990</v>
      </c>
      <c r="E5" s="103">
        <v>1</v>
      </c>
      <c r="F5" s="103"/>
      <c r="G5" s="104">
        <f t="shared" si="0"/>
        <v>1</v>
      </c>
      <c r="H5" s="105"/>
      <c r="I5" s="119">
        <v>1</v>
      </c>
      <c r="J5" s="39">
        <v>0.1</v>
      </c>
      <c r="K5" s="109">
        <f t="shared" si="1"/>
        <v>5391</v>
      </c>
    </row>
    <row r="6" spans="1:11" ht="31">
      <c r="A6" s="101" t="s">
        <v>797</v>
      </c>
      <c r="B6" s="101" t="s">
        <v>793</v>
      </c>
      <c r="C6" s="102">
        <v>5057794326347</v>
      </c>
      <c r="D6" s="110">
        <v>5990</v>
      </c>
      <c r="E6" s="103">
        <v>1</v>
      </c>
      <c r="F6" s="103"/>
      <c r="G6" s="104">
        <f t="shared" si="0"/>
        <v>1</v>
      </c>
      <c r="H6" s="105"/>
      <c r="I6" s="119">
        <v>1</v>
      </c>
      <c r="J6" s="39">
        <v>0.1</v>
      </c>
      <c r="K6" s="109">
        <f t="shared" si="1"/>
        <v>5391</v>
      </c>
    </row>
    <row r="7" spans="1:11" ht="31">
      <c r="A7" s="101" t="s">
        <v>798</v>
      </c>
      <c r="B7" s="101" t="s">
        <v>799</v>
      </c>
      <c r="C7" s="102">
        <v>5057794326286</v>
      </c>
      <c r="D7" s="110">
        <v>5990</v>
      </c>
      <c r="E7" s="103">
        <v>1</v>
      </c>
      <c r="F7" s="103"/>
      <c r="G7" s="104">
        <f t="shared" si="0"/>
        <v>1</v>
      </c>
      <c r="H7" s="105"/>
      <c r="I7" s="119">
        <v>1</v>
      </c>
      <c r="J7" s="39">
        <v>0.1</v>
      </c>
      <c r="K7" s="109">
        <f t="shared" si="1"/>
        <v>5391</v>
      </c>
    </row>
    <row r="8" spans="1:11" ht="31">
      <c r="A8" s="101" t="s">
        <v>800</v>
      </c>
      <c r="B8" s="101" t="s">
        <v>799</v>
      </c>
      <c r="C8" s="102">
        <v>5057794326279</v>
      </c>
      <c r="D8" s="110">
        <v>5990</v>
      </c>
      <c r="E8" s="103">
        <v>1</v>
      </c>
      <c r="F8" s="103"/>
      <c r="G8" s="104">
        <f t="shared" si="0"/>
        <v>1</v>
      </c>
      <c r="H8" s="105"/>
      <c r="I8" s="119">
        <v>1</v>
      </c>
      <c r="J8" s="39">
        <v>0.1</v>
      </c>
      <c r="K8" s="109">
        <f t="shared" si="1"/>
        <v>5391</v>
      </c>
    </row>
    <row r="9" spans="1:11" ht="31">
      <c r="A9" s="101" t="s">
        <v>801</v>
      </c>
      <c r="B9" s="101" t="s">
        <v>799</v>
      </c>
      <c r="C9" s="102">
        <v>5057794326262</v>
      </c>
      <c r="D9" s="110">
        <v>5990</v>
      </c>
      <c r="E9" s="103">
        <v>2</v>
      </c>
      <c r="F9" s="103"/>
      <c r="G9" s="104">
        <f t="shared" si="0"/>
        <v>2</v>
      </c>
      <c r="H9" s="105">
        <v>1</v>
      </c>
      <c r="I9" s="119">
        <v>1</v>
      </c>
      <c r="J9" s="39">
        <v>0.1</v>
      </c>
      <c r="K9" s="109">
        <f t="shared" si="1"/>
        <v>5391</v>
      </c>
    </row>
    <row r="10" spans="1:11" ht="15.5">
      <c r="A10" s="101" t="s">
        <v>802</v>
      </c>
      <c r="B10" s="101" t="s">
        <v>803</v>
      </c>
      <c r="C10" s="102">
        <v>5057794295087</v>
      </c>
      <c r="D10" s="110">
        <v>5100</v>
      </c>
      <c r="E10" s="103">
        <v>1</v>
      </c>
      <c r="F10" s="103">
        <v>1</v>
      </c>
      <c r="G10" s="104">
        <f t="shared" si="0"/>
        <v>2</v>
      </c>
      <c r="H10" s="105">
        <v>1</v>
      </c>
      <c r="I10" s="119">
        <v>1</v>
      </c>
      <c r="J10" s="39">
        <v>0.1</v>
      </c>
      <c r="K10" s="109">
        <f t="shared" si="1"/>
        <v>4590</v>
      </c>
    </row>
    <row r="11" spans="1:11" ht="15.5">
      <c r="A11" s="101" t="s">
        <v>804</v>
      </c>
      <c r="B11" s="101" t="s">
        <v>803</v>
      </c>
      <c r="C11" s="102">
        <v>5057794295094</v>
      </c>
      <c r="D11" s="110">
        <v>5100</v>
      </c>
      <c r="E11" s="103">
        <v>1</v>
      </c>
      <c r="F11" s="103">
        <v>1</v>
      </c>
      <c r="G11" s="104">
        <f t="shared" si="0"/>
        <v>2</v>
      </c>
      <c r="H11" s="105">
        <v>1</v>
      </c>
      <c r="I11" s="119">
        <v>1</v>
      </c>
      <c r="J11" s="39">
        <v>0.1</v>
      </c>
      <c r="K11" s="109">
        <f t="shared" si="1"/>
        <v>4590</v>
      </c>
    </row>
    <row r="12" spans="1:11" ht="15.5">
      <c r="A12" s="101" t="s">
        <v>805</v>
      </c>
      <c r="B12" s="101" t="s">
        <v>803</v>
      </c>
      <c r="C12" s="102">
        <v>5057794295100</v>
      </c>
      <c r="D12" s="110">
        <v>5100</v>
      </c>
      <c r="E12" s="103">
        <v>1</v>
      </c>
      <c r="F12" s="103">
        <v>1</v>
      </c>
      <c r="G12" s="104">
        <f t="shared" si="0"/>
        <v>2</v>
      </c>
      <c r="H12" s="105">
        <v>1</v>
      </c>
      <c r="I12" s="119">
        <v>1</v>
      </c>
      <c r="J12" s="39">
        <v>0.1</v>
      </c>
      <c r="K12" s="109">
        <f t="shared" si="1"/>
        <v>4590</v>
      </c>
    </row>
    <row r="13" spans="1:11" ht="15.5">
      <c r="A13" s="101" t="s">
        <v>806</v>
      </c>
      <c r="B13" s="101" t="s">
        <v>803</v>
      </c>
      <c r="C13" s="102">
        <v>5057794295117</v>
      </c>
      <c r="D13" s="110">
        <v>5100</v>
      </c>
      <c r="E13" s="103">
        <v>1</v>
      </c>
      <c r="F13" s="103"/>
      <c r="G13" s="104">
        <f t="shared" si="0"/>
        <v>1</v>
      </c>
      <c r="H13" s="105"/>
      <c r="I13" s="119">
        <v>1</v>
      </c>
      <c r="J13" s="39">
        <v>0.1</v>
      </c>
      <c r="K13" s="109">
        <f t="shared" si="1"/>
        <v>4590</v>
      </c>
    </row>
    <row r="14" spans="1:11" ht="15.5">
      <c r="A14" s="101" t="s">
        <v>807</v>
      </c>
      <c r="B14" s="101" t="s">
        <v>808</v>
      </c>
      <c r="C14" s="102">
        <v>5057794295353</v>
      </c>
      <c r="D14" s="110">
        <v>5100</v>
      </c>
      <c r="E14" s="103">
        <v>3</v>
      </c>
      <c r="F14" s="103"/>
      <c r="G14" s="104">
        <f t="shared" si="0"/>
        <v>3</v>
      </c>
      <c r="H14" s="105">
        <v>1</v>
      </c>
      <c r="I14" s="119">
        <v>2</v>
      </c>
      <c r="J14" s="39">
        <v>0.1</v>
      </c>
      <c r="K14" s="109">
        <f t="shared" si="1"/>
        <v>4590</v>
      </c>
    </row>
    <row r="15" spans="1:11" ht="15.5">
      <c r="A15" s="101" t="s">
        <v>809</v>
      </c>
      <c r="B15" s="101" t="s">
        <v>808</v>
      </c>
      <c r="C15" s="102">
        <v>5057794295360</v>
      </c>
      <c r="D15" s="110">
        <v>5100</v>
      </c>
      <c r="E15" s="103">
        <v>1</v>
      </c>
      <c r="F15" s="103">
        <v>1</v>
      </c>
      <c r="G15" s="104">
        <f t="shared" si="0"/>
        <v>2</v>
      </c>
      <c r="H15" s="105">
        <v>1</v>
      </c>
      <c r="I15" s="119">
        <v>1</v>
      </c>
      <c r="J15" s="39">
        <v>0.1</v>
      </c>
      <c r="K15" s="109">
        <f t="shared" si="1"/>
        <v>4590</v>
      </c>
    </row>
    <row r="16" spans="1:11" ht="15.5">
      <c r="A16" s="101" t="s">
        <v>810</v>
      </c>
      <c r="B16" s="101" t="s">
        <v>808</v>
      </c>
      <c r="C16" s="102">
        <v>5057794295377</v>
      </c>
      <c r="D16" s="110">
        <v>5100</v>
      </c>
      <c r="E16" s="103">
        <v>3</v>
      </c>
      <c r="F16" s="103"/>
      <c r="G16" s="104">
        <f t="shared" si="0"/>
        <v>3</v>
      </c>
      <c r="H16" s="105">
        <v>1</v>
      </c>
      <c r="I16" s="119">
        <v>2</v>
      </c>
      <c r="J16" s="39">
        <v>0.1</v>
      </c>
      <c r="K16" s="109">
        <f t="shared" si="1"/>
        <v>4590</v>
      </c>
    </row>
    <row r="17" spans="1:11" ht="15.5">
      <c r="A17" s="101" t="s">
        <v>812</v>
      </c>
      <c r="B17" s="101" t="s">
        <v>811</v>
      </c>
      <c r="C17" s="102">
        <v>5057794325562</v>
      </c>
      <c r="D17" s="110">
        <v>5100</v>
      </c>
      <c r="E17" s="103">
        <v>1</v>
      </c>
      <c r="F17" s="103"/>
      <c r="G17" s="104">
        <f t="shared" si="0"/>
        <v>1</v>
      </c>
      <c r="H17" s="105"/>
      <c r="I17" s="119">
        <v>1</v>
      </c>
      <c r="J17" s="39">
        <v>0.1</v>
      </c>
      <c r="K17" s="109">
        <f t="shared" si="1"/>
        <v>4590</v>
      </c>
    </row>
    <row r="18" spans="1:11" ht="15.5">
      <c r="A18" s="101" t="s">
        <v>813</v>
      </c>
      <c r="B18" s="101" t="s">
        <v>811</v>
      </c>
      <c r="C18" s="102">
        <v>5057794325555</v>
      </c>
      <c r="D18" s="110">
        <v>5100</v>
      </c>
      <c r="E18" s="103">
        <v>1</v>
      </c>
      <c r="F18" s="103"/>
      <c r="G18" s="104">
        <f t="shared" si="0"/>
        <v>1</v>
      </c>
      <c r="H18" s="105"/>
      <c r="I18" s="119">
        <v>1</v>
      </c>
      <c r="J18" s="39">
        <v>0.1</v>
      </c>
      <c r="K18" s="109">
        <f t="shared" si="1"/>
        <v>4590</v>
      </c>
    </row>
    <row r="19" spans="1:11" ht="15.5">
      <c r="A19" s="101" t="s">
        <v>814</v>
      </c>
      <c r="B19" s="101" t="s">
        <v>811</v>
      </c>
      <c r="C19" s="102">
        <v>5057794325548</v>
      </c>
      <c r="D19" s="110">
        <v>5100</v>
      </c>
      <c r="E19" s="103">
        <v>1</v>
      </c>
      <c r="F19" s="103"/>
      <c r="G19" s="104">
        <f t="shared" si="0"/>
        <v>1</v>
      </c>
      <c r="H19" s="105"/>
      <c r="I19" s="119">
        <v>1</v>
      </c>
      <c r="J19" s="39">
        <v>0.1</v>
      </c>
      <c r="K19" s="109">
        <f t="shared" si="1"/>
        <v>4590</v>
      </c>
    </row>
    <row r="20" spans="1:11" ht="31">
      <c r="A20" s="101" t="s">
        <v>815</v>
      </c>
      <c r="B20" s="101" t="s">
        <v>816</v>
      </c>
      <c r="C20" s="102">
        <v>5057794229969</v>
      </c>
      <c r="D20" s="110">
        <v>5780</v>
      </c>
      <c r="E20" s="103">
        <v>1</v>
      </c>
      <c r="F20" s="103"/>
      <c r="G20" s="104">
        <f t="shared" si="0"/>
        <v>1</v>
      </c>
      <c r="H20" s="105"/>
      <c r="I20" s="119">
        <v>1</v>
      </c>
      <c r="J20" s="39">
        <v>0.1</v>
      </c>
      <c r="K20" s="109">
        <f t="shared" si="1"/>
        <v>5202</v>
      </c>
    </row>
    <row r="21" spans="1:11" ht="31">
      <c r="A21" s="101" t="s">
        <v>817</v>
      </c>
      <c r="B21" s="101" t="s">
        <v>816</v>
      </c>
      <c r="C21" s="102">
        <v>5057794229976</v>
      </c>
      <c r="D21" s="110">
        <v>5780</v>
      </c>
      <c r="E21" s="103">
        <v>3</v>
      </c>
      <c r="F21" s="103"/>
      <c r="G21" s="104">
        <f t="shared" si="0"/>
        <v>3</v>
      </c>
      <c r="H21" s="105">
        <v>1</v>
      </c>
      <c r="I21" s="119">
        <v>2</v>
      </c>
      <c r="J21" s="39">
        <v>0.1</v>
      </c>
      <c r="K21" s="109">
        <f t="shared" si="1"/>
        <v>5202</v>
      </c>
    </row>
    <row r="22" spans="1:11" ht="31">
      <c r="A22" s="101" t="s">
        <v>818</v>
      </c>
      <c r="B22" s="101" t="s">
        <v>816</v>
      </c>
      <c r="C22" s="102">
        <v>5057794229983</v>
      </c>
      <c r="D22" s="110">
        <v>5780</v>
      </c>
      <c r="E22" s="103">
        <v>3</v>
      </c>
      <c r="F22" s="103"/>
      <c r="G22" s="104">
        <f t="shared" si="0"/>
        <v>3</v>
      </c>
      <c r="H22" s="105">
        <v>1</v>
      </c>
      <c r="I22" s="119">
        <v>2</v>
      </c>
      <c r="J22" s="39">
        <v>0.1</v>
      </c>
      <c r="K22" s="109">
        <f t="shared" si="1"/>
        <v>5202</v>
      </c>
    </row>
    <row r="23" spans="1:11" ht="31">
      <c r="A23" s="101" t="s">
        <v>819</v>
      </c>
      <c r="B23" s="101" t="s">
        <v>816</v>
      </c>
      <c r="C23" s="102">
        <v>5057794229990</v>
      </c>
      <c r="D23" s="110">
        <v>5780</v>
      </c>
      <c r="E23" s="103">
        <v>2</v>
      </c>
      <c r="F23" s="103"/>
      <c r="G23" s="104">
        <f t="shared" si="0"/>
        <v>2</v>
      </c>
      <c r="H23" s="105">
        <v>1</v>
      </c>
      <c r="I23" s="119">
        <v>1</v>
      </c>
      <c r="J23" s="39">
        <v>0.1</v>
      </c>
      <c r="K23" s="109">
        <f t="shared" si="1"/>
        <v>5202</v>
      </c>
    </row>
    <row r="24" spans="1:11" ht="31">
      <c r="A24" s="101" t="s">
        <v>820</v>
      </c>
      <c r="B24" s="101" t="s">
        <v>816</v>
      </c>
      <c r="C24" s="102">
        <v>5057794230002</v>
      </c>
      <c r="D24" s="110">
        <v>5780</v>
      </c>
      <c r="E24" s="103">
        <v>1</v>
      </c>
      <c r="F24" s="103"/>
      <c r="G24" s="104">
        <f t="shared" si="0"/>
        <v>1</v>
      </c>
      <c r="H24" s="105"/>
      <c r="I24" s="119">
        <v>1</v>
      </c>
      <c r="J24" s="39">
        <v>0.1</v>
      </c>
      <c r="K24" s="109">
        <f t="shared" si="1"/>
        <v>5202</v>
      </c>
    </row>
    <row r="25" spans="1:11" ht="31">
      <c r="A25" s="101" t="s">
        <v>821</v>
      </c>
      <c r="B25" s="101" t="s">
        <v>822</v>
      </c>
      <c r="C25" s="102">
        <v>5057794321595</v>
      </c>
      <c r="D25" s="110">
        <v>5990</v>
      </c>
      <c r="E25" s="103">
        <v>1</v>
      </c>
      <c r="F25" s="103"/>
      <c r="G25" s="104">
        <f t="shared" si="0"/>
        <v>1</v>
      </c>
      <c r="H25" s="105"/>
      <c r="I25" s="119">
        <v>1</v>
      </c>
      <c r="J25" s="39">
        <v>0.1</v>
      </c>
      <c r="K25" s="109">
        <f t="shared" si="1"/>
        <v>5391</v>
      </c>
    </row>
    <row r="26" spans="1:11" ht="31">
      <c r="A26" s="101" t="s">
        <v>823</v>
      </c>
      <c r="B26" s="101" t="s">
        <v>822</v>
      </c>
      <c r="C26" s="102">
        <v>5057794321588</v>
      </c>
      <c r="D26" s="110">
        <v>5990</v>
      </c>
      <c r="E26" s="103">
        <v>1</v>
      </c>
      <c r="F26" s="103"/>
      <c r="G26" s="104">
        <f t="shared" si="0"/>
        <v>1</v>
      </c>
      <c r="H26" s="105"/>
      <c r="I26" s="119">
        <v>1</v>
      </c>
      <c r="J26" s="39">
        <v>0.1</v>
      </c>
      <c r="K26" s="109">
        <f t="shared" si="1"/>
        <v>5391</v>
      </c>
    </row>
    <row r="27" spans="1:11" ht="31">
      <c r="A27" s="101" t="s">
        <v>824</v>
      </c>
      <c r="B27" s="101" t="s">
        <v>822</v>
      </c>
      <c r="C27" s="102">
        <v>5057794321571</v>
      </c>
      <c r="D27" s="110">
        <v>5990</v>
      </c>
      <c r="E27" s="103">
        <v>1</v>
      </c>
      <c r="F27" s="103"/>
      <c r="G27" s="104">
        <f t="shared" si="0"/>
        <v>1</v>
      </c>
      <c r="H27" s="105"/>
      <c r="I27" s="119">
        <v>1</v>
      </c>
      <c r="J27" s="39">
        <v>0.1</v>
      </c>
      <c r="K27" s="109">
        <f t="shared" si="1"/>
        <v>5391</v>
      </c>
    </row>
    <row r="28" spans="1:11" ht="31">
      <c r="A28" s="101" t="s">
        <v>825</v>
      </c>
      <c r="B28" s="101" t="s">
        <v>822</v>
      </c>
      <c r="C28" s="102">
        <v>5057794330429</v>
      </c>
      <c r="D28" s="110">
        <v>5990</v>
      </c>
      <c r="E28" s="103">
        <v>1</v>
      </c>
      <c r="F28" s="103"/>
      <c r="G28" s="104">
        <f t="shared" si="0"/>
        <v>1</v>
      </c>
      <c r="H28" s="105"/>
      <c r="I28" s="119">
        <v>1</v>
      </c>
      <c r="J28" s="39">
        <v>0.1</v>
      </c>
      <c r="K28" s="109">
        <f t="shared" si="1"/>
        <v>5391</v>
      </c>
    </row>
    <row r="29" spans="1:11" ht="31">
      <c r="A29" s="101" t="s">
        <v>826</v>
      </c>
      <c r="B29" s="101" t="s">
        <v>822</v>
      </c>
      <c r="C29" s="102">
        <v>5057794330412</v>
      </c>
      <c r="D29" s="110">
        <v>5990</v>
      </c>
      <c r="E29" s="103">
        <v>1</v>
      </c>
      <c r="F29" s="103"/>
      <c r="G29" s="104">
        <f t="shared" si="0"/>
        <v>1</v>
      </c>
      <c r="H29" s="105"/>
      <c r="I29" s="119">
        <v>1</v>
      </c>
      <c r="J29" s="39">
        <v>0.1</v>
      </c>
      <c r="K29" s="109">
        <f t="shared" si="1"/>
        <v>5391</v>
      </c>
    </row>
    <row r="30" spans="1:11" ht="31">
      <c r="A30" s="101" t="s">
        <v>827</v>
      </c>
      <c r="B30" s="101" t="s">
        <v>822</v>
      </c>
      <c r="C30" s="102">
        <v>5057794330405</v>
      </c>
      <c r="D30" s="110">
        <v>5990</v>
      </c>
      <c r="E30" s="103">
        <v>1</v>
      </c>
      <c r="F30" s="103"/>
      <c r="G30" s="104">
        <f t="shared" si="0"/>
        <v>1</v>
      </c>
      <c r="H30" s="105"/>
      <c r="I30" s="119">
        <v>1</v>
      </c>
      <c r="J30" s="39">
        <v>0.1</v>
      </c>
      <c r="K30" s="109">
        <f t="shared" si="1"/>
        <v>5391</v>
      </c>
    </row>
    <row r="31" spans="1:11" ht="15.5">
      <c r="A31" s="101" t="s">
        <v>828</v>
      </c>
      <c r="B31" s="101" t="s">
        <v>829</v>
      </c>
      <c r="C31" s="102">
        <v>5057794296923</v>
      </c>
      <c r="D31" s="110">
        <v>5100</v>
      </c>
      <c r="E31" s="103">
        <v>2</v>
      </c>
      <c r="F31" s="103">
        <v>1</v>
      </c>
      <c r="G31" s="104">
        <f t="shared" si="0"/>
        <v>3</v>
      </c>
      <c r="H31" s="105">
        <v>1</v>
      </c>
      <c r="I31" s="119">
        <v>2</v>
      </c>
      <c r="J31" s="39">
        <v>0.1</v>
      </c>
      <c r="K31" s="109">
        <f t="shared" si="1"/>
        <v>4590</v>
      </c>
    </row>
    <row r="32" spans="1:11" ht="15.5">
      <c r="A32" s="101" t="s">
        <v>830</v>
      </c>
      <c r="B32" s="101" t="s">
        <v>829</v>
      </c>
      <c r="C32" s="106" t="s">
        <v>1649</v>
      </c>
      <c r="D32" s="110">
        <v>5100</v>
      </c>
      <c r="E32" s="103"/>
      <c r="F32" s="103">
        <v>1</v>
      </c>
      <c r="G32" s="104">
        <f t="shared" si="0"/>
        <v>1</v>
      </c>
      <c r="H32" s="105"/>
      <c r="I32" s="119">
        <v>1</v>
      </c>
      <c r="J32" s="39">
        <v>0.1</v>
      </c>
      <c r="K32" s="109">
        <f t="shared" si="1"/>
        <v>4590</v>
      </c>
    </row>
    <row r="33" spans="1:11" ht="15.5">
      <c r="A33" s="101" t="s">
        <v>1650</v>
      </c>
      <c r="B33" s="101" t="s">
        <v>832</v>
      </c>
      <c r="C33" s="108" t="s">
        <v>1651</v>
      </c>
      <c r="D33" s="110">
        <v>5100</v>
      </c>
      <c r="E33" s="103"/>
      <c r="F33" s="103">
        <v>1</v>
      </c>
      <c r="G33" s="104">
        <f t="shared" si="0"/>
        <v>1</v>
      </c>
      <c r="H33" s="105"/>
      <c r="I33" s="119">
        <v>1</v>
      </c>
      <c r="J33" s="39">
        <v>0.1</v>
      </c>
      <c r="K33" s="109">
        <f t="shared" si="1"/>
        <v>4590</v>
      </c>
    </row>
    <row r="34" spans="1:11" ht="15.5">
      <c r="A34" s="101" t="s">
        <v>831</v>
      </c>
      <c r="B34" s="101" t="s">
        <v>832</v>
      </c>
      <c r="C34" s="102">
        <v>5057794297227</v>
      </c>
      <c r="D34" s="110">
        <v>5100</v>
      </c>
      <c r="E34" s="103">
        <v>1</v>
      </c>
      <c r="F34" s="103">
        <v>1</v>
      </c>
      <c r="G34" s="104">
        <f t="shared" si="0"/>
        <v>2</v>
      </c>
      <c r="H34" s="105">
        <v>1</v>
      </c>
      <c r="I34" s="119">
        <v>1</v>
      </c>
      <c r="J34" s="39">
        <v>0.1</v>
      </c>
      <c r="K34" s="109">
        <f t="shared" si="1"/>
        <v>4590</v>
      </c>
    </row>
    <row r="35" spans="1:11" ht="15.5">
      <c r="A35" s="101" t="s">
        <v>833</v>
      </c>
      <c r="B35" s="101" t="s">
        <v>832</v>
      </c>
      <c r="C35" s="102">
        <v>5057794297234</v>
      </c>
      <c r="D35" s="110">
        <v>5100</v>
      </c>
      <c r="E35" s="103">
        <v>1</v>
      </c>
      <c r="F35" s="103"/>
      <c r="G35" s="104">
        <f t="shared" si="0"/>
        <v>1</v>
      </c>
      <c r="H35" s="105"/>
      <c r="I35" s="119">
        <v>1</v>
      </c>
      <c r="J35" s="39">
        <v>0.1</v>
      </c>
      <c r="K35" s="109">
        <f t="shared" si="1"/>
        <v>4590</v>
      </c>
    </row>
    <row r="36" spans="1:11" ht="15.5">
      <c r="A36" s="101" t="s">
        <v>1652</v>
      </c>
      <c r="B36" s="101" t="s">
        <v>832</v>
      </c>
      <c r="C36" s="108" t="s">
        <v>1653</v>
      </c>
      <c r="D36" s="110">
        <v>5100</v>
      </c>
      <c r="E36" s="103"/>
      <c r="F36" s="103">
        <v>1</v>
      </c>
      <c r="G36" s="104">
        <f t="shared" si="0"/>
        <v>1</v>
      </c>
      <c r="H36" s="105"/>
      <c r="I36" s="119">
        <v>1</v>
      </c>
      <c r="J36" s="39">
        <v>0.1</v>
      </c>
      <c r="K36" s="109">
        <f t="shared" si="1"/>
        <v>4590</v>
      </c>
    </row>
    <row r="37" spans="1:11" ht="15.5">
      <c r="A37" s="101" t="s">
        <v>834</v>
      </c>
      <c r="B37" s="101" t="s">
        <v>835</v>
      </c>
      <c r="C37" s="102">
        <v>5057794257160</v>
      </c>
      <c r="D37" s="110">
        <v>6120</v>
      </c>
      <c r="E37" s="103">
        <v>1</v>
      </c>
      <c r="F37" s="103"/>
      <c r="G37" s="104">
        <f t="shared" si="0"/>
        <v>1</v>
      </c>
      <c r="H37" s="105"/>
      <c r="I37" s="119">
        <v>1</v>
      </c>
      <c r="J37" s="39">
        <v>0.1</v>
      </c>
      <c r="K37" s="109">
        <f t="shared" si="1"/>
        <v>5508</v>
      </c>
    </row>
    <row r="38" spans="1:11" ht="15.5">
      <c r="A38" s="101" t="s">
        <v>836</v>
      </c>
      <c r="B38" s="101" t="s">
        <v>835</v>
      </c>
      <c r="C38" s="102">
        <v>5057794257177</v>
      </c>
      <c r="D38" s="110">
        <v>6120</v>
      </c>
      <c r="E38" s="103">
        <v>1</v>
      </c>
      <c r="F38" s="103"/>
      <c r="G38" s="104">
        <f t="shared" si="0"/>
        <v>1</v>
      </c>
      <c r="H38" s="105"/>
      <c r="I38" s="119">
        <v>1</v>
      </c>
      <c r="J38" s="39">
        <v>0.1</v>
      </c>
      <c r="K38" s="109">
        <f t="shared" si="1"/>
        <v>5508</v>
      </c>
    </row>
    <row r="39" spans="1:11" ht="15.5">
      <c r="A39" s="101" t="s">
        <v>837</v>
      </c>
      <c r="B39" s="101" t="s">
        <v>835</v>
      </c>
      <c r="C39" s="102">
        <v>5057794257184</v>
      </c>
      <c r="D39" s="110">
        <v>6120</v>
      </c>
      <c r="E39" s="103">
        <v>1</v>
      </c>
      <c r="F39" s="103"/>
      <c r="G39" s="104">
        <f t="shared" si="0"/>
        <v>1</v>
      </c>
      <c r="H39" s="105"/>
      <c r="I39" s="119">
        <v>1</v>
      </c>
      <c r="J39" s="39">
        <v>0.1</v>
      </c>
      <c r="K39" s="109">
        <f t="shared" si="1"/>
        <v>5508</v>
      </c>
    </row>
    <row r="40" spans="1:11" ht="15.5">
      <c r="A40" s="101" t="s">
        <v>838</v>
      </c>
      <c r="B40" s="101" t="s">
        <v>835</v>
      </c>
      <c r="C40" s="102">
        <v>5057794257191</v>
      </c>
      <c r="D40" s="110">
        <v>6120</v>
      </c>
      <c r="E40" s="103">
        <v>1</v>
      </c>
      <c r="F40" s="103"/>
      <c r="G40" s="104">
        <f t="shared" si="0"/>
        <v>1</v>
      </c>
      <c r="H40" s="105"/>
      <c r="I40" s="119">
        <v>1</v>
      </c>
      <c r="J40" s="39">
        <v>0.1</v>
      </c>
      <c r="K40" s="109">
        <f t="shared" si="1"/>
        <v>5508</v>
      </c>
    </row>
    <row r="41" spans="1:11" ht="15.5">
      <c r="A41" s="101" t="s">
        <v>839</v>
      </c>
      <c r="B41" s="101" t="s">
        <v>835</v>
      </c>
      <c r="C41" s="102">
        <v>5057794257207</v>
      </c>
      <c r="D41" s="110">
        <v>6120</v>
      </c>
      <c r="E41" s="103">
        <v>1</v>
      </c>
      <c r="F41" s="103"/>
      <c r="G41" s="104">
        <f t="shared" si="0"/>
        <v>1</v>
      </c>
      <c r="H41" s="105"/>
      <c r="I41" s="119">
        <v>1</v>
      </c>
      <c r="J41" s="39">
        <v>0.1</v>
      </c>
      <c r="K41" s="109">
        <f t="shared" si="1"/>
        <v>5508</v>
      </c>
    </row>
    <row r="42" spans="1:11" ht="15.5">
      <c r="A42" s="101" t="s">
        <v>840</v>
      </c>
      <c r="B42" s="101" t="s">
        <v>835</v>
      </c>
      <c r="C42" s="102">
        <v>5057794257214</v>
      </c>
      <c r="D42" s="110">
        <v>6120</v>
      </c>
      <c r="E42" s="103">
        <v>1</v>
      </c>
      <c r="F42" s="103"/>
      <c r="G42" s="104">
        <f t="shared" si="0"/>
        <v>1</v>
      </c>
      <c r="H42" s="105"/>
      <c r="I42" s="119">
        <v>1</v>
      </c>
      <c r="J42" s="39">
        <v>0.1</v>
      </c>
      <c r="K42" s="109">
        <f t="shared" si="1"/>
        <v>5508</v>
      </c>
    </row>
    <row r="43" spans="1:11" ht="15.5">
      <c r="A43" s="101" t="s">
        <v>842</v>
      </c>
      <c r="B43" s="101" t="s">
        <v>841</v>
      </c>
      <c r="C43" s="102">
        <v>5057794236189</v>
      </c>
      <c r="D43" s="110">
        <v>5780</v>
      </c>
      <c r="E43" s="103">
        <v>2</v>
      </c>
      <c r="F43" s="103"/>
      <c r="G43" s="104">
        <f t="shared" si="0"/>
        <v>2</v>
      </c>
      <c r="H43" s="105">
        <v>1</v>
      </c>
      <c r="I43" s="119">
        <v>1</v>
      </c>
      <c r="J43" s="39">
        <v>0.1</v>
      </c>
      <c r="K43" s="109">
        <f t="shared" si="1"/>
        <v>5202</v>
      </c>
    </row>
    <row r="44" spans="1:11" ht="15.5">
      <c r="A44" s="107" t="s">
        <v>1654</v>
      </c>
      <c r="B44" s="107" t="s">
        <v>1655</v>
      </c>
      <c r="C44" s="108" t="s">
        <v>1658</v>
      </c>
      <c r="D44" s="110">
        <v>5100</v>
      </c>
      <c r="E44" s="100"/>
      <c r="F44" s="100">
        <v>1</v>
      </c>
      <c r="G44" s="104">
        <f t="shared" si="0"/>
        <v>1</v>
      </c>
      <c r="H44" s="98"/>
      <c r="I44" s="120">
        <v>1</v>
      </c>
      <c r="J44" s="39">
        <v>0.1</v>
      </c>
      <c r="K44" s="109">
        <f t="shared" si="1"/>
        <v>4590</v>
      </c>
    </row>
    <row r="45" spans="1:11" ht="15.5">
      <c r="A45" s="107" t="s">
        <v>1656</v>
      </c>
      <c r="B45" s="107" t="s">
        <v>1657</v>
      </c>
      <c r="C45" s="108" t="s">
        <v>1659</v>
      </c>
      <c r="D45" s="110">
        <v>5100</v>
      </c>
      <c r="E45" s="100"/>
      <c r="F45" s="100">
        <v>1</v>
      </c>
      <c r="G45" s="104">
        <f t="shared" si="0"/>
        <v>1</v>
      </c>
      <c r="H45" s="98"/>
      <c r="I45" s="120">
        <v>1</v>
      </c>
      <c r="J45" s="39">
        <v>0.1</v>
      </c>
      <c r="K45" s="109">
        <f t="shared" si="1"/>
        <v>4590</v>
      </c>
    </row>
    <row r="46" spans="1:11" ht="15.5">
      <c r="A46" s="107" t="s">
        <v>1660</v>
      </c>
      <c r="B46" s="107" t="s">
        <v>1661</v>
      </c>
      <c r="C46" s="107" t="s">
        <v>1666</v>
      </c>
      <c r="D46" s="110">
        <v>6350</v>
      </c>
      <c r="E46" s="100"/>
      <c r="F46" s="100">
        <v>1</v>
      </c>
      <c r="G46" s="104">
        <f t="shared" si="0"/>
        <v>1</v>
      </c>
      <c r="H46" s="98"/>
      <c r="I46" s="120">
        <v>1</v>
      </c>
      <c r="J46" s="39">
        <v>0.1</v>
      </c>
      <c r="K46" s="109">
        <f t="shared" si="1"/>
        <v>5715</v>
      </c>
    </row>
    <row r="47" spans="1:11" ht="15.5">
      <c r="A47" s="107" t="s">
        <v>1662</v>
      </c>
      <c r="B47" s="107" t="s">
        <v>1663</v>
      </c>
      <c r="C47" s="107" t="s">
        <v>1667</v>
      </c>
      <c r="D47" s="110">
        <v>6350</v>
      </c>
      <c r="E47" s="100"/>
      <c r="F47" s="100">
        <v>1</v>
      </c>
      <c r="G47" s="104">
        <f t="shared" si="0"/>
        <v>1</v>
      </c>
      <c r="H47" s="98"/>
      <c r="I47" s="120">
        <v>1</v>
      </c>
      <c r="J47" s="39">
        <v>0.1</v>
      </c>
      <c r="K47" s="109">
        <f t="shared" si="1"/>
        <v>5715</v>
      </c>
    </row>
    <row r="48" spans="1:11" ht="15.5">
      <c r="A48" s="107" t="s">
        <v>1664</v>
      </c>
      <c r="B48" s="107" t="s">
        <v>1665</v>
      </c>
      <c r="C48" s="107" t="s">
        <v>1668</v>
      </c>
      <c r="D48" s="110">
        <v>6350</v>
      </c>
      <c r="E48" s="100"/>
      <c r="F48" s="100">
        <v>1</v>
      </c>
      <c r="G48" s="104">
        <f t="shared" si="0"/>
        <v>1</v>
      </c>
      <c r="H48" s="98"/>
      <c r="I48" s="120">
        <v>1</v>
      </c>
      <c r="J48" s="39">
        <v>0.1</v>
      </c>
      <c r="K48" s="109">
        <f t="shared" si="1"/>
        <v>5715</v>
      </c>
    </row>
    <row r="49" spans="7:9">
      <c r="G49" s="3">
        <f>SUM(G2:G48)</f>
        <v>65</v>
      </c>
      <c r="H49" s="3">
        <f>SUM(H2:H48)</f>
        <v>13</v>
      </c>
      <c r="I49" s="3">
        <f>SUM(I2:I48)</f>
        <v>52</v>
      </c>
    </row>
  </sheetData>
  <phoneticPr fontId="26" type="noConversion"/>
  <pageMargins left="0.7" right="0.7" top="0.75" bottom="0.75" header="0.3" footer="0.3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1CBA-480E-4E3C-938D-7C4608A9BC3E}">
  <sheetPr>
    <pageSetUpPr fitToPage="1"/>
  </sheetPr>
  <dimension ref="A1:I26"/>
  <sheetViews>
    <sheetView workbookViewId="0">
      <selection activeCell="F1" sqref="F1:F1048576"/>
    </sheetView>
  </sheetViews>
  <sheetFormatPr defaultColWidth="8.36328125" defaultRowHeight="14.5"/>
  <cols>
    <col min="1" max="1" width="15.26953125" bestFit="1" customWidth="1"/>
    <col min="2" max="2" width="48.81640625" bestFit="1" customWidth="1"/>
    <col min="3" max="3" width="14" bestFit="1" customWidth="1"/>
    <col min="4" max="4" width="7.6328125" bestFit="1" customWidth="1"/>
    <col min="5" max="5" width="7.90625" bestFit="1" customWidth="1"/>
    <col min="6" max="6" width="4.6328125" bestFit="1" customWidth="1"/>
    <col min="7" max="7" width="5" bestFit="1" customWidth="1"/>
    <col min="8" max="8" width="8" hidden="1" customWidth="1"/>
    <col min="9" max="9" width="14.36328125" style="13" hidden="1" customWidth="1"/>
  </cols>
  <sheetData>
    <row r="1" spans="1:9" ht="46.5">
      <c r="A1" s="1" t="s">
        <v>85</v>
      </c>
      <c r="B1" s="1" t="s">
        <v>367</v>
      </c>
      <c r="C1" s="1" t="s">
        <v>4</v>
      </c>
      <c r="D1" s="26" t="s">
        <v>368</v>
      </c>
      <c r="E1" s="121" t="s">
        <v>1691</v>
      </c>
      <c r="F1" s="116" t="s">
        <v>88</v>
      </c>
      <c r="G1" s="114" t="s">
        <v>90</v>
      </c>
      <c r="H1" s="1" t="s">
        <v>71</v>
      </c>
      <c r="I1" s="1" t="s">
        <v>73</v>
      </c>
    </row>
    <row r="2" spans="1:9" ht="15.5">
      <c r="A2" s="8" t="s">
        <v>68</v>
      </c>
      <c r="B2" s="8" t="s">
        <v>69</v>
      </c>
      <c r="C2" s="9" t="s">
        <v>70</v>
      </c>
      <c r="D2" s="10">
        <v>770</v>
      </c>
      <c r="E2" s="170">
        <v>15</v>
      </c>
      <c r="F2" s="19">
        <v>0.1</v>
      </c>
      <c r="G2" s="81">
        <f t="shared" ref="G2:G23" si="0">D2-(D2*F2)</f>
        <v>693</v>
      </c>
      <c r="H2" s="11"/>
      <c r="I2" s="12" t="s">
        <v>84</v>
      </c>
    </row>
    <row r="3" spans="1:9" ht="15.5">
      <c r="A3" s="8" t="s">
        <v>41</v>
      </c>
      <c r="B3" s="8" t="s">
        <v>42</v>
      </c>
      <c r="C3" s="9" t="s">
        <v>43</v>
      </c>
      <c r="D3" s="10">
        <v>770</v>
      </c>
      <c r="E3" s="170">
        <v>13</v>
      </c>
      <c r="F3" s="19">
        <v>0.1</v>
      </c>
      <c r="G3" s="81">
        <f t="shared" si="0"/>
        <v>693</v>
      </c>
      <c r="H3" s="11"/>
      <c r="I3" s="12" t="s">
        <v>84</v>
      </c>
    </row>
    <row r="4" spans="1:9" ht="15.5">
      <c r="A4" s="8" t="s">
        <v>17</v>
      </c>
      <c r="B4" s="8" t="s">
        <v>18</v>
      </c>
      <c r="C4" s="9" t="s">
        <v>19</v>
      </c>
      <c r="D4" s="10">
        <v>770</v>
      </c>
      <c r="E4" s="170">
        <v>14</v>
      </c>
      <c r="F4" s="19">
        <v>0.1</v>
      </c>
      <c r="G4" s="81">
        <f t="shared" si="0"/>
        <v>693</v>
      </c>
      <c r="H4" s="11"/>
      <c r="I4" s="12" t="s">
        <v>84</v>
      </c>
    </row>
    <row r="5" spans="1:9" ht="15.5">
      <c r="A5" s="8" t="s">
        <v>65</v>
      </c>
      <c r="B5" s="8" t="s">
        <v>66</v>
      </c>
      <c r="C5" s="9" t="s">
        <v>67</v>
      </c>
      <c r="D5" s="10">
        <v>770</v>
      </c>
      <c r="E5" s="170">
        <v>19</v>
      </c>
      <c r="F5" s="19">
        <v>0.1</v>
      </c>
      <c r="G5" s="81">
        <f t="shared" si="0"/>
        <v>693</v>
      </c>
      <c r="H5" s="11"/>
      <c r="I5" s="12" t="s">
        <v>83</v>
      </c>
    </row>
    <row r="6" spans="1:9" ht="15.5">
      <c r="A6" s="8" t="s">
        <v>38</v>
      </c>
      <c r="B6" s="8" t="s">
        <v>39</v>
      </c>
      <c r="C6" s="9" t="s">
        <v>40</v>
      </c>
      <c r="D6" s="10">
        <v>770</v>
      </c>
      <c r="E6" s="170">
        <v>17</v>
      </c>
      <c r="F6" s="19">
        <v>0.1</v>
      </c>
      <c r="G6" s="81">
        <f t="shared" si="0"/>
        <v>693</v>
      </c>
      <c r="H6" s="11"/>
      <c r="I6" s="12" t="s">
        <v>83</v>
      </c>
    </row>
    <row r="7" spans="1:9" ht="15.5">
      <c r="A7" s="8" t="s">
        <v>14</v>
      </c>
      <c r="B7" s="8" t="s">
        <v>15</v>
      </c>
      <c r="C7" s="9" t="s">
        <v>16</v>
      </c>
      <c r="D7" s="10">
        <v>770</v>
      </c>
      <c r="E7" s="170">
        <v>8</v>
      </c>
      <c r="F7" s="19">
        <v>0.1</v>
      </c>
      <c r="G7" s="81">
        <f t="shared" si="0"/>
        <v>693</v>
      </c>
      <c r="H7" s="11"/>
      <c r="I7" s="12" t="s">
        <v>82</v>
      </c>
    </row>
    <row r="8" spans="1:9" ht="15.5">
      <c r="A8" s="8" t="s">
        <v>62</v>
      </c>
      <c r="B8" s="8" t="s">
        <v>63</v>
      </c>
      <c r="C8" s="9" t="s">
        <v>64</v>
      </c>
      <c r="D8" s="10">
        <v>770</v>
      </c>
      <c r="E8" s="170">
        <v>15</v>
      </c>
      <c r="F8" s="19">
        <v>0.1</v>
      </c>
      <c r="G8" s="81">
        <f t="shared" si="0"/>
        <v>693</v>
      </c>
      <c r="H8" s="11"/>
      <c r="I8" s="12" t="s">
        <v>81</v>
      </c>
    </row>
    <row r="9" spans="1:9" ht="15.5">
      <c r="A9" s="8" t="s">
        <v>35</v>
      </c>
      <c r="B9" s="8" t="s">
        <v>36</v>
      </c>
      <c r="C9" s="9" t="s">
        <v>37</v>
      </c>
      <c r="D9" s="10">
        <v>770</v>
      </c>
      <c r="E9" s="170">
        <v>15</v>
      </c>
      <c r="F9" s="19">
        <v>0.1</v>
      </c>
      <c r="G9" s="81">
        <f t="shared" si="0"/>
        <v>693</v>
      </c>
      <c r="H9" s="11"/>
      <c r="I9" s="12" t="s">
        <v>81</v>
      </c>
    </row>
    <row r="10" spans="1:9" ht="15.5">
      <c r="A10" s="8" t="s">
        <v>59</v>
      </c>
      <c r="B10" s="8" t="s">
        <v>60</v>
      </c>
      <c r="C10" s="9" t="s">
        <v>61</v>
      </c>
      <c r="D10" s="10">
        <v>770</v>
      </c>
      <c r="E10" s="170">
        <v>13</v>
      </c>
      <c r="F10" s="19">
        <v>0.1</v>
      </c>
      <c r="G10" s="81">
        <f t="shared" si="0"/>
        <v>693</v>
      </c>
      <c r="H10" s="11"/>
      <c r="I10" s="12" t="s">
        <v>80</v>
      </c>
    </row>
    <row r="11" spans="1:9" ht="15.5">
      <c r="A11" s="8" t="s">
        <v>32</v>
      </c>
      <c r="B11" s="8" t="s">
        <v>33</v>
      </c>
      <c r="C11" s="9" t="s">
        <v>34</v>
      </c>
      <c r="D11" s="10">
        <v>770</v>
      </c>
      <c r="E11" s="170">
        <v>12</v>
      </c>
      <c r="F11" s="19">
        <v>0.1</v>
      </c>
      <c r="G11" s="81">
        <f t="shared" si="0"/>
        <v>693</v>
      </c>
      <c r="H11" s="11">
        <v>1</v>
      </c>
      <c r="I11" s="12" t="s">
        <v>80</v>
      </c>
    </row>
    <row r="12" spans="1:9" ht="15.5">
      <c r="A12" s="8" t="s">
        <v>56</v>
      </c>
      <c r="B12" s="8" t="s">
        <v>57</v>
      </c>
      <c r="C12" s="9" t="s">
        <v>58</v>
      </c>
      <c r="D12" s="10">
        <v>770</v>
      </c>
      <c r="E12" s="170">
        <v>15</v>
      </c>
      <c r="F12" s="19">
        <v>0.1</v>
      </c>
      <c r="G12" s="81">
        <f t="shared" si="0"/>
        <v>693</v>
      </c>
      <c r="H12" s="11"/>
      <c r="I12" s="12" t="s">
        <v>79</v>
      </c>
    </row>
    <row r="13" spans="1:9" ht="15.5">
      <c r="A13" s="8" t="s">
        <v>29</v>
      </c>
      <c r="B13" s="8" t="s">
        <v>30</v>
      </c>
      <c r="C13" s="9" t="s">
        <v>31</v>
      </c>
      <c r="D13" s="10">
        <v>770</v>
      </c>
      <c r="E13" s="170">
        <v>15</v>
      </c>
      <c r="F13" s="19">
        <v>0.1</v>
      </c>
      <c r="G13" s="81">
        <f t="shared" si="0"/>
        <v>693</v>
      </c>
      <c r="H13" s="11"/>
      <c r="I13" s="12" t="s">
        <v>79</v>
      </c>
    </row>
    <row r="14" spans="1:9" ht="15.5">
      <c r="A14" s="8" t="s">
        <v>11</v>
      </c>
      <c r="B14" s="8" t="s">
        <v>12</v>
      </c>
      <c r="C14" s="9" t="s">
        <v>13</v>
      </c>
      <c r="D14" s="10">
        <v>770</v>
      </c>
      <c r="E14" s="170">
        <v>9</v>
      </c>
      <c r="F14" s="19">
        <v>0.1</v>
      </c>
      <c r="G14" s="81">
        <f t="shared" si="0"/>
        <v>693</v>
      </c>
      <c r="H14" s="11"/>
      <c r="I14" s="12" t="s">
        <v>79</v>
      </c>
    </row>
    <row r="15" spans="1:9" ht="15.5">
      <c r="A15" s="8" t="s">
        <v>53</v>
      </c>
      <c r="B15" s="8" t="s">
        <v>54</v>
      </c>
      <c r="C15" s="9" t="s">
        <v>55</v>
      </c>
      <c r="D15" s="10">
        <v>770</v>
      </c>
      <c r="E15" s="170">
        <v>13</v>
      </c>
      <c r="F15" s="19">
        <v>0.1</v>
      </c>
      <c r="G15" s="81">
        <f t="shared" si="0"/>
        <v>693</v>
      </c>
      <c r="H15" s="11"/>
      <c r="I15" s="12" t="s">
        <v>78</v>
      </c>
    </row>
    <row r="16" spans="1:9" ht="15.5">
      <c r="A16" s="8" t="s">
        <v>26</v>
      </c>
      <c r="B16" s="8" t="s">
        <v>27</v>
      </c>
      <c r="C16" s="9" t="s">
        <v>28</v>
      </c>
      <c r="D16" s="10">
        <v>770</v>
      </c>
      <c r="E16" s="170">
        <v>13</v>
      </c>
      <c r="F16" s="19">
        <v>0.1</v>
      </c>
      <c r="G16" s="81">
        <f t="shared" si="0"/>
        <v>693</v>
      </c>
      <c r="H16" s="11"/>
      <c r="I16" s="12" t="s">
        <v>78</v>
      </c>
    </row>
    <row r="17" spans="1:9" ht="15.5">
      <c r="A17" s="8" t="s">
        <v>8</v>
      </c>
      <c r="B17" s="8" t="s">
        <v>9</v>
      </c>
      <c r="C17" s="9" t="s">
        <v>10</v>
      </c>
      <c r="D17" s="10">
        <v>770</v>
      </c>
      <c r="E17" s="170">
        <v>12</v>
      </c>
      <c r="F17" s="19">
        <v>0.1</v>
      </c>
      <c r="G17" s="81">
        <f t="shared" si="0"/>
        <v>693</v>
      </c>
      <c r="H17" s="11"/>
      <c r="I17" s="12" t="s">
        <v>77</v>
      </c>
    </row>
    <row r="18" spans="1:9" ht="15.5">
      <c r="A18" s="8" t="s">
        <v>50</v>
      </c>
      <c r="B18" s="8" t="s">
        <v>51</v>
      </c>
      <c r="C18" s="9" t="s">
        <v>52</v>
      </c>
      <c r="D18" s="10">
        <v>770</v>
      </c>
      <c r="E18" s="170">
        <v>14</v>
      </c>
      <c r="F18" s="19">
        <v>0.1</v>
      </c>
      <c r="G18" s="81">
        <f t="shared" si="0"/>
        <v>693</v>
      </c>
      <c r="H18" s="11"/>
      <c r="I18" s="12" t="s">
        <v>72</v>
      </c>
    </row>
    <row r="19" spans="1:9" ht="15.5">
      <c r="A19" s="8" t="s">
        <v>23</v>
      </c>
      <c r="B19" s="8" t="s">
        <v>24</v>
      </c>
      <c r="C19" s="9" t="s">
        <v>25</v>
      </c>
      <c r="D19" s="10">
        <v>770</v>
      </c>
      <c r="E19" s="170">
        <v>14</v>
      </c>
      <c r="F19" s="19">
        <v>0.1</v>
      </c>
      <c r="G19" s="81">
        <f t="shared" si="0"/>
        <v>693</v>
      </c>
      <c r="H19" s="11"/>
      <c r="I19" s="12" t="s">
        <v>72</v>
      </c>
    </row>
    <row r="20" spans="1:9" ht="15.5">
      <c r="A20" s="8" t="s">
        <v>47</v>
      </c>
      <c r="B20" s="8" t="s">
        <v>48</v>
      </c>
      <c r="C20" s="9" t="s">
        <v>49</v>
      </c>
      <c r="D20" s="10">
        <v>770</v>
      </c>
      <c r="E20" s="170">
        <v>15</v>
      </c>
      <c r="F20" s="19">
        <v>0.1</v>
      </c>
      <c r="G20" s="81">
        <f t="shared" si="0"/>
        <v>693</v>
      </c>
      <c r="H20" s="11"/>
      <c r="I20" s="12" t="s">
        <v>76</v>
      </c>
    </row>
    <row r="21" spans="1:9" ht="15.5">
      <c r="A21" s="8" t="s">
        <v>44</v>
      </c>
      <c r="B21" s="8" t="s">
        <v>45</v>
      </c>
      <c r="C21" s="9" t="s">
        <v>46</v>
      </c>
      <c r="D21" s="10">
        <v>770</v>
      </c>
      <c r="E21" s="170">
        <v>15</v>
      </c>
      <c r="F21" s="19">
        <v>0.1</v>
      </c>
      <c r="G21" s="81">
        <f t="shared" si="0"/>
        <v>693</v>
      </c>
      <c r="H21" s="11"/>
      <c r="I21" s="12" t="s">
        <v>75</v>
      </c>
    </row>
    <row r="22" spans="1:9" ht="15.5">
      <c r="A22" s="8" t="s">
        <v>20</v>
      </c>
      <c r="B22" s="8" t="s">
        <v>21</v>
      </c>
      <c r="C22" s="9" t="s">
        <v>22</v>
      </c>
      <c r="D22" s="10">
        <v>770</v>
      </c>
      <c r="E22" s="170">
        <v>14</v>
      </c>
      <c r="F22" s="19">
        <v>0.1</v>
      </c>
      <c r="G22" s="81">
        <f t="shared" si="0"/>
        <v>693</v>
      </c>
      <c r="H22" s="11"/>
      <c r="I22" s="12" t="s">
        <v>75</v>
      </c>
    </row>
    <row r="23" spans="1:9" ht="15.5">
      <c r="A23" s="8" t="s">
        <v>5</v>
      </c>
      <c r="B23" s="8" t="s">
        <v>6</v>
      </c>
      <c r="C23" s="9" t="s">
        <v>7</v>
      </c>
      <c r="D23" s="10">
        <v>770</v>
      </c>
      <c r="E23" s="170">
        <v>14</v>
      </c>
      <c r="F23" s="19">
        <v>0.1</v>
      </c>
      <c r="G23" s="81">
        <f t="shared" si="0"/>
        <v>693</v>
      </c>
      <c r="H23" s="11"/>
      <c r="I23" s="12" t="s">
        <v>74</v>
      </c>
    </row>
    <row r="24" spans="1:9">
      <c r="E24" s="2"/>
    </row>
    <row r="25" spans="1:9" ht="15.5">
      <c r="D25" s="27"/>
      <c r="E25" s="27"/>
      <c r="G25" s="27"/>
    </row>
    <row r="26" spans="1:9" ht="15.5">
      <c r="D26" s="27"/>
      <c r="E26" s="27"/>
      <c r="G26" s="27"/>
    </row>
  </sheetData>
  <sortState xmlns:xlrd2="http://schemas.microsoft.com/office/spreadsheetml/2017/richdata2" ref="A2:G23">
    <sortCondition ref="A2:A23"/>
  </sortState>
  <pageMargins left="0.7" right="0.7" top="0.75" bottom="0.75" header="0.3" footer="0.3"/>
  <pageSetup paperSize="9"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5A60-3EC0-473C-BECA-B165F6964F24}">
  <sheetPr>
    <pageSetUpPr fitToPage="1"/>
  </sheetPr>
  <dimension ref="A1:L213"/>
  <sheetViews>
    <sheetView view="pageBreakPreview" zoomScale="60" zoomScaleNormal="100" workbookViewId="0">
      <pane ySplit="1" topLeftCell="A150" activePane="bottomLeft" state="frozen"/>
      <selection pane="bottomLeft" activeCell="J1" sqref="J1"/>
    </sheetView>
  </sheetViews>
  <sheetFormatPr defaultColWidth="8.36328125" defaultRowHeight="14.5"/>
  <cols>
    <col min="1" max="1" width="21.7265625" style="3" bestFit="1" customWidth="1"/>
    <col min="2" max="2" width="32.453125" style="3" bestFit="1" customWidth="1"/>
    <col min="3" max="3" width="13" style="3" bestFit="1" customWidth="1"/>
    <col min="4" max="4" width="8.90625" style="3" bestFit="1" customWidth="1"/>
    <col min="5" max="5" width="5.453125" style="94" hidden="1" customWidth="1"/>
    <col min="6" max="6" width="6.6328125" style="95" hidden="1" customWidth="1"/>
    <col min="7" max="7" width="5.1796875" style="95" bestFit="1" customWidth="1"/>
    <col min="8" max="8" width="13.36328125" style="95" bestFit="1" customWidth="1"/>
    <col min="9" max="9" width="10.81640625" style="95" customWidth="1"/>
    <col min="10" max="10" width="9" style="95" bestFit="1" customWidth="1"/>
    <col min="11" max="11" width="4.7265625" style="96" bestFit="1" customWidth="1"/>
    <col min="12" max="12" width="5.36328125" style="3" customWidth="1"/>
    <col min="13" max="16384" width="8.36328125" style="3"/>
  </cols>
  <sheetData>
    <row r="1" spans="1:12" s="90" customFormat="1" ht="62">
      <c r="A1" s="67" t="s">
        <v>366</v>
      </c>
      <c r="B1" s="67" t="s">
        <v>843</v>
      </c>
      <c r="C1" s="67" t="s">
        <v>4</v>
      </c>
      <c r="D1" s="111" t="s">
        <v>844</v>
      </c>
      <c r="E1" s="29" t="s">
        <v>370</v>
      </c>
      <c r="F1" s="122" t="s">
        <v>373</v>
      </c>
      <c r="G1" s="29" t="s">
        <v>370</v>
      </c>
      <c r="H1" s="125" t="s">
        <v>1694</v>
      </c>
      <c r="I1" s="125" t="s">
        <v>1693</v>
      </c>
      <c r="J1" s="125" t="s">
        <v>1692</v>
      </c>
      <c r="K1" s="89" t="s">
        <v>88</v>
      </c>
      <c r="L1" s="33" t="s">
        <v>374</v>
      </c>
    </row>
    <row r="2" spans="1:12" s="90" customFormat="1" ht="15.5" hidden="1">
      <c r="A2" s="126" t="s">
        <v>1696</v>
      </c>
      <c r="B2" s="126" t="s">
        <v>1697</v>
      </c>
      <c r="C2" s="127" t="s">
        <v>1698</v>
      </c>
      <c r="D2" s="117">
        <v>5980</v>
      </c>
      <c r="E2" s="29"/>
      <c r="F2" s="122"/>
      <c r="G2" s="128"/>
      <c r="H2" s="125"/>
      <c r="I2" s="125"/>
      <c r="J2" s="125"/>
      <c r="K2" s="89"/>
      <c r="L2" s="33"/>
    </row>
    <row r="3" spans="1:12" s="90" customFormat="1" ht="15.5">
      <c r="A3" s="126" t="s">
        <v>1699</v>
      </c>
      <c r="B3" s="126" t="s">
        <v>1700</v>
      </c>
      <c r="C3" s="127" t="s">
        <v>1701</v>
      </c>
      <c r="D3" s="117">
        <v>5980</v>
      </c>
      <c r="E3" s="29"/>
      <c r="F3" s="122"/>
      <c r="G3" s="123">
        <v>4</v>
      </c>
      <c r="H3" s="125"/>
      <c r="I3" s="125"/>
      <c r="J3" s="125">
        <v>2</v>
      </c>
      <c r="K3" s="54">
        <v>0.1</v>
      </c>
      <c r="L3" s="40">
        <f t="shared" ref="L3:L8" si="0">D3-(K3*D3)</f>
        <v>5382</v>
      </c>
    </row>
    <row r="4" spans="1:12" s="90" customFormat="1" ht="15.5" hidden="1">
      <c r="A4" s="126" t="s">
        <v>1702</v>
      </c>
      <c r="B4" s="126" t="s">
        <v>1703</v>
      </c>
      <c r="C4" s="127" t="s">
        <v>1704</v>
      </c>
      <c r="D4" s="117">
        <v>5980</v>
      </c>
      <c r="E4" s="29"/>
      <c r="F4" s="122"/>
      <c r="G4" s="128"/>
      <c r="H4" s="125"/>
      <c r="I4" s="125"/>
      <c r="J4" s="125"/>
      <c r="K4" s="54">
        <v>0.1</v>
      </c>
      <c r="L4" s="40">
        <f t="shared" si="0"/>
        <v>5382</v>
      </c>
    </row>
    <row r="5" spans="1:12" s="90" customFormat="1" ht="15.5">
      <c r="A5" s="126" t="s">
        <v>1705</v>
      </c>
      <c r="B5" s="126" t="s">
        <v>1706</v>
      </c>
      <c r="C5" s="127" t="s">
        <v>1707</v>
      </c>
      <c r="D5" s="117">
        <v>5980</v>
      </c>
      <c r="E5" s="29"/>
      <c r="F5" s="122"/>
      <c r="G5" s="123">
        <v>3</v>
      </c>
      <c r="H5" s="125"/>
      <c r="I5" s="125"/>
      <c r="J5" s="125">
        <v>1</v>
      </c>
      <c r="K5" s="54">
        <v>0.1</v>
      </c>
      <c r="L5" s="40">
        <f t="shared" si="0"/>
        <v>5382</v>
      </c>
    </row>
    <row r="6" spans="1:12" s="90" customFormat="1" ht="15.5">
      <c r="A6" s="126" t="s">
        <v>1708</v>
      </c>
      <c r="B6" s="126" t="s">
        <v>1709</v>
      </c>
      <c r="C6" s="127" t="s">
        <v>1710</v>
      </c>
      <c r="D6" s="117">
        <v>5980</v>
      </c>
      <c r="E6" s="29"/>
      <c r="F6" s="122"/>
      <c r="G6" s="123">
        <v>5</v>
      </c>
      <c r="H6" s="125"/>
      <c r="I6" s="125"/>
      <c r="J6" s="125">
        <v>1</v>
      </c>
      <c r="K6" s="54">
        <v>0.1</v>
      </c>
      <c r="L6" s="40">
        <f t="shared" si="0"/>
        <v>5382</v>
      </c>
    </row>
    <row r="7" spans="1:12" s="90" customFormat="1" ht="15.5">
      <c r="A7" s="126" t="s">
        <v>1711</v>
      </c>
      <c r="B7" s="126" t="s">
        <v>1712</v>
      </c>
      <c r="C7" s="127" t="s">
        <v>1713</v>
      </c>
      <c r="D7" s="117">
        <v>5980</v>
      </c>
      <c r="E7" s="29"/>
      <c r="F7" s="122"/>
      <c r="G7" s="123">
        <v>2</v>
      </c>
      <c r="H7" s="125"/>
      <c r="I7" s="125"/>
      <c r="J7" s="125">
        <v>1</v>
      </c>
      <c r="K7" s="54">
        <v>0.1</v>
      </c>
      <c r="L7" s="40">
        <f t="shared" si="0"/>
        <v>5382</v>
      </c>
    </row>
    <row r="8" spans="1:12" s="90" customFormat="1" ht="15.5">
      <c r="A8" s="126" t="s">
        <v>1714</v>
      </c>
      <c r="B8" s="126" t="s">
        <v>1715</v>
      </c>
      <c r="C8" s="127" t="s">
        <v>1716</v>
      </c>
      <c r="D8" s="117">
        <v>5980</v>
      </c>
      <c r="E8" s="29"/>
      <c r="F8" s="122"/>
      <c r="G8" s="123">
        <v>2</v>
      </c>
      <c r="H8" s="125"/>
      <c r="I8" s="125"/>
      <c r="J8" s="125">
        <v>1</v>
      </c>
      <c r="K8" s="54">
        <v>0.1</v>
      </c>
      <c r="L8" s="40">
        <f t="shared" si="0"/>
        <v>5382</v>
      </c>
    </row>
    <row r="9" spans="1:12" ht="15.5">
      <c r="A9" s="46" t="s">
        <v>845</v>
      </c>
      <c r="B9" s="46" t="s">
        <v>846</v>
      </c>
      <c r="C9" s="45" t="s">
        <v>847</v>
      </c>
      <c r="D9" s="117">
        <v>5980</v>
      </c>
      <c r="E9" s="92">
        <v>9</v>
      </c>
      <c r="F9" s="123">
        <v>1</v>
      </c>
      <c r="G9" s="123">
        <f>+E9-F9</f>
        <v>8</v>
      </c>
      <c r="H9" s="123"/>
      <c r="I9" s="123"/>
      <c r="J9" s="123">
        <v>1</v>
      </c>
      <c r="K9" s="54">
        <v>0.1</v>
      </c>
      <c r="L9" s="40">
        <f t="shared" ref="L9:L34" si="1">D9-(K9*D9)</f>
        <v>5382</v>
      </c>
    </row>
    <row r="10" spans="1:12" ht="15.5">
      <c r="A10" s="46" t="s">
        <v>848</v>
      </c>
      <c r="B10" s="46" t="s">
        <v>849</v>
      </c>
      <c r="C10" s="45" t="s">
        <v>850</v>
      </c>
      <c r="D10" s="117">
        <v>5980</v>
      </c>
      <c r="E10" s="92">
        <v>2</v>
      </c>
      <c r="F10" s="123">
        <v>1</v>
      </c>
      <c r="G10" s="123">
        <f t="shared" ref="G10:G79" si="2">+E10-F10</f>
        <v>1</v>
      </c>
      <c r="H10" s="123"/>
      <c r="I10" s="123"/>
      <c r="J10" s="123">
        <v>1</v>
      </c>
      <c r="K10" s="54">
        <v>0.1</v>
      </c>
      <c r="L10" s="40">
        <f t="shared" si="1"/>
        <v>5382</v>
      </c>
    </row>
    <row r="11" spans="1:12" ht="15.5">
      <c r="A11" s="46" t="s">
        <v>851</v>
      </c>
      <c r="B11" s="46" t="s">
        <v>852</v>
      </c>
      <c r="C11" s="45" t="s">
        <v>853</v>
      </c>
      <c r="D11" s="117">
        <v>5980</v>
      </c>
      <c r="E11" s="92">
        <v>7</v>
      </c>
      <c r="F11" s="123">
        <v>1</v>
      </c>
      <c r="G11" s="123">
        <f t="shared" si="2"/>
        <v>6</v>
      </c>
      <c r="H11" s="123"/>
      <c r="I11" s="123">
        <v>1</v>
      </c>
      <c r="J11" s="123">
        <v>2</v>
      </c>
      <c r="K11" s="54">
        <v>0.1</v>
      </c>
      <c r="L11" s="40">
        <f t="shared" si="1"/>
        <v>5382</v>
      </c>
    </row>
    <row r="12" spans="1:12" ht="15.5">
      <c r="A12" s="46" t="s">
        <v>854</v>
      </c>
      <c r="B12" s="46" t="s">
        <v>855</v>
      </c>
      <c r="C12" s="45" t="s">
        <v>856</v>
      </c>
      <c r="D12" s="117">
        <v>5980</v>
      </c>
      <c r="E12" s="92">
        <v>18</v>
      </c>
      <c r="F12" s="123">
        <v>1</v>
      </c>
      <c r="G12" s="123">
        <f t="shared" si="2"/>
        <v>17</v>
      </c>
      <c r="H12" s="123">
        <v>1</v>
      </c>
      <c r="I12" s="123">
        <v>2</v>
      </c>
      <c r="J12" s="123">
        <v>2</v>
      </c>
      <c r="K12" s="54">
        <v>0.1</v>
      </c>
      <c r="L12" s="40">
        <f t="shared" si="1"/>
        <v>5382</v>
      </c>
    </row>
    <row r="13" spans="1:12" ht="15.5">
      <c r="A13" s="46" t="s">
        <v>857</v>
      </c>
      <c r="B13" s="46" t="s">
        <v>858</v>
      </c>
      <c r="C13" s="45" t="s">
        <v>859</v>
      </c>
      <c r="D13" s="117">
        <v>5980</v>
      </c>
      <c r="E13" s="92">
        <v>17</v>
      </c>
      <c r="F13" s="123">
        <v>2</v>
      </c>
      <c r="G13" s="123">
        <f t="shared" si="2"/>
        <v>15</v>
      </c>
      <c r="H13" s="123"/>
      <c r="I13" s="123">
        <v>2</v>
      </c>
      <c r="J13" s="123">
        <v>3</v>
      </c>
      <c r="K13" s="54">
        <v>0.1</v>
      </c>
      <c r="L13" s="40">
        <f t="shared" si="1"/>
        <v>5382</v>
      </c>
    </row>
    <row r="14" spans="1:12" ht="15.5">
      <c r="A14" s="46" t="s">
        <v>860</v>
      </c>
      <c r="B14" s="46" t="s">
        <v>861</v>
      </c>
      <c r="C14" s="45" t="s">
        <v>862</v>
      </c>
      <c r="D14" s="117">
        <v>5980</v>
      </c>
      <c r="E14" s="92">
        <v>18</v>
      </c>
      <c r="F14" s="123">
        <v>2</v>
      </c>
      <c r="G14" s="123">
        <f t="shared" si="2"/>
        <v>16</v>
      </c>
      <c r="H14" s="123"/>
      <c r="I14" s="123">
        <v>2</v>
      </c>
      <c r="J14" s="123">
        <v>3</v>
      </c>
      <c r="K14" s="54">
        <v>0.1</v>
      </c>
      <c r="L14" s="40">
        <f t="shared" si="1"/>
        <v>5382</v>
      </c>
    </row>
    <row r="15" spans="1:12" ht="15.5">
      <c r="A15" s="46" t="s">
        <v>863</v>
      </c>
      <c r="B15" s="46" t="s">
        <v>864</v>
      </c>
      <c r="C15" s="45" t="s">
        <v>865</v>
      </c>
      <c r="D15" s="117">
        <v>5980</v>
      </c>
      <c r="E15" s="92">
        <v>15</v>
      </c>
      <c r="F15" s="123">
        <v>2</v>
      </c>
      <c r="G15" s="123">
        <f t="shared" si="2"/>
        <v>13</v>
      </c>
      <c r="H15" s="123"/>
      <c r="I15" s="123">
        <v>2</v>
      </c>
      <c r="J15" s="123">
        <v>2</v>
      </c>
      <c r="K15" s="54">
        <v>0.1</v>
      </c>
      <c r="L15" s="40">
        <f t="shared" si="1"/>
        <v>5382</v>
      </c>
    </row>
    <row r="16" spans="1:12" ht="15.5">
      <c r="A16" s="46" t="s">
        <v>866</v>
      </c>
      <c r="B16" s="46" t="s">
        <v>867</v>
      </c>
      <c r="C16" s="45" t="s">
        <v>868</v>
      </c>
      <c r="D16" s="117">
        <v>5980</v>
      </c>
      <c r="E16" s="92">
        <v>9</v>
      </c>
      <c r="F16" s="123">
        <v>1</v>
      </c>
      <c r="G16" s="123">
        <f t="shared" si="2"/>
        <v>8</v>
      </c>
      <c r="H16" s="123"/>
      <c r="I16" s="123">
        <v>1</v>
      </c>
      <c r="J16" s="123">
        <v>2</v>
      </c>
      <c r="K16" s="54">
        <v>0.1</v>
      </c>
      <c r="L16" s="40">
        <f t="shared" si="1"/>
        <v>5382</v>
      </c>
    </row>
    <row r="17" spans="1:12" ht="15.5">
      <c r="A17" s="46" t="s">
        <v>869</v>
      </c>
      <c r="B17" s="46" t="s">
        <v>870</v>
      </c>
      <c r="C17" s="45" t="s">
        <v>871</v>
      </c>
      <c r="D17" s="117">
        <v>5980</v>
      </c>
      <c r="E17" s="92">
        <v>5</v>
      </c>
      <c r="F17" s="123">
        <v>1</v>
      </c>
      <c r="G17" s="123">
        <f t="shared" si="2"/>
        <v>4</v>
      </c>
      <c r="H17" s="123"/>
      <c r="I17" s="123"/>
      <c r="J17" s="123">
        <v>1</v>
      </c>
      <c r="K17" s="54">
        <v>0.1</v>
      </c>
      <c r="L17" s="40">
        <f t="shared" si="1"/>
        <v>5382</v>
      </c>
    </row>
    <row r="18" spans="1:12" ht="15.5">
      <c r="A18" s="46" t="s">
        <v>872</v>
      </c>
      <c r="B18" s="46" t="s">
        <v>873</v>
      </c>
      <c r="C18" s="45" t="s">
        <v>874</v>
      </c>
      <c r="D18" s="117">
        <v>5980</v>
      </c>
      <c r="E18" s="92">
        <v>9</v>
      </c>
      <c r="F18" s="123">
        <v>1</v>
      </c>
      <c r="G18" s="123">
        <f t="shared" si="2"/>
        <v>8</v>
      </c>
      <c r="H18" s="123"/>
      <c r="I18" s="123"/>
      <c r="J18" s="123">
        <v>1</v>
      </c>
      <c r="K18" s="54">
        <v>0.1</v>
      </c>
      <c r="L18" s="40">
        <f t="shared" si="1"/>
        <v>5382</v>
      </c>
    </row>
    <row r="19" spans="1:12" ht="15.5">
      <c r="A19" s="46" t="s">
        <v>875</v>
      </c>
      <c r="B19" s="46" t="s">
        <v>876</v>
      </c>
      <c r="C19" s="45" t="s">
        <v>877</v>
      </c>
      <c r="D19" s="117">
        <v>5980</v>
      </c>
      <c r="E19" s="92">
        <v>12</v>
      </c>
      <c r="F19" s="123">
        <v>1</v>
      </c>
      <c r="G19" s="123">
        <f t="shared" si="2"/>
        <v>11</v>
      </c>
      <c r="H19" s="123"/>
      <c r="I19" s="123"/>
      <c r="J19" s="123">
        <v>1</v>
      </c>
      <c r="K19" s="54">
        <v>0.1</v>
      </c>
      <c r="L19" s="40">
        <f t="shared" si="1"/>
        <v>5382</v>
      </c>
    </row>
    <row r="20" spans="1:12" ht="15.5">
      <c r="A20" s="46" t="s">
        <v>878</v>
      </c>
      <c r="B20" s="46" t="s">
        <v>879</v>
      </c>
      <c r="C20" s="45" t="s">
        <v>880</v>
      </c>
      <c r="D20" s="117">
        <v>5980</v>
      </c>
      <c r="E20" s="92">
        <v>25</v>
      </c>
      <c r="F20" s="123">
        <v>1</v>
      </c>
      <c r="G20" s="123">
        <f t="shared" si="2"/>
        <v>24</v>
      </c>
      <c r="H20" s="123"/>
      <c r="I20" s="123">
        <v>1</v>
      </c>
      <c r="J20" s="123">
        <v>2</v>
      </c>
      <c r="K20" s="54">
        <v>0.1</v>
      </c>
      <c r="L20" s="40">
        <f t="shared" si="1"/>
        <v>5382</v>
      </c>
    </row>
    <row r="21" spans="1:12" ht="15.5">
      <c r="A21" s="46" t="s">
        <v>881</v>
      </c>
      <c r="B21" s="46" t="s">
        <v>882</v>
      </c>
      <c r="C21" s="45" t="s">
        <v>883</v>
      </c>
      <c r="D21" s="117">
        <v>5980</v>
      </c>
      <c r="E21" s="92">
        <v>34</v>
      </c>
      <c r="F21" s="123">
        <v>1</v>
      </c>
      <c r="G21" s="123">
        <f t="shared" si="2"/>
        <v>33</v>
      </c>
      <c r="H21" s="123"/>
      <c r="I21" s="123">
        <v>2</v>
      </c>
      <c r="J21" s="123">
        <v>2</v>
      </c>
      <c r="K21" s="54">
        <v>0.1</v>
      </c>
      <c r="L21" s="40">
        <f t="shared" si="1"/>
        <v>5382</v>
      </c>
    </row>
    <row r="22" spans="1:12" ht="15.5">
      <c r="A22" s="46" t="s">
        <v>884</v>
      </c>
      <c r="B22" s="46" t="s">
        <v>885</v>
      </c>
      <c r="C22" s="45" t="s">
        <v>886</v>
      </c>
      <c r="D22" s="117">
        <v>5980</v>
      </c>
      <c r="E22" s="92">
        <v>38</v>
      </c>
      <c r="F22" s="123">
        <v>2</v>
      </c>
      <c r="G22" s="123">
        <f t="shared" si="2"/>
        <v>36</v>
      </c>
      <c r="H22" s="123">
        <v>1</v>
      </c>
      <c r="I22" s="123">
        <v>2</v>
      </c>
      <c r="J22" s="123">
        <v>3</v>
      </c>
      <c r="K22" s="54">
        <v>0.1</v>
      </c>
      <c r="L22" s="40">
        <f t="shared" si="1"/>
        <v>5382</v>
      </c>
    </row>
    <row r="23" spans="1:12" ht="15.5">
      <c r="A23" s="46" t="s">
        <v>887</v>
      </c>
      <c r="B23" s="46" t="s">
        <v>888</v>
      </c>
      <c r="C23" s="45" t="s">
        <v>889</v>
      </c>
      <c r="D23" s="117">
        <v>5980</v>
      </c>
      <c r="E23" s="92">
        <v>32</v>
      </c>
      <c r="F23" s="123">
        <v>2</v>
      </c>
      <c r="G23" s="123">
        <f t="shared" si="2"/>
        <v>30</v>
      </c>
      <c r="H23" s="123"/>
      <c r="I23" s="123">
        <v>2</v>
      </c>
      <c r="J23" s="123">
        <v>3</v>
      </c>
      <c r="K23" s="54">
        <v>0.1</v>
      </c>
      <c r="L23" s="40">
        <f t="shared" si="1"/>
        <v>5382</v>
      </c>
    </row>
    <row r="24" spans="1:12" ht="15.5">
      <c r="A24" s="46" t="s">
        <v>890</v>
      </c>
      <c r="B24" s="46" t="s">
        <v>891</v>
      </c>
      <c r="C24" s="45" t="s">
        <v>892</v>
      </c>
      <c r="D24" s="117">
        <v>5980</v>
      </c>
      <c r="E24" s="92">
        <v>17</v>
      </c>
      <c r="F24" s="123">
        <v>2</v>
      </c>
      <c r="G24" s="123">
        <f t="shared" si="2"/>
        <v>15</v>
      </c>
      <c r="H24" s="123"/>
      <c r="I24" s="123">
        <v>2</v>
      </c>
      <c r="J24" s="123">
        <v>2</v>
      </c>
      <c r="K24" s="54">
        <v>0.1</v>
      </c>
      <c r="L24" s="40">
        <f t="shared" si="1"/>
        <v>5382</v>
      </c>
    </row>
    <row r="25" spans="1:12" ht="15.5">
      <c r="A25" s="46" t="s">
        <v>893</v>
      </c>
      <c r="B25" s="46" t="s">
        <v>894</v>
      </c>
      <c r="C25" s="45" t="s">
        <v>895</v>
      </c>
      <c r="D25" s="117">
        <v>5980</v>
      </c>
      <c r="E25" s="92">
        <v>12</v>
      </c>
      <c r="F25" s="123">
        <v>1</v>
      </c>
      <c r="G25" s="123">
        <f t="shared" si="2"/>
        <v>11</v>
      </c>
      <c r="H25" s="123"/>
      <c r="I25" s="123">
        <v>1</v>
      </c>
      <c r="J25" s="123">
        <v>2</v>
      </c>
      <c r="K25" s="54">
        <v>0.1</v>
      </c>
      <c r="L25" s="40">
        <f t="shared" si="1"/>
        <v>5382</v>
      </c>
    </row>
    <row r="26" spans="1:12" ht="15.5">
      <c r="A26" s="46" t="s">
        <v>896</v>
      </c>
      <c r="B26" s="46" t="s">
        <v>897</v>
      </c>
      <c r="C26" s="45" t="s">
        <v>898</v>
      </c>
      <c r="D26" s="117">
        <v>5980</v>
      </c>
      <c r="E26" s="92">
        <v>6</v>
      </c>
      <c r="F26" s="123">
        <v>1</v>
      </c>
      <c r="G26" s="123">
        <f t="shared" si="2"/>
        <v>5</v>
      </c>
      <c r="H26" s="123"/>
      <c r="I26" s="123"/>
      <c r="J26" s="123">
        <v>1</v>
      </c>
      <c r="K26" s="54">
        <v>0.1</v>
      </c>
      <c r="L26" s="40">
        <f t="shared" si="1"/>
        <v>5382</v>
      </c>
    </row>
    <row r="27" spans="1:12" ht="15.5">
      <c r="A27" s="46" t="s">
        <v>899</v>
      </c>
      <c r="B27" s="46" t="s">
        <v>900</v>
      </c>
      <c r="C27" s="45" t="s">
        <v>901</v>
      </c>
      <c r="D27" s="117">
        <v>5980</v>
      </c>
      <c r="E27" s="92">
        <v>6</v>
      </c>
      <c r="F27" s="123">
        <v>1</v>
      </c>
      <c r="G27" s="123">
        <f t="shared" si="2"/>
        <v>5</v>
      </c>
      <c r="H27" s="123"/>
      <c r="I27" s="123"/>
      <c r="J27" s="123">
        <v>1</v>
      </c>
      <c r="K27" s="54">
        <v>0.1</v>
      </c>
      <c r="L27" s="40">
        <f t="shared" si="1"/>
        <v>5382</v>
      </c>
    </row>
    <row r="28" spans="1:12" ht="15.5">
      <c r="A28" s="46" t="s">
        <v>902</v>
      </c>
      <c r="B28" s="46" t="s">
        <v>903</v>
      </c>
      <c r="C28" s="45" t="s">
        <v>904</v>
      </c>
      <c r="D28" s="117">
        <v>5980</v>
      </c>
      <c r="E28" s="92">
        <v>18</v>
      </c>
      <c r="F28" s="123">
        <v>1</v>
      </c>
      <c r="G28" s="123">
        <f t="shared" si="2"/>
        <v>17</v>
      </c>
      <c r="H28" s="123"/>
      <c r="I28" s="123">
        <v>1</v>
      </c>
      <c r="J28" s="123">
        <v>1</v>
      </c>
      <c r="K28" s="54">
        <v>0.1</v>
      </c>
      <c r="L28" s="40">
        <f t="shared" si="1"/>
        <v>5382</v>
      </c>
    </row>
    <row r="29" spans="1:12" ht="15.5">
      <c r="A29" s="46" t="s">
        <v>905</v>
      </c>
      <c r="B29" s="46" t="s">
        <v>906</v>
      </c>
      <c r="C29" s="45" t="s">
        <v>907</v>
      </c>
      <c r="D29" s="117">
        <v>5980</v>
      </c>
      <c r="E29" s="92">
        <v>28</v>
      </c>
      <c r="F29" s="123">
        <v>2</v>
      </c>
      <c r="G29" s="123">
        <f t="shared" si="2"/>
        <v>26</v>
      </c>
      <c r="H29" s="123"/>
      <c r="I29" s="123">
        <v>2</v>
      </c>
      <c r="J29" s="123">
        <v>2</v>
      </c>
      <c r="K29" s="54">
        <v>0.1</v>
      </c>
      <c r="L29" s="40">
        <f t="shared" si="1"/>
        <v>5382</v>
      </c>
    </row>
    <row r="30" spans="1:12" ht="15.5">
      <c r="A30" s="46" t="s">
        <v>908</v>
      </c>
      <c r="B30" s="46" t="s">
        <v>909</v>
      </c>
      <c r="C30" s="45" t="s">
        <v>910</v>
      </c>
      <c r="D30" s="117">
        <v>5980</v>
      </c>
      <c r="E30" s="92">
        <v>26</v>
      </c>
      <c r="F30" s="123">
        <v>2</v>
      </c>
      <c r="G30" s="123">
        <f t="shared" si="2"/>
        <v>24</v>
      </c>
      <c r="H30" s="123">
        <v>1</v>
      </c>
      <c r="I30" s="123">
        <v>2</v>
      </c>
      <c r="J30" s="123">
        <v>2</v>
      </c>
      <c r="K30" s="54">
        <v>0.1</v>
      </c>
      <c r="L30" s="40">
        <f t="shared" si="1"/>
        <v>5382</v>
      </c>
    </row>
    <row r="31" spans="1:12" ht="15.5">
      <c r="A31" s="46" t="s">
        <v>911</v>
      </c>
      <c r="B31" s="46" t="s">
        <v>912</v>
      </c>
      <c r="C31" s="45" t="s">
        <v>913</v>
      </c>
      <c r="D31" s="117">
        <v>5980</v>
      </c>
      <c r="E31" s="92">
        <v>10</v>
      </c>
      <c r="F31" s="123">
        <v>2</v>
      </c>
      <c r="G31" s="123">
        <f t="shared" si="2"/>
        <v>8</v>
      </c>
      <c r="H31" s="123"/>
      <c r="I31" s="123">
        <v>1</v>
      </c>
      <c r="J31" s="123">
        <v>2</v>
      </c>
      <c r="K31" s="54">
        <v>0.1</v>
      </c>
      <c r="L31" s="40">
        <f t="shared" si="1"/>
        <v>5382</v>
      </c>
    </row>
    <row r="32" spans="1:12" ht="15.5">
      <c r="A32" s="46" t="s">
        <v>914</v>
      </c>
      <c r="B32" s="46" t="s">
        <v>915</v>
      </c>
      <c r="C32" s="45" t="s">
        <v>916</v>
      </c>
      <c r="D32" s="117">
        <v>5980</v>
      </c>
      <c r="E32" s="92">
        <v>12</v>
      </c>
      <c r="F32" s="123">
        <v>1</v>
      </c>
      <c r="G32" s="123">
        <f t="shared" si="2"/>
        <v>11</v>
      </c>
      <c r="H32" s="123"/>
      <c r="I32" s="123">
        <v>1</v>
      </c>
      <c r="J32" s="123">
        <v>1</v>
      </c>
      <c r="K32" s="54">
        <v>0.1</v>
      </c>
      <c r="L32" s="40">
        <f t="shared" si="1"/>
        <v>5382</v>
      </c>
    </row>
    <row r="33" spans="1:12" ht="15.5">
      <c r="A33" s="46" t="s">
        <v>917</v>
      </c>
      <c r="B33" s="46" t="s">
        <v>918</v>
      </c>
      <c r="C33" s="45" t="s">
        <v>919</v>
      </c>
      <c r="D33" s="117">
        <v>5980</v>
      </c>
      <c r="E33" s="92">
        <v>10</v>
      </c>
      <c r="F33" s="123">
        <v>1</v>
      </c>
      <c r="G33" s="123">
        <f t="shared" si="2"/>
        <v>9</v>
      </c>
      <c r="H33" s="123"/>
      <c r="I33" s="123"/>
      <c r="J33" s="123">
        <v>1</v>
      </c>
      <c r="K33" s="54">
        <v>0.1</v>
      </c>
      <c r="L33" s="40">
        <f t="shared" si="1"/>
        <v>5382</v>
      </c>
    </row>
    <row r="34" spans="1:12" ht="15.5">
      <c r="A34" s="46" t="s">
        <v>920</v>
      </c>
      <c r="B34" s="46" t="s">
        <v>921</v>
      </c>
      <c r="C34" s="45" t="s">
        <v>922</v>
      </c>
      <c r="D34" s="117">
        <v>5980</v>
      </c>
      <c r="E34" s="92">
        <v>2</v>
      </c>
      <c r="F34" s="123">
        <v>1</v>
      </c>
      <c r="G34" s="123">
        <f t="shared" si="2"/>
        <v>1</v>
      </c>
      <c r="H34" s="123"/>
      <c r="I34" s="123"/>
      <c r="J34" s="123">
        <v>1</v>
      </c>
      <c r="K34" s="54">
        <v>0.1</v>
      </c>
      <c r="L34" s="40">
        <f t="shared" si="1"/>
        <v>5382</v>
      </c>
    </row>
    <row r="35" spans="1:12" ht="15.5">
      <c r="A35" s="126" t="s">
        <v>1717</v>
      </c>
      <c r="B35" s="126" t="s">
        <v>1718</v>
      </c>
      <c r="C35" s="127" t="s">
        <v>1719</v>
      </c>
      <c r="D35" s="117">
        <v>5980</v>
      </c>
      <c r="E35" s="92"/>
      <c r="F35" s="123"/>
      <c r="G35" s="123">
        <v>4</v>
      </c>
      <c r="H35" s="123"/>
      <c r="I35" s="123"/>
      <c r="J35" s="123">
        <v>1</v>
      </c>
      <c r="K35" s="54">
        <v>0.1</v>
      </c>
      <c r="L35" s="40">
        <f t="shared" ref="L35:L40" si="3">D35-(K35*D35)</f>
        <v>5382</v>
      </c>
    </row>
    <row r="36" spans="1:12" ht="15.5">
      <c r="A36" s="126" t="s">
        <v>1720</v>
      </c>
      <c r="B36" s="126" t="s">
        <v>1721</v>
      </c>
      <c r="C36" s="127" t="s">
        <v>1722</v>
      </c>
      <c r="D36" s="117">
        <v>5980</v>
      </c>
      <c r="E36" s="92"/>
      <c r="F36" s="123"/>
      <c r="G36" s="150">
        <v>7</v>
      </c>
      <c r="H36" s="123"/>
      <c r="I36" s="123"/>
      <c r="J36" s="123">
        <v>2</v>
      </c>
      <c r="K36" s="54">
        <v>0.1</v>
      </c>
      <c r="L36" s="40">
        <f t="shared" si="3"/>
        <v>5382</v>
      </c>
    </row>
    <row r="37" spans="1:12" ht="15.5">
      <c r="A37" s="126" t="s">
        <v>1723</v>
      </c>
      <c r="B37" s="126" t="s">
        <v>1724</v>
      </c>
      <c r="C37" s="127" t="s">
        <v>1725</v>
      </c>
      <c r="D37" s="117">
        <v>5980</v>
      </c>
      <c r="E37" s="92"/>
      <c r="F37" s="123"/>
      <c r="G37" s="150">
        <v>2</v>
      </c>
      <c r="H37" s="123"/>
      <c r="I37" s="123"/>
      <c r="J37" s="123">
        <v>2</v>
      </c>
      <c r="K37" s="54">
        <v>0.1</v>
      </c>
      <c r="L37" s="40">
        <f t="shared" si="3"/>
        <v>5382</v>
      </c>
    </row>
    <row r="38" spans="1:12" ht="15.5" hidden="1">
      <c r="A38" s="126" t="s">
        <v>1726</v>
      </c>
      <c r="B38" s="126" t="s">
        <v>1727</v>
      </c>
      <c r="C38" s="127" t="s">
        <v>1728</v>
      </c>
      <c r="D38" s="117">
        <v>5980</v>
      </c>
      <c r="E38" s="92"/>
      <c r="F38" s="123"/>
      <c r="G38" s="150">
        <v>0</v>
      </c>
      <c r="H38" s="123"/>
      <c r="I38" s="123"/>
      <c r="J38" s="123"/>
      <c r="K38" s="54">
        <v>0.1</v>
      </c>
      <c r="L38" s="40">
        <f t="shared" si="3"/>
        <v>5382</v>
      </c>
    </row>
    <row r="39" spans="1:12" ht="15.5">
      <c r="A39" s="126" t="s">
        <v>1729</v>
      </c>
      <c r="B39" s="126" t="s">
        <v>1730</v>
      </c>
      <c r="C39" s="127" t="s">
        <v>1731</v>
      </c>
      <c r="D39" s="117">
        <v>5980</v>
      </c>
      <c r="E39" s="92"/>
      <c r="F39" s="123"/>
      <c r="G39" s="150">
        <v>2</v>
      </c>
      <c r="H39" s="123"/>
      <c r="I39" s="123"/>
      <c r="J39" s="123">
        <v>1</v>
      </c>
      <c r="K39" s="54">
        <v>0.1</v>
      </c>
      <c r="L39" s="40">
        <f t="shared" si="3"/>
        <v>5382</v>
      </c>
    </row>
    <row r="40" spans="1:12" ht="15.5">
      <c r="A40" s="126" t="s">
        <v>1732</v>
      </c>
      <c r="B40" s="126" t="s">
        <v>1733</v>
      </c>
      <c r="C40" s="127" t="s">
        <v>1734</v>
      </c>
      <c r="D40" s="117">
        <v>5980</v>
      </c>
      <c r="E40" s="92"/>
      <c r="F40" s="123"/>
      <c r="G40" s="150">
        <v>3</v>
      </c>
      <c r="H40" s="123"/>
      <c r="I40" s="123"/>
      <c r="J40" s="123">
        <v>1</v>
      </c>
      <c r="K40" s="54">
        <v>0.1</v>
      </c>
      <c r="L40" s="40">
        <f t="shared" si="3"/>
        <v>5382</v>
      </c>
    </row>
    <row r="41" spans="1:12" ht="15.5">
      <c r="A41" s="46" t="s">
        <v>923</v>
      </c>
      <c r="B41" s="46" t="s">
        <v>924</v>
      </c>
      <c r="C41" s="45" t="s">
        <v>925</v>
      </c>
      <c r="D41" s="117">
        <v>5980</v>
      </c>
      <c r="E41" s="92">
        <v>2</v>
      </c>
      <c r="F41" s="123">
        <v>1</v>
      </c>
      <c r="G41" s="123">
        <f t="shared" si="2"/>
        <v>1</v>
      </c>
      <c r="H41" s="123"/>
      <c r="I41" s="123"/>
      <c r="J41" s="123">
        <v>1</v>
      </c>
      <c r="K41" s="54">
        <v>0.1</v>
      </c>
      <c r="L41" s="40">
        <f t="shared" ref="L41:L72" si="4">D41-(K41*D41)</f>
        <v>5382</v>
      </c>
    </row>
    <row r="42" spans="1:12" ht="15.5">
      <c r="A42" s="46" t="s">
        <v>926</v>
      </c>
      <c r="B42" s="46" t="s">
        <v>927</v>
      </c>
      <c r="C42" s="45" t="s">
        <v>928</v>
      </c>
      <c r="D42" s="117">
        <v>5980</v>
      </c>
      <c r="E42" s="92">
        <v>6</v>
      </c>
      <c r="F42" s="123">
        <v>1</v>
      </c>
      <c r="G42" s="123">
        <f t="shared" si="2"/>
        <v>5</v>
      </c>
      <c r="H42" s="123"/>
      <c r="I42" s="123"/>
      <c r="J42" s="123">
        <v>2</v>
      </c>
      <c r="K42" s="54">
        <v>0.1</v>
      </c>
      <c r="L42" s="40">
        <f t="shared" si="4"/>
        <v>5382</v>
      </c>
    </row>
    <row r="43" spans="1:12" ht="15.5">
      <c r="A43" s="46" t="s">
        <v>929</v>
      </c>
      <c r="B43" s="46" t="s">
        <v>930</v>
      </c>
      <c r="C43" s="45" t="s">
        <v>931</v>
      </c>
      <c r="D43" s="117">
        <v>5980</v>
      </c>
      <c r="E43" s="92">
        <v>12</v>
      </c>
      <c r="F43" s="123">
        <v>1</v>
      </c>
      <c r="G43" s="123">
        <f t="shared" si="2"/>
        <v>11</v>
      </c>
      <c r="H43" s="123"/>
      <c r="I43" s="123"/>
      <c r="J43" s="123">
        <v>2</v>
      </c>
      <c r="K43" s="54">
        <v>0.1</v>
      </c>
      <c r="L43" s="40">
        <f t="shared" si="4"/>
        <v>5382</v>
      </c>
    </row>
    <row r="44" spans="1:12" ht="15.5">
      <c r="A44" s="46" t="s">
        <v>932</v>
      </c>
      <c r="B44" s="46" t="s">
        <v>933</v>
      </c>
      <c r="C44" s="45" t="s">
        <v>934</v>
      </c>
      <c r="D44" s="117">
        <v>5980</v>
      </c>
      <c r="E44" s="92">
        <v>14</v>
      </c>
      <c r="F44" s="123">
        <v>1</v>
      </c>
      <c r="G44" s="123">
        <f t="shared" si="2"/>
        <v>13</v>
      </c>
      <c r="H44" s="123"/>
      <c r="I44" s="123"/>
      <c r="J44" s="123">
        <v>2</v>
      </c>
      <c r="K44" s="54">
        <v>0.1</v>
      </c>
      <c r="L44" s="40">
        <f t="shared" si="4"/>
        <v>5382</v>
      </c>
    </row>
    <row r="45" spans="1:12" ht="15.5">
      <c r="A45" s="46" t="s">
        <v>935</v>
      </c>
      <c r="B45" s="46" t="s">
        <v>936</v>
      </c>
      <c r="C45" s="45" t="s">
        <v>937</v>
      </c>
      <c r="D45" s="117">
        <v>5980</v>
      </c>
      <c r="E45" s="92">
        <v>2</v>
      </c>
      <c r="F45" s="123">
        <v>1</v>
      </c>
      <c r="G45" s="123">
        <f t="shared" si="2"/>
        <v>1</v>
      </c>
      <c r="H45" s="123"/>
      <c r="I45" s="123"/>
      <c r="J45" s="123">
        <v>1</v>
      </c>
      <c r="K45" s="54">
        <v>0.1</v>
      </c>
      <c r="L45" s="40">
        <f t="shared" si="4"/>
        <v>5382</v>
      </c>
    </row>
    <row r="46" spans="1:12" ht="15.5">
      <c r="A46" s="46" t="s">
        <v>938</v>
      </c>
      <c r="B46" s="46" t="s">
        <v>939</v>
      </c>
      <c r="C46" s="45" t="s">
        <v>940</v>
      </c>
      <c r="D46" s="117">
        <v>5980</v>
      </c>
      <c r="E46" s="92">
        <v>5</v>
      </c>
      <c r="F46" s="123">
        <v>1</v>
      </c>
      <c r="G46" s="123">
        <f t="shared" si="2"/>
        <v>4</v>
      </c>
      <c r="H46" s="123"/>
      <c r="I46" s="123"/>
      <c r="J46" s="123">
        <v>1</v>
      </c>
      <c r="K46" s="54">
        <v>0.1</v>
      </c>
      <c r="L46" s="40">
        <f t="shared" si="4"/>
        <v>5382</v>
      </c>
    </row>
    <row r="47" spans="1:12" ht="15.5">
      <c r="A47" s="46" t="s">
        <v>941</v>
      </c>
      <c r="B47" s="46" t="s">
        <v>942</v>
      </c>
      <c r="C47" s="45" t="s">
        <v>943</v>
      </c>
      <c r="D47" s="117">
        <v>5980</v>
      </c>
      <c r="E47" s="92">
        <v>2</v>
      </c>
      <c r="F47" s="123">
        <v>1</v>
      </c>
      <c r="G47" s="123">
        <f t="shared" si="2"/>
        <v>1</v>
      </c>
      <c r="H47" s="123"/>
      <c r="I47" s="123"/>
      <c r="J47" s="123">
        <v>1</v>
      </c>
      <c r="K47" s="54">
        <v>0.1</v>
      </c>
      <c r="L47" s="40">
        <f t="shared" si="4"/>
        <v>5382</v>
      </c>
    </row>
    <row r="48" spans="1:12" ht="15.5" hidden="1">
      <c r="A48" s="46" t="s">
        <v>944</v>
      </c>
      <c r="B48" s="46" t="s">
        <v>945</v>
      </c>
      <c r="C48" s="45" t="s">
        <v>946</v>
      </c>
      <c r="D48" s="117">
        <v>5980</v>
      </c>
      <c r="E48" s="92">
        <v>2</v>
      </c>
      <c r="F48" s="123">
        <v>2</v>
      </c>
      <c r="G48" s="123">
        <f t="shared" si="2"/>
        <v>0</v>
      </c>
      <c r="H48" s="123"/>
      <c r="I48" s="123"/>
      <c r="J48" s="123"/>
      <c r="K48" s="54">
        <v>0.1</v>
      </c>
      <c r="L48" s="40">
        <f t="shared" si="4"/>
        <v>5382</v>
      </c>
    </row>
    <row r="49" spans="1:12" ht="15.5">
      <c r="A49" s="46" t="s">
        <v>947</v>
      </c>
      <c r="B49" s="46" t="s">
        <v>948</v>
      </c>
      <c r="C49" s="45" t="s">
        <v>949</v>
      </c>
      <c r="D49" s="117">
        <v>5980</v>
      </c>
      <c r="E49" s="92">
        <v>13</v>
      </c>
      <c r="F49" s="123">
        <v>2</v>
      </c>
      <c r="G49" s="123">
        <f t="shared" si="2"/>
        <v>11</v>
      </c>
      <c r="H49" s="123">
        <v>1</v>
      </c>
      <c r="I49" s="123"/>
      <c r="J49" s="123">
        <v>1</v>
      </c>
      <c r="K49" s="54">
        <v>0.1</v>
      </c>
      <c r="L49" s="40">
        <f t="shared" si="4"/>
        <v>5382</v>
      </c>
    </row>
    <row r="50" spans="1:12" ht="15.5">
      <c r="A50" s="46" t="s">
        <v>950</v>
      </c>
      <c r="B50" s="46" t="s">
        <v>951</v>
      </c>
      <c r="C50" s="45" t="s">
        <v>952</v>
      </c>
      <c r="D50" s="117">
        <v>5980</v>
      </c>
      <c r="E50" s="92">
        <v>4</v>
      </c>
      <c r="F50" s="123">
        <v>2</v>
      </c>
      <c r="G50" s="123">
        <f t="shared" si="2"/>
        <v>2</v>
      </c>
      <c r="H50" s="123"/>
      <c r="I50" s="123"/>
      <c r="J50" s="123">
        <v>1</v>
      </c>
      <c r="K50" s="54">
        <v>0.1</v>
      </c>
      <c r="L50" s="40">
        <f t="shared" si="4"/>
        <v>5382</v>
      </c>
    </row>
    <row r="51" spans="1:12" ht="15.5">
      <c r="A51" s="46" t="s">
        <v>953</v>
      </c>
      <c r="B51" s="46" t="s">
        <v>954</v>
      </c>
      <c r="C51" s="45" t="s">
        <v>955</v>
      </c>
      <c r="D51" s="117">
        <v>5980</v>
      </c>
      <c r="E51" s="92">
        <v>4</v>
      </c>
      <c r="F51" s="123">
        <v>1</v>
      </c>
      <c r="G51" s="123">
        <f t="shared" si="2"/>
        <v>3</v>
      </c>
      <c r="H51" s="123"/>
      <c r="I51" s="123"/>
      <c r="J51" s="123">
        <v>1</v>
      </c>
      <c r="K51" s="54">
        <v>0.1</v>
      </c>
      <c r="L51" s="40">
        <f t="shared" si="4"/>
        <v>5382</v>
      </c>
    </row>
    <row r="52" spans="1:12" ht="15.5">
      <c r="A52" s="46" t="s">
        <v>956</v>
      </c>
      <c r="B52" s="46" t="s">
        <v>957</v>
      </c>
      <c r="C52" s="45" t="s">
        <v>958</v>
      </c>
      <c r="D52" s="117">
        <v>5980</v>
      </c>
      <c r="E52" s="92">
        <v>2</v>
      </c>
      <c r="F52" s="123">
        <v>1</v>
      </c>
      <c r="G52" s="123">
        <f t="shared" si="2"/>
        <v>1</v>
      </c>
      <c r="H52" s="123"/>
      <c r="I52" s="123"/>
      <c r="J52" s="123">
        <v>1</v>
      </c>
      <c r="K52" s="54">
        <v>0.1</v>
      </c>
      <c r="L52" s="40">
        <f t="shared" si="4"/>
        <v>5382</v>
      </c>
    </row>
    <row r="53" spans="1:12" ht="15.5">
      <c r="A53" s="46" t="s">
        <v>959</v>
      </c>
      <c r="B53" s="46" t="s">
        <v>960</v>
      </c>
      <c r="C53" s="45" t="s">
        <v>961</v>
      </c>
      <c r="D53" s="117">
        <v>5980</v>
      </c>
      <c r="E53" s="92">
        <v>15</v>
      </c>
      <c r="F53" s="123">
        <v>2</v>
      </c>
      <c r="G53" s="123">
        <f t="shared" si="2"/>
        <v>13</v>
      </c>
      <c r="H53" s="123"/>
      <c r="I53" s="123"/>
      <c r="J53" s="123">
        <v>1</v>
      </c>
      <c r="K53" s="54">
        <v>0.1</v>
      </c>
      <c r="L53" s="40">
        <f t="shared" si="4"/>
        <v>5382</v>
      </c>
    </row>
    <row r="54" spans="1:12" ht="15.5">
      <c r="A54" s="46" t="s">
        <v>962</v>
      </c>
      <c r="B54" s="46" t="s">
        <v>963</v>
      </c>
      <c r="C54" s="45" t="s">
        <v>964</v>
      </c>
      <c r="D54" s="117">
        <v>5980</v>
      </c>
      <c r="E54" s="92">
        <v>20</v>
      </c>
      <c r="F54" s="123">
        <v>2</v>
      </c>
      <c r="G54" s="123">
        <f t="shared" si="2"/>
        <v>18</v>
      </c>
      <c r="H54" s="123"/>
      <c r="I54" s="123"/>
      <c r="J54" s="123">
        <v>2</v>
      </c>
      <c r="K54" s="54">
        <v>0.1</v>
      </c>
      <c r="L54" s="40">
        <f t="shared" si="4"/>
        <v>5382</v>
      </c>
    </row>
    <row r="55" spans="1:12" ht="15.5">
      <c r="A55" s="46" t="s">
        <v>965</v>
      </c>
      <c r="B55" s="46" t="s">
        <v>966</v>
      </c>
      <c r="C55" s="45" t="s">
        <v>967</v>
      </c>
      <c r="D55" s="117">
        <v>5980</v>
      </c>
      <c r="E55" s="92">
        <v>6</v>
      </c>
      <c r="F55" s="123">
        <v>2</v>
      </c>
      <c r="G55" s="123">
        <f t="shared" si="2"/>
        <v>4</v>
      </c>
      <c r="H55" s="123">
        <v>1</v>
      </c>
      <c r="I55" s="123"/>
      <c r="J55" s="123">
        <v>2</v>
      </c>
      <c r="K55" s="54">
        <v>0.1</v>
      </c>
      <c r="L55" s="40">
        <f t="shared" si="4"/>
        <v>5382</v>
      </c>
    </row>
    <row r="56" spans="1:12" ht="15.5">
      <c r="A56" s="46" t="s">
        <v>968</v>
      </c>
      <c r="B56" s="46" t="s">
        <v>969</v>
      </c>
      <c r="C56" s="45" t="s">
        <v>970</v>
      </c>
      <c r="D56" s="117">
        <v>5980</v>
      </c>
      <c r="E56" s="92">
        <v>6</v>
      </c>
      <c r="F56" s="123">
        <v>1</v>
      </c>
      <c r="G56" s="123">
        <f t="shared" si="2"/>
        <v>5</v>
      </c>
      <c r="H56" s="123"/>
      <c r="I56" s="123"/>
      <c r="J56" s="123">
        <v>1</v>
      </c>
      <c r="K56" s="54">
        <v>0.1</v>
      </c>
      <c r="L56" s="40">
        <f t="shared" si="4"/>
        <v>5382</v>
      </c>
    </row>
    <row r="57" spans="1:12" ht="15.5">
      <c r="A57" s="46" t="s">
        <v>971</v>
      </c>
      <c r="B57" s="46" t="s">
        <v>972</v>
      </c>
      <c r="C57" s="45" t="s">
        <v>973</v>
      </c>
      <c r="D57" s="117">
        <v>5980</v>
      </c>
      <c r="E57" s="92">
        <v>5</v>
      </c>
      <c r="F57" s="123">
        <v>1</v>
      </c>
      <c r="G57" s="123">
        <f t="shared" si="2"/>
        <v>4</v>
      </c>
      <c r="H57" s="123"/>
      <c r="I57" s="123"/>
      <c r="J57" s="123">
        <v>1</v>
      </c>
      <c r="K57" s="54">
        <v>0.1</v>
      </c>
      <c r="L57" s="40">
        <f t="shared" si="4"/>
        <v>5382</v>
      </c>
    </row>
    <row r="58" spans="1:12" ht="15.5">
      <c r="A58" s="46" t="s">
        <v>974</v>
      </c>
      <c r="B58" s="46" t="s">
        <v>975</v>
      </c>
      <c r="C58" s="93" t="s">
        <v>976</v>
      </c>
      <c r="D58" s="117">
        <v>5980</v>
      </c>
      <c r="E58" s="92">
        <v>12</v>
      </c>
      <c r="F58" s="123">
        <v>1</v>
      </c>
      <c r="G58" s="123">
        <f t="shared" si="2"/>
        <v>11</v>
      </c>
      <c r="H58" s="123"/>
      <c r="I58" s="123">
        <v>1</v>
      </c>
      <c r="J58" s="123">
        <v>1</v>
      </c>
      <c r="K58" s="54">
        <v>0.1</v>
      </c>
      <c r="L58" s="40">
        <f t="shared" si="4"/>
        <v>5382</v>
      </c>
    </row>
    <row r="59" spans="1:12" ht="15.5">
      <c r="A59" s="46" t="s">
        <v>977</v>
      </c>
      <c r="B59" s="46" t="s">
        <v>978</v>
      </c>
      <c r="C59" s="93" t="s">
        <v>979</v>
      </c>
      <c r="D59" s="117">
        <v>5980</v>
      </c>
      <c r="E59" s="92">
        <v>16</v>
      </c>
      <c r="F59" s="123">
        <v>1</v>
      </c>
      <c r="G59" s="123">
        <f t="shared" si="2"/>
        <v>15</v>
      </c>
      <c r="H59" s="123"/>
      <c r="I59" s="123">
        <v>2</v>
      </c>
      <c r="J59" s="123">
        <v>2</v>
      </c>
      <c r="K59" s="54">
        <v>0.1</v>
      </c>
      <c r="L59" s="40">
        <f t="shared" si="4"/>
        <v>5382</v>
      </c>
    </row>
    <row r="60" spans="1:12" ht="15.5">
      <c r="A60" s="46" t="s">
        <v>980</v>
      </c>
      <c r="B60" s="46" t="s">
        <v>981</v>
      </c>
      <c r="C60" s="93" t="s">
        <v>982</v>
      </c>
      <c r="D60" s="117">
        <v>5980</v>
      </c>
      <c r="E60" s="92">
        <v>11</v>
      </c>
      <c r="F60" s="123">
        <v>1</v>
      </c>
      <c r="G60" s="123">
        <f t="shared" si="2"/>
        <v>10</v>
      </c>
      <c r="H60" s="123"/>
      <c r="I60" s="123">
        <v>2</v>
      </c>
      <c r="J60" s="123">
        <v>2</v>
      </c>
      <c r="K60" s="54">
        <v>0.1</v>
      </c>
      <c r="L60" s="40">
        <f t="shared" si="4"/>
        <v>5382</v>
      </c>
    </row>
    <row r="61" spans="1:12" ht="15.5">
      <c r="A61" s="46" t="s">
        <v>983</v>
      </c>
      <c r="B61" s="46" t="s">
        <v>984</v>
      </c>
      <c r="C61" s="93" t="s">
        <v>985</v>
      </c>
      <c r="D61" s="117">
        <v>5980</v>
      </c>
      <c r="E61" s="92">
        <v>6</v>
      </c>
      <c r="F61" s="123">
        <v>1</v>
      </c>
      <c r="G61" s="123">
        <f t="shared" si="2"/>
        <v>5</v>
      </c>
      <c r="H61" s="123">
        <v>1</v>
      </c>
      <c r="I61" s="123">
        <v>1</v>
      </c>
      <c r="J61" s="123">
        <v>1</v>
      </c>
      <c r="K61" s="54">
        <v>0.1</v>
      </c>
      <c r="L61" s="40">
        <f t="shared" si="4"/>
        <v>5382</v>
      </c>
    </row>
    <row r="62" spans="1:12" ht="15.5">
      <c r="A62" s="46" t="s">
        <v>986</v>
      </c>
      <c r="B62" s="46" t="s">
        <v>987</v>
      </c>
      <c r="C62" s="93" t="s">
        <v>988</v>
      </c>
      <c r="D62" s="117">
        <v>5980</v>
      </c>
      <c r="E62" s="92">
        <v>2</v>
      </c>
      <c r="F62" s="123">
        <v>1</v>
      </c>
      <c r="G62" s="123">
        <f t="shared" si="2"/>
        <v>1</v>
      </c>
      <c r="H62" s="123"/>
      <c r="I62" s="123"/>
      <c r="J62" s="123">
        <v>1</v>
      </c>
      <c r="K62" s="54">
        <v>0.1</v>
      </c>
      <c r="L62" s="40">
        <f t="shared" si="4"/>
        <v>5382</v>
      </c>
    </row>
    <row r="63" spans="1:12" ht="15.5">
      <c r="A63" s="46" t="s">
        <v>989</v>
      </c>
      <c r="B63" s="46" t="s">
        <v>990</v>
      </c>
      <c r="C63" s="45" t="s">
        <v>991</v>
      </c>
      <c r="D63" s="117">
        <v>6200</v>
      </c>
      <c r="E63" s="92">
        <v>10</v>
      </c>
      <c r="F63" s="123">
        <v>1</v>
      </c>
      <c r="G63" s="123">
        <f t="shared" si="2"/>
        <v>9</v>
      </c>
      <c r="H63" s="123"/>
      <c r="I63" s="123"/>
      <c r="J63" s="123">
        <v>1</v>
      </c>
      <c r="K63" s="54">
        <v>0.1</v>
      </c>
      <c r="L63" s="40">
        <f t="shared" si="4"/>
        <v>5580</v>
      </c>
    </row>
    <row r="64" spans="1:12" ht="15.5">
      <c r="A64" s="46" t="s">
        <v>992</v>
      </c>
      <c r="B64" s="46" t="s">
        <v>993</v>
      </c>
      <c r="C64" s="45" t="s">
        <v>994</v>
      </c>
      <c r="D64" s="117">
        <v>6200</v>
      </c>
      <c r="E64" s="92">
        <v>10</v>
      </c>
      <c r="F64" s="123">
        <v>1</v>
      </c>
      <c r="G64" s="123">
        <f t="shared" si="2"/>
        <v>9</v>
      </c>
      <c r="H64" s="123"/>
      <c r="I64" s="123">
        <v>1</v>
      </c>
      <c r="J64" s="123">
        <v>1</v>
      </c>
      <c r="K64" s="54">
        <v>0.1</v>
      </c>
      <c r="L64" s="40">
        <f t="shared" si="4"/>
        <v>5580</v>
      </c>
    </row>
    <row r="65" spans="1:12" ht="15.5">
      <c r="A65" s="46" t="s">
        <v>995</v>
      </c>
      <c r="B65" s="46" t="s">
        <v>996</v>
      </c>
      <c r="C65" s="45" t="s">
        <v>997</v>
      </c>
      <c r="D65" s="117">
        <v>6200</v>
      </c>
      <c r="E65" s="92">
        <v>23</v>
      </c>
      <c r="F65" s="123">
        <v>1</v>
      </c>
      <c r="G65" s="123">
        <f t="shared" si="2"/>
        <v>22</v>
      </c>
      <c r="H65" s="123"/>
      <c r="I65" s="123">
        <v>1</v>
      </c>
      <c r="J65" s="123">
        <v>2</v>
      </c>
      <c r="K65" s="54">
        <v>0.1</v>
      </c>
      <c r="L65" s="40">
        <f t="shared" si="4"/>
        <v>5580</v>
      </c>
    </row>
    <row r="66" spans="1:12" ht="15.5">
      <c r="A66" s="46" t="s">
        <v>998</v>
      </c>
      <c r="B66" s="46" t="s">
        <v>999</v>
      </c>
      <c r="C66" s="45" t="s">
        <v>1000</v>
      </c>
      <c r="D66" s="117">
        <v>6200</v>
      </c>
      <c r="E66" s="92">
        <v>32</v>
      </c>
      <c r="F66" s="123">
        <v>2</v>
      </c>
      <c r="G66" s="123">
        <f t="shared" si="2"/>
        <v>30</v>
      </c>
      <c r="H66" s="123"/>
      <c r="I66" s="123">
        <v>2</v>
      </c>
      <c r="J66" s="123">
        <v>3</v>
      </c>
      <c r="K66" s="54">
        <v>0.1</v>
      </c>
      <c r="L66" s="40">
        <f t="shared" si="4"/>
        <v>5580</v>
      </c>
    </row>
    <row r="67" spans="1:12" ht="15.5">
      <c r="A67" s="46" t="s">
        <v>1001</v>
      </c>
      <c r="B67" s="46" t="s">
        <v>1002</v>
      </c>
      <c r="C67" s="45" t="s">
        <v>1003</v>
      </c>
      <c r="D67" s="117">
        <v>6200</v>
      </c>
      <c r="E67" s="92">
        <v>30</v>
      </c>
      <c r="F67" s="123">
        <v>2</v>
      </c>
      <c r="G67" s="123">
        <f t="shared" si="2"/>
        <v>28</v>
      </c>
      <c r="H67" s="123"/>
      <c r="I67" s="123">
        <v>2</v>
      </c>
      <c r="J67" s="123">
        <v>3</v>
      </c>
      <c r="K67" s="54">
        <v>0.1</v>
      </c>
      <c r="L67" s="40">
        <f t="shared" si="4"/>
        <v>5580</v>
      </c>
    </row>
    <row r="68" spans="1:12" ht="15.5">
      <c r="A68" s="46" t="s">
        <v>1004</v>
      </c>
      <c r="B68" s="46" t="s">
        <v>1005</v>
      </c>
      <c r="C68" s="45" t="s">
        <v>1006</v>
      </c>
      <c r="D68" s="117">
        <v>6200</v>
      </c>
      <c r="E68" s="92">
        <v>13</v>
      </c>
      <c r="F68" s="123">
        <v>2</v>
      </c>
      <c r="G68" s="123">
        <f t="shared" si="2"/>
        <v>11</v>
      </c>
      <c r="H68" s="123"/>
      <c r="I68" s="123">
        <v>2</v>
      </c>
      <c r="J68" s="123">
        <v>2</v>
      </c>
      <c r="K68" s="54">
        <v>0.1</v>
      </c>
      <c r="L68" s="40">
        <f t="shared" si="4"/>
        <v>5580</v>
      </c>
    </row>
    <row r="69" spans="1:12" ht="15.5">
      <c r="A69" s="46" t="s">
        <v>1007</v>
      </c>
      <c r="B69" s="46" t="s">
        <v>1008</v>
      </c>
      <c r="C69" s="45" t="s">
        <v>1009</v>
      </c>
      <c r="D69" s="117">
        <v>6200</v>
      </c>
      <c r="E69" s="92">
        <v>14</v>
      </c>
      <c r="F69" s="123">
        <v>1</v>
      </c>
      <c r="G69" s="123">
        <f t="shared" si="2"/>
        <v>13</v>
      </c>
      <c r="H69" s="123"/>
      <c r="I69" s="123">
        <v>1</v>
      </c>
      <c r="J69" s="123">
        <v>2</v>
      </c>
      <c r="K69" s="54">
        <v>0.1</v>
      </c>
      <c r="L69" s="40">
        <f t="shared" si="4"/>
        <v>5580</v>
      </c>
    </row>
    <row r="70" spans="1:12" ht="15.5">
      <c r="A70" s="46" t="s">
        <v>1010</v>
      </c>
      <c r="B70" s="46" t="s">
        <v>1011</v>
      </c>
      <c r="C70" s="45" t="s">
        <v>1012</v>
      </c>
      <c r="D70" s="117">
        <v>6200</v>
      </c>
      <c r="E70" s="92">
        <v>4</v>
      </c>
      <c r="F70" s="123">
        <v>1</v>
      </c>
      <c r="G70" s="123">
        <f t="shared" si="2"/>
        <v>3</v>
      </c>
      <c r="H70" s="123"/>
      <c r="I70" s="123"/>
      <c r="J70" s="123">
        <v>1</v>
      </c>
      <c r="K70" s="54">
        <v>0.1</v>
      </c>
      <c r="L70" s="40">
        <f t="shared" si="4"/>
        <v>5580</v>
      </c>
    </row>
    <row r="71" spans="1:12" ht="15.5">
      <c r="A71" s="46" t="s">
        <v>1013</v>
      </c>
      <c r="B71" s="46" t="s">
        <v>1014</v>
      </c>
      <c r="C71" s="45" t="s">
        <v>1015</v>
      </c>
      <c r="D71" s="117">
        <v>6200</v>
      </c>
      <c r="E71" s="92">
        <v>7</v>
      </c>
      <c r="F71" s="123">
        <v>1</v>
      </c>
      <c r="G71" s="123">
        <f t="shared" si="2"/>
        <v>6</v>
      </c>
      <c r="H71" s="123"/>
      <c r="I71" s="123"/>
      <c r="J71" s="123">
        <v>1</v>
      </c>
      <c r="K71" s="54">
        <v>0.1</v>
      </c>
      <c r="L71" s="40">
        <f t="shared" si="4"/>
        <v>5580</v>
      </c>
    </row>
    <row r="72" spans="1:12" ht="15.5">
      <c r="A72" s="46" t="s">
        <v>1016</v>
      </c>
      <c r="B72" s="46" t="s">
        <v>1017</v>
      </c>
      <c r="C72" s="45" t="s">
        <v>1018</v>
      </c>
      <c r="D72" s="117">
        <v>6200</v>
      </c>
      <c r="E72" s="92">
        <v>3</v>
      </c>
      <c r="F72" s="123">
        <v>1</v>
      </c>
      <c r="G72" s="123">
        <f t="shared" si="2"/>
        <v>2</v>
      </c>
      <c r="H72" s="123"/>
      <c r="I72" s="123"/>
      <c r="J72" s="123">
        <v>1</v>
      </c>
      <c r="K72" s="54">
        <v>0.1</v>
      </c>
      <c r="L72" s="40">
        <f t="shared" si="4"/>
        <v>5580</v>
      </c>
    </row>
    <row r="73" spans="1:12" ht="15.5">
      <c r="A73" s="46" t="s">
        <v>1019</v>
      </c>
      <c r="B73" s="46" t="s">
        <v>1020</v>
      </c>
      <c r="C73" s="45" t="s">
        <v>1021</v>
      </c>
      <c r="D73" s="117">
        <v>6200</v>
      </c>
      <c r="E73" s="92">
        <v>11</v>
      </c>
      <c r="F73" s="123">
        <v>1</v>
      </c>
      <c r="G73" s="123">
        <f t="shared" si="2"/>
        <v>10</v>
      </c>
      <c r="H73" s="123"/>
      <c r="I73" s="123">
        <v>1</v>
      </c>
      <c r="J73" s="123">
        <v>1</v>
      </c>
      <c r="K73" s="54">
        <v>0.1</v>
      </c>
      <c r="L73" s="40">
        <f t="shared" ref="L73:L104" si="5">D73-(K73*D73)</f>
        <v>5580</v>
      </c>
    </row>
    <row r="74" spans="1:12" ht="15.5">
      <c r="A74" s="46" t="s">
        <v>1022</v>
      </c>
      <c r="B74" s="46" t="s">
        <v>1023</v>
      </c>
      <c r="C74" s="45" t="s">
        <v>1024</v>
      </c>
      <c r="D74" s="117">
        <v>6200</v>
      </c>
      <c r="E74" s="92">
        <v>18</v>
      </c>
      <c r="F74" s="123">
        <v>2</v>
      </c>
      <c r="G74" s="123">
        <f t="shared" si="2"/>
        <v>16</v>
      </c>
      <c r="H74" s="123"/>
      <c r="I74" s="123">
        <v>2</v>
      </c>
      <c r="J74" s="123">
        <v>2</v>
      </c>
      <c r="K74" s="54">
        <v>0.1</v>
      </c>
      <c r="L74" s="40">
        <f t="shared" si="5"/>
        <v>5580</v>
      </c>
    </row>
    <row r="75" spans="1:12" ht="15.5">
      <c r="A75" s="46" t="s">
        <v>1025</v>
      </c>
      <c r="B75" s="46" t="s">
        <v>1026</v>
      </c>
      <c r="C75" s="45" t="s">
        <v>1027</v>
      </c>
      <c r="D75" s="117">
        <v>6200</v>
      </c>
      <c r="E75" s="92">
        <v>20</v>
      </c>
      <c r="F75" s="123">
        <v>2</v>
      </c>
      <c r="G75" s="123">
        <f t="shared" si="2"/>
        <v>18</v>
      </c>
      <c r="H75" s="123"/>
      <c r="I75" s="123">
        <v>2</v>
      </c>
      <c r="J75" s="123">
        <v>2</v>
      </c>
      <c r="K75" s="54">
        <v>0.1</v>
      </c>
      <c r="L75" s="40">
        <f t="shared" si="5"/>
        <v>5580</v>
      </c>
    </row>
    <row r="76" spans="1:12" ht="15.5">
      <c r="A76" s="46" t="s">
        <v>1028</v>
      </c>
      <c r="B76" s="46" t="s">
        <v>1029</v>
      </c>
      <c r="C76" s="45" t="s">
        <v>1030</v>
      </c>
      <c r="D76" s="117">
        <v>6200</v>
      </c>
      <c r="E76" s="92">
        <v>12</v>
      </c>
      <c r="F76" s="123">
        <v>1</v>
      </c>
      <c r="G76" s="123">
        <f t="shared" si="2"/>
        <v>11</v>
      </c>
      <c r="H76" s="123"/>
      <c r="I76" s="123">
        <v>1</v>
      </c>
      <c r="J76" s="123">
        <v>1</v>
      </c>
      <c r="K76" s="54">
        <v>0.1</v>
      </c>
      <c r="L76" s="40">
        <f t="shared" si="5"/>
        <v>5580</v>
      </c>
    </row>
    <row r="77" spans="1:12" ht="15.5">
      <c r="A77" s="46" t="s">
        <v>1031</v>
      </c>
      <c r="B77" s="46" t="s">
        <v>1032</v>
      </c>
      <c r="C77" s="45" t="s">
        <v>1033</v>
      </c>
      <c r="D77" s="117">
        <v>6200</v>
      </c>
      <c r="E77" s="92">
        <v>5</v>
      </c>
      <c r="F77" s="123">
        <v>1</v>
      </c>
      <c r="G77" s="123">
        <f t="shared" si="2"/>
        <v>4</v>
      </c>
      <c r="H77" s="123"/>
      <c r="I77" s="123">
        <v>1</v>
      </c>
      <c r="J77" s="123">
        <v>1</v>
      </c>
      <c r="K77" s="54">
        <v>0.1</v>
      </c>
      <c r="L77" s="40">
        <f t="shared" si="5"/>
        <v>5580</v>
      </c>
    </row>
    <row r="78" spans="1:12" ht="15.5" hidden="1">
      <c r="A78" s="46" t="s">
        <v>1034</v>
      </c>
      <c r="B78" s="46" t="s">
        <v>1035</v>
      </c>
      <c r="C78" s="45" t="s">
        <v>1036</v>
      </c>
      <c r="D78" s="117">
        <v>6200</v>
      </c>
      <c r="E78" s="92">
        <v>1</v>
      </c>
      <c r="F78" s="123">
        <v>1</v>
      </c>
      <c r="G78" s="123">
        <f t="shared" si="2"/>
        <v>0</v>
      </c>
      <c r="H78" s="123"/>
      <c r="I78" s="123"/>
      <c r="J78" s="123"/>
      <c r="K78" s="54">
        <v>0.1</v>
      </c>
      <c r="L78" s="40">
        <f t="shared" si="5"/>
        <v>5580</v>
      </c>
    </row>
    <row r="79" spans="1:12" ht="15.5">
      <c r="A79" s="46" t="s">
        <v>1037</v>
      </c>
      <c r="B79" s="46" t="s">
        <v>1038</v>
      </c>
      <c r="C79" s="45" t="s">
        <v>1039</v>
      </c>
      <c r="D79" s="117">
        <v>4800</v>
      </c>
      <c r="E79" s="92">
        <v>9</v>
      </c>
      <c r="F79" s="123">
        <v>1</v>
      </c>
      <c r="G79" s="123">
        <f t="shared" si="2"/>
        <v>8</v>
      </c>
      <c r="H79" s="123"/>
      <c r="I79" s="123"/>
      <c r="J79" s="123">
        <v>1</v>
      </c>
      <c r="K79" s="54">
        <v>0.1</v>
      </c>
      <c r="L79" s="40">
        <f t="shared" si="5"/>
        <v>4320</v>
      </c>
    </row>
    <row r="80" spans="1:12" ht="15.5">
      <c r="A80" s="46" t="s">
        <v>1040</v>
      </c>
      <c r="B80" s="46" t="s">
        <v>1041</v>
      </c>
      <c r="C80" s="45" t="s">
        <v>1042</v>
      </c>
      <c r="D80" s="117">
        <v>4980</v>
      </c>
      <c r="E80" s="92">
        <v>8</v>
      </c>
      <c r="F80" s="123">
        <v>2</v>
      </c>
      <c r="G80" s="123">
        <f t="shared" ref="G80:G148" si="6">+E80-F80</f>
        <v>6</v>
      </c>
      <c r="H80" s="123"/>
      <c r="I80" s="123">
        <v>1</v>
      </c>
      <c r="J80" s="123">
        <v>2</v>
      </c>
      <c r="K80" s="54">
        <v>0.1</v>
      </c>
      <c r="L80" s="40">
        <f t="shared" si="5"/>
        <v>4482</v>
      </c>
    </row>
    <row r="81" spans="1:12" ht="15.5">
      <c r="A81" s="46" t="s">
        <v>1043</v>
      </c>
      <c r="B81" s="46" t="s">
        <v>1044</v>
      </c>
      <c r="C81" s="45" t="s">
        <v>1045</v>
      </c>
      <c r="D81" s="117">
        <v>4980</v>
      </c>
      <c r="E81" s="92">
        <v>16</v>
      </c>
      <c r="F81" s="123">
        <v>2</v>
      </c>
      <c r="G81" s="123">
        <f t="shared" si="6"/>
        <v>14</v>
      </c>
      <c r="H81" s="123">
        <v>1</v>
      </c>
      <c r="I81" s="123">
        <v>1</v>
      </c>
      <c r="J81" s="123">
        <v>2</v>
      </c>
      <c r="K81" s="54">
        <v>0.1</v>
      </c>
      <c r="L81" s="40">
        <f t="shared" si="5"/>
        <v>4482</v>
      </c>
    </row>
    <row r="82" spans="1:12" ht="15.5">
      <c r="A82" s="46" t="s">
        <v>1046</v>
      </c>
      <c r="B82" s="46" t="s">
        <v>1047</v>
      </c>
      <c r="C82" s="45" t="s">
        <v>1048</v>
      </c>
      <c r="D82" s="117">
        <v>4980</v>
      </c>
      <c r="E82" s="92">
        <v>29</v>
      </c>
      <c r="F82" s="123">
        <v>3</v>
      </c>
      <c r="G82" s="123">
        <f t="shared" si="6"/>
        <v>26</v>
      </c>
      <c r="H82" s="123"/>
      <c r="I82" s="123">
        <v>2</v>
      </c>
      <c r="J82" s="123">
        <v>3</v>
      </c>
      <c r="K82" s="54">
        <v>0.1</v>
      </c>
      <c r="L82" s="40">
        <f t="shared" si="5"/>
        <v>4482</v>
      </c>
    </row>
    <row r="83" spans="1:12" ht="15.5">
      <c r="A83" s="46" t="s">
        <v>1049</v>
      </c>
      <c r="B83" s="46" t="s">
        <v>1050</v>
      </c>
      <c r="C83" s="45" t="s">
        <v>1051</v>
      </c>
      <c r="D83" s="117">
        <v>4980</v>
      </c>
      <c r="E83" s="92">
        <v>30</v>
      </c>
      <c r="F83" s="123">
        <v>3</v>
      </c>
      <c r="G83" s="123">
        <f t="shared" si="6"/>
        <v>27</v>
      </c>
      <c r="H83" s="123"/>
      <c r="I83" s="123">
        <v>2</v>
      </c>
      <c r="J83" s="123">
        <v>3</v>
      </c>
      <c r="K83" s="54">
        <v>0.1</v>
      </c>
      <c r="L83" s="40">
        <f t="shared" si="5"/>
        <v>4482</v>
      </c>
    </row>
    <row r="84" spans="1:12" ht="15.5">
      <c r="A84" s="46" t="s">
        <v>1052</v>
      </c>
      <c r="B84" s="46" t="s">
        <v>1053</v>
      </c>
      <c r="C84" s="45" t="s">
        <v>1054</v>
      </c>
      <c r="D84" s="117">
        <v>4980</v>
      </c>
      <c r="E84" s="92">
        <v>20</v>
      </c>
      <c r="F84" s="123">
        <v>2</v>
      </c>
      <c r="G84" s="123">
        <f t="shared" si="6"/>
        <v>18</v>
      </c>
      <c r="H84" s="123"/>
      <c r="I84" s="123">
        <v>1</v>
      </c>
      <c r="J84" s="123">
        <v>2</v>
      </c>
      <c r="K84" s="54">
        <v>0.1</v>
      </c>
      <c r="L84" s="40">
        <f t="shared" si="5"/>
        <v>4482</v>
      </c>
    </row>
    <row r="85" spans="1:12" ht="15.5">
      <c r="A85" s="46" t="s">
        <v>1055</v>
      </c>
      <c r="B85" s="46" t="s">
        <v>1056</v>
      </c>
      <c r="C85" s="45" t="s">
        <v>1057</v>
      </c>
      <c r="D85" s="117">
        <v>4980</v>
      </c>
      <c r="E85" s="92">
        <v>10</v>
      </c>
      <c r="F85" s="123">
        <v>2</v>
      </c>
      <c r="G85" s="123">
        <f t="shared" si="6"/>
        <v>8</v>
      </c>
      <c r="H85" s="123"/>
      <c r="I85" s="123">
        <v>1</v>
      </c>
      <c r="J85" s="123">
        <v>2</v>
      </c>
      <c r="K85" s="54">
        <v>0.1</v>
      </c>
      <c r="L85" s="40">
        <f t="shared" si="5"/>
        <v>4482</v>
      </c>
    </row>
    <row r="86" spans="1:12" ht="15.5">
      <c r="A86" s="46" t="s">
        <v>1058</v>
      </c>
      <c r="B86" s="46" t="s">
        <v>1059</v>
      </c>
      <c r="C86" s="45" t="s">
        <v>1060</v>
      </c>
      <c r="D86" s="117">
        <v>4980</v>
      </c>
      <c r="E86" s="92">
        <v>8</v>
      </c>
      <c r="F86" s="123">
        <v>1</v>
      </c>
      <c r="G86" s="123">
        <f t="shared" si="6"/>
        <v>7</v>
      </c>
      <c r="H86" s="123"/>
      <c r="I86" s="123">
        <v>1</v>
      </c>
      <c r="J86" s="123">
        <v>1</v>
      </c>
      <c r="K86" s="54">
        <v>0.1</v>
      </c>
      <c r="L86" s="40">
        <f t="shared" si="5"/>
        <v>4482</v>
      </c>
    </row>
    <row r="87" spans="1:12" ht="15.5">
      <c r="A87" s="46" t="s">
        <v>1061</v>
      </c>
      <c r="B87" s="46" t="s">
        <v>1062</v>
      </c>
      <c r="C87" s="93" t="s">
        <v>1063</v>
      </c>
      <c r="D87" s="117">
        <v>4980</v>
      </c>
      <c r="E87" s="92">
        <v>3</v>
      </c>
      <c r="F87" s="123">
        <v>1</v>
      </c>
      <c r="G87" s="123">
        <f t="shared" si="6"/>
        <v>2</v>
      </c>
      <c r="H87" s="123"/>
      <c r="I87" s="123"/>
      <c r="J87" s="123">
        <v>1</v>
      </c>
      <c r="K87" s="54">
        <v>0.1</v>
      </c>
      <c r="L87" s="40">
        <f t="shared" si="5"/>
        <v>4482</v>
      </c>
    </row>
    <row r="88" spans="1:12" ht="15.5">
      <c r="A88" s="46" t="s">
        <v>1064</v>
      </c>
      <c r="B88" s="46" t="s">
        <v>1065</v>
      </c>
      <c r="C88" s="93" t="s">
        <v>1066</v>
      </c>
      <c r="D88" s="117">
        <v>4980</v>
      </c>
      <c r="E88" s="92">
        <v>14</v>
      </c>
      <c r="F88" s="123">
        <v>1</v>
      </c>
      <c r="G88" s="123">
        <f t="shared" si="6"/>
        <v>13</v>
      </c>
      <c r="H88" s="123"/>
      <c r="I88" s="123">
        <v>1</v>
      </c>
      <c r="J88" s="123">
        <v>1</v>
      </c>
      <c r="K88" s="54">
        <v>0.1</v>
      </c>
      <c r="L88" s="40">
        <f t="shared" si="5"/>
        <v>4482</v>
      </c>
    </row>
    <row r="89" spans="1:12" ht="15.5">
      <c r="A89" s="46" t="s">
        <v>1067</v>
      </c>
      <c r="B89" s="46" t="s">
        <v>1068</v>
      </c>
      <c r="C89" s="45" t="s">
        <v>1069</v>
      </c>
      <c r="D89" s="117">
        <v>4980</v>
      </c>
      <c r="E89" s="92">
        <v>18</v>
      </c>
      <c r="F89" s="123">
        <v>2</v>
      </c>
      <c r="G89" s="123">
        <f t="shared" si="6"/>
        <v>16</v>
      </c>
      <c r="H89" s="123"/>
      <c r="I89" s="123">
        <v>1</v>
      </c>
      <c r="J89" s="123">
        <v>2</v>
      </c>
      <c r="K89" s="54">
        <v>0.1</v>
      </c>
      <c r="L89" s="40">
        <f t="shared" si="5"/>
        <v>4482</v>
      </c>
    </row>
    <row r="90" spans="1:12" ht="15.5">
      <c r="A90" s="46" t="s">
        <v>1070</v>
      </c>
      <c r="B90" s="46" t="s">
        <v>1071</v>
      </c>
      <c r="C90" s="45" t="s">
        <v>1072</v>
      </c>
      <c r="D90" s="117">
        <v>4980</v>
      </c>
      <c r="E90" s="92">
        <v>38</v>
      </c>
      <c r="F90" s="123">
        <v>2</v>
      </c>
      <c r="G90" s="123">
        <f t="shared" si="6"/>
        <v>36</v>
      </c>
      <c r="H90" s="123"/>
      <c r="I90" s="123">
        <v>2</v>
      </c>
      <c r="J90" s="123">
        <v>2</v>
      </c>
      <c r="K90" s="54">
        <v>0.1</v>
      </c>
      <c r="L90" s="40">
        <f t="shared" si="5"/>
        <v>4482</v>
      </c>
    </row>
    <row r="91" spans="1:12" ht="15.5">
      <c r="A91" s="46" t="s">
        <v>1073</v>
      </c>
      <c r="B91" s="46" t="s">
        <v>1074</v>
      </c>
      <c r="C91" s="45" t="s">
        <v>1075</v>
      </c>
      <c r="D91" s="117">
        <v>4980</v>
      </c>
      <c r="E91" s="92">
        <v>96</v>
      </c>
      <c r="F91" s="123">
        <v>3</v>
      </c>
      <c r="G91" s="123">
        <f t="shared" si="6"/>
        <v>93</v>
      </c>
      <c r="H91" s="123">
        <v>1</v>
      </c>
      <c r="I91" s="123">
        <v>2</v>
      </c>
      <c r="J91" s="123">
        <v>3</v>
      </c>
      <c r="K91" s="54">
        <v>0.1</v>
      </c>
      <c r="L91" s="40">
        <f t="shared" si="5"/>
        <v>4482</v>
      </c>
    </row>
    <row r="92" spans="1:12" ht="15.5">
      <c r="A92" s="46" t="s">
        <v>1076</v>
      </c>
      <c r="B92" s="46" t="s">
        <v>1077</v>
      </c>
      <c r="C92" s="45" t="s">
        <v>1078</v>
      </c>
      <c r="D92" s="117">
        <v>4980</v>
      </c>
      <c r="E92" s="92">
        <v>25</v>
      </c>
      <c r="F92" s="123">
        <v>3</v>
      </c>
      <c r="G92" s="123">
        <f t="shared" si="6"/>
        <v>22</v>
      </c>
      <c r="H92" s="123"/>
      <c r="I92" s="123">
        <v>2</v>
      </c>
      <c r="J92" s="123">
        <v>3</v>
      </c>
      <c r="K92" s="54">
        <v>0.1</v>
      </c>
      <c r="L92" s="40">
        <f t="shared" si="5"/>
        <v>4482</v>
      </c>
    </row>
    <row r="93" spans="1:12" ht="15.5">
      <c r="A93" s="46" t="s">
        <v>1079</v>
      </c>
      <c r="B93" s="46" t="s">
        <v>1080</v>
      </c>
      <c r="C93" s="45" t="s">
        <v>1081</v>
      </c>
      <c r="D93" s="117">
        <v>4980</v>
      </c>
      <c r="E93" s="92">
        <v>16</v>
      </c>
      <c r="F93" s="123">
        <v>2</v>
      </c>
      <c r="G93" s="123">
        <f t="shared" si="6"/>
        <v>14</v>
      </c>
      <c r="H93" s="123"/>
      <c r="I93" s="123">
        <v>2</v>
      </c>
      <c r="J93" s="123">
        <v>2</v>
      </c>
      <c r="K93" s="54">
        <v>0.1</v>
      </c>
      <c r="L93" s="40">
        <f t="shared" si="5"/>
        <v>4482</v>
      </c>
    </row>
    <row r="94" spans="1:12" ht="15.5">
      <c r="A94" s="46" t="s">
        <v>1082</v>
      </c>
      <c r="B94" s="46" t="s">
        <v>1083</v>
      </c>
      <c r="C94" s="45" t="s">
        <v>1084</v>
      </c>
      <c r="D94" s="117">
        <v>4980</v>
      </c>
      <c r="E94" s="92">
        <v>50</v>
      </c>
      <c r="F94" s="123">
        <v>2</v>
      </c>
      <c r="G94" s="123">
        <f t="shared" si="6"/>
        <v>48</v>
      </c>
      <c r="H94" s="123"/>
      <c r="I94" s="123">
        <v>1</v>
      </c>
      <c r="J94" s="123">
        <v>1</v>
      </c>
      <c r="K94" s="54">
        <v>0.1</v>
      </c>
      <c r="L94" s="40">
        <f t="shared" si="5"/>
        <v>4482</v>
      </c>
    </row>
    <row r="95" spans="1:12" ht="15.5">
      <c r="A95" s="46" t="s">
        <v>1085</v>
      </c>
      <c r="B95" s="46" t="s">
        <v>1086</v>
      </c>
      <c r="C95" s="93" t="s">
        <v>1087</v>
      </c>
      <c r="D95" s="117">
        <v>4980</v>
      </c>
      <c r="E95" s="92">
        <v>29</v>
      </c>
      <c r="F95" s="123">
        <v>1</v>
      </c>
      <c r="G95" s="123">
        <f t="shared" si="6"/>
        <v>28</v>
      </c>
      <c r="H95" s="123"/>
      <c r="I95" s="123">
        <v>1</v>
      </c>
      <c r="J95" s="123">
        <v>1</v>
      </c>
      <c r="K95" s="54">
        <v>0.1</v>
      </c>
      <c r="L95" s="40">
        <f t="shared" si="5"/>
        <v>4482</v>
      </c>
    </row>
    <row r="96" spans="1:12" ht="15.5">
      <c r="A96" s="46" t="s">
        <v>1088</v>
      </c>
      <c r="B96" s="46" t="s">
        <v>1089</v>
      </c>
      <c r="C96" s="93" t="s">
        <v>1090</v>
      </c>
      <c r="D96" s="117">
        <v>4980</v>
      </c>
      <c r="E96" s="92">
        <v>10</v>
      </c>
      <c r="F96" s="123">
        <v>1</v>
      </c>
      <c r="G96" s="123">
        <f t="shared" si="6"/>
        <v>9</v>
      </c>
      <c r="H96" s="123"/>
      <c r="I96" s="123">
        <v>1</v>
      </c>
      <c r="J96" s="123">
        <v>1</v>
      </c>
      <c r="K96" s="54">
        <v>0.1</v>
      </c>
      <c r="L96" s="40">
        <f t="shared" si="5"/>
        <v>4482</v>
      </c>
    </row>
    <row r="97" spans="1:12" ht="15.5">
      <c r="A97" s="46" t="s">
        <v>1091</v>
      </c>
      <c r="B97" s="46" t="s">
        <v>1092</v>
      </c>
      <c r="C97" s="45" t="s">
        <v>1093</v>
      </c>
      <c r="D97" s="117">
        <v>4980</v>
      </c>
      <c r="E97" s="92">
        <v>3</v>
      </c>
      <c r="F97" s="123">
        <v>1</v>
      </c>
      <c r="G97" s="123">
        <f t="shared" si="6"/>
        <v>2</v>
      </c>
      <c r="H97" s="123"/>
      <c r="I97" s="123"/>
      <c r="J97" s="123">
        <v>1</v>
      </c>
      <c r="K97" s="54">
        <v>0.1</v>
      </c>
      <c r="L97" s="40">
        <f t="shared" si="5"/>
        <v>4482</v>
      </c>
    </row>
    <row r="98" spans="1:12" ht="15.5">
      <c r="A98" s="46" t="s">
        <v>1094</v>
      </c>
      <c r="B98" s="46" t="s">
        <v>1095</v>
      </c>
      <c r="C98" s="45" t="s">
        <v>1096</v>
      </c>
      <c r="D98" s="117">
        <v>4980</v>
      </c>
      <c r="E98" s="92">
        <v>4</v>
      </c>
      <c r="F98" s="123">
        <v>1</v>
      </c>
      <c r="G98" s="123">
        <f t="shared" si="6"/>
        <v>3</v>
      </c>
      <c r="H98" s="123"/>
      <c r="I98" s="123"/>
      <c r="J98" s="123">
        <v>2</v>
      </c>
      <c r="K98" s="54">
        <v>0.1</v>
      </c>
      <c r="L98" s="40">
        <f t="shared" si="5"/>
        <v>4482</v>
      </c>
    </row>
    <row r="99" spans="1:12" ht="15.5">
      <c r="A99" s="46" t="s">
        <v>1097</v>
      </c>
      <c r="B99" s="46" t="s">
        <v>1098</v>
      </c>
      <c r="C99" s="45" t="s">
        <v>1099</v>
      </c>
      <c r="D99" s="117">
        <v>4980</v>
      </c>
      <c r="E99" s="92">
        <v>7</v>
      </c>
      <c r="F99" s="123">
        <v>1</v>
      </c>
      <c r="G99" s="123">
        <f t="shared" si="6"/>
        <v>6</v>
      </c>
      <c r="H99" s="123">
        <v>1</v>
      </c>
      <c r="I99" s="123"/>
      <c r="J99" s="123">
        <v>2</v>
      </c>
      <c r="K99" s="54">
        <v>0.1</v>
      </c>
      <c r="L99" s="40">
        <f t="shared" si="5"/>
        <v>4482</v>
      </c>
    </row>
    <row r="100" spans="1:12" ht="15.5">
      <c r="A100" s="46" t="s">
        <v>1100</v>
      </c>
      <c r="B100" s="46" t="s">
        <v>1101</v>
      </c>
      <c r="C100" s="45" t="s">
        <v>1102</v>
      </c>
      <c r="D100" s="117">
        <v>4980</v>
      </c>
      <c r="E100" s="92">
        <v>3</v>
      </c>
      <c r="F100" s="123">
        <v>1</v>
      </c>
      <c r="G100" s="123">
        <f t="shared" si="6"/>
        <v>2</v>
      </c>
      <c r="H100" s="123"/>
      <c r="I100" s="123"/>
      <c r="J100" s="123">
        <v>1</v>
      </c>
      <c r="K100" s="54">
        <v>0.1</v>
      </c>
      <c r="L100" s="40">
        <f t="shared" si="5"/>
        <v>4482</v>
      </c>
    </row>
    <row r="101" spans="1:12" ht="15.5">
      <c r="A101" s="46" t="s">
        <v>1103</v>
      </c>
      <c r="B101" s="46" t="s">
        <v>1104</v>
      </c>
      <c r="C101" s="45" t="s">
        <v>1105</v>
      </c>
      <c r="D101" s="117">
        <v>4980</v>
      </c>
      <c r="E101" s="92">
        <v>9</v>
      </c>
      <c r="F101" s="123">
        <v>1</v>
      </c>
      <c r="G101" s="123">
        <f t="shared" si="6"/>
        <v>8</v>
      </c>
      <c r="H101" s="123"/>
      <c r="I101" s="123"/>
      <c r="J101" s="123">
        <v>1</v>
      </c>
      <c r="K101" s="54">
        <v>0.1</v>
      </c>
      <c r="L101" s="40">
        <f t="shared" si="5"/>
        <v>4482</v>
      </c>
    </row>
    <row r="102" spans="1:12" ht="15.5">
      <c r="A102" s="46" t="s">
        <v>1106</v>
      </c>
      <c r="B102" s="46" t="s">
        <v>1107</v>
      </c>
      <c r="C102" s="45" t="s">
        <v>1108</v>
      </c>
      <c r="D102" s="117">
        <v>4980</v>
      </c>
      <c r="E102" s="92">
        <v>28</v>
      </c>
      <c r="F102" s="123">
        <v>1</v>
      </c>
      <c r="G102" s="123">
        <f t="shared" si="6"/>
        <v>27</v>
      </c>
      <c r="H102" s="123"/>
      <c r="I102" s="123"/>
      <c r="J102" s="123">
        <v>2</v>
      </c>
      <c r="K102" s="54">
        <v>0.1</v>
      </c>
      <c r="L102" s="40">
        <f t="shared" si="5"/>
        <v>4482</v>
      </c>
    </row>
    <row r="103" spans="1:12" ht="15.5">
      <c r="A103" s="46" t="s">
        <v>1109</v>
      </c>
      <c r="B103" s="46" t="s">
        <v>1110</v>
      </c>
      <c r="C103" s="45" t="s">
        <v>1111</v>
      </c>
      <c r="D103" s="117">
        <v>4980</v>
      </c>
      <c r="E103" s="92">
        <v>25</v>
      </c>
      <c r="F103" s="123">
        <v>1</v>
      </c>
      <c r="G103" s="123">
        <f t="shared" si="6"/>
        <v>24</v>
      </c>
      <c r="H103" s="123"/>
      <c r="I103" s="123"/>
      <c r="J103" s="123">
        <v>2</v>
      </c>
      <c r="K103" s="54">
        <v>0.1</v>
      </c>
      <c r="L103" s="40">
        <f t="shared" si="5"/>
        <v>4482</v>
      </c>
    </row>
    <row r="104" spans="1:12" ht="15.5">
      <c r="A104" s="46" t="s">
        <v>1112</v>
      </c>
      <c r="B104" s="46" t="s">
        <v>1113</v>
      </c>
      <c r="C104" s="45" t="s">
        <v>1114</v>
      </c>
      <c r="D104" s="117">
        <v>4980</v>
      </c>
      <c r="E104" s="92">
        <v>12</v>
      </c>
      <c r="F104" s="123">
        <v>1</v>
      </c>
      <c r="G104" s="123">
        <f t="shared" si="6"/>
        <v>11</v>
      </c>
      <c r="H104" s="123">
        <v>1</v>
      </c>
      <c r="I104" s="123"/>
      <c r="J104" s="123">
        <v>1</v>
      </c>
      <c r="K104" s="54">
        <v>0.1</v>
      </c>
      <c r="L104" s="40">
        <f t="shared" si="5"/>
        <v>4482</v>
      </c>
    </row>
    <row r="105" spans="1:12" ht="15.5">
      <c r="A105" s="126" t="s">
        <v>1735</v>
      </c>
      <c r="B105" s="126" t="s">
        <v>1736</v>
      </c>
      <c r="C105" s="127" t="s">
        <v>1737</v>
      </c>
      <c r="D105" s="117">
        <v>4980</v>
      </c>
      <c r="E105" s="92"/>
      <c r="F105" s="123"/>
      <c r="G105" s="123">
        <v>9</v>
      </c>
      <c r="H105" s="123"/>
      <c r="I105" s="123">
        <v>1</v>
      </c>
      <c r="J105" s="123">
        <v>1</v>
      </c>
      <c r="K105" s="54">
        <v>0.1</v>
      </c>
      <c r="L105" s="40">
        <f t="shared" ref="L105:L136" si="7">D105-(K105*D105)</f>
        <v>4482</v>
      </c>
    </row>
    <row r="106" spans="1:12" ht="15.5">
      <c r="A106" s="46" t="s">
        <v>1115</v>
      </c>
      <c r="B106" s="46" t="s">
        <v>1116</v>
      </c>
      <c r="C106" s="45" t="s">
        <v>1117</v>
      </c>
      <c r="D106" s="117">
        <v>4980</v>
      </c>
      <c r="E106" s="92">
        <v>24</v>
      </c>
      <c r="F106" s="123">
        <v>1</v>
      </c>
      <c r="G106" s="123">
        <f t="shared" si="6"/>
        <v>23</v>
      </c>
      <c r="H106" s="123"/>
      <c r="I106" s="123">
        <v>1</v>
      </c>
      <c r="J106" s="123">
        <v>1</v>
      </c>
      <c r="K106" s="54">
        <v>0.1</v>
      </c>
      <c r="L106" s="40">
        <f t="shared" si="7"/>
        <v>4482</v>
      </c>
    </row>
    <row r="107" spans="1:12" ht="15.5">
      <c r="A107" s="46" t="s">
        <v>1118</v>
      </c>
      <c r="B107" s="46" t="s">
        <v>1119</v>
      </c>
      <c r="C107" s="45" t="s">
        <v>1120</v>
      </c>
      <c r="D107" s="117">
        <v>4980</v>
      </c>
      <c r="E107" s="92">
        <v>49</v>
      </c>
      <c r="F107" s="123">
        <v>1</v>
      </c>
      <c r="G107" s="123">
        <f t="shared" si="6"/>
        <v>48</v>
      </c>
      <c r="H107" s="123"/>
      <c r="I107" s="123">
        <v>2</v>
      </c>
      <c r="J107" s="123">
        <v>2</v>
      </c>
      <c r="K107" s="54">
        <v>0.1</v>
      </c>
      <c r="L107" s="40">
        <f t="shared" si="7"/>
        <v>4482</v>
      </c>
    </row>
    <row r="108" spans="1:12" ht="15.5">
      <c r="A108" s="46" t="s">
        <v>1121</v>
      </c>
      <c r="B108" s="46" t="s">
        <v>1122</v>
      </c>
      <c r="C108" s="45" t="s">
        <v>1123</v>
      </c>
      <c r="D108" s="117">
        <v>4980</v>
      </c>
      <c r="E108" s="92">
        <v>37</v>
      </c>
      <c r="F108" s="123">
        <v>1</v>
      </c>
      <c r="G108" s="123">
        <f t="shared" si="6"/>
        <v>36</v>
      </c>
      <c r="H108" s="123"/>
      <c r="I108" s="123">
        <v>2</v>
      </c>
      <c r="J108" s="123">
        <v>2</v>
      </c>
      <c r="K108" s="54">
        <v>0.1</v>
      </c>
      <c r="L108" s="40">
        <f t="shared" si="7"/>
        <v>4482</v>
      </c>
    </row>
    <row r="109" spans="1:12" ht="15.5">
      <c r="A109" s="46" t="s">
        <v>1124</v>
      </c>
      <c r="B109" s="46" t="s">
        <v>1125</v>
      </c>
      <c r="C109" s="45" t="s">
        <v>1126</v>
      </c>
      <c r="D109" s="117">
        <v>4980</v>
      </c>
      <c r="E109" s="92">
        <v>26</v>
      </c>
      <c r="F109" s="123">
        <v>1</v>
      </c>
      <c r="G109" s="123">
        <f t="shared" si="6"/>
        <v>25</v>
      </c>
      <c r="H109" s="123"/>
      <c r="I109" s="123">
        <v>1</v>
      </c>
      <c r="J109" s="123">
        <v>1</v>
      </c>
      <c r="K109" s="54">
        <v>0.1</v>
      </c>
      <c r="L109" s="40">
        <f t="shared" si="7"/>
        <v>4482</v>
      </c>
    </row>
    <row r="110" spans="1:12" ht="15.5">
      <c r="A110" s="46" t="s">
        <v>1127</v>
      </c>
      <c r="B110" s="46" t="s">
        <v>1128</v>
      </c>
      <c r="C110" s="45" t="s">
        <v>1129</v>
      </c>
      <c r="D110" s="117">
        <v>4980</v>
      </c>
      <c r="E110" s="92">
        <v>12</v>
      </c>
      <c r="F110" s="123">
        <v>1</v>
      </c>
      <c r="G110" s="123">
        <f t="shared" si="6"/>
        <v>11</v>
      </c>
      <c r="H110" s="123">
        <v>1</v>
      </c>
      <c r="I110" s="123">
        <v>1</v>
      </c>
      <c r="J110" s="123">
        <v>1</v>
      </c>
      <c r="K110" s="54">
        <v>0.1</v>
      </c>
      <c r="L110" s="40">
        <f t="shared" si="7"/>
        <v>4482</v>
      </c>
    </row>
    <row r="111" spans="1:12" ht="15.5">
      <c r="A111" s="46" t="s">
        <v>1130</v>
      </c>
      <c r="B111" s="46" t="s">
        <v>1131</v>
      </c>
      <c r="C111" s="93" t="s">
        <v>1132</v>
      </c>
      <c r="D111" s="117">
        <v>4980</v>
      </c>
      <c r="E111" s="92">
        <v>3</v>
      </c>
      <c r="F111" s="123">
        <v>1</v>
      </c>
      <c r="G111" s="123">
        <f t="shared" si="6"/>
        <v>2</v>
      </c>
      <c r="H111" s="123"/>
      <c r="I111" s="123"/>
      <c r="J111" s="123">
        <v>1</v>
      </c>
      <c r="K111" s="54">
        <v>0.1</v>
      </c>
      <c r="L111" s="40">
        <f t="shared" si="7"/>
        <v>4482</v>
      </c>
    </row>
    <row r="112" spans="1:12" ht="15.5">
      <c r="A112" s="46" t="s">
        <v>1133</v>
      </c>
      <c r="B112" s="46" t="s">
        <v>1134</v>
      </c>
      <c r="C112" s="93" t="s">
        <v>1135</v>
      </c>
      <c r="D112" s="117">
        <v>4980</v>
      </c>
      <c r="E112" s="92">
        <v>8</v>
      </c>
      <c r="F112" s="123">
        <v>1</v>
      </c>
      <c r="G112" s="123">
        <f t="shared" si="6"/>
        <v>7</v>
      </c>
      <c r="H112" s="123"/>
      <c r="I112" s="123">
        <v>1</v>
      </c>
      <c r="J112" s="123">
        <v>1</v>
      </c>
      <c r="K112" s="54">
        <v>0.1</v>
      </c>
      <c r="L112" s="40">
        <f t="shared" si="7"/>
        <v>4482</v>
      </c>
    </row>
    <row r="113" spans="1:12" ht="15.5">
      <c r="A113" s="46" t="s">
        <v>1136</v>
      </c>
      <c r="B113" s="46" t="s">
        <v>1137</v>
      </c>
      <c r="C113" s="93" t="s">
        <v>1138</v>
      </c>
      <c r="D113" s="117">
        <v>4980</v>
      </c>
      <c r="E113" s="92">
        <v>12</v>
      </c>
      <c r="F113" s="123">
        <v>1</v>
      </c>
      <c r="G113" s="123">
        <f t="shared" si="6"/>
        <v>11</v>
      </c>
      <c r="H113" s="123"/>
      <c r="I113" s="123">
        <v>1</v>
      </c>
      <c r="J113" s="123">
        <v>2</v>
      </c>
      <c r="K113" s="54">
        <v>0.1</v>
      </c>
      <c r="L113" s="40">
        <f t="shared" si="7"/>
        <v>4482</v>
      </c>
    </row>
    <row r="114" spans="1:12" ht="15.5">
      <c r="A114" s="46" t="s">
        <v>1139</v>
      </c>
      <c r="B114" s="46" t="s">
        <v>1140</v>
      </c>
      <c r="C114" s="93" t="s">
        <v>1141</v>
      </c>
      <c r="D114" s="117">
        <v>4980</v>
      </c>
      <c r="E114" s="92">
        <v>21</v>
      </c>
      <c r="F114" s="123">
        <v>1</v>
      </c>
      <c r="G114" s="123">
        <f t="shared" si="6"/>
        <v>20</v>
      </c>
      <c r="H114" s="123"/>
      <c r="I114" s="123">
        <v>2</v>
      </c>
      <c r="J114" s="123">
        <v>2</v>
      </c>
      <c r="K114" s="54">
        <v>0.1</v>
      </c>
      <c r="L114" s="40">
        <f t="shared" si="7"/>
        <v>4482</v>
      </c>
    </row>
    <row r="115" spans="1:12" ht="15.5">
      <c r="A115" s="46" t="s">
        <v>1142</v>
      </c>
      <c r="B115" s="46" t="s">
        <v>1143</v>
      </c>
      <c r="C115" s="93" t="s">
        <v>1144</v>
      </c>
      <c r="D115" s="117">
        <v>4980</v>
      </c>
      <c r="E115" s="92">
        <v>18</v>
      </c>
      <c r="F115" s="123">
        <v>1</v>
      </c>
      <c r="G115" s="123">
        <f t="shared" si="6"/>
        <v>17</v>
      </c>
      <c r="H115" s="123"/>
      <c r="I115" s="123">
        <v>2</v>
      </c>
      <c r="J115" s="123">
        <v>2</v>
      </c>
      <c r="K115" s="54">
        <v>0.1</v>
      </c>
      <c r="L115" s="40">
        <f t="shared" si="7"/>
        <v>4482</v>
      </c>
    </row>
    <row r="116" spans="1:12" ht="15.5">
      <c r="A116" s="46" t="s">
        <v>1145</v>
      </c>
      <c r="B116" s="46" t="s">
        <v>1146</v>
      </c>
      <c r="C116" s="93" t="s">
        <v>1147</v>
      </c>
      <c r="D116" s="117">
        <v>4980</v>
      </c>
      <c r="E116" s="92">
        <v>12</v>
      </c>
      <c r="F116" s="123">
        <v>1</v>
      </c>
      <c r="G116" s="123">
        <f t="shared" si="6"/>
        <v>11</v>
      </c>
      <c r="H116" s="123"/>
      <c r="I116" s="123">
        <v>1</v>
      </c>
      <c r="J116" s="123">
        <v>1</v>
      </c>
      <c r="K116" s="54">
        <v>0.1</v>
      </c>
      <c r="L116" s="40">
        <f t="shared" si="7"/>
        <v>4482</v>
      </c>
    </row>
    <row r="117" spans="1:12" ht="15.5">
      <c r="A117" s="46" t="s">
        <v>1148</v>
      </c>
      <c r="B117" s="46" t="s">
        <v>1149</v>
      </c>
      <c r="C117" s="93" t="s">
        <v>1150</v>
      </c>
      <c r="D117" s="117">
        <v>4980</v>
      </c>
      <c r="E117" s="92">
        <v>6</v>
      </c>
      <c r="F117" s="123">
        <v>1</v>
      </c>
      <c r="G117" s="123">
        <f t="shared" si="6"/>
        <v>5</v>
      </c>
      <c r="H117" s="123"/>
      <c r="I117" s="123">
        <v>1</v>
      </c>
      <c r="J117" s="123">
        <v>1</v>
      </c>
      <c r="K117" s="54">
        <v>0.1</v>
      </c>
      <c r="L117" s="40">
        <f t="shared" si="7"/>
        <v>4482</v>
      </c>
    </row>
    <row r="118" spans="1:12" ht="15.5">
      <c r="A118" s="46" t="s">
        <v>1151</v>
      </c>
      <c r="B118" s="46" t="s">
        <v>1152</v>
      </c>
      <c r="C118" s="93" t="s">
        <v>1153</v>
      </c>
      <c r="D118" s="117">
        <v>4980</v>
      </c>
      <c r="E118" s="92">
        <v>3</v>
      </c>
      <c r="F118" s="123">
        <v>1</v>
      </c>
      <c r="G118" s="123">
        <f t="shared" si="6"/>
        <v>2</v>
      </c>
      <c r="H118" s="123">
        <v>1</v>
      </c>
      <c r="I118" s="123"/>
      <c r="J118" s="123">
        <v>1</v>
      </c>
      <c r="K118" s="54">
        <v>0.1</v>
      </c>
      <c r="L118" s="40">
        <f t="shared" si="7"/>
        <v>4482</v>
      </c>
    </row>
    <row r="119" spans="1:12" ht="15.5">
      <c r="A119" s="126" t="s">
        <v>1738</v>
      </c>
      <c r="B119" s="126" t="s">
        <v>1739</v>
      </c>
      <c r="C119" s="93"/>
      <c r="D119" s="117">
        <v>4980</v>
      </c>
      <c r="E119" s="92"/>
      <c r="F119" s="123"/>
      <c r="G119" s="123">
        <v>7</v>
      </c>
      <c r="H119" s="123"/>
      <c r="I119" s="123"/>
      <c r="J119" s="123">
        <v>1</v>
      </c>
      <c r="K119" s="54">
        <v>0.1</v>
      </c>
      <c r="L119" s="40">
        <f t="shared" ref="L119:L122" si="8">D119-(K119*D119)</f>
        <v>4482</v>
      </c>
    </row>
    <row r="120" spans="1:12" ht="15.5">
      <c r="A120" s="126" t="s">
        <v>1740</v>
      </c>
      <c r="B120" s="126" t="s">
        <v>1741</v>
      </c>
      <c r="C120" s="127" t="s">
        <v>1742</v>
      </c>
      <c r="D120" s="117">
        <v>4980</v>
      </c>
      <c r="E120" s="92"/>
      <c r="F120" s="123"/>
      <c r="G120" s="123">
        <v>6</v>
      </c>
      <c r="H120" s="123"/>
      <c r="I120" s="123"/>
      <c r="J120" s="123">
        <v>2</v>
      </c>
      <c r="K120" s="54">
        <v>0.1</v>
      </c>
      <c r="L120" s="40">
        <f t="shared" si="8"/>
        <v>4482</v>
      </c>
    </row>
    <row r="121" spans="1:12" ht="15.5">
      <c r="A121" s="126" t="s">
        <v>1743</v>
      </c>
      <c r="B121" s="126" t="s">
        <v>1744</v>
      </c>
      <c r="C121" s="127" t="s">
        <v>1745</v>
      </c>
      <c r="D121" s="117">
        <v>4980</v>
      </c>
      <c r="E121" s="92"/>
      <c r="F121" s="123"/>
      <c r="G121" s="123">
        <v>4</v>
      </c>
      <c r="H121" s="123"/>
      <c r="I121" s="123"/>
      <c r="J121" s="123">
        <v>2</v>
      </c>
      <c r="K121" s="54">
        <v>0.1</v>
      </c>
      <c r="L121" s="40">
        <f t="shared" si="8"/>
        <v>4482</v>
      </c>
    </row>
    <row r="122" spans="1:12" ht="15.5">
      <c r="A122" s="126" t="s">
        <v>1746</v>
      </c>
      <c r="B122" s="126" t="s">
        <v>1747</v>
      </c>
      <c r="C122" s="127" t="s">
        <v>1748</v>
      </c>
      <c r="D122" s="117">
        <v>4980</v>
      </c>
      <c r="E122" s="92"/>
      <c r="F122" s="123"/>
      <c r="G122" s="123">
        <v>4</v>
      </c>
      <c r="H122" s="123"/>
      <c r="I122" s="123"/>
      <c r="J122" s="123">
        <v>1</v>
      </c>
      <c r="K122" s="54">
        <v>0.1</v>
      </c>
      <c r="L122" s="40">
        <f t="shared" si="8"/>
        <v>4482</v>
      </c>
    </row>
    <row r="123" spans="1:12" ht="15.5">
      <c r="A123" s="46" t="s">
        <v>1154</v>
      </c>
      <c r="B123" s="46" t="s">
        <v>1155</v>
      </c>
      <c r="C123" s="45" t="s">
        <v>1156</v>
      </c>
      <c r="D123" s="117">
        <v>5200</v>
      </c>
      <c r="E123" s="92">
        <v>3</v>
      </c>
      <c r="F123" s="123">
        <v>1</v>
      </c>
      <c r="G123" s="123">
        <f t="shared" si="6"/>
        <v>2</v>
      </c>
      <c r="H123" s="123"/>
      <c r="I123" s="123"/>
      <c r="J123" s="123">
        <v>1</v>
      </c>
      <c r="K123" s="54">
        <v>0.1</v>
      </c>
      <c r="L123" s="40">
        <f t="shared" ref="L123:L154" si="9">D123-(K123*D123)</f>
        <v>4680</v>
      </c>
    </row>
    <row r="124" spans="1:12" ht="15.5">
      <c r="A124" s="46" t="s">
        <v>1157</v>
      </c>
      <c r="B124" s="46" t="s">
        <v>1158</v>
      </c>
      <c r="C124" s="45" t="s">
        <v>1159</v>
      </c>
      <c r="D124" s="117">
        <v>5200</v>
      </c>
      <c r="E124" s="92">
        <v>14</v>
      </c>
      <c r="F124" s="123">
        <v>1</v>
      </c>
      <c r="G124" s="123">
        <f t="shared" si="6"/>
        <v>13</v>
      </c>
      <c r="H124" s="123"/>
      <c r="I124" s="123">
        <v>1</v>
      </c>
      <c r="J124" s="123">
        <v>1</v>
      </c>
      <c r="K124" s="54">
        <v>0.1</v>
      </c>
      <c r="L124" s="40">
        <f t="shared" si="9"/>
        <v>4680</v>
      </c>
    </row>
    <row r="125" spans="1:12" ht="15.5">
      <c r="A125" s="46" t="s">
        <v>1160</v>
      </c>
      <c r="B125" s="46" t="s">
        <v>1161</v>
      </c>
      <c r="C125" s="45" t="s">
        <v>1162</v>
      </c>
      <c r="D125" s="117">
        <v>5200</v>
      </c>
      <c r="E125" s="92">
        <v>9</v>
      </c>
      <c r="F125" s="123">
        <v>2</v>
      </c>
      <c r="G125" s="123">
        <f t="shared" si="6"/>
        <v>7</v>
      </c>
      <c r="H125" s="123"/>
      <c r="I125" s="123">
        <v>2</v>
      </c>
      <c r="J125" s="123">
        <v>2</v>
      </c>
      <c r="K125" s="54">
        <v>0.1</v>
      </c>
      <c r="L125" s="40">
        <f t="shared" si="9"/>
        <v>4680</v>
      </c>
    </row>
    <row r="126" spans="1:12" ht="15.5">
      <c r="A126" s="46" t="s">
        <v>1163</v>
      </c>
      <c r="B126" s="46" t="s">
        <v>1164</v>
      </c>
      <c r="C126" s="45" t="s">
        <v>1165</v>
      </c>
      <c r="D126" s="117">
        <v>5200</v>
      </c>
      <c r="E126" s="92">
        <v>40</v>
      </c>
      <c r="F126" s="123">
        <v>2</v>
      </c>
      <c r="G126" s="123">
        <f t="shared" si="6"/>
        <v>38</v>
      </c>
      <c r="H126" s="123"/>
      <c r="I126" s="123">
        <v>2</v>
      </c>
      <c r="J126" s="123">
        <v>3</v>
      </c>
      <c r="K126" s="54">
        <v>0.1</v>
      </c>
      <c r="L126" s="40">
        <f t="shared" si="9"/>
        <v>4680</v>
      </c>
    </row>
    <row r="127" spans="1:12" ht="15.5">
      <c r="A127" s="46" t="s">
        <v>1166</v>
      </c>
      <c r="B127" s="46" t="s">
        <v>1167</v>
      </c>
      <c r="C127" s="45" t="s">
        <v>1168</v>
      </c>
      <c r="D127" s="117">
        <v>5200</v>
      </c>
      <c r="E127" s="92">
        <v>36</v>
      </c>
      <c r="F127" s="123">
        <v>2</v>
      </c>
      <c r="G127" s="123">
        <f t="shared" si="6"/>
        <v>34</v>
      </c>
      <c r="H127" s="123"/>
      <c r="I127" s="123">
        <v>2</v>
      </c>
      <c r="J127" s="123">
        <v>3</v>
      </c>
      <c r="K127" s="54">
        <v>0.1</v>
      </c>
      <c r="L127" s="40">
        <f t="shared" si="9"/>
        <v>4680</v>
      </c>
    </row>
    <row r="128" spans="1:12" ht="15.5">
      <c r="A128" s="46" t="s">
        <v>1169</v>
      </c>
      <c r="B128" s="46" t="s">
        <v>1170</v>
      </c>
      <c r="C128" s="45" t="s">
        <v>1171</v>
      </c>
      <c r="D128" s="117">
        <v>5200</v>
      </c>
      <c r="E128" s="92">
        <v>22</v>
      </c>
      <c r="F128" s="123">
        <v>1</v>
      </c>
      <c r="G128" s="123">
        <f t="shared" si="6"/>
        <v>21</v>
      </c>
      <c r="H128" s="123"/>
      <c r="I128" s="123">
        <v>1</v>
      </c>
      <c r="J128" s="123">
        <v>2</v>
      </c>
      <c r="K128" s="54">
        <v>0.1</v>
      </c>
      <c r="L128" s="40">
        <f t="shared" si="9"/>
        <v>4680</v>
      </c>
    </row>
    <row r="129" spans="1:12" ht="15.5">
      <c r="A129" s="46" t="s">
        <v>1172</v>
      </c>
      <c r="B129" s="46" t="s">
        <v>1173</v>
      </c>
      <c r="C129" s="45" t="s">
        <v>1174</v>
      </c>
      <c r="D129" s="117">
        <v>5200</v>
      </c>
      <c r="E129" s="92">
        <v>8</v>
      </c>
      <c r="F129" s="123">
        <v>1</v>
      </c>
      <c r="G129" s="123">
        <f t="shared" si="6"/>
        <v>7</v>
      </c>
      <c r="H129" s="123"/>
      <c r="I129" s="123">
        <v>1</v>
      </c>
      <c r="J129" s="123">
        <v>1</v>
      </c>
      <c r="K129" s="54">
        <v>0.1</v>
      </c>
      <c r="L129" s="40">
        <f t="shared" si="9"/>
        <v>4680</v>
      </c>
    </row>
    <row r="130" spans="1:12" ht="15.5">
      <c r="A130" s="46" t="s">
        <v>1175</v>
      </c>
      <c r="B130" s="46" t="s">
        <v>1176</v>
      </c>
      <c r="C130" s="45" t="s">
        <v>1177</v>
      </c>
      <c r="D130" s="117">
        <v>5200</v>
      </c>
      <c r="E130" s="92">
        <v>11</v>
      </c>
      <c r="F130" s="123">
        <v>1</v>
      </c>
      <c r="G130" s="123">
        <f t="shared" si="6"/>
        <v>10</v>
      </c>
      <c r="H130" s="123"/>
      <c r="I130" s="123">
        <v>1</v>
      </c>
      <c r="J130" s="123">
        <v>1</v>
      </c>
      <c r="K130" s="54">
        <v>0.1</v>
      </c>
      <c r="L130" s="40">
        <f t="shared" si="9"/>
        <v>4680</v>
      </c>
    </row>
    <row r="131" spans="1:12" ht="15.5">
      <c r="A131" s="46" t="s">
        <v>1178</v>
      </c>
      <c r="B131" s="46" t="s">
        <v>1179</v>
      </c>
      <c r="C131" s="45" t="s">
        <v>1180</v>
      </c>
      <c r="D131" s="117">
        <v>5200</v>
      </c>
      <c r="E131" s="92">
        <v>5</v>
      </c>
      <c r="F131" s="123">
        <v>1</v>
      </c>
      <c r="G131" s="123">
        <f t="shared" si="6"/>
        <v>4</v>
      </c>
      <c r="H131" s="123"/>
      <c r="I131" s="123">
        <v>1</v>
      </c>
      <c r="J131" s="123">
        <v>1</v>
      </c>
      <c r="K131" s="54">
        <v>0.1</v>
      </c>
      <c r="L131" s="40">
        <f t="shared" si="9"/>
        <v>4680</v>
      </c>
    </row>
    <row r="132" spans="1:12" ht="15.5">
      <c r="A132" s="46" t="s">
        <v>1181</v>
      </c>
      <c r="B132" s="46" t="s">
        <v>1182</v>
      </c>
      <c r="C132" s="45" t="s">
        <v>1183</v>
      </c>
      <c r="D132" s="117">
        <v>5200</v>
      </c>
      <c r="E132" s="92">
        <v>6</v>
      </c>
      <c r="F132" s="123">
        <v>2</v>
      </c>
      <c r="G132" s="123">
        <f t="shared" si="6"/>
        <v>4</v>
      </c>
      <c r="H132" s="123"/>
      <c r="I132" s="123">
        <v>1</v>
      </c>
      <c r="J132" s="123">
        <v>2</v>
      </c>
      <c r="K132" s="54">
        <v>0.1</v>
      </c>
      <c r="L132" s="40">
        <f t="shared" si="9"/>
        <v>4680</v>
      </c>
    </row>
    <row r="133" spans="1:12" ht="15.5">
      <c r="A133" s="46" t="s">
        <v>1184</v>
      </c>
      <c r="B133" s="46" t="s">
        <v>1185</v>
      </c>
      <c r="C133" s="45" t="s">
        <v>1186</v>
      </c>
      <c r="D133" s="117">
        <v>5200</v>
      </c>
      <c r="E133" s="92">
        <v>18</v>
      </c>
      <c r="F133" s="123">
        <v>2</v>
      </c>
      <c r="G133" s="123">
        <f t="shared" si="6"/>
        <v>16</v>
      </c>
      <c r="H133" s="123"/>
      <c r="I133" s="123">
        <v>1</v>
      </c>
      <c r="J133" s="123">
        <v>2</v>
      </c>
      <c r="K133" s="54">
        <v>0.1</v>
      </c>
      <c r="L133" s="40">
        <f t="shared" si="9"/>
        <v>4680</v>
      </c>
    </row>
    <row r="134" spans="1:12" ht="15.5">
      <c r="A134" s="46" t="s">
        <v>1187</v>
      </c>
      <c r="B134" s="46" t="s">
        <v>1188</v>
      </c>
      <c r="C134" s="45" t="s">
        <v>1189</v>
      </c>
      <c r="D134" s="117">
        <v>5200</v>
      </c>
      <c r="E134" s="92">
        <v>3</v>
      </c>
      <c r="F134" s="123">
        <v>1</v>
      </c>
      <c r="G134" s="123">
        <f t="shared" si="6"/>
        <v>2</v>
      </c>
      <c r="H134" s="123"/>
      <c r="I134" s="123">
        <v>1</v>
      </c>
      <c r="J134" s="123">
        <v>1</v>
      </c>
      <c r="K134" s="54">
        <v>0.1</v>
      </c>
      <c r="L134" s="40">
        <f t="shared" si="9"/>
        <v>4680</v>
      </c>
    </row>
    <row r="135" spans="1:12" ht="15.5">
      <c r="A135" s="46" t="s">
        <v>1190</v>
      </c>
      <c r="B135" s="46" t="s">
        <v>1191</v>
      </c>
      <c r="C135" s="45" t="s">
        <v>1192</v>
      </c>
      <c r="D135" s="117">
        <v>5200</v>
      </c>
      <c r="E135" s="92">
        <v>2</v>
      </c>
      <c r="F135" s="123">
        <v>1</v>
      </c>
      <c r="G135" s="123">
        <f t="shared" si="6"/>
        <v>1</v>
      </c>
      <c r="H135" s="123"/>
      <c r="I135" s="123"/>
      <c r="J135" s="123">
        <v>1</v>
      </c>
      <c r="K135" s="54">
        <v>0.1</v>
      </c>
      <c r="L135" s="40">
        <f t="shared" si="9"/>
        <v>4680</v>
      </c>
    </row>
    <row r="136" spans="1:12" ht="15.5">
      <c r="A136" s="46" t="s">
        <v>1193</v>
      </c>
      <c r="B136" s="46" t="s">
        <v>1194</v>
      </c>
      <c r="C136" s="45" t="s">
        <v>1195</v>
      </c>
      <c r="D136" s="117">
        <v>4900</v>
      </c>
      <c r="E136" s="92">
        <v>3</v>
      </c>
      <c r="F136" s="123">
        <v>1</v>
      </c>
      <c r="G136" s="123">
        <f t="shared" si="6"/>
        <v>2</v>
      </c>
      <c r="H136" s="123"/>
      <c r="I136" s="123"/>
      <c r="J136" s="123">
        <v>1</v>
      </c>
      <c r="K136" s="54">
        <v>0.1</v>
      </c>
      <c r="L136" s="40">
        <f t="shared" si="9"/>
        <v>4410</v>
      </c>
    </row>
    <row r="137" spans="1:12" ht="15.5">
      <c r="A137" s="46" t="s">
        <v>1196</v>
      </c>
      <c r="B137" s="46" t="s">
        <v>1197</v>
      </c>
      <c r="C137" s="45" t="s">
        <v>1198</v>
      </c>
      <c r="D137" s="117">
        <v>4900</v>
      </c>
      <c r="E137" s="92">
        <v>2</v>
      </c>
      <c r="F137" s="123">
        <v>1</v>
      </c>
      <c r="G137" s="123">
        <f t="shared" si="6"/>
        <v>1</v>
      </c>
      <c r="H137" s="123"/>
      <c r="I137" s="123"/>
      <c r="J137" s="123">
        <v>1</v>
      </c>
      <c r="K137" s="54">
        <v>0.1</v>
      </c>
      <c r="L137" s="40">
        <f t="shared" si="9"/>
        <v>4410</v>
      </c>
    </row>
    <row r="138" spans="1:12" ht="15.5">
      <c r="A138" s="46" t="s">
        <v>1199</v>
      </c>
      <c r="B138" s="46" t="s">
        <v>1200</v>
      </c>
      <c r="C138" s="45" t="s">
        <v>1201</v>
      </c>
      <c r="D138" s="117">
        <v>4900</v>
      </c>
      <c r="E138" s="92">
        <v>6</v>
      </c>
      <c r="F138" s="123">
        <v>1</v>
      </c>
      <c r="G138" s="123">
        <f t="shared" si="6"/>
        <v>5</v>
      </c>
      <c r="H138" s="123"/>
      <c r="I138" s="123"/>
      <c r="J138" s="123">
        <v>2</v>
      </c>
      <c r="K138" s="54">
        <v>0.1</v>
      </c>
      <c r="L138" s="40">
        <f t="shared" si="9"/>
        <v>4410</v>
      </c>
    </row>
    <row r="139" spans="1:12" ht="15.5">
      <c r="A139" s="46" t="s">
        <v>1202</v>
      </c>
      <c r="B139" s="46" t="s">
        <v>1203</v>
      </c>
      <c r="C139" s="45" t="s">
        <v>1204</v>
      </c>
      <c r="D139" s="117">
        <v>4900</v>
      </c>
      <c r="E139" s="92">
        <v>3</v>
      </c>
      <c r="F139" s="123">
        <v>1</v>
      </c>
      <c r="G139" s="123">
        <f t="shared" si="6"/>
        <v>2</v>
      </c>
      <c r="H139" s="123"/>
      <c r="I139" s="123"/>
      <c r="J139" s="123">
        <v>2</v>
      </c>
      <c r="K139" s="54">
        <v>0.1</v>
      </c>
      <c r="L139" s="40">
        <f t="shared" si="9"/>
        <v>4410</v>
      </c>
    </row>
    <row r="140" spans="1:12" ht="15.5" hidden="1">
      <c r="A140" s="46" t="s">
        <v>1205</v>
      </c>
      <c r="B140" s="46" t="s">
        <v>1206</v>
      </c>
      <c r="C140" s="45" t="s">
        <v>1207</v>
      </c>
      <c r="D140" s="117">
        <v>4900</v>
      </c>
      <c r="E140" s="92">
        <v>1</v>
      </c>
      <c r="F140" s="123">
        <v>1</v>
      </c>
      <c r="G140" s="123">
        <f t="shared" si="6"/>
        <v>0</v>
      </c>
      <c r="H140" s="123"/>
      <c r="I140" s="123"/>
      <c r="J140" s="123"/>
      <c r="K140" s="54">
        <v>0.1</v>
      </c>
      <c r="L140" s="40">
        <f t="shared" si="9"/>
        <v>4410</v>
      </c>
    </row>
    <row r="141" spans="1:12" ht="15.5" hidden="1">
      <c r="A141" s="46" t="s">
        <v>1208</v>
      </c>
      <c r="B141" s="46" t="s">
        <v>1209</v>
      </c>
      <c r="C141" s="45" t="s">
        <v>1210</v>
      </c>
      <c r="D141" s="117">
        <v>4900</v>
      </c>
      <c r="E141" s="92">
        <v>1</v>
      </c>
      <c r="F141" s="123">
        <v>1</v>
      </c>
      <c r="G141" s="123">
        <f t="shared" si="6"/>
        <v>0</v>
      </c>
      <c r="H141" s="123"/>
      <c r="I141" s="123"/>
      <c r="J141" s="123"/>
      <c r="K141" s="54">
        <v>0.1</v>
      </c>
      <c r="L141" s="40">
        <f t="shared" si="9"/>
        <v>4410</v>
      </c>
    </row>
    <row r="142" spans="1:12" ht="15.5">
      <c r="A142" s="46" t="s">
        <v>1211</v>
      </c>
      <c r="B142" s="46" t="s">
        <v>1212</v>
      </c>
      <c r="C142" s="45" t="s">
        <v>1213</v>
      </c>
      <c r="D142" s="117">
        <v>4900</v>
      </c>
      <c r="E142" s="92">
        <v>4</v>
      </c>
      <c r="F142" s="123">
        <v>1</v>
      </c>
      <c r="G142" s="123">
        <f t="shared" si="6"/>
        <v>3</v>
      </c>
      <c r="H142" s="123"/>
      <c r="I142" s="123"/>
      <c r="J142" s="123">
        <v>1</v>
      </c>
      <c r="K142" s="54">
        <v>0.1</v>
      </c>
      <c r="L142" s="40">
        <f t="shared" si="9"/>
        <v>4410</v>
      </c>
    </row>
    <row r="143" spans="1:12" ht="15.5" hidden="1">
      <c r="A143" s="46" t="s">
        <v>1214</v>
      </c>
      <c r="B143" s="46" t="s">
        <v>1215</v>
      </c>
      <c r="C143" s="45" t="s">
        <v>1216</v>
      </c>
      <c r="D143" s="117">
        <v>4900</v>
      </c>
      <c r="E143" s="92">
        <v>1</v>
      </c>
      <c r="F143" s="123">
        <v>1</v>
      </c>
      <c r="G143" s="123">
        <f t="shared" si="6"/>
        <v>0</v>
      </c>
      <c r="H143" s="123"/>
      <c r="I143" s="123"/>
      <c r="J143" s="123"/>
      <c r="K143" s="54">
        <v>0.1</v>
      </c>
      <c r="L143" s="40">
        <f t="shared" si="9"/>
        <v>4410</v>
      </c>
    </row>
    <row r="144" spans="1:12" ht="15.5">
      <c r="A144" s="46" t="s">
        <v>1217</v>
      </c>
      <c r="B144" s="46" t="s">
        <v>1218</v>
      </c>
      <c r="C144" s="45" t="s">
        <v>1219</v>
      </c>
      <c r="D144" s="117">
        <v>5980</v>
      </c>
      <c r="E144" s="92">
        <v>4</v>
      </c>
      <c r="F144" s="123">
        <v>1</v>
      </c>
      <c r="G144" s="123">
        <f t="shared" si="6"/>
        <v>3</v>
      </c>
      <c r="H144" s="123"/>
      <c r="I144" s="123"/>
      <c r="J144" s="123">
        <v>1</v>
      </c>
      <c r="K144" s="54">
        <v>0.1</v>
      </c>
      <c r="L144" s="40">
        <f t="shared" si="9"/>
        <v>5382</v>
      </c>
    </row>
    <row r="145" spans="1:12" ht="15.5">
      <c r="A145" s="46" t="s">
        <v>1220</v>
      </c>
      <c r="B145" s="46" t="s">
        <v>1221</v>
      </c>
      <c r="C145" s="45" t="s">
        <v>1222</v>
      </c>
      <c r="D145" s="117">
        <v>5980</v>
      </c>
      <c r="E145" s="92">
        <v>5</v>
      </c>
      <c r="F145" s="123">
        <v>1</v>
      </c>
      <c r="G145" s="123">
        <f t="shared" si="6"/>
        <v>4</v>
      </c>
      <c r="H145" s="123"/>
      <c r="I145" s="123"/>
      <c r="J145" s="123">
        <v>1</v>
      </c>
      <c r="K145" s="54">
        <v>0.1</v>
      </c>
      <c r="L145" s="40">
        <f t="shared" si="9"/>
        <v>5382</v>
      </c>
    </row>
    <row r="146" spans="1:12" ht="15.5">
      <c r="A146" s="46" t="s">
        <v>1223</v>
      </c>
      <c r="B146" s="46" t="s">
        <v>1224</v>
      </c>
      <c r="C146" s="45" t="s">
        <v>1225</v>
      </c>
      <c r="D146" s="117">
        <v>5980</v>
      </c>
      <c r="E146" s="92">
        <v>3</v>
      </c>
      <c r="F146" s="123">
        <v>1</v>
      </c>
      <c r="G146" s="123">
        <f t="shared" si="6"/>
        <v>2</v>
      </c>
      <c r="H146" s="123"/>
      <c r="I146" s="123"/>
      <c r="J146" s="123">
        <v>2</v>
      </c>
      <c r="K146" s="54">
        <v>0.1</v>
      </c>
      <c r="L146" s="40">
        <f t="shared" si="9"/>
        <v>5382</v>
      </c>
    </row>
    <row r="147" spans="1:12" ht="15.5" hidden="1">
      <c r="A147" s="46" t="s">
        <v>1226</v>
      </c>
      <c r="B147" s="46" t="s">
        <v>1227</v>
      </c>
      <c r="C147" s="45" t="s">
        <v>1228</v>
      </c>
      <c r="D147" s="117">
        <v>5980</v>
      </c>
      <c r="E147" s="92">
        <v>1</v>
      </c>
      <c r="F147" s="123">
        <v>1</v>
      </c>
      <c r="G147" s="123">
        <f t="shared" si="6"/>
        <v>0</v>
      </c>
      <c r="H147" s="123"/>
      <c r="I147" s="123"/>
      <c r="J147" s="123"/>
      <c r="K147" s="54">
        <v>0.1</v>
      </c>
      <c r="L147" s="40">
        <f t="shared" si="9"/>
        <v>5382</v>
      </c>
    </row>
    <row r="148" spans="1:12" ht="15.5" hidden="1">
      <c r="A148" s="46" t="s">
        <v>1229</v>
      </c>
      <c r="B148" s="46" t="s">
        <v>1230</v>
      </c>
      <c r="C148" s="45" t="s">
        <v>1231</v>
      </c>
      <c r="D148" s="117">
        <v>5980</v>
      </c>
      <c r="E148" s="92">
        <v>1</v>
      </c>
      <c r="F148" s="123">
        <v>1</v>
      </c>
      <c r="G148" s="123">
        <f t="shared" si="6"/>
        <v>0</v>
      </c>
      <c r="H148" s="123"/>
      <c r="I148" s="123"/>
      <c r="J148" s="123"/>
      <c r="K148" s="54">
        <v>0.1</v>
      </c>
      <c r="L148" s="40">
        <f t="shared" si="9"/>
        <v>5382</v>
      </c>
    </row>
    <row r="149" spans="1:12" ht="15.5">
      <c r="A149" s="46" t="s">
        <v>1232</v>
      </c>
      <c r="B149" s="46" t="s">
        <v>1233</v>
      </c>
      <c r="C149" s="45" t="s">
        <v>1234</v>
      </c>
      <c r="D149" s="117">
        <v>5980</v>
      </c>
      <c r="E149" s="92">
        <v>3</v>
      </c>
      <c r="F149" s="123">
        <v>1</v>
      </c>
      <c r="G149" s="123">
        <f t="shared" ref="G149:G212" si="10">+E149-F149</f>
        <v>2</v>
      </c>
      <c r="H149" s="123"/>
      <c r="I149" s="123"/>
      <c r="J149" s="123">
        <v>1</v>
      </c>
      <c r="K149" s="54">
        <v>0.1</v>
      </c>
      <c r="L149" s="40">
        <f t="shared" si="9"/>
        <v>5382</v>
      </c>
    </row>
    <row r="150" spans="1:12" ht="15.5">
      <c r="A150" s="46" t="s">
        <v>1235</v>
      </c>
      <c r="B150" s="46" t="s">
        <v>1236</v>
      </c>
      <c r="C150" s="45" t="s">
        <v>1237</v>
      </c>
      <c r="D150" s="117">
        <v>5980</v>
      </c>
      <c r="E150" s="92">
        <v>2</v>
      </c>
      <c r="F150" s="123">
        <v>1</v>
      </c>
      <c r="G150" s="123">
        <f t="shared" si="10"/>
        <v>1</v>
      </c>
      <c r="H150" s="123"/>
      <c r="I150" s="123"/>
      <c r="J150" s="123">
        <v>1</v>
      </c>
      <c r="K150" s="54">
        <v>0.1</v>
      </c>
      <c r="L150" s="40">
        <f t="shared" si="9"/>
        <v>5382</v>
      </c>
    </row>
    <row r="151" spans="1:12" ht="15.5">
      <c r="A151" s="46" t="s">
        <v>1238</v>
      </c>
      <c r="B151" s="46" t="s">
        <v>1239</v>
      </c>
      <c r="C151" s="45" t="s">
        <v>1240</v>
      </c>
      <c r="D151" s="117">
        <v>5980</v>
      </c>
      <c r="E151" s="92">
        <v>5</v>
      </c>
      <c r="F151" s="123">
        <v>1</v>
      </c>
      <c r="G151" s="123">
        <f t="shared" si="10"/>
        <v>4</v>
      </c>
      <c r="H151" s="123"/>
      <c r="I151" s="123"/>
      <c r="J151" s="123">
        <v>1</v>
      </c>
      <c r="K151" s="54">
        <v>0.1</v>
      </c>
      <c r="L151" s="40">
        <f t="shared" si="9"/>
        <v>5382</v>
      </c>
    </row>
    <row r="152" spans="1:12" ht="15.5">
      <c r="A152" s="46" t="s">
        <v>1241</v>
      </c>
      <c r="B152" s="46" t="s">
        <v>1242</v>
      </c>
      <c r="C152" s="45" t="s">
        <v>1243</v>
      </c>
      <c r="D152" s="117">
        <v>5980</v>
      </c>
      <c r="E152" s="92">
        <v>2</v>
      </c>
      <c r="F152" s="123">
        <v>1</v>
      </c>
      <c r="G152" s="123">
        <f t="shared" si="10"/>
        <v>1</v>
      </c>
      <c r="H152" s="123"/>
      <c r="I152" s="123"/>
      <c r="J152" s="123">
        <v>1</v>
      </c>
      <c r="K152" s="54">
        <v>0.1</v>
      </c>
      <c r="L152" s="40">
        <f t="shared" si="9"/>
        <v>5382</v>
      </c>
    </row>
    <row r="153" spans="1:12" ht="15.5">
      <c r="A153" s="46" t="s">
        <v>1244</v>
      </c>
      <c r="B153" s="46" t="s">
        <v>1245</v>
      </c>
      <c r="C153" s="45" t="s">
        <v>1246</v>
      </c>
      <c r="D153" s="117">
        <v>5980</v>
      </c>
      <c r="E153" s="92">
        <v>8</v>
      </c>
      <c r="F153" s="123">
        <v>1</v>
      </c>
      <c r="G153" s="123">
        <f t="shared" si="10"/>
        <v>7</v>
      </c>
      <c r="H153" s="123"/>
      <c r="I153" s="123"/>
      <c r="J153" s="123">
        <v>2</v>
      </c>
      <c r="K153" s="54">
        <v>0.1</v>
      </c>
      <c r="L153" s="40">
        <f t="shared" si="9"/>
        <v>5382</v>
      </c>
    </row>
    <row r="154" spans="1:12" ht="15.5">
      <c r="A154" s="46" t="s">
        <v>1247</v>
      </c>
      <c r="B154" s="46" t="s">
        <v>1248</v>
      </c>
      <c r="C154" s="45" t="s">
        <v>1249</v>
      </c>
      <c r="D154" s="117">
        <v>5980</v>
      </c>
      <c r="E154" s="92">
        <v>4</v>
      </c>
      <c r="F154" s="123">
        <v>1</v>
      </c>
      <c r="G154" s="123">
        <f t="shared" si="10"/>
        <v>3</v>
      </c>
      <c r="H154" s="123"/>
      <c r="I154" s="123"/>
      <c r="J154" s="123">
        <v>2</v>
      </c>
      <c r="K154" s="54">
        <v>0.1</v>
      </c>
      <c r="L154" s="40">
        <f t="shared" si="9"/>
        <v>5382</v>
      </c>
    </row>
    <row r="155" spans="1:12" ht="15.5">
      <c r="A155" s="46" t="s">
        <v>1250</v>
      </c>
      <c r="B155" s="46" t="s">
        <v>1251</v>
      </c>
      <c r="C155" s="45" t="s">
        <v>1252</v>
      </c>
      <c r="D155" s="117">
        <v>5980</v>
      </c>
      <c r="E155" s="92">
        <v>14</v>
      </c>
      <c r="F155" s="123">
        <v>1</v>
      </c>
      <c r="G155" s="123">
        <f t="shared" si="10"/>
        <v>13</v>
      </c>
      <c r="H155" s="123"/>
      <c r="I155" s="123"/>
      <c r="J155" s="123">
        <v>2</v>
      </c>
      <c r="K155" s="54">
        <v>0.1</v>
      </c>
      <c r="L155" s="40">
        <f t="shared" ref="L155:L186" si="11">D155-(K155*D155)</f>
        <v>5382</v>
      </c>
    </row>
    <row r="156" spans="1:12" ht="15.5">
      <c r="A156" s="46" t="s">
        <v>1253</v>
      </c>
      <c r="B156" s="46" t="s">
        <v>1254</v>
      </c>
      <c r="C156" s="45" t="s">
        <v>1255</v>
      </c>
      <c r="D156" s="117">
        <v>5980</v>
      </c>
      <c r="E156" s="92">
        <v>11</v>
      </c>
      <c r="F156" s="123">
        <v>1</v>
      </c>
      <c r="G156" s="123">
        <f t="shared" si="10"/>
        <v>10</v>
      </c>
      <c r="H156" s="123"/>
      <c r="I156" s="123"/>
      <c r="J156" s="123">
        <v>2</v>
      </c>
      <c r="K156" s="54">
        <v>0.1</v>
      </c>
      <c r="L156" s="40">
        <f t="shared" si="11"/>
        <v>5382</v>
      </c>
    </row>
    <row r="157" spans="1:12" ht="15.5">
      <c r="A157" s="46" t="s">
        <v>1256</v>
      </c>
      <c r="B157" s="46" t="s">
        <v>1257</v>
      </c>
      <c r="C157" s="45" t="s">
        <v>1258</v>
      </c>
      <c r="D157" s="117">
        <v>5980</v>
      </c>
      <c r="E157" s="92">
        <v>4</v>
      </c>
      <c r="F157" s="123">
        <v>1</v>
      </c>
      <c r="G157" s="123">
        <f t="shared" si="10"/>
        <v>3</v>
      </c>
      <c r="H157" s="123"/>
      <c r="I157" s="123"/>
      <c r="J157" s="123">
        <v>1</v>
      </c>
      <c r="K157" s="54">
        <v>0.1</v>
      </c>
      <c r="L157" s="40">
        <f t="shared" si="11"/>
        <v>5382</v>
      </c>
    </row>
    <row r="158" spans="1:12" ht="15.5">
      <c r="A158" s="46" t="s">
        <v>1259</v>
      </c>
      <c r="B158" s="46" t="s">
        <v>1260</v>
      </c>
      <c r="C158" s="45" t="s">
        <v>1261</v>
      </c>
      <c r="D158" s="117">
        <v>5980</v>
      </c>
      <c r="E158" s="92">
        <v>8</v>
      </c>
      <c r="F158" s="123">
        <v>1</v>
      </c>
      <c r="G158" s="123">
        <f t="shared" si="10"/>
        <v>7</v>
      </c>
      <c r="H158" s="123"/>
      <c r="I158" s="123"/>
      <c r="J158" s="123">
        <v>1</v>
      </c>
      <c r="K158" s="54">
        <v>0.1</v>
      </c>
      <c r="L158" s="40">
        <f t="shared" si="11"/>
        <v>5382</v>
      </c>
    </row>
    <row r="159" spans="1:12" ht="15.5">
      <c r="A159" s="46" t="s">
        <v>1262</v>
      </c>
      <c r="B159" s="46" t="s">
        <v>1263</v>
      </c>
      <c r="C159" s="45" t="s">
        <v>1264</v>
      </c>
      <c r="D159" s="117">
        <v>5980</v>
      </c>
      <c r="E159" s="92">
        <v>5</v>
      </c>
      <c r="F159" s="123">
        <v>1</v>
      </c>
      <c r="G159" s="123">
        <f t="shared" si="10"/>
        <v>4</v>
      </c>
      <c r="H159" s="123"/>
      <c r="I159" s="123"/>
      <c r="J159" s="123">
        <v>1</v>
      </c>
      <c r="K159" s="54">
        <v>0.1</v>
      </c>
      <c r="L159" s="40">
        <f t="shared" si="11"/>
        <v>5382</v>
      </c>
    </row>
    <row r="160" spans="1:12" ht="15.5">
      <c r="A160" s="46" t="s">
        <v>1265</v>
      </c>
      <c r="B160" s="46" t="s">
        <v>1266</v>
      </c>
      <c r="C160" s="45" t="s">
        <v>1267</v>
      </c>
      <c r="D160" s="117">
        <v>5980</v>
      </c>
      <c r="E160" s="92">
        <v>3</v>
      </c>
      <c r="F160" s="123">
        <v>1</v>
      </c>
      <c r="G160" s="123">
        <f t="shared" si="10"/>
        <v>2</v>
      </c>
      <c r="H160" s="123"/>
      <c r="I160" s="123"/>
      <c r="J160" s="123">
        <v>1</v>
      </c>
      <c r="K160" s="54">
        <v>0.1</v>
      </c>
      <c r="L160" s="40">
        <f t="shared" si="11"/>
        <v>5382</v>
      </c>
    </row>
    <row r="161" spans="1:12" ht="15.5">
      <c r="A161" s="46" t="s">
        <v>1268</v>
      </c>
      <c r="B161" s="46" t="s">
        <v>1269</v>
      </c>
      <c r="C161" s="45" t="s">
        <v>1270</v>
      </c>
      <c r="D161" s="117">
        <v>5980</v>
      </c>
      <c r="E161" s="92">
        <v>2</v>
      </c>
      <c r="F161" s="123">
        <v>1</v>
      </c>
      <c r="G161" s="123">
        <f t="shared" si="10"/>
        <v>1</v>
      </c>
      <c r="H161" s="123"/>
      <c r="I161" s="123"/>
      <c r="J161" s="123">
        <v>1</v>
      </c>
      <c r="K161" s="54">
        <v>0.1</v>
      </c>
      <c r="L161" s="40">
        <f t="shared" si="11"/>
        <v>5382</v>
      </c>
    </row>
    <row r="162" spans="1:12" ht="15.5">
      <c r="A162" s="46" t="s">
        <v>1271</v>
      </c>
      <c r="B162" s="46" t="s">
        <v>1272</v>
      </c>
      <c r="C162" s="45" t="s">
        <v>1273</v>
      </c>
      <c r="D162" s="117">
        <v>5800</v>
      </c>
      <c r="E162" s="92">
        <v>5</v>
      </c>
      <c r="F162" s="123">
        <v>1</v>
      </c>
      <c r="G162" s="123">
        <f t="shared" si="10"/>
        <v>4</v>
      </c>
      <c r="H162" s="123"/>
      <c r="I162" s="123">
        <v>1</v>
      </c>
      <c r="J162" s="123">
        <v>1</v>
      </c>
      <c r="K162" s="54">
        <v>0.1</v>
      </c>
      <c r="L162" s="40">
        <f t="shared" si="11"/>
        <v>5220</v>
      </c>
    </row>
    <row r="163" spans="1:12" ht="15.5">
      <c r="A163" s="46" t="s">
        <v>1274</v>
      </c>
      <c r="B163" s="46" t="s">
        <v>1275</v>
      </c>
      <c r="C163" s="45" t="s">
        <v>1276</v>
      </c>
      <c r="D163" s="117">
        <v>5800</v>
      </c>
      <c r="E163" s="92">
        <v>6</v>
      </c>
      <c r="F163" s="123">
        <v>2</v>
      </c>
      <c r="G163" s="123">
        <f t="shared" si="10"/>
        <v>4</v>
      </c>
      <c r="H163" s="123"/>
      <c r="I163" s="123">
        <v>2</v>
      </c>
      <c r="J163" s="123">
        <v>2</v>
      </c>
      <c r="K163" s="54">
        <v>0.1</v>
      </c>
      <c r="L163" s="40">
        <f t="shared" si="11"/>
        <v>5220</v>
      </c>
    </row>
    <row r="164" spans="1:12" ht="15.5">
      <c r="A164" s="46" t="s">
        <v>1277</v>
      </c>
      <c r="B164" s="46" t="s">
        <v>1278</v>
      </c>
      <c r="C164" s="45" t="s">
        <v>1279</v>
      </c>
      <c r="D164" s="117">
        <v>5800</v>
      </c>
      <c r="E164" s="92">
        <v>16</v>
      </c>
      <c r="F164" s="123">
        <v>2</v>
      </c>
      <c r="G164" s="123">
        <f t="shared" si="10"/>
        <v>14</v>
      </c>
      <c r="H164" s="123"/>
      <c r="I164" s="123">
        <v>2</v>
      </c>
      <c r="J164" s="123">
        <v>2</v>
      </c>
      <c r="K164" s="54">
        <v>0.1</v>
      </c>
      <c r="L164" s="40">
        <f t="shared" si="11"/>
        <v>5220</v>
      </c>
    </row>
    <row r="165" spans="1:12" ht="15.5">
      <c r="A165" s="46" t="s">
        <v>1280</v>
      </c>
      <c r="B165" s="46" t="s">
        <v>1281</v>
      </c>
      <c r="C165" s="45" t="s">
        <v>1282</v>
      </c>
      <c r="D165" s="117">
        <v>5800</v>
      </c>
      <c r="E165" s="92">
        <v>6</v>
      </c>
      <c r="F165" s="123">
        <v>2</v>
      </c>
      <c r="G165" s="123">
        <f t="shared" si="10"/>
        <v>4</v>
      </c>
      <c r="H165" s="123"/>
      <c r="I165" s="123">
        <v>1</v>
      </c>
      <c r="J165" s="123">
        <v>2</v>
      </c>
      <c r="K165" s="54">
        <v>0.1</v>
      </c>
      <c r="L165" s="40">
        <f t="shared" si="11"/>
        <v>5220</v>
      </c>
    </row>
    <row r="166" spans="1:12" ht="15.5">
      <c r="A166" s="46" t="s">
        <v>1283</v>
      </c>
      <c r="B166" s="46" t="s">
        <v>1284</v>
      </c>
      <c r="C166" s="45" t="s">
        <v>1285</v>
      </c>
      <c r="D166" s="117">
        <v>5800</v>
      </c>
      <c r="E166" s="92">
        <v>6</v>
      </c>
      <c r="F166" s="123">
        <v>1</v>
      </c>
      <c r="G166" s="123">
        <f t="shared" si="10"/>
        <v>5</v>
      </c>
      <c r="H166" s="123"/>
      <c r="I166" s="123">
        <v>1</v>
      </c>
      <c r="J166" s="123">
        <v>1</v>
      </c>
      <c r="K166" s="54">
        <v>0.1</v>
      </c>
      <c r="L166" s="40">
        <f t="shared" si="11"/>
        <v>5220</v>
      </c>
    </row>
    <row r="167" spans="1:12" ht="15.5">
      <c r="A167" s="46" t="s">
        <v>1286</v>
      </c>
      <c r="B167" s="46" t="s">
        <v>1287</v>
      </c>
      <c r="C167" s="45" t="s">
        <v>1288</v>
      </c>
      <c r="D167" s="117">
        <v>5800</v>
      </c>
      <c r="E167" s="92">
        <v>7</v>
      </c>
      <c r="F167" s="123">
        <v>1</v>
      </c>
      <c r="G167" s="123">
        <f t="shared" si="10"/>
        <v>6</v>
      </c>
      <c r="H167" s="123"/>
      <c r="I167" s="123"/>
      <c r="J167" s="123">
        <v>1</v>
      </c>
      <c r="K167" s="54">
        <v>0.1</v>
      </c>
      <c r="L167" s="40">
        <f t="shared" si="11"/>
        <v>5220</v>
      </c>
    </row>
    <row r="168" spans="1:12" ht="15.5">
      <c r="A168" s="46" t="s">
        <v>1289</v>
      </c>
      <c r="B168" s="46" t="s">
        <v>1290</v>
      </c>
      <c r="C168" s="45" t="s">
        <v>1291</v>
      </c>
      <c r="D168" s="117">
        <v>5800</v>
      </c>
      <c r="E168" s="92">
        <v>8</v>
      </c>
      <c r="F168" s="123">
        <v>1</v>
      </c>
      <c r="G168" s="123">
        <f t="shared" si="10"/>
        <v>7</v>
      </c>
      <c r="H168" s="123"/>
      <c r="I168" s="123"/>
      <c r="J168" s="123">
        <v>1</v>
      </c>
      <c r="K168" s="54">
        <v>0.1</v>
      </c>
      <c r="L168" s="40">
        <f t="shared" si="11"/>
        <v>5220</v>
      </c>
    </row>
    <row r="169" spans="1:12" ht="15.5">
      <c r="A169" s="46" t="s">
        <v>1292</v>
      </c>
      <c r="B169" s="46" t="s">
        <v>1293</v>
      </c>
      <c r="C169" s="45" t="s">
        <v>1294</v>
      </c>
      <c r="D169" s="117">
        <v>6200</v>
      </c>
      <c r="E169" s="92">
        <v>10</v>
      </c>
      <c r="F169" s="123">
        <v>1</v>
      </c>
      <c r="G169" s="123">
        <f t="shared" si="10"/>
        <v>9</v>
      </c>
      <c r="H169" s="123"/>
      <c r="I169" s="123">
        <v>1</v>
      </c>
      <c r="J169" s="123">
        <v>1</v>
      </c>
      <c r="K169" s="54">
        <v>0.1</v>
      </c>
      <c r="L169" s="40">
        <f t="shared" si="11"/>
        <v>5580</v>
      </c>
    </row>
    <row r="170" spans="1:12" ht="15.5">
      <c r="A170" s="46" t="s">
        <v>1295</v>
      </c>
      <c r="B170" s="46" t="s">
        <v>1296</v>
      </c>
      <c r="C170" s="45" t="s">
        <v>1297</v>
      </c>
      <c r="D170" s="117">
        <v>6200</v>
      </c>
      <c r="E170" s="92">
        <v>8</v>
      </c>
      <c r="F170" s="123">
        <v>1</v>
      </c>
      <c r="G170" s="123">
        <f t="shared" si="10"/>
        <v>7</v>
      </c>
      <c r="H170" s="123"/>
      <c r="I170" s="123">
        <v>1</v>
      </c>
      <c r="J170" s="123">
        <v>1</v>
      </c>
      <c r="K170" s="54">
        <v>0.1</v>
      </c>
      <c r="L170" s="40">
        <f t="shared" si="11"/>
        <v>5580</v>
      </c>
    </row>
    <row r="171" spans="1:12" ht="15.5">
      <c r="A171" s="46" t="s">
        <v>1298</v>
      </c>
      <c r="B171" s="46" t="s">
        <v>1299</v>
      </c>
      <c r="C171" s="45" t="s">
        <v>1300</v>
      </c>
      <c r="D171" s="117">
        <v>6200</v>
      </c>
      <c r="E171" s="92">
        <v>33</v>
      </c>
      <c r="F171" s="123">
        <v>2</v>
      </c>
      <c r="G171" s="123">
        <f t="shared" si="10"/>
        <v>31</v>
      </c>
      <c r="H171" s="123"/>
      <c r="I171" s="123">
        <v>2</v>
      </c>
      <c r="J171" s="123">
        <v>2</v>
      </c>
      <c r="K171" s="54">
        <v>0.1</v>
      </c>
      <c r="L171" s="40">
        <f t="shared" si="11"/>
        <v>5580</v>
      </c>
    </row>
    <row r="172" spans="1:12" ht="15.5">
      <c r="A172" s="46" t="s">
        <v>1301</v>
      </c>
      <c r="B172" s="46" t="s">
        <v>1302</v>
      </c>
      <c r="C172" s="45" t="s">
        <v>1303</v>
      </c>
      <c r="D172" s="117">
        <v>6200</v>
      </c>
      <c r="E172" s="92">
        <v>32</v>
      </c>
      <c r="F172" s="123">
        <v>2</v>
      </c>
      <c r="G172" s="123">
        <f t="shared" si="10"/>
        <v>30</v>
      </c>
      <c r="H172" s="123"/>
      <c r="I172" s="123">
        <v>2</v>
      </c>
      <c r="J172" s="123">
        <v>2</v>
      </c>
      <c r="K172" s="54">
        <v>0.1</v>
      </c>
      <c r="L172" s="40">
        <f t="shared" si="11"/>
        <v>5580</v>
      </c>
    </row>
    <row r="173" spans="1:12" ht="15.5">
      <c r="A173" s="46" t="s">
        <v>1304</v>
      </c>
      <c r="B173" s="46" t="s">
        <v>1305</v>
      </c>
      <c r="C173" s="45" t="s">
        <v>1306</v>
      </c>
      <c r="D173" s="117">
        <v>6200</v>
      </c>
      <c r="E173" s="92">
        <v>36</v>
      </c>
      <c r="F173" s="123">
        <v>2</v>
      </c>
      <c r="G173" s="123">
        <f t="shared" si="10"/>
        <v>34</v>
      </c>
      <c r="H173" s="123"/>
      <c r="I173" s="123">
        <v>2</v>
      </c>
      <c r="J173" s="123">
        <v>2</v>
      </c>
      <c r="K173" s="54">
        <v>0.1</v>
      </c>
      <c r="L173" s="40">
        <f t="shared" si="11"/>
        <v>5580</v>
      </c>
    </row>
    <row r="174" spans="1:12" ht="15.5">
      <c r="A174" s="46" t="s">
        <v>1307</v>
      </c>
      <c r="B174" s="46" t="s">
        <v>1308</v>
      </c>
      <c r="C174" s="45" t="s">
        <v>1309</v>
      </c>
      <c r="D174" s="117">
        <v>6200</v>
      </c>
      <c r="E174" s="92">
        <v>21</v>
      </c>
      <c r="F174" s="123">
        <v>1</v>
      </c>
      <c r="G174" s="123">
        <f t="shared" si="10"/>
        <v>20</v>
      </c>
      <c r="H174" s="123"/>
      <c r="I174" s="123">
        <v>1</v>
      </c>
      <c r="J174" s="123">
        <v>1</v>
      </c>
      <c r="K174" s="54">
        <v>0.1</v>
      </c>
      <c r="L174" s="40">
        <f t="shared" si="11"/>
        <v>5580</v>
      </c>
    </row>
    <row r="175" spans="1:12" ht="15.5">
      <c r="A175" s="46" t="s">
        <v>1310</v>
      </c>
      <c r="B175" s="46" t="s">
        <v>1311</v>
      </c>
      <c r="C175" s="45" t="s">
        <v>1312</v>
      </c>
      <c r="D175" s="117">
        <v>6200</v>
      </c>
      <c r="E175" s="92">
        <v>8</v>
      </c>
      <c r="F175" s="123">
        <v>1</v>
      </c>
      <c r="G175" s="123">
        <f t="shared" si="10"/>
        <v>7</v>
      </c>
      <c r="H175" s="123"/>
      <c r="I175" s="123">
        <v>1</v>
      </c>
      <c r="J175" s="123">
        <v>1</v>
      </c>
      <c r="K175" s="54">
        <v>0.1</v>
      </c>
      <c r="L175" s="40">
        <f t="shared" si="11"/>
        <v>5580</v>
      </c>
    </row>
    <row r="176" spans="1:12" ht="15.5">
      <c r="A176" s="46" t="s">
        <v>1313</v>
      </c>
      <c r="B176" s="46" t="s">
        <v>1314</v>
      </c>
      <c r="C176" s="45" t="s">
        <v>1315</v>
      </c>
      <c r="D176" s="117">
        <v>6200</v>
      </c>
      <c r="E176" s="92">
        <v>17</v>
      </c>
      <c r="F176" s="123">
        <v>1</v>
      </c>
      <c r="G176" s="123">
        <f t="shared" si="10"/>
        <v>16</v>
      </c>
      <c r="H176" s="123"/>
      <c r="I176" s="123">
        <v>1</v>
      </c>
      <c r="J176" s="123">
        <v>1</v>
      </c>
      <c r="K176" s="54">
        <v>0.1</v>
      </c>
      <c r="L176" s="40">
        <f t="shared" si="11"/>
        <v>5580</v>
      </c>
    </row>
    <row r="177" spans="1:12" ht="15.5">
      <c r="A177" s="46" t="s">
        <v>1316</v>
      </c>
      <c r="B177" s="46" t="s">
        <v>1317</v>
      </c>
      <c r="C177" s="45" t="s">
        <v>1318</v>
      </c>
      <c r="D177" s="117">
        <v>5980</v>
      </c>
      <c r="E177" s="92">
        <v>2</v>
      </c>
      <c r="F177" s="123">
        <v>1</v>
      </c>
      <c r="G177" s="123">
        <f t="shared" si="10"/>
        <v>1</v>
      </c>
      <c r="H177" s="123"/>
      <c r="I177" s="123"/>
      <c r="J177" s="123">
        <v>1</v>
      </c>
      <c r="K177" s="54">
        <v>0.1</v>
      </c>
      <c r="L177" s="40">
        <f t="shared" si="11"/>
        <v>5382</v>
      </c>
    </row>
    <row r="178" spans="1:12" ht="15.5">
      <c r="A178" s="46" t="s">
        <v>1319</v>
      </c>
      <c r="B178" s="46" t="s">
        <v>1320</v>
      </c>
      <c r="C178" s="45" t="s">
        <v>1321</v>
      </c>
      <c r="D178" s="117">
        <v>5980</v>
      </c>
      <c r="E178" s="92">
        <v>9</v>
      </c>
      <c r="F178" s="123">
        <v>1</v>
      </c>
      <c r="G178" s="123">
        <f t="shared" si="10"/>
        <v>8</v>
      </c>
      <c r="H178" s="123"/>
      <c r="I178" s="123">
        <v>1</v>
      </c>
      <c r="J178" s="123">
        <v>1</v>
      </c>
      <c r="K178" s="54">
        <v>0.1</v>
      </c>
      <c r="L178" s="40">
        <f t="shared" si="11"/>
        <v>5382</v>
      </c>
    </row>
    <row r="179" spans="1:12" ht="15.5">
      <c r="A179" s="46" t="s">
        <v>1322</v>
      </c>
      <c r="B179" s="46" t="s">
        <v>1323</v>
      </c>
      <c r="C179" s="45" t="s">
        <v>1324</v>
      </c>
      <c r="D179" s="117">
        <v>5980</v>
      </c>
      <c r="E179" s="92">
        <v>11</v>
      </c>
      <c r="F179" s="123">
        <v>1</v>
      </c>
      <c r="G179" s="123">
        <f t="shared" si="10"/>
        <v>10</v>
      </c>
      <c r="H179" s="123"/>
      <c r="I179" s="123">
        <v>1</v>
      </c>
      <c r="J179" s="123">
        <v>2</v>
      </c>
      <c r="K179" s="54">
        <v>0.1</v>
      </c>
      <c r="L179" s="40">
        <f t="shared" si="11"/>
        <v>5382</v>
      </c>
    </row>
    <row r="180" spans="1:12" ht="15.5">
      <c r="A180" s="46" t="s">
        <v>1325</v>
      </c>
      <c r="B180" s="46" t="s">
        <v>1326</v>
      </c>
      <c r="C180" s="45" t="s">
        <v>1327</v>
      </c>
      <c r="D180" s="117">
        <v>5980</v>
      </c>
      <c r="E180" s="92">
        <v>18</v>
      </c>
      <c r="F180" s="123">
        <v>1</v>
      </c>
      <c r="G180" s="123">
        <f t="shared" si="10"/>
        <v>17</v>
      </c>
      <c r="H180" s="123"/>
      <c r="I180" s="123">
        <v>1</v>
      </c>
      <c r="J180" s="123">
        <v>2</v>
      </c>
      <c r="K180" s="54">
        <v>0.1</v>
      </c>
      <c r="L180" s="40">
        <f t="shared" si="11"/>
        <v>5382</v>
      </c>
    </row>
    <row r="181" spans="1:12" ht="15.5">
      <c r="A181" s="46" t="s">
        <v>1328</v>
      </c>
      <c r="B181" s="46" t="s">
        <v>1329</v>
      </c>
      <c r="C181" s="45" t="s">
        <v>1330</v>
      </c>
      <c r="D181" s="117">
        <v>5980</v>
      </c>
      <c r="E181" s="92">
        <v>8</v>
      </c>
      <c r="F181" s="123">
        <v>1</v>
      </c>
      <c r="G181" s="123">
        <f t="shared" si="10"/>
        <v>7</v>
      </c>
      <c r="H181" s="123"/>
      <c r="I181" s="123">
        <v>1</v>
      </c>
      <c r="J181" s="123">
        <v>1</v>
      </c>
      <c r="K181" s="54">
        <v>0.1</v>
      </c>
      <c r="L181" s="40">
        <f t="shared" si="11"/>
        <v>5382</v>
      </c>
    </row>
    <row r="182" spans="1:12" ht="15.5">
      <c r="A182" s="46" t="s">
        <v>1331</v>
      </c>
      <c r="B182" s="46" t="s">
        <v>1332</v>
      </c>
      <c r="C182" s="45" t="s">
        <v>1333</v>
      </c>
      <c r="D182" s="117">
        <v>5980</v>
      </c>
      <c r="E182" s="92">
        <v>5</v>
      </c>
      <c r="F182" s="123">
        <v>1</v>
      </c>
      <c r="G182" s="123">
        <f t="shared" si="10"/>
        <v>4</v>
      </c>
      <c r="H182" s="123"/>
      <c r="I182" s="123">
        <v>1</v>
      </c>
      <c r="J182" s="123">
        <v>1</v>
      </c>
      <c r="K182" s="54">
        <v>0.1</v>
      </c>
      <c r="L182" s="40">
        <f t="shared" si="11"/>
        <v>5382</v>
      </c>
    </row>
    <row r="183" spans="1:12" ht="15.5">
      <c r="A183" s="46" t="s">
        <v>1334</v>
      </c>
      <c r="B183" s="46" t="s">
        <v>1335</v>
      </c>
      <c r="C183" s="45" t="s">
        <v>1336</v>
      </c>
      <c r="D183" s="117">
        <v>5980</v>
      </c>
      <c r="E183" s="92">
        <v>2</v>
      </c>
      <c r="F183" s="123">
        <v>1</v>
      </c>
      <c r="G183" s="123">
        <f t="shared" si="10"/>
        <v>1</v>
      </c>
      <c r="H183" s="123"/>
      <c r="I183" s="123"/>
      <c r="J183" s="123">
        <v>1</v>
      </c>
      <c r="K183" s="54">
        <v>0.1</v>
      </c>
      <c r="L183" s="40">
        <f t="shared" si="11"/>
        <v>5382</v>
      </c>
    </row>
    <row r="184" spans="1:12" ht="15.5">
      <c r="A184" s="46" t="s">
        <v>1337</v>
      </c>
      <c r="B184" s="46" t="s">
        <v>1338</v>
      </c>
      <c r="C184" s="45" t="s">
        <v>1339</v>
      </c>
      <c r="D184" s="117">
        <v>5980</v>
      </c>
      <c r="E184" s="92">
        <v>3</v>
      </c>
      <c r="F184" s="123">
        <v>1</v>
      </c>
      <c r="G184" s="123">
        <f t="shared" si="10"/>
        <v>2</v>
      </c>
      <c r="H184" s="123"/>
      <c r="I184" s="123"/>
      <c r="J184" s="123">
        <v>1</v>
      </c>
      <c r="K184" s="54">
        <v>0.1</v>
      </c>
      <c r="L184" s="40">
        <f t="shared" si="11"/>
        <v>5382</v>
      </c>
    </row>
    <row r="185" spans="1:12" ht="15.5">
      <c r="A185" s="46" t="s">
        <v>1340</v>
      </c>
      <c r="B185" s="46" t="s">
        <v>1341</v>
      </c>
      <c r="C185" s="45" t="s">
        <v>1342</v>
      </c>
      <c r="D185" s="117">
        <v>5980</v>
      </c>
      <c r="E185" s="92">
        <v>8</v>
      </c>
      <c r="F185" s="123">
        <v>1</v>
      </c>
      <c r="G185" s="123">
        <f t="shared" si="10"/>
        <v>7</v>
      </c>
      <c r="H185" s="123"/>
      <c r="I185" s="123">
        <v>1</v>
      </c>
      <c r="J185" s="123">
        <v>2</v>
      </c>
      <c r="K185" s="54">
        <v>0.1</v>
      </c>
      <c r="L185" s="40">
        <f t="shared" si="11"/>
        <v>5382</v>
      </c>
    </row>
    <row r="186" spans="1:12" ht="15.5">
      <c r="A186" s="46" t="s">
        <v>1343</v>
      </c>
      <c r="B186" s="46" t="s">
        <v>1344</v>
      </c>
      <c r="C186" s="45" t="s">
        <v>1345</v>
      </c>
      <c r="D186" s="117">
        <v>5980</v>
      </c>
      <c r="E186" s="92">
        <v>5</v>
      </c>
      <c r="F186" s="123">
        <v>1</v>
      </c>
      <c r="G186" s="123">
        <f t="shared" si="10"/>
        <v>4</v>
      </c>
      <c r="H186" s="123"/>
      <c r="I186" s="123">
        <v>1</v>
      </c>
      <c r="J186" s="123">
        <v>2</v>
      </c>
      <c r="K186" s="54">
        <v>0.1</v>
      </c>
      <c r="L186" s="40">
        <f t="shared" si="11"/>
        <v>5382</v>
      </c>
    </row>
    <row r="187" spans="1:12" ht="15.5">
      <c r="A187" s="46" t="s">
        <v>1346</v>
      </c>
      <c r="B187" s="46" t="s">
        <v>1347</v>
      </c>
      <c r="C187" s="45" t="s">
        <v>1348</v>
      </c>
      <c r="D187" s="117">
        <v>5980</v>
      </c>
      <c r="E187" s="92">
        <v>3</v>
      </c>
      <c r="F187" s="123">
        <v>1</v>
      </c>
      <c r="G187" s="123">
        <f t="shared" si="10"/>
        <v>2</v>
      </c>
      <c r="H187" s="123"/>
      <c r="I187" s="123">
        <v>1</v>
      </c>
      <c r="J187" s="123">
        <v>2</v>
      </c>
      <c r="K187" s="54">
        <v>0.1</v>
      </c>
      <c r="L187" s="40">
        <f t="shared" ref="L187:L218" si="12">D187-(K187*D187)</f>
        <v>5382</v>
      </c>
    </row>
    <row r="188" spans="1:12" ht="15.5">
      <c r="A188" s="46" t="s">
        <v>1349</v>
      </c>
      <c r="B188" s="46" t="s">
        <v>1350</v>
      </c>
      <c r="C188" s="45" t="s">
        <v>1351</v>
      </c>
      <c r="D188" s="117">
        <v>5980</v>
      </c>
      <c r="E188" s="92">
        <v>3</v>
      </c>
      <c r="F188" s="123">
        <v>1</v>
      </c>
      <c r="G188" s="123">
        <f t="shared" si="10"/>
        <v>2</v>
      </c>
      <c r="H188" s="123"/>
      <c r="I188" s="123">
        <v>1</v>
      </c>
      <c r="J188" s="123">
        <v>1</v>
      </c>
      <c r="K188" s="54">
        <v>0.1</v>
      </c>
      <c r="L188" s="40">
        <f t="shared" si="12"/>
        <v>5382</v>
      </c>
    </row>
    <row r="189" spans="1:12" ht="15.5">
      <c r="A189" s="46" t="s">
        <v>1352</v>
      </c>
      <c r="B189" s="46" t="s">
        <v>1353</v>
      </c>
      <c r="C189" s="45" t="s">
        <v>1354</v>
      </c>
      <c r="D189" s="117">
        <v>5980</v>
      </c>
      <c r="E189" s="92">
        <v>4</v>
      </c>
      <c r="F189" s="123">
        <v>1</v>
      </c>
      <c r="G189" s="123">
        <f t="shared" si="10"/>
        <v>3</v>
      </c>
      <c r="H189" s="123"/>
      <c r="I189" s="123"/>
      <c r="J189" s="123">
        <v>1</v>
      </c>
      <c r="K189" s="54">
        <v>0.1</v>
      </c>
      <c r="L189" s="40">
        <f t="shared" si="12"/>
        <v>5382</v>
      </c>
    </row>
    <row r="190" spans="1:12" ht="15.5">
      <c r="A190" s="46" t="s">
        <v>1355</v>
      </c>
      <c r="B190" s="46" t="s">
        <v>1356</v>
      </c>
      <c r="C190" s="45" t="s">
        <v>1357</v>
      </c>
      <c r="D190" s="117">
        <v>5980</v>
      </c>
      <c r="E190" s="92">
        <v>4</v>
      </c>
      <c r="F190" s="123">
        <v>1</v>
      </c>
      <c r="G190" s="123">
        <f t="shared" si="10"/>
        <v>3</v>
      </c>
      <c r="H190" s="123"/>
      <c r="I190" s="123"/>
      <c r="J190" s="123">
        <v>1</v>
      </c>
      <c r="K190" s="54">
        <v>0.1</v>
      </c>
      <c r="L190" s="40">
        <f t="shared" si="12"/>
        <v>5382</v>
      </c>
    </row>
    <row r="191" spans="1:12" ht="15.5">
      <c r="A191" s="46" t="s">
        <v>1358</v>
      </c>
      <c r="B191" s="46" t="s">
        <v>1359</v>
      </c>
      <c r="C191" s="45" t="s">
        <v>1360</v>
      </c>
      <c r="D191" s="117">
        <v>5980</v>
      </c>
      <c r="E191" s="92">
        <v>5</v>
      </c>
      <c r="F191" s="123">
        <v>1</v>
      </c>
      <c r="G191" s="123">
        <f t="shared" si="10"/>
        <v>4</v>
      </c>
      <c r="H191" s="123"/>
      <c r="I191" s="123"/>
      <c r="J191" s="123">
        <v>1</v>
      </c>
      <c r="K191" s="54">
        <v>0.1</v>
      </c>
      <c r="L191" s="40">
        <f t="shared" si="12"/>
        <v>5382</v>
      </c>
    </row>
    <row r="192" spans="1:12" ht="15.5" hidden="1">
      <c r="A192" s="46" t="s">
        <v>1361</v>
      </c>
      <c r="B192" s="46" t="s">
        <v>1362</v>
      </c>
      <c r="C192" s="45" t="s">
        <v>1363</v>
      </c>
      <c r="D192" s="117">
        <v>5980</v>
      </c>
      <c r="E192" s="92">
        <v>1</v>
      </c>
      <c r="F192" s="123">
        <v>1</v>
      </c>
      <c r="G192" s="123">
        <f t="shared" si="10"/>
        <v>0</v>
      </c>
      <c r="H192" s="123"/>
      <c r="I192" s="123"/>
      <c r="J192" s="123"/>
      <c r="K192" s="54">
        <v>0.1</v>
      </c>
      <c r="L192" s="40">
        <f t="shared" si="12"/>
        <v>5382</v>
      </c>
    </row>
    <row r="193" spans="1:12" ht="15.5">
      <c r="A193" s="46" t="s">
        <v>1364</v>
      </c>
      <c r="B193" s="46" t="s">
        <v>1365</v>
      </c>
      <c r="C193" s="45" t="s">
        <v>1366</v>
      </c>
      <c r="D193" s="117">
        <v>5980</v>
      </c>
      <c r="E193" s="92">
        <v>2</v>
      </c>
      <c r="F193" s="123">
        <v>1</v>
      </c>
      <c r="G193" s="123">
        <f t="shared" si="10"/>
        <v>1</v>
      </c>
      <c r="H193" s="123"/>
      <c r="I193" s="123"/>
      <c r="J193" s="123">
        <v>1</v>
      </c>
      <c r="K193" s="54">
        <v>0.1</v>
      </c>
      <c r="L193" s="40">
        <f t="shared" si="12"/>
        <v>5382</v>
      </c>
    </row>
    <row r="194" spans="1:12" ht="15.5">
      <c r="A194" s="46" t="s">
        <v>1367</v>
      </c>
      <c r="B194" s="46" t="s">
        <v>1368</v>
      </c>
      <c r="C194" s="45" t="s">
        <v>1369</v>
      </c>
      <c r="D194" s="117">
        <v>5980</v>
      </c>
      <c r="E194" s="92">
        <v>10</v>
      </c>
      <c r="F194" s="123">
        <v>1</v>
      </c>
      <c r="G194" s="123">
        <f t="shared" si="10"/>
        <v>9</v>
      </c>
      <c r="H194" s="123"/>
      <c r="I194" s="123"/>
      <c r="J194" s="123">
        <v>2</v>
      </c>
      <c r="K194" s="54">
        <v>0.1</v>
      </c>
      <c r="L194" s="40">
        <f t="shared" si="12"/>
        <v>5382</v>
      </c>
    </row>
    <row r="195" spans="1:12" ht="15.5">
      <c r="A195" s="46" t="s">
        <v>1370</v>
      </c>
      <c r="B195" s="46" t="s">
        <v>1371</v>
      </c>
      <c r="C195" s="45" t="s">
        <v>1372</v>
      </c>
      <c r="D195" s="117">
        <v>5980</v>
      </c>
      <c r="E195" s="92">
        <v>3</v>
      </c>
      <c r="F195" s="123">
        <v>1</v>
      </c>
      <c r="G195" s="123">
        <f t="shared" si="10"/>
        <v>2</v>
      </c>
      <c r="H195" s="123"/>
      <c r="I195" s="123"/>
      <c r="J195" s="123">
        <v>2</v>
      </c>
      <c r="K195" s="54">
        <v>0.1</v>
      </c>
      <c r="L195" s="40">
        <f t="shared" si="12"/>
        <v>5382</v>
      </c>
    </row>
    <row r="196" spans="1:12" ht="15.5">
      <c r="A196" s="46" t="s">
        <v>1373</v>
      </c>
      <c r="B196" s="46" t="s">
        <v>1374</v>
      </c>
      <c r="C196" s="45" t="s">
        <v>1375</v>
      </c>
      <c r="D196" s="117">
        <v>5980</v>
      </c>
      <c r="E196" s="92">
        <v>5</v>
      </c>
      <c r="F196" s="123">
        <v>1</v>
      </c>
      <c r="G196" s="123">
        <f t="shared" si="10"/>
        <v>4</v>
      </c>
      <c r="H196" s="123"/>
      <c r="I196" s="123"/>
      <c r="J196" s="123">
        <v>1</v>
      </c>
      <c r="K196" s="54">
        <v>0.1</v>
      </c>
      <c r="L196" s="40">
        <f t="shared" si="12"/>
        <v>5382</v>
      </c>
    </row>
    <row r="197" spans="1:12" ht="15.5">
      <c r="A197" s="46" t="s">
        <v>1376</v>
      </c>
      <c r="B197" s="46" t="s">
        <v>1377</v>
      </c>
      <c r="C197" s="45" t="s">
        <v>1378</v>
      </c>
      <c r="D197" s="117">
        <v>5980</v>
      </c>
      <c r="E197" s="92">
        <v>6</v>
      </c>
      <c r="F197" s="123">
        <v>1</v>
      </c>
      <c r="G197" s="123">
        <f t="shared" si="10"/>
        <v>5</v>
      </c>
      <c r="H197" s="123"/>
      <c r="I197" s="123"/>
      <c r="J197" s="123">
        <v>1</v>
      </c>
      <c r="K197" s="54">
        <v>0.1</v>
      </c>
      <c r="L197" s="40">
        <f t="shared" si="12"/>
        <v>5382</v>
      </c>
    </row>
    <row r="198" spans="1:12" ht="15.5">
      <c r="A198" s="46" t="s">
        <v>1379</v>
      </c>
      <c r="B198" s="46" t="s">
        <v>1380</v>
      </c>
      <c r="C198" s="45" t="s">
        <v>1381</v>
      </c>
      <c r="D198" s="117">
        <v>5980</v>
      </c>
      <c r="E198" s="92">
        <v>9</v>
      </c>
      <c r="F198" s="123">
        <v>1</v>
      </c>
      <c r="G198" s="123">
        <f t="shared" si="10"/>
        <v>8</v>
      </c>
      <c r="H198" s="123"/>
      <c r="I198" s="123"/>
      <c r="J198" s="123">
        <v>1</v>
      </c>
      <c r="K198" s="54">
        <v>0.1</v>
      </c>
      <c r="L198" s="40">
        <f t="shared" si="12"/>
        <v>5382</v>
      </c>
    </row>
    <row r="199" spans="1:12" ht="15.5">
      <c r="A199" s="46" t="s">
        <v>1382</v>
      </c>
      <c r="B199" s="46" t="s">
        <v>1383</v>
      </c>
      <c r="C199" s="45" t="s">
        <v>1384</v>
      </c>
      <c r="D199" s="117">
        <v>5980</v>
      </c>
      <c r="E199" s="92">
        <v>3</v>
      </c>
      <c r="F199" s="123">
        <v>1</v>
      </c>
      <c r="G199" s="123">
        <f t="shared" si="10"/>
        <v>2</v>
      </c>
      <c r="H199" s="123"/>
      <c r="I199" s="123"/>
      <c r="J199" s="123">
        <v>1</v>
      </c>
      <c r="K199" s="54">
        <v>0.1</v>
      </c>
      <c r="L199" s="40">
        <f t="shared" si="12"/>
        <v>5382</v>
      </c>
    </row>
    <row r="200" spans="1:12" ht="15.5">
      <c r="A200" s="46" t="s">
        <v>1385</v>
      </c>
      <c r="B200" s="46" t="s">
        <v>1386</v>
      </c>
      <c r="C200" s="45" t="s">
        <v>1387</v>
      </c>
      <c r="D200" s="117">
        <v>5980</v>
      </c>
      <c r="E200" s="92">
        <v>6</v>
      </c>
      <c r="F200" s="123">
        <v>1</v>
      </c>
      <c r="G200" s="123">
        <f t="shared" si="10"/>
        <v>5</v>
      </c>
      <c r="H200" s="123"/>
      <c r="I200" s="123"/>
      <c r="J200" s="123">
        <v>1</v>
      </c>
      <c r="K200" s="54">
        <v>0.1</v>
      </c>
      <c r="L200" s="40">
        <f t="shared" si="12"/>
        <v>5382</v>
      </c>
    </row>
    <row r="201" spans="1:12" ht="15.5">
      <c r="A201" s="46" t="s">
        <v>1388</v>
      </c>
      <c r="B201" s="46" t="s">
        <v>1389</v>
      </c>
      <c r="C201" s="45" t="s">
        <v>1390</v>
      </c>
      <c r="D201" s="117">
        <v>5980</v>
      </c>
      <c r="E201" s="92">
        <v>6</v>
      </c>
      <c r="F201" s="123">
        <v>1</v>
      </c>
      <c r="G201" s="123">
        <f t="shared" si="10"/>
        <v>5</v>
      </c>
      <c r="H201" s="123"/>
      <c r="I201" s="123"/>
      <c r="J201" s="123">
        <v>2</v>
      </c>
      <c r="K201" s="54">
        <v>0.1</v>
      </c>
      <c r="L201" s="40">
        <f t="shared" si="12"/>
        <v>5382</v>
      </c>
    </row>
    <row r="202" spans="1:12" ht="15.5">
      <c r="A202" s="46" t="s">
        <v>1391</v>
      </c>
      <c r="B202" s="46" t="s">
        <v>1392</v>
      </c>
      <c r="C202" s="45" t="s">
        <v>1393</v>
      </c>
      <c r="D202" s="117">
        <v>5980</v>
      </c>
      <c r="E202" s="92">
        <v>14</v>
      </c>
      <c r="F202" s="123">
        <v>1</v>
      </c>
      <c r="G202" s="123">
        <f t="shared" si="10"/>
        <v>13</v>
      </c>
      <c r="H202" s="123"/>
      <c r="I202" s="123"/>
      <c r="J202" s="123">
        <v>2</v>
      </c>
      <c r="K202" s="54">
        <v>0.1</v>
      </c>
      <c r="L202" s="40">
        <f t="shared" si="12"/>
        <v>5382</v>
      </c>
    </row>
    <row r="203" spans="1:12" ht="15.5">
      <c r="A203" s="46" t="s">
        <v>1394</v>
      </c>
      <c r="B203" s="46" t="s">
        <v>1395</v>
      </c>
      <c r="C203" s="45" t="s">
        <v>1396</v>
      </c>
      <c r="D203" s="117">
        <v>5980</v>
      </c>
      <c r="E203" s="92">
        <v>4</v>
      </c>
      <c r="F203" s="123">
        <v>1</v>
      </c>
      <c r="G203" s="123">
        <f t="shared" si="10"/>
        <v>3</v>
      </c>
      <c r="H203" s="123"/>
      <c r="I203" s="123"/>
      <c r="J203" s="123">
        <v>1</v>
      </c>
      <c r="K203" s="54">
        <v>0.1</v>
      </c>
      <c r="L203" s="40">
        <f t="shared" si="12"/>
        <v>5382</v>
      </c>
    </row>
    <row r="204" spans="1:12" ht="15.5" hidden="1">
      <c r="A204" s="46" t="s">
        <v>1397</v>
      </c>
      <c r="B204" s="46" t="s">
        <v>1398</v>
      </c>
      <c r="C204" s="45" t="s">
        <v>1399</v>
      </c>
      <c r="D204" s="117">
        <v>5980</v>
      </c>
      <c r="E204" s="92">
        <v>1</v>
      </c>
      <c r="F204" s="123">
        <v>1</v>
      </c>
      <c r="G204" s="123">
        <f t="shared" si="10"/>
        <v>0</v>
      </c>
      <c r="H204" s="123"/>
      <c r="I204" s="123"/>
      <c r="J204" s="123"/>
      <c r="K204" s="54">
        <v>0.1</v>
      </c>
      <c r="L204" s="40">
        <f t="shared" si="12"/>
        <v>5382</v>
      </c>
    </row>
    <row r="205" spans="1:12" ht="15.5">
      <c r="A205" s="46" t="s">
        <v>1400</v>
      </c>
      <c r="B205" s="46" t="s">
        <v>1401</v>
      </c>
      <c r="C205" s="45" t="s">
        <v>1402</v>
      </c>
      <c r="D205" s="117">
        <v>6200</v>
      </c>
      <c r="E205" s="92">
        <v>3</v>
      </c>
      <c r="F205" s="123">
        <v>1</v>
      </c>
      <c r="G205" s="123">
        <f t="shared" si="10"/>
        <v>2</v>
      </c>
      <c r="H205" s="123"/>
      <c r="I205" s="123"/>
      <c r="J205" s="123">
        <v>1</v>
      </c>
      <c r="K205" s="54">
        <v>0.1</v>
      </c>
      <c r="L205" s="40">
        <f t="shared" si="12"/>
        <v>5580</v>
      </c>
    </row>
    <row r="206" spans="1:12" ht="15.5">
      <c r="A206" s="46" t="s">
        <v>1403</v>
      </c>
      <c r="B206" s="46" t="s">
        <v>1404</v>
      </c>
      <c r="C206" s="45" t="s">
        <v>1405</v>
      </c>
      <c r="D206" s="117">
        <v>6200</v>
      </c>
      <c r="E206" s="92">
        <v>3</v>
      </c>
      <c r="F206" s="123">
        <v>1</v>
      </c>
      <c r="G206" s="123">
        <f t="shared" si="10"/>
        <v>2</v>
      </c>
      <c r="H206" s="123"/>
      <c r="I206" s="123"/>
      <c r="J206" s="123">
        <v>1</v>
      </c>
      <c r="K206" s="54">
        <v>0.1</v>
      </c>
      <c r="L206" s="40">
        <f t="shared" si="12"/>
        <v>5580</v>
      </c>
    </row>
    <row r="207" spans="1:12" ht="15.5">
      <c r="A207" s="46" t="s">
        <v>1406</v>
      </c>
      <c r="B207" s="46" t="s">
        <v>1407</v>
      </c>
      <c r="C207" s="45" t="s">
        <v>1408</v>
      </c>
      <c r="D207" s="117">
        <v>6200</v>
      </c>
      <c r="E207" s="92">
        <v>4</v>
      </c>
      <c r="F207" s="123">
        <v>1</v>
      </c>
      <c r="G207" s="123">
        <f t="shared" si="10"/>
        <v>3</v>
      </c>
      <c r="H207" s="123"/>
      <c r="I207" s="123"/>
      <c r="J207" s="123">
        <v>2</v>
      </c>
      <c r="K207" s="54">
        <v>0.1</v>
      </c>
      <c r="L207" s="40">
        <f t="shared" si="12"/>
        <v>5580</v>
      </c>
    </row>
    <row r="208" spans="1:12" ht="15.5">
      <c r="A208" s="46" t="s">
        <v>1409</v>
      </c>
      <c r="B208" s="46" t="s">
        <v>1410</v>
      </c>
      <c r="C208" s="45" t="s">
        <v>1411</v>
      </c>
      <c r="D208" s="117">
        <v>6200</v>
      </c>
      <c r="E208" s="92">
        <v>9</v>
      </c>
      <c r="F208" s="123">
        <v>1</v>
      </c>
      <c r="G208" s="123">
        <f t="shared" si="10"/>
        <v>8</v>
      </c>
      <c r="H208" s="123"/>
      <c r="I208" s="123"/>
      <c r="J208" s="123">
        <v>2</v>
      </c>
      <c r="K208" s="54">
        <v>0.1</v>
      </c>
      <c r="L208" s="40">
        <f t="shared" si="12"/>
        <v>5580</v>
      </c>
    </row>
    <row r="209" spans="1:12" ht="15.5">
      <c r="A209" s="46" t="s">
        <v>1412</v>
      </c>
      <c r="B209" s="46" t="s">
        <v>1413</v>
      </c>
      <c r="C209" s="45" t="s">
        <v>1414</v>
      </c>
      <c r="D209" s="117">
        <v>6200</v>
      </c>
      <c r="E209" s="92">
        <v>4</v>
      </c>
      <c r="F209" s="123">
        <v>1</v>
      </c>
      <c r="G209" s="123">
        <f t="shared" si="10"/>
        <v>3</v>
      </c>
      <c r="H209" s="123"/>
      <c r="I209" s="123"/>
      <c r="J209" s="123">
        <v>2</v>
      </c>
      <c r="K209" s="54">
        <v>0.1</v>
      </c>
      <c r="L209" s="40">
        <f t="shared" si="12"/>
        <v>5580</v>
      </c>
    </row>
    <row r="210" spans="1:12" ht="15.5">
      <c r="A210" s="46" t="s">
        <v>1415</v>
      </c>
      <c r="B210" s="46" t="s">
        <v>1416</v>
      </c>
      <c r="C210" s="45" t="s">
        <v>1417</v>
      </c>
      <c r="D210" s="117">
        <v>6200</v>
      </c>
      <c r="E210" s="92">
        <v>4</v>
      </c>
      <c r="F210" s="123">
        <v>1</v>
      </c>
      <c r="G210" s="123">
        <f t="shared" si="10"/>
        <v>3</v>
      </c>
      <c r="H210" s="123"/>
      <c r="I210" s="123"/>
      <c r="J210" s="123">
        <v>1</v>
      </c>
      <c r="K210" s="54">
        <v>0.1</v>
      </c>
      <c r="L210" s="40">
        <f t="shared" si="12"/>
        <v>5580</v>
      </c>
    </row>
    <row r="211" spans="1:12" ht="15.5">
      <c r="A211" s="46" t="s">
        <v>1418</v>
      </c>
      <c r="B211" s="46" t="s">
        <v>1419</v>
      </c>
      <c r="C211" s="45" t="s">
        <v>1420</v>
      </c>
      <c r="D211" s="117">
        <v>6200</v>
      </c>
      <c r="E211" s="92">
        <v>4</v>
      </c>
      <c r="F211" s="123">
        <v>1</v>
      </c>
      <c r="G211" s="123">
        <f t="shared" si="10"/>
        <v>3</v>
      </c>
      <c r="H211" s="123"/>
      <c r="I211" s="123"/>
      <c r="J211" s="123">
        <v>1</v>
      </c>
      <c r="K211" s="54">
        <v>0.1</v>
      </c>
      <c r="L211" s="40">
        <f t="shared" si="12"/>
        <v>5580</v>
      </c>
    </row>
    <row r="212" spans="1:12" ht="15.5">
      <c r="A212" s="46" t="s">
        <v>1421</v>
      </c>
      <c r="B212" s="46" t="s">
        <v>1422</v>
      </c>
      <c r="C212" s="45" t="s">
        <v>1423</v>
      </c>
      <c r="D212" s="117">
        <v>6200</v>
      </c>
      <c r="E212" s="92">
        <v>4</v>
      </c>
      <c r="F212" s="123">
        <v>1</v>
      </c>
      <c r="G212" s="123">
        <f t="shared" si="10"/>
        <v>3</v>
      </c>
      <c r="H212" s="123"/>
      <c r="I212" s="123"/>
      <c r="J212" s="123">
        <v>1</v>
      </c>
      <c r="K212" s="54">
        <v>0.1</v>
      </c>
      <c r="L212" s="40">
        <f t="shared" si="12"/>
        <v>5580</v>
      </c>
    </row>
    <row r="213" spans="1:12">
      <c r="F213" s="95">
        <f>SUM(F9:F212)</f>
        <v>240</v>
      </c>
      <c r="H213" s="95">
        <f>SUM(H9:H212)</f>
        <v>12</v>
      </c>
      <c r="I213" s="95">
        <f>SUM(I9:I212)</f>
        <v>128</v>
      </c>
      <c r="J213" s="95">
        <f>SUM(J9:J212)</f>
        <v>290</v>
      </c>
    </row>
  </sheetData>
  <pageMargins left="0.70866141732283472" right="0.70866141732283472" top="0.35433070866141736" bottom="0.35433070866141736" header="0.31496062992125984" footer="0.31496062992125984"/>
  <pageSetup paperSize="9" scale="70" fitToHeight="0" orientation="portrait" verticalDpi="203" r:id="rId1"/>
  <rowBreaks count="2" manualBreakCount="2">
    <brk id="70" max="11" man="1"/>
    <brk id="136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A7DA-AE89-4C44-B4E7-CEF19348F7B3}">
  <sheetPr>
    <pageSetUpPr fitToPage="1"/>
  </sheetPr>
  <dimension ref="A1:M73"/>
  <sheetViews>
    <sheetView view="pageBreakPreview" zoomScale="60" zoomScaleNormal="100" workbookViewId="0">
      <selection activeCell="H1" sqref="H1"/>
    </sheetView>
  </sheetViews>
  <sheetFormatPr defaultColWidth="8.36328125" defaultRowHeight="14.5"/>
  <cols>
    <col min="1" max="1" width="21.7265625" style="3" bestFit="1" customWidth="1"/>
    <col min="2" max="2" width="37.26953125" style="3" bestFit="1" customWidth="1"/>
    <col min="3" max="3" width="13" style="4" bestFit="1" customWidth="1"/>
    <col min="4" max="4" width="8.26953125" style="3" customWidth="1"/>
    <col min="5" max="5" width="5.453125" style="94" hidden="1" customWidth="1"/>
    <col min="6" max="6" width="6.6328125" style="152" hidden="1" customWidth="1"/>
    <col min="7" max="9" width="6.6328125" style="152" customWidth="1"/>
    <col min="10" max="10" width="11" style="152" customWidth="1"/>
    <col min="11" max="11" width="5.26953125" style="132" bestFit="1" customWidth="1"/>
    <col min="12" max="12" width="5.6328125" style="3" customWidth="1"/>
    <col min="13" max="16384" width="8.36328125" style="3"/>
  </cols>
  <sheetData>
    <row r="1" spans="1:12" s="90" customFormat="1" ht="77.5">
      <c r="A1" s="67" t="s">
        <v>366</v>
      </c>
      <c r="B1" s="67" t="s">
        <v>843</v>
      </c>
      <c r="C1" s="67" t="s">
        <v>4</v>
      </c>
      <c r="D1" s="67" t="s">
        <v>844</v>
      </c>
      <c r="E1" s="129" t="s">
        <v>370</v>
      </c>
      <c r="F1" s="122" t="s">
        <v>373</v>
      </c>
      <c r="G1" s="129" t="s">
        <v>370</v>
      </c>
      <c r="H1" s="125" t="s">
        <v>2080</v>
      </c>
      <c r="I1" s="125" t="s">
        <v>1693</v>
      </c>
      <c r="J1" s="125" t="s">
        <v>1692</v>
      </c>
      <c r="K1" s="32" t="s">
        <v>88</v>
      </c>
      <c r="L1" s="33" t="s">
        <v>374</v>
      </c>
    </row>
    <row r="2" spans="1:12" ht="15.5">
      <c r="A2" s="46" t="s">
        <v>2074</v>
      </c>
      <c r="B2" s="46" t="s">
        <v>2075</v>
      </c>
      <c r="C2" s="131" t="s">
        <v>1751</v>
      </c>
      <c r="D2" s="91">
        <v>5200</v>
      </c>
      <c r="E2" s="92">
        <v>3</v>
      </c>
      <c r="F2" s="123">
        <v>1</v>
      </c>
      <c r="G2" s="123">
        <f>+E2-F2</f>
        <v>2</v>
      </c>
      <c r="H2" s="123"/>
      <c r="I2" s="123"/>
      <c r="J2" s="123">
        <v>1</v>
      </c>
      <c r="K2" s="130">
        <v>0.2</v>
      </c>
      <c r="L2" s="40">
        <f t="shared" ref="L2:L33" si="0">D2-(K2*D2)</f>
        <v>4160</v>
      </c>
    </row>
    <row r="3" spans="1:12" ht="15.5">
      <c r="A3" s="46" t="s">
        <v>1749</v>
      </c>
      <c r="B3" s="46" t="s">
        <v>1750</v>
      </c>
      <c r="C3" s="131" t="s">
        <v>1751</v>
      </c>
      <c r="D3" s="91">
        <v>5200</v>
      </c>
      <c r="E3" s="92">
        <v>10</v>
      </c>
      <c r="F3" s="123">
        <v>2</v>
      </c>
      <c r="G3" s="123">
        <f>+E3-F3</f>
        <v>8</v>
      </c>
      <c r="H3" s="123"/>
      <c r="I3" s="123">
        <v>1</v>
      </c>
      <c r="J3" s="123">
        <v>1</v>
      </c>
      <c r="K3" s="130">
        <v>0.2</v>
      </c>
      <c r="L3" s="40">
        <f t="shared" si="0"/>
        <v>4160</v>
      </c>
    </row>
    <row r="4" spans="1:12" ht="15.5">
      <c r="A4" s="46" t="s">
        <v>1752</v>
      </c>
      <c r="B4" s="46" t="s">
        <v>1753</v>
      </c>
      <c r="C4" s="131" t="s">
        <v>1754</v>
      </c>
      <c r="D4" s="91">
        <v>5200</v>
      </c>
      <c r="E4" s="92">
        <v>26</v>
      </c>
      <c r="F4" s="123">
        <v>2</v>
      </c>
      <c r="G4" s="123">
        <f t="shared" ref="G4:G67" si="1">+E4-F4</f>
        <v>24</v>
      </c>
      <c r="H4" s="123"/>
      <c r="I4" s="123">
        <v>2</v>
      </c>
      <c r="J4" s="123">
        <v>2</v>
      </c>
      <c r="K4" s="130">
        <v>0.2</v>
      </c>
      <c r="L4" s="40">
        <f t="shared" si="0"/>
        <v>4160</v>
      </c>
    </row>
    <row r="5" spans="1:12" ht="15.5">
      <c r="A5" s="46" t="s">
        <v>1755</v>
      </c>
      <c r="B5" s="46" t="s">
        <v>1756</v>
      </c>
      <c r="C5" s="131" t="s">
        <v>1757</v>
      </c>
      <c r="D5" s="91">
        <v>5200</v>
      </c>
      <c r="E5" s="92">
        <v>30</v>
      </c>
      <c r="F5" s="123">
        <v>2</v>
      </c>
      <c r="G5" s="123">
        <f t="shared" si="1"/>
        <v>28</v>
      </c>
      <c r="H5" s="123"/>
      <c r="I5" s="123">
        <v>2</v>
      </c>
      <c r="J5" s="123">
        <v>2</v>
      </c>
      <c r="K5" s="130">
        <v>0.2</v>
      </c>
      <c r="L5" s="40">
        <f t="shared" si="0"/>
        <v>4160</v>
      </c>
    </row>
    <row r="6" spans="1:12" ht="15.5">
      <c r="A6" s="46" t="s">
        <v>1758</v>
      </c>
      <c r="B6" s="46" t="s">
        <v>1759</v>
      </c>
      <c r="C6" s="131" t="s">
        <v>1760</v>
      </c>
      <c r="D6" s="91">
        <v>5200</v>
      </c>
      <c r="E6" s="92">
        <v>19</v>
      </c>
      <c r="F6" s="123">
        <v>2</v>
      </c>
      <c r="G6" s="123">
        <f t="shared" si="1"/>
        <v>17</v>
      </c>
      <c r="H6" s="123"/>
      <c r="I6" s="123">
        <v>1</v>
      </c>
      <c r="J6" s="123">
        <v>2</v>
      </c>
      <c r="K6" s="130">
        <v>0.2</v>
      </c>
      <c r="L6" s="40">
        <f t="shared" si="0"/>
        <v>4160</v>
      </c>
    </row>
    <row r="7" spans="1:12" ht="15.5">
      <c r="A7" s="46" t="s">
        <v>1761</v>
      </c>
      <c r="B7" s="46" t="s">
        <v>1762</v>
      </c>
      <c r="C7" s="131" t="s">
        <v>1763</v>
      </c>
      <c r="D7" s="91">
        <v>5200</v>
      </c>
      <c r="E7" s="92">
        <v>12</v>
      </c>
      <c r="F7" s="123">
        <v>1</v>
      </c>
      <c r="G7" s="123">
        <f t="shared" si="1"/>
        <v>11</v>
      </c>
      <c r="H7" s="123"/>
      <c r="I7" s="123">
        <v>1</v>
      </c>
      <c r="J7" s="123">
        <v>1</v>
      </c>
      <c r="K7" s="130">
        <v>0.2</v>
      </c>
      <c r="L7" s="40">
        <f t="shared" si="0"/>
        <v>4160</v>
      </c>
    </row>
    <row r="8" spans="1:12" ht="15.5">
      <c r="A8" s="46" t="s">
        <v>1764</v>
      </c>
      <c r="B8" s="46" t="s">
        <v>1765</v>
      </c>
      <c r="C8" s="131" t="s">
        <v>1766</v>
      </c>
      <c r="D8" s="91">
        <v>5200</v>
      </c>
      <c r="E8" s="92">
        <v>6</v>
      </c>
      <c r="F8" s="123">
        <v>1</v>
      </c>
      <c r="G8" s="123">
        <f t="shared" si="1"/>
        <v>5</v>
      </c>
      <c r="H8" s="123"/>
      <c r="I8" s="123"/>
      <c r="J8" s="123">
        <v>1</v>
      </c>
      <c r="K8" s="130">
        <v>0.2</v>
      </c>
      <c r="L8" s="40">
        <f t="shared" si="0"/>
        <v>4160</v>
      </c>
    </row>
    <row r="9" spans="1:12" ht="15.5">
      <c r="A9" s="46" t="s">
        <v>1767</v>
      </c>
      <c r="B9" s="46" t="s">
        <v>1768</v>
      </c>
      <c r="C9" s="131" t="s">
        <v>1769</v>
      </c>
      <c r="D9" s="91">
        <v>5200</v>
      </c>
      <c r="E9" s="92">
        <v>6</v>
      </c>
      <c r="F9" s="123">
        <v>1</v>
      </c>
      <c r="G9" s="123">
        <f t="shared" si="1"/>
        <v>5</v>
      </c>
      <c r="H9" s="123"/>
      <c r="I9" s="123"/>
      <c r="J9" s="123">
        <v>1</v>
      </c>
      <c r="K9" s="130">
        <v>0.2</v>
      </c>
      <c r="L9" s="40">
        <f t="shared" si="0"/>
        <v>4160</v>
      </c>
    </row>
    <row r="10" spans="1:12" ht="15.5">
      <c r="A10" s="46" t="s">
        <v>1770</v>
      </c>
      <c r="B10" s="46" t="s">
        <v>1771</v>
      </c>
      <c r="C10" s="131" t="s">
        <v>1772</v>
      </c>
      <c r="D10" s="91">
        <v>5200</v>
      </c>
      <c r="E10" s="92">
        <v>5</v>
      </c>
      <c r="F10" s="123">
        <v>2</v>
      </c>
      <c r="G10" s="123">
        <f t="shared" si="1"/>
        <v>3</v>
      </c>
      <c r="H10" s="123"/>
      <c r="I10" s="123"/>
      <c r="J10" s="123">
        <v>1</v>
      </c>
      <c r="K10" s="130">
        <v>0.2</v>
      </c>
      <c r="L10" s="40">
        <f t="shared" si="0"/>
        <v>4160</v>
      </c>
    </row>
    <row r="11" spans="1:12" ht="15.5">
      <c r="A11" s="46" t="s">
        <v>1773</v>
      </c>
      <c r="B11" s="46" t="s">
        <v>1774</v>
      </c>
      <c r="C11" s="131" t="s">
        <v>1775</v>
      </c>
      <c r="D11" s="91">
        <v>5200</v>
      </c>
      <c r="E11" s="92">
        <v>5</v>
      </c>
      <c r="F11" s="123">
        <v>2</v>
      </c>
      <c r="G11" s="123">
        <f t="shared" si="1"/>
        <v>3</v>
      </c>
      <c r="H11" s="123"/>
      <c r="I11" s="123">
        <v>1</v>
      </c>
      <c r="J11" s="123">
        <v>2</v>
      </c>
      <c r="K11" s="130">
        <v>0.2</v>
      </c>
      <c r="L11" s="40">
        <f t="shared" si="0"/>
        <v>4160</v>
      </c>
    </row>
    <row r="12" spans="1:12" ht="15.5">
      <c r="A12" s="46" t="s">
        <v>1776</v>
      </c>
      <c r="B12" s="46" t="s">
        <v>1777</v>
      </c>
      <c r="C12" s="131" t="s">
        <v>1778</v>
      </c>
      <c r="D12" s="91">
        <v>5200</v>
      </c>
      <c r="E12" s="92">
        <v>11</v>
      </c>
      <c r="F12" s="123">
        <v>2</v>
      </c>
      <c r="G12" s="123">
        <f t="shared" si="1"/>
        <v>9</v>
      </c>
      <c r="H12" s="123"/>
      <c r="I12" s="123">
        <v>2</v>
      </c>
      <c r="J12" s="123">
        <v>2</v>
      </c>
      <c r="K12" s="130">
        <v>0.2</v>
      </c>
      <c r="L12" s="40">
        <f t="shared" si="0"/>
        <v>4160</v>
      </c>
    </row>
    <row r="13" spans="1:12" ht="15.5">
      <c r="A13" s="46" t="s">
        <v>1779</v>
      </c>
      <c r="B13" s="46" t="s">
        <v>1780</v>
      </c>
      <c r="C13" s="131" t="s">
        <v>1781</v>
      </c>
      <c r="D13" s="91">
        <v>5200</v>
      </c>
      <c r="E13" s="92">
        <v>6</v>
      </c>
      <c r="F13" s="123">
        <v>1</v>
      </c>
      <c r="G13" s="123">
        <f t="shared" si="1"/>
        <v>5</v>
      </c>
      <c r="H13" s="123"/>
      <c r="I13" s="123">
        <v>1</v>
      </c>
      <c r="J13" s="123">
        <v>1</v>
      </c>
      <c r="K13" s="130">
        <v>0.2</v>
      </c>
      <c r="L13" s="40">
        <f t="shared" si="0"/>
        <v>4160</v>
      </c>
    </row>
    <row r="14" spans="1:12" ht="15.5">
      <c r="A14" s="46" t="s">
        <v>1782</v>
      </c>
      <c r="B14" s="46" t="s">
        <v>1783</v>
      </c>
      <c r="C14" s="131" t="s">
        <v>1784</v>
      </c>
      <c r="D14" s="91">
        <v>5200</v>
      </c>
      <c r="E14" s="92">
        <v>1</v>
      </c>
      <c r="F14" s="123">
        <v>1</v>
      </c>
      <c r="G14" s="123">
        <f t="shared" si="1"/>
        <v>0</v>
      </c>
      <c r="H14" s="123"/>
      <c r="I14" s="123"/>
      <c r="J14" s="123"/>
      <c r="K14" s="130">
        <v>0.2</v>
      </c>
      <c r="L14" s="40">
        <f t="shared" si="0"/>
        <v>4160</v>
      </c>
    </row>
    <row r="15" spans="1:12" ht="15.5">
      <c r="A15" s="46" t="s">
        <v>2076</v>
      </c>
      <c r="B15" s="46" t="s">
        <v>2077</v>
      </c>
      <c r="C15" s="131"/>
      <c r="D15" s="91">
        <v>5200</v>
      </c>
      <c r="E15" s="92">
        <v>1</v>
      </c>
      <c r="F15" s="123">
        <v>1</v>
      </c>
      <c r="G15" s="123">
        <f t="shared" si="1"/>
        <v>0</v>
      </c>
      <c r="H15" s="123"/>
      <c r="I15" s="123"/>
      <c r="J15" s="123"/>
      <c r="K15" s="130">
        <v>0.2</v>
      </c>
      <c r="L15" s="40">
        <f t="shared" si="0"/>
        <v>4160</v>
      </c>
    </row>
    <row r="16" spans="1:12" ht="15.5">
      <c r="A16" s="46" t="s">
        <v>1785</v>
      </c>
      <c r="B16" s="46" t="s">
        <v>1786</v>
      </c>
      <c r="C16" s="131" t="s">
        <v>1787</v>
      </c>
      <c r="D16" s="91">
        <v>5200</v>
      </c>
      <c r="E16" s="92">
        <v>9</v>
      </c>
      <c r="F16" s="123">
        <v>2</v>
      </c>
      <c r="G16" s="123">
        <f t="shared" si="1"/>
        <v>7</v>
      </c>
      <c r="H16" s="123"/>
      <c r="I16" s="123">
        <v>2</v>
      </c>
      <c r="J16" s="123">
        <v>2</v>
      </c>
      <c r="K16" s="130">
        <v>0.2</v>
      </c>
      <c r="L16" s="40">
        <f t="shared" si="0"/>
        <v>4160</v>
      </c>
    </row>
    <row r="17" spans="1:13" ht="15.5">
      <c r="A17" s="46" t="s">
        <v>1788</v>
      </c>
      <c r="B17" s="46" t="s">
        <v>1789</v>
      </c>
      <c r="C17" s="131" t="s">
        <v>1790</v>
      </c>
      <c r="D17" s="91">
        <v>5200</v>
      </c>
      <c r="E17" s="92">
        <v>8</v>
      </c>
      <c r="F17" s="123">
        <v>2</v>
      </c>
      <c r="G17" s="123">
        <f t="shared" si="1"/>
        <v>6</v>
      </c>
      <c r="H17" s="123"/>
      <c r="I17" s="123">
        <v>2</v>
      </c>
      <c r="J17" s="123">
        <v>2</v>
      </c>
      <c r="K17" s="130">
        <v>0.2</v>
      </c>
      <c r="L17" s="40">
        <f t="shared" si="0"/>
        <v>4160</v>
      </c>
    </row>
    <row r="18" spans="1:13" ht="15.5">
      <c r="A18" s="46" t="s">
        <v>1791</v>
      </c>
      <c r="B18" s="46" t="s">
        <v>1792</v>
      </c>
      <c r="C18" s="131" t="s">
        <v>1793</v>
      </c>
      <c r="D18" s="91">
        <v>5200</v>
      </c>
      <c r="E18" s="92">
        <v>8</v>
      </c>
      <c r="F18" s="123">
        <v>2</v>
      </c>
      <c r="G18" s="123">
        <f t="shared" si="1"/>
        <v>6</v>
      </c>
      <c r="H18" s="123"/>
      <c r="I18" s="123">
        <v>2</v>
      </c>
      <c r="J18" s="123">
        <v>2</v>
      </c>
      <c r="K18" s="130">
        <v>0.2</v>
      </c>
      <c r="L18" s="40">
        <f t="shared" si="0"/>
        <v>4160</v>
      </c>
    </row>
    <row r="19" spans="1:13" ht="15.5">
      <c r="A19" s="46" t="s">
        <v>1794</v>
      </c>
      <c r="B19" s="46" t="s">
        <v>1795</v>
      </c>
      <c r="C19" s="131" t="s">
        <v>1796</v>
      </c>
      <c r="D19" s="91">
        <v>5200</v>
      </c>
      <c r="E19" s="92">
        <v>1</v>
      </c>
      <c r="F19" s="123">
        <v>1</v>
      </c>
      <c r="G19" s="123">
        <f t="shared" si="1"/>
        <v>0</v>
      </c>
      <c r="H19" s="123"/>
      <c r="I19" s="123"/>
      <c r="J19" s="123"/>
      <c r="K19" s="130">
        <v>0.2</v>
      </c>
      <c r="L19" s="40">
        <f t="shared" si="0"/>
        <v>4160</v>
      </c>
    </row>
    <row r="20" spans="1:13" ht="15.5">
      <c r="A20" s="46" t="s">
        <v>1797</v>
      </c>
      <c r="B20" s="46" t="s">
        <v>1798</v>
      </c>
      <c r="C20" s="131" t="s">
        <v>1799</v>
      </c>
      <c r="D20" s="91">
        <v>5200</v>
      </c>
      <c r="E20" s="92">
        <v>1</v>
      </c>
      <c r="F20" s="123">
        <v>1</v>
      </c>
      <c r="G20" s="123">
        <f t="shared" si="1"/>
        <v>0</v>
      </c>
      <c r="H20" s="123"/>
      <c r="I20" s="123"/>
      <c r="J20" s="123"/>
      <c r="K20" s="130">
        <v>0.2</v>
      </c>
      <c r="L20" s="40">
        <f t="shared" si="0"/>
        <v>4160</v>
      </c>
    </row>
    <row r="21" spans="1:13" ht="15.5">
      <c r="A21" s="46" t="s">
        <v>1800</v>
      </c>
      <c r="B21" s="46" t="s">
        <v>1801</v>
      </c>
      <c r="C21" s="131" t="s">
        <v>1802</v>
      </c>
      <c r="D21" s="91">
        <v>5200</v>
      </c>
      <c r="E21" s="92">
        <v>11</v>
      </c>
      <c r="F21" s="123">
        <v>2</v>
      </c>
      <c r="G21" s="123">
        <f t="shared" si="1"/>
        <v>9</v>
      </c>
      <c r="H21" s="123"/>
      <c r="I21" s="123">
        <v>1</v>
      </c>
      <c r="J21" s="123">
        <v>1</v>
      </c>
      <c r="K21" s="130">
        <v>0.2</v>
      </c>
      <c r="L21" s="40">
        <f t="shared" si="0"/>
        <v>4160</v>
      </c>
    </row>
    <row r="22" spans="1:13" ht="15.5">
      <c r="A22" s="46" t="s">
        <v>1803</v>
      </c>
      <c r="B22" s="46" t="s">
        <v>1804</v>
      </c>
      <c r="C22" s="131" t="s">
        <v>1805</v>
      </c>
      <c r="D22" s="91">
        <v>5200</v>
      </c>
      <c r="E22" s="92">
        <v>10</v>
      </c>
      <c r="F22" s="123">
        <v>2</v>
      </c>
      <c r="G22" s="123">
        <f t="shared" si="1"/>
        <v>8</v>
      </c>
      <c r="H22" s="123"/>
      <c r="I22" s="123">
        <v>2</v>
      </c>
      <c r="J22" s="123">
        <v>2</v>
      </c>
      <c r="K22" s="130">
        <v>0.2</v>
      </c>
      <c r="L22" s="40">
        <f t="shared" si="0"/>
        <v>4160</v>
      </c>
    </row>
    <row r="23" spans="1:13" ht="15.5">
      <c r="A23" s="46" t="s">
        <v>1806</v>
      </c>
      <c r="B23" s="46" t="s">
        <v>1807</v>
      </c>
      <c r="C23" s="131" t="s">
        <v>1808</v>
      </c>
      <c r="D23" s="91">
        <v>5200</v>
      </c>
      <c r="E23" s="92">
        <v>22</v>
      </c>
      <c r="F23" s="123">
        <v>2</v>
      </c>
      <c r="G23" s="123">
        <f t="shared" si="1"/>
        <v>20</v>
      </c>
      <c r="H23" s="123"/>
      <c r="I23" s="123">
        <v>2</v>
      </c>
      <c r="J23" s="123">
        <v>2</v>
      </c>
      <c r="K23" s="130">
        <v>0.2</v>
      </c>
      <c r="L23" s="40">
        <f t="shared" si="0"/>
        <v>4160</v>
      </c>
    </row>
    <row r="24" spans="1:13" ht="15.5">
      <c r="A24" s="46" t="s">
        <v>1809</v>
      </c>
      <c r="B24" s="46" t="s">
        <v>1810</v>
      </c>
      <c r="C24" s="131" t="s">
        <v>1811</v>
      </c>
      <c r="D24" s="91">
        <v>5200</v>
      </c>
      <c r="E24" s="92">
        <v>11</v>
      </c>
      <c r="F24" s="123">
        <v>1</v>
      </c>
      <c r="G24" s="123">
        <f t="shared" si="1"/>
        <v>10</v>
      </c>
      <c r="H24" s="123"/>
      <c r="I24" s="123">
        <v>1</v>
      </c>
      <c r="J24" s="123">
        <v>1</v>
      </c>
      <c r="K24" s="130">
        <v>0.2</v>
      </c>
      <c r="L24" s="40">
        <f t="shared" si="0"/>
        <v>4160</v>
      </c>
    </row>
    <row r="25" spans="1:13" ht="15.5">
      <c r="A25" s="46" t="s">
        <v>1812</v>
      </c>
      <c r="B25" s="46" t="s">
        <v>1813</v>
      </c>
      <c r="C25" s="131" t="s">
        <v>1814</v>
      </c>
      <c r="D25" s="91">
        <v>5200</v>
      </c>
      <c r="E25" s="92">
        <v>7</v>
      </c>
      <c r="F25" s="123">
        <v>1</v>
      </c>
      <c r="G25" s="123">
        <f t="shared" si="1"/>
        <v>6</v>
      </c>
      <c r="H25" s="123"/>
      <c r="I25" s="123"/>
      <c r="J25" s="123">
        <v>1</v>
      </c>
      <c r="K25" s="130">
        <v>0.2</v>
      </c>
      <c r="L25" s="40">
        <f t="shared" si="0"/>
        <v>4160</v>
      </c>
    </row>
    <row r="26" spans="1:13" ht="15.5">
      <c r="A26" s="46" t="s">
        <v>1816</v>
      </c>
      <c r="B26" s="46" t="s">
        <v>1817</v>
      </c>
      <c r="C26" s="131" t="s">
        <v>1818</v>
      </c>
      <c r="D26" s="91">
        <v>4900</v>
      </c>
      <c r="E26" s="92">
        <v>2</v>
      </c>
      <c r="F26" s="123">
        <v>1</v>
      </c>
      <c r="G26" s="123">
        <f t="shared" si="1"/>
        <v>1</v>
      </c>
      <c r="H26" s="123"/>
      <c r="I26" s="123"/>
      <c r="J26" s="123">
        <v>1</v>
      </c>
      <c r="K26" s="130">
        <v>0.2</v>
      </c>
      <c r="L26" s="40">
        <f t="shared" si="0"/>
        <v>3920</v>
      </c>
      <c r="M26" s="3" t="s">
        <v>1815</v>
      </c>
    </row>
    <row r="27" spans="1:13" ht="15.5">
      <c r="A27" s="46" t="s">
        <v>1819</v>
      </c>
      <c r="B27" s="46" t="s">
        <v>1820</v>
      </c>
      <c r="C27" s="131" t="s">
        <v>1821</v>
      </c>
      <c r="D27" s="91">
        <v>4900</v>
      </c>
      <c r="E27" s="92">
        <v>2</v>
      </c>
      <c r="F27" s="123">
        <v>1</v>
      </c>
      <c r="G27" s="123">
        <f t="shared" si="1"/>
        <v>1</v>
      </c>
      <c r="H27" s="123"/>
      <c r="I27" s="123"/>
      <c r="J27" s="123">
        <v>1</v>
      </c>
      <c r="K27" s="130">
        <v>0.2</v>
      </c>
      <c r="L27" s="40">
        <f t="shared" si="0"/>
        <v>3920</v>
      </c>
      <c r="M27" s="3" t="s">
        <v>1815</v>
      </c>
    </row>
    <row r="28" spans="1:13" ht="15.5">
      <c r="A28" s="46" t="s">
        <v>1822</v>
      </c>
      <c r="B28" s="46" t="s">
        <v>1823</v>
      </c>
      <c r="C28" s="131" t="s">
        <v>1824</v>
      </c>
      <c r="D28" s="91">
        <v>4900</v>
      </c>
      <c r="E28" s="92">
        <v>3</v>
      </c>
      <c r="F28" s="123">
        <v>1</v>
      </c>
      <c r="G28" s="123">
        <f t="shared" si="1"/>
        <v>2</v>
      </c>
      <c r="H28" s="123"/>
      <c r="I28" s="123"/>
      <c r="J28" s="123">
        <v>2</v>
      </c>
      <c r="K28" s="130">
        <v>0.2</v>
      </c>
      <c r="L28" s="40">
        <f t="shared" si="0"/>
        <v>3920</v>
      </c>
      <c r="M28" s="3" t="s">
        <v>1815</v>
      </c>
    </row>
    <row r="29" spans="1:13" ht="15.5">
      <c r="A29" s="46" t="s">
        <v>1825</v>
      </c>
      <c r="B29" s="46" t="s">
        <v>1826</v>
      </c>
      <c r="C29" s="131" t="s">
        <v>1827</v>
      </c>
      <c r="D29" s="91">
        <v>5800</v>
      </c>
      <c r="E29" s="92">
        <v>1</v>
      </c>
      <c r="F29" s="123">
        <v>1</v>
      </c>
      <c r="G29" s="123">
        <f t="shared" si="1"/>
        <v>0</v>
      </c>
      <c r="H29" s="123"/>
      <c r="I29" s="123"/>
      <c r="J29" s="123"/>
      <c r="K29" s="130">
        <v>0.2</v>
      </c>
      <c r="L29" s="40">
        <f t="shared" si="0"/>
        <v>4640</v>
      </c>
    </row>
    <row r="30" spans="1:13" ht="15.5">
      <c r="A30" s="46" t="s">
        <v>1828</v>
      </c>
      <c r="B30" s="46" t="s">
        <v>1829</v>
      </c>
      <c r="C30" s="131" t="s">
        <v>1830</v>
      </c>
      <c r="D30" s="91">
        <v>5800</v>
      </c>
      <c r="E30" s="92">
        <v>1</v>
      </c>
      <c r="F30" s="123">
        <v>1</v>
      </c>
      <c r="G30" s="123">
        <f t="shared" si="1"/>
        <v>0</v>
      </c>
      <c r="H30" s="123"/>
      <c r="I30" s="123"/>
      <c r="J30" s="123"/>
      <c r="K30" s="130">
        <v>0.2</v>
      </c>
      <c r="L30" s="40">
        <f t="shared" si="0"/>
        <v>4640</v>
      </c>
    </row>
    <row r="31" spans="1:13" ht="15.5">
      <c r="A31" s="46" t="s">
        <v>1831</v>
      </c>
      <c r="B31" s="46" t="s">
        <v>1832</v>
      </c>
      <c r="C31" s="131" t="s">
        <v>1833</v>
      </c>
      <c r="D31" s="91">
        <v>5800</v>
      </c>
      <c r="E31" s="92">
        <v>4</v>
      </c>
      <c r="F31" s="123">
        <v>2</v>
      </c>
      <c r="G31" s="123">
        <f t="shared" si="1"/>
        <v>2</v>
      </c>
      <c r="H31" s="123"/>
      <c r="I31" s="123"/>
      <c r="J31" s="123">
        <v>1</v>
      </c>
      <c r="K31" s="130">
        <v>0.2</v>
      </c>
      <c r="L31" s="40">
        <f t="shared" si="0"/>
        <v>4640</v>
      </c>
    </row>
    <row r="32" spans="1:13" ht="15.5">
      <c r="A32" s="46" t="s">
        <v>1834</v>
      </c>
      <c r="B32" s="46" t="s">
        <v>1835</v>
      </c>
      <c r="C32" s="131" t="s">
        <v>1836</v>
      </c>
      <c r="D32" s="91">
        <v>5800</v>
      </c>
      <c r="E32" s="92">
        <v>3</v>
      </c>
      <c r="F32" s="123">
        <v>2</v>
      </c>
      <c r="G32" s="123">
        <f t="shared" si="1"/>
        <v>1</v>
      </c>
      <c r="H32" s="123"/>
      <c r="I32" s="123"/>
      <c r="J32" s="123">
        <v>1</v>
      </c>
      <c r="K32" s="130">
        <v>0.2</v>
      </c>
      <c r="L32" s="40">
        <f t="shared" si="0"/>
        <v>4640</v>
      </c>
    </row>
    <row r="33" spans="1:12" ht="15.5">
      <c r="A33" s="46" t="s">
        <v>1837</v>
      </c>
      <c r="B33" s="46" t="s">
        <v>1838</v>
      </c>
      <c r="C33" s="131" t="s">
        <v>1839</v>
      </c>
      <c r="D33" s="91">
        <v>5800</v>
      </c>
      <c r="E33" s="92">
        <v>2</v>
      </c>
      <c r="F33" s="123">
        <v>1</v>
      </c>
      <c r="G33" s="123">
        <f t="shared" si="1"/>
        <v>1</v>
      </c>
      <c r="H33" s="123"/>
      <c r="I33" s="123"/>
      <c r="J33" s="123">
        <v>1</v>
      </c>
      <c r="K33" s="130">
        <v>0.2</v>
      </c>
      <c r="L33" s="40">
        <f t="shared" si="0"/>
        <v>4640</v>
      </c>
    </row>
    <row r="34" spans="1:12" ht="15.5">
      <c r="A34" s="46" t="s">
        <v>1840</v>
      </c>
      <c r="B34" s="46" t="s">
        <v>1841</v>
      </c>
      <c r="C34" s="131" t="s">
        <v>1842</v>
      </c>
      <c r="D34" s="91">
        <v>5800</v>
      </c>
      <c r="E34" s="92">
        <v>4</v>
      </c>
      <c r="F34" s="123">
        <v>1</v>
      </c>
      <c r="G34" s="123">
        <f t="shared" si="1"/>
        <v>3</v>
      </c>
      <c r="H34" s="123"/>
      <c r="I34" s="123"/>
      <c r="J34" s="123">
        <v>1</v>
      </c>
      <c r="K34" s="130">
        <v>0.2</v>
      </c>
      <c r="L34" s="40">
        <f t="shared" ref="L34:L65" si="2">D34-(K34*D34)</f>
        <v>4640</v>
      </c>
    </row>
    <row r="35" spans="1:12" ht="15.5">
      <c r="A35" s="46" t="s">
        <v>1843</v>
      </c>
      <c r="B35" s="46" t="s">
        <v>1844</v>
      </c>
      <c r="C35" s="131" t="s">
        <v>1845</v>
      </c>
      <c r="D35" s="91">
        <v>5800</v>
      </c>
      <c r="E35" s="92">
        <v>1</v>
      </c>
      <c r="F35" s="123">
        <v>1</v>
      </c>
      <c r="G35" s="123">
        <f t="shared" si="1"/>
        <v>0</v>
      </c>
      <c r="H35" s="123"/>
      <c r="I35" s="123"/>
      <c r="J35" s="123"/>
      <c r="K35" s="130">
        <v>0.2</v>
      </c>
      <c r="L35" s="40">
        <f t="shared" si="2"/>
        <v>4640</v>
      </c>
    </row>
    <row r="36" spans="1:12" ht="15.5">
      <c r="A36" s="46" t="s">
        <v>1846</v>
      </c>
      <c r="B36" s="46" t="s">
        <v>1847</v>
      </c>
      <c r="C36" s="131" t="s">
        <v>1848</v>
      </c>
      <c r="D36" s="91">
        <v>5800</v>
      </c>
      <c r="E36" s="92">
        <v>7</v>
      </c>
      <c r="F36" s="123">
        <v>2</v>
      </c>
      <c r="G36" s="123">
        <f t="shared" si="1"/>
        <v>5</v>
      </c>
      <c r="H36" s="123"/>
      <c r="I36" s="123"/>
      <c r="J36" s="123">
        <v>1</v>
      </c>
      <c r="K36" s="130">
        <v>0.2</v>
      </c>
      <c r="L36" s="40">
        <f t="shared" si="2"/>
        <v>4640</v>
      </c>
    </row>
    <row r="37" spans="1:12" ht="15.5">
      <c r="A37" s="46" t="s">
        <v>1849</v>
      </c>
      <c r="B37" s="46" t="s">
        <v>1850</v>
      </c>
      <c r="C37" s="131" t="s">
        <v>1851</v>
      </c>
      <c r="D37" s="91">
        <v>5800</v>
      </c>
      <c r="E37" s="92">
        <v>12</v>
      </c>
      <c r="F37" s="123">
        <v>2</v>
      </c>
      <c r="G37" s="123">
        <f t="shared" si="1"/>
        <v>10</v>
      </c>
      <c r="H37" s="123"/>
      <c r="I37" s="123"/>
      <c r="J37" s="123">
        <v>2</v>
      </c>
      <c r="K37" s="130">
        <v>0.2</v>
      </c>
      <c r="L37" s="40">
        <f t="shared" si="2"/>
        <v>4640</v>
      </c>
    </row>
    <row r="38" spans="1:12" ht="15.5">
      <c r="A38" s="46" t="s">
        <v>1852</v>
      </c>
      <c r="B38" s="46" t="s">
        <v>1853</v>
      </c>
      <c r="C38" s="131" t="s">
        <v>1854</v>
      </c>
      <c r="D38" s="91">
        <v>5800</v>
      </c>
      <c r="E38" s="92">
        <v>4</v>
      </c>
      <c r="F38" s="123">
        <v>2</v>
      </c>
      <c r="G38" s="123">
        <f t="shared" si="1"/>
        <v>2</v>
      </c>
      <c r="H38" s="123"/>
      <c r="I38" s="123"/>
      <c r="J38" s="123">
        <v>2</v>
      </c>
      <c r="K38" s="130">
        <v>0.2</v>
      </c>
      <c r="L38" s="40">
        <f t="shared" si="2"/>
        <v>4640</v>
      </c>
    </row>
    <row r="39" spans="1:12" ht="15.5">
      <c r="A39" s="46" t="s">
        <v>1855</v>
      </c>
      <c r="B39" s="46" t="s">
        <v>1856</v>
      </c>
      <c r="C39" s="131" t="s">
        <v>1857</v>
      </c>
      <c r="D39" s="91">
        <v>5800</v>
      </c>
      <c r="E39" s="92">
        <v>1</v>
      </c>
      <c r="F39" s="123">
        <v>1</v>
      </c>
      <c r="G39" s="123">
        <f t="shared" si="1"/>
        <v>0</v>
      </c>
      <c r="H39" s="123"/>
      <c r="I39" s="123"/>
      <c r="J39" s="123"/>
      <c r="K39" s="130">
        <v>0.2</v>
      </c>
      <c r="L39" s="40">
        <f t="shared" si="2"/>
        <v>4640</v>
      </c>
    </row>
    <row r="40" spans="1:12" ht="15.5">
      <c r="A40" s="46" t="s">
        <v>2078</v>
      </c>
      <c r="B40" s="46" t="s">
        <v>2079</v>
      </c>
      <c r="C40" s="131" t="s">
        <v>1857</v>
      </c>
      <c r="D40" s="91">
        <v>5800</v>
      </c>
      <c r="E40" s="92">
        <v>1</v>
      </c>
      <c r="F40" s="123">
        <v>1</v>
      </c>
      <c r="G40" s="123">
        <f t="shared" si="1"/>
        <v>0</v>
      </c>
      <c r="H40" s="123"/>
      <c r="I40" s="123"/>
      <c r="J40" s="123"/>
      <c r="K40" s="130">
        <v>0.2</v>
      </c>
      <c r="L40" s="40">
        <f t="shared" si="2"/>
        <v>4640</v>
      </c>
    </row>
    <row r="41" spans="1:12" ht="15.5">
      <c r="A41" s="46" t="s">
        <v>1858</v>
      </c>
      <c r="B41" s="46" t="s">
        <v>1859</v>
      </c>
      <c r="C41" s="131" t="s">
        <v>1860</v>
      </c>
      <c r="D41" s="91">
        <v>5800</v>
      </c>
      <c r="E41" s="92">
        <v>1</v>
      </c>
      <c r="F41" s="123">
        <v>1</v>
      </c>
      <c r="G41" s="123">
        <f t="shared" si="1"/>
        <v>0</v>
      </c>
      <c r="H41" s="123"/>
      <c r="I41" s="123"/>
      <c r="J41" s="123"/>
      <c r="K41" s="130">
        <v>0.2</v>
      </c>
      <c r="L41" s="40">
        <f t="shared" si="2"/>
        <v>4640</v>
      </c>
    </row>
    <row r="42" spans="1:12" ht="15.5">
      <c r="A42" s="46" t="s">
        <v>1861</v>
      </c>
      <c r="B42" s="46" t="s">
        <v>1862</v>
      </c>
      <c r="C42" s="131" t="s">
        <v>1863</v>
      </c>
      <c r="D42" s="91">
        <v>5800</v>
      </c>
      <c r="E42" s="92">
        <v>1</v>
      </c>
      <c r="F42" s="123">
        <v>1</v>
      </c>
      <c r="G42" s="123">
        <f t="shared" si="1"/>
        <v>0</v>
      </c>
      <c r="H42" s="123"/>
      <c r="I42" s="123"/>
      <c r="J42" s="123"/>
      <c r="K42" s="130">
        <v>0.2</v>
      </c>
      <c r="L42" s="40">
        <f t="shared" si="2"/>
        <v>4640</v>
      </c>
    </row>
    <row r="43" spans="1:12" ht="15.5">
      <c r="A43" s="46" t="s">
        <v>1864</v>
      </c>
      <c r="B43" s="46" t="s">
        <v>1865</v>
      </c>
      <c r="C43" s="131" t="s">
        <v>1866</v>
      </c>
      <c r="D43" s="91">
        <v>5800</v>
      </c>
      <c r="E43" s="92">
        <v>9</v>
      </c>
      <c r="F43" s="123">
        <v>2</v>
      </c>
      <c r="G43" s="123">
        <f t="shared" si="1"/>
        <v>7</v>
      </c>
      <c r="H43" s="123"/>
      <c r="I43" s="123"/>
      <c r="J43" s="123">
        <v>2</v>
      </c>
      <c r="K43" s="130">
        <v>0.2</v>
      </c>
      <c r="L43" s="40">
        <f t="shared" si="2"/>
        <v>4640</v>
      </c>
    </row>
    <row r="44" spans="1:12" ht="15.5">
      <c r="A44" s="46" t="s">
        <v>1867</v>
      </c>
      <c r="B44" s="46" t="s">
        <v>1868</v>
      </c>
      <c r="C44" s="131" t="s">
        <v>1869</v>
      </c>
      <c r="D44" s="91">
        <v>5800</v>
      </c>
      <c r="E44" s="92">
        <v>9</v>
      </c>
      <c r="F44" s="123">
        <v>2</v>
      </c>
      <c r="G44" s="123">
        <f t="shared" si="1"/>
        <v>7</v>
      </c>
      <c r="H44" s="123"/>
      <c r="I44" s="123"/>
      <c r="J44" s="123">
        <v>2</v>
      </c>
      <c r="K44" s="130">
        <v>0.2</v>
      </c>
      <c r="L44" s="40">
        <f t="shared" si="2"/>
        <v>4640</v>
      </c>
    </row>
    <row r="45" spans="1:12" ht="15.5">
      <c r="A45" s="46" t="s">
        <v>1870</v>
      </c>
      <c r="B45" s="46" t="s">
        <v>1871</v>
      </c>
      <c r="C45" s="131" t="s">
        <v>1872</v>
      </c>
      <c r="D45" s="91">
        <v>5800</v>
      </c>
      <c r="E45" s="92">
        <v>2</v>
      </c>
      <c r="F45" s="123">
        <v>2</v>
      </c>
      <c r="G45" s="123">
        <f t="shared" si="1"/>
        <v>0</v>
      </c>
      <c r="H45" s="123"/>
      <c r="I45" s="123"/>
      <c r="J45" s="123"/>
      <c r="K45" s="130">
        <v>0.2</v>
      </c>
      <c r="L45" s="40">
        <f t="shared" si="2"/>
        <v>4640</v>
      </c>
    </row>
    <row r="46" spans="1:12" ht="15.5">
      <c r="A46" s="46" t="s">
        <v>1873</v>
      </c>
      <c r="B46" s="46" t="s">
        <v>1874</v>
      </c>
      <c r="C46" s="131" t="s">
        <v>1875</v>
      </c>
      <c r="D46" s="91">
        <v>5800</v>
      </c>
      <c r="E46" s="92">
        <v>5</v>
      </c>
      <c r="F46" s="123">
        <v>1</v>
      </c>
      <c r="G46" s="123">
        <f t="shared" si="1"/>
        <v>4</v>
      </c>
      <c r="H46" s="123"/>
      <c r="I46" s="123"/>
      <c r="J46" s="123">
        <v>1</v>
      </c>
      <c r="K46" s="130">
        <v>0.2</v>
      </c>
      <c r="L46" s="40">
        <f t="shared" si="2"/>
        <v>4640</v>
      </c>
    </row>
    <row r="47" spans="1:12" ht="15.5">
      <c r="A47" s="46" t="s">
        <v>1876</v>
      </c>
      <c r="B47" s="46" t="s">
        <v>1877</v>
      </c>
      <c r="C47" s="131" t="s">
        <v>1878</v>
      </c>
      <c r="D47" s="91">
        <v>5800</v>
      </c>
      <c r="E47" s="92">
        <v>3</v>
      </c>
      <c r="F47" s="123">
        <v>1</v>
      </c>
      <c r="G47" s="123">
        <f t="shared" si="1"/>
        <v>2</v>
      </c>
      <c r="H47" s="123"/>
      <c r="I47" s="123"/>
      <c r="J47" s="123">
        <v>1</v>
      </c>
      <c r="K47" s="130">
        <v>0.2</v>
      </c>
      <c r="L47" s="40">
        <f t="shared" si="2"/>
        <v>4640</v>
      </c>
    </row>
    <row r="48" spans="1:12" ht="15.5">
      <c r="A48" s="46" t="s">
        <v>1879</v>
      </c>
      <c r="B48" s="46" t="s">
        <v>1880</v>
      </c>
      <c r="C48" s="131" t="s">
        <v>1881</v>
      </c>
      <c r="D48" s="91">
        <v>5800</v>
      </c>
      <c r="E48" s="92">
        <v>4</v>
      </c>
      <c r="F48" s="123">
        <v>1</v>
      </c>
      <c r="G48" s="123">
        <f t="shared" si="1"/>
        <v>3</v>
      </c>
      <c r="H48" s="123"/>
      <c r="I48" s="123"/>
      <c r="J48" s="123">
        <v>1</v>
      </c>
      <c r="K48" s="130">
        <v>0.2</v>
      </c>
      <c r="L48" s="40">
        <f t="shared" si="2"/>
        <v>4640</v>
      </c>
    </row>
    <row r="49" spans="1:12" ht="15.5">
      <c r="A49" s="46" t="s">
        <v>1882</v>
      </c>
      <c r="B49" s="46" t="s">
        <v>1883</v>
      </c>
      <c r="C49" s="131" t="s">
        <v>1884</v>
      </c>
      <c r="D49" s="91">
        <v>6200</v>
      </c>
      <c r="E49" s="92">
        <v>6</v>
      </c>
      <c r="F49" s="123">
        <v>2</v>
      </c>
      <c r="G49" s="123">
        <f t="shared" si="1"/>
        <v>4</v>
      </c>
      <c r="H49" s="123"/>
      <c r="I49" s="123"/>
      <c r="J49" s="123">
        <v>2</v>
      </c>
      <c r="K49" s="130">
        <v>0.2</v>
      </c>
      <c r="L49" s="40">
        <f t="shared" si="2"/>
        <v>4960</v>
      </c>
    </row>
    <row r="50" spans="1:12" ht="15.5">
      <c r="A50" s="46" t="s">
        <v>1885</v>
      </c>
      <c r="B50" s="46" t="s">
        <v>1886</v>
      </c>
      <c r="C50" s="131" t="s">
        <v>1887</v>
      </c>
      <c r="D50" s="91">
        <v>6200</v>
      </c>
      <c r="E50" s="92">
        <v>13</v>
      </c>
      <c r="F50" s="123">
        <v>2</v>
      </c>
      <c r="G50" s="123">
        <f t="shared" si="1"/>
        <v>11</v>
      </c>
      <c r="H50" s="123"/>
      <c r="I50" s="123"/>
      <c r="J50" s="123">
        <v>2</v>
      </c>
      <c r="K50" s="130">
        <v>0.2</v>
      </c>
      <c r="L50" s="40">
        <f t="shared" si="2"/>
        <v>4960</v>
      </c>
    </row>
    <row r="51" spans="1:12" ht="15.5">
      <c r="A51" s="46" t="s">
        <v>1888</v>
      </c>
      <c r="B51" s="46" t="s">
        <v>1889</v>
      </c>
      <c r="C51" s="131" t="s">
        <v>1890</v>
      </c>
      <c r="D51" s="91">
        <v>6200</v>
      </c>
      <c r="E51" s="92">
        <v>4</v>
      </c>
      <c r="F51" s="123">
        <v>2</v>
      </c>
      <c r="G51" s="123">
        <f t="shared" si="1"/>
        <v>2</v>
      </c>
      <c r="H51" s="123"/>
      <c r="I51" s="123"/>
      <c r="J51" s="123">
        <v>2</v>
      </c>
      <c r="K51" s="130">
        <v>0.2</v>
      </c>
      <c r="L51" s="40">
        <f t="shared" si="2"/>
        <v>4960</v>
      </c>
    </row>
    <row r="52" spans="1:12" ht="15.5">
      <c r="A52" s="46" t="s">
        <v>1891</v>
      </c>
      <c r="B52" s="46" t="s">
        <v>1892</v>
      </c>
      <c r="C52" s="131" t="s">
        <v>1893</v>
      </c>
      <c r="D52" s="91">
        <v>6200</v>
      </c>
      <c r="E52" s="92">
        <v>2</v>
      </c>
      <c r="F52" s="123">
        <v>1</v>
      </c>
      <c r="G52" s="123">
        <f t="shared" si="1"/>
        <v>1</v>
      </c>
      <c r="H52" s="123"/>
      <c r="I52" s="123"/>
      <c r="J52" s="123">
        <v>1</v>
      </c>
      <c r="K52" s="130">
        <v>0.2</v>
      </c>
      <c r="L52" s="40">
        <f t="shared" si="2"/>
        <v>4960</v>
      </c>
    </row>
    <row r="53" spans="1:12" ht="15.5">
      <c r="A53" s="46" t="s">
        <v>1894</v>
      </c>
      <c r="B53" s="46" t="s">
        <v>1895</v>
      </c>
      <c r="C53" s="131" t="s">
        <v>1896</v>
      </c>
      <c r="D53" s="91">
        <v>6200</v>
      </c>
      <c r="E53" s="92">
        <v>3</v>
      </c>
      <c r="F53" s="123">
        <v>1</v>
      </c>
      <c r="G53" s="123">
        <f t="shared" si="1"/>
        <v>2</v>
      </c>
      <c r="H53" s="123"/>
      <c r="I53" s="123"/>
      <c r="J53" s="123">
        <v>1</v>
      </c>
      <c r="K53" s="130">
        <v>0.2</v>
      </c>
      <c r="L53" s="40">
        <f t="shared" si="2"/>
        <v>4960</v>
      </c>
    </row>
    <row r="54" spans="1:12" ht="15.5">
      <c r="A54" s="46" t="s">
        <v>1897</v>
      </c>
      <c r="B54" s="46" t="s">
        <v>1898</v>
      </c>
      <c r="C54" s="131" t="s">
        <v>1899</v>
      </c>
      <c r="D54" s="91">
        <v>6200</v>
      </c>
      <c r="E54" s="92">
        <v>4</v>
      </c>
      <c r="F54" s="123">
        <v>1</v>
      </c>
      <c r="G54" s="123">
        <f t="shared" si="1"/>
        <v>3</v>
      </c>
      <c r="H54" s="123"/>
      <c r="I54" s="123"/>
      <c r="J54" s="123">
        <v>1</v>
      </c>
      <c r="K54" s="130">
        <v>0.2</v>
      </c>
      <c r="L54" s="40">
        <f t="shared" si="2"/>
        <v>4960</v>
      </c>
    </row>
    <row r="55" spans="1:12" ht="15.5" hidden="1">
      <c r="A55" s="46" t="s">
        <v>1900</v>
      </c>
      <c r="B55" s="46" t="s">
        <v>1901</v>
      </c>
      <c r="C55" s="131" t="s">
        <v>1902</v>
      </c>
      <c r="D55" s="91">
        <v>6400</v>
      </c>
      <c r="E55" s="92">
        <v>1</v>
      </c>
      <c r="F55" s="123">
        <v>1</v>
      </c>
      <c r="G55" s="123">
        <f t="shared" si="1"/>
        <v>0</v>
      </c>
      <c r="H55" s="123"/>
      <c r="I55" s="123"/>
      <c r="J55" s="123"/>
      <c r="K55" s="151">
        <v>0.4</v>
      </c>
      <c r="L55" s="40">
        <f t="shared" si="2"/>
        <v>3840</v>
      </c>
    </row>
    <row r="56" spans="1:12" ht="15.5" hidden="1">
      <c r="A56" s="46" t="s">
        <v>1903</v>
      </c>
      <c r="B56" s="46" t="s">
        <v>1904</v>
      </c>
      <c r="C56" s="131" t="s">
        <v>1905</v>
      </c>
      <c r="D56" s="91">
        <v>6400</v>
      </c>
      <c r="E56" s="92">
        <v>2</v>
      </c>
      <c r="F56" s="123">
        <v>2</v>
      </c>
      <c r="G56" s="123">
        <f t="shared" si="1"/>
        <v>0</v>
      </c>
      <c r="H56" s="123"/>
      <c r="I56" s="123"/>
      <c r="J56" s="123"/>
      <c r="K56" s="151">
        <v>0.4</v>
      </c>
      <c r="L56" s="40">
        <f t="shared" si="2"/>
        <v>3840</v>
      </c>
    </row>
    <row r="57" spans="1:12" ht="15.5">
      <c r="A57" s="46" t="s">
        <v>1906</v>
      </c>
      <c r="B57" s="46" t="s">
        <v>1907</v>
      </c>
      <c r="C57" s="131" t="s">
        <v>1908</v>
      </c>
      <c r="D57" s="91">
        <v>6400</v>
      </c>
      <c r="E57" s="92">
        <v>8</v>
      </c>
      <c r="F57" s="123">
        <v>2</v>
      </c>
      <c r="G57" s="123">
        <f t="shared" si="1"/>
        <v>6</v>
      </c>
      <c r="H57" s="123">
        <v>1</v>
      </c>
      <c r="I57" s="123">
        <v>1</v>
      </c>
      <c r="J57" s="123">
        <v>1</v>
      </c>
      <c r="K57" s="151">
        <v>0.4</v>
      </c>
      <c r="L57" s="40">
        <f t="shared" si="2"/>
        <v>3840</v>
      </c>
    </row>
    <row r="58" spans="1:12" ht="15.5">
      <c r="A58" s="46" t="s">
        <v>1909</v>
      </c>
      <c r="B58" s="46" t="s">
        <v>1910</v>
      </c>
      <c r="C58" s="131" t="s">
        <v>1911</v>
      </c>
      <c r="D58" s="91">
        <v>6400</v>
      </c>
      <c r="E58" s="92">
        <v>19</v>
      </c>
      <c r="F58" s="123">
        <v>2</v>
      </c>
      <c r="G58" s="123">
        <f t="shared" si="1"/>
        <v>17</v>
      </c>
      <c r="H58" s="123">
        <v>2</v>
      </c>
      <c r="I58" s="123">
        <v>1</v>
      </c>
      <c r="J58" s="123">
        <v>1</v>
      </c>
      <c r="K58" s="151">
        <v>0.4</v>
      </c>
      <c r="L58" s="40">
        <f t="shared" si="2"/>
        <v>3840</v>
      </c>
    </row>
    <row r="59" spans="1:12" ht="15.5">
      <c r="A59" s="46" t="s">
        <v>1912</v>
      </c>
      <c r="B59" s="46" t="s">
        <v>1913</v>
      </c>
      <c r="C59" s="131" t="s">
        <v>1914</v>
      </c>
      <c r="D59" s="91">
        <v>6400</v>
      </c>
      <c r="E59" s="92">
        <v>13</v>
      </c>
      <c r="F59" s="123">
        <v>2</v>
      </c>
      <c r="G59" s="123">
        <f t="shared" si="1"/>
        <v>11</v>
      </c>
      <c r="H59" s="123">
        <v>2</v>
      </c>
      <c r="I59" s="123">
        <v>1</v>
      </c>
      <c r="J59" s="123">
        <v>1</v>
      </c>
      <c r="K59" s="151">
        <v>0.4</v>
      </c>
      <c r="L59" s="40">
        <f t="shared" si="2"/>
        <v>3840</v>
      </c>
    </row>
    <row r="60" spans="1:12" ht="15.5">
      <c r="A60" s="46" t="s">
        <v>1915</v>
      </c>
      <c r="B60" s="46" t="s">
        <v>1916</v>
      </c>
      <c r="C60" s="131" t="s">
        <v>1917</v>
      </c>
      <c r="D60" s="91">
        <v>6400</v>
      </c>
      <c r="E60" s="92">
        <v>8</v>
      </c>
      <c r="F60" s="123">
        <v>2</v>
      </c>
      <c r="G60" s="123">
        <f t="shared" si="1"/>
        <v>6</v>
      </c>
      <c r="H60" s="123">
        <v>2</v>
      </c>
      <c r="I60" s="123">
        <v>1</v>
      </c>
      <c r="J60" s="123">
        <v>1</v>
      </c>
      <c r="K60" s="151">
        <v>0.4</v>
      </c>
      <c r="L60" s="40">
        <f t="shared" si="2"/>
        <v>3840</v>
      </c>
    </row>
    <row r="61" spans="1:12" ht="15.5">
      <c r="A61" s="46" t="s">
        <v>1918</v>
      </c>
      <c r="B61" s="46" t="s">
        <v>1919</v>
      </c>
      <c r="C61" s="131" t="s">
        <v>1920</v>
      </c>
      <c r="D61" s="91">
        <v>6400</v>
      </c>
      <c r="E61" s="92">
        <v>15</v>
      </c>
      <c r="F61" s="123">
        <v>2</v>
      </c>
      <c r="G61" s="123">
        <f t="shared" si="1"/>
        <v>13</v>
      </c>
      <c r="H61" s="123">
        <v>2</v>
      </c>
      <c r="I61" s="123">
        <v>1</v>
      </c>
      <c r="J61" s="123">
        <v>2</v>
      </c>
      <c r="K61" s="151">
        <v>0.4</v>
      </c>
      <c r="L61" s="40">
        <f t="shared" si="2"/>
        <v>3840</v>
      </c>
    </row>
    <row r="62" spans="1:12" ht="15.5">
      <c r="A62" s="46" t="s">
        <v>1921</v>
      </c>
      <c r="B62" s="46" t="s">
        <v>1922</v>
      </c>
      <c r="C62" s="131" t="s">
        <v>1923</v>
      </c>
      <c r="D62" s="91">
        <v>6400</v>
      </c>
      <c r="E62" s="92">
        <v>18</v>
      </c>
      <c r="F62" s="123">
        <v>2</v>
      </c>
      <c r="G62" s="123">
        <f t="shared" si="1"/>
        <v>16</v>
      </c>
      <c r="H62" s="123">
        <v>2</v>
      </c>
      <c r="I62" s="123">
        <v>1</v>
      </c>
      <c r="J62" s="123">
        <v>2</v>
      </c>
      <c r="K62" s="151">
        <v>0.4</v>
      </c>
      <c r="L62" s="40">
        <f t="shared" si="2"/>
        <v>3840</v>
      </c>
    </row>
    <row r="63" spans="1:12" ht="15.5">
      <c r="A63" s="46" t="s">
        <v>1924</v>
      </c>
      <c r="B63" s="46" t="s">
        <v>1925</v>
      </c>
      <c r="C63" s="131" t="s">
        <v>1926</v>
      </c>
      <c r="D63" s="91">
        <v>6400</v>
      </c>
      <c r="E63" s="92">
        <v>10</v>
      </c>
      <c r="F63" s="123">
        <v>2</v>
      </c>
      <c r="G63" s="123">
        <f t="shared" si="1"/>
        <v>8</v>
      </c>
      <c r="H63" s="123">
        <v>2</v>
      </c>
      <c r="I63" s="123">
        <v>1</v>
      </c>
      <c r="J63" s="123">
        <v>2</v>
      </c>
      <c r="K63" s="151">
        <v>0.4</v>
      </c>
      <c r="L63" s="40">
        <f t="shared" si="2"/>
        <v>3840</v>
      </c>
    </row>
    <row r="64" spans="1:12" ht="15.5">
      <c r="A64" s="46" t="s">
        <v>1927</v>
      </c>
      <c r="B64" s="46" t="s">
        <v>1928</v>
      </c>
      <c r="C64" s="131" t="s">
        <v>1929</v>
      </c>
      <c r="D64" s="91">
        <v>6400</v>
      </c>
      <c r="E64" s="92">
        <v>6</v>
      </c>
      <c r="F64" s="123">
        <v>1</v>
      </c>
      <c r="G64" s="123">
        <f t="shared" si="1"/>
        <v>5</v>
      </c>
      <c r="H64" s="123">
        <v>1</v>
      </c>
      <c r="I64" s="123">
        <v>1</v>
      </c>
      <c r="J64" s="123">
        <v>1</v>
      </c>
      <c r="K64" s="151">
        <v>0.4</v>
      </c>
      <c r="L64" s="40">
        <f t="shared" si="2"/>
        <v>3840</v>
      </c>
    </row>
    <row r="65" spans="1:12" ht="15.5">
      <c r="A65" s="46" t="s">
        <v>1930</v>
      </c>
      <c r="B65" s="46" t="s">
        <v>1931</v>
      </c>
      <c r="C65" s="131" t="s">
        <v>1932</v>
      </c>
      <c r="D65" s="91">
        <v>6400</v>
      </c>
      <c r="E65" s="92">
        <v>8</v>
      </c>
      <c r="F65" s="123">
        <v>1</v>
      </c>
      <c r="G65" s="123">
        <f t="shared" si="1"/>
        <v>7</v>
      </c>
      <c r="H65" s="123">
        <v>1</v>
      </c>
      <c r="I65" s="123"/>
      <c r="J65" s="123">
        <v>1</v>
      </c>
      <c r="K65" s="151">
        <v>0.4</v>
      </c>
      <c r="L65" s="40">
        <f t="shared" si="2"/>
        <v>3840</v>
      </c>
    </row>
    <row r="66" spans="1:12" ht="15.5" hidden="1">
      <c r="A66" s="46" t="s">
        <v>1933</v>
      </c>
      <c r="B66" s="46" t="s">
        <v>1934</v>
      </c>
      <c r="C66" s="131" t="s">
        <v>1935</v>
      </c>
      <c r="D66" s="91">
        <v>6400</v>
      </c>
      <c r="E66" s="92">
        <v>2</v>
      </c>
      <c r="F66" s="123">
        <v>2</v>
      </c>
      <c r="G66" s="123">
        <f t="shared" si="1"/>
        <v>0</v>
      </c>
      <c r="H66" s="123"/>
      <c r="I66" s="123"/>
      <c r="J66" s="123"/>
      <c r="K66" s="151">
        <v>0.4</v>
      </c>
      <c r="L66" s="40">
        <f t="shared" ref="L66:L97" si="3">D66-(K66*D66)</f>
        <v>3840</v>
      </c>
    </row>
    <row r="67" spans="1:12" ht="15.5">
      <c r="A67" s="46" t="s">
        <v>1936</v>
      </c>
      <c r="B67" s="46" t="s">
        <v>1937</v>
      </c>
      <c r="C67" s="131" t="s">
        <v>1938</v>
      </c>
      <c r="D67" s="91">
        <v>6400</v>
      </c>
      <c r="E67" s="92">
        <v>6</v>
      </c>
      <c r="F67" s="123">
        <v>2</v>
      </c>
      <c r="G67" s="123">
        <f t="shared" si="1"/>
        <v>4</v>
      </c>
      <c r="H67" s="123">
        <v>1</v>
      </c>
      <c r="I67" s="123">
        <v>1</v>
      </c>
      <c r="J67" s="123">
        <v>2</v>
      </c>
      <c r="K67" s="151">
        <v>0.4</v>
      </c>
      <c r="L67" s="40">
        <f t="shared" si="3"/>
        <v>3840</v>
      </c>
    </row>
    <row r="68" spans="1:12" ht="15.5">
      <c r="A68" s="46" t="s">
        <v>1939</v>
      </c>
      <c r="B68" s="46" t="s">
        <v>1940</v>
      </c>
      <c r="C68" s="131" t="s">
        <v>1941</v>
      </c>
      <c r="D68" s="91">
        <v>6400</v>
      </c>
      <c r="E68" s="92">
        <v>12</v>
      </c>
      <c r="F68" s="123">
        <v>2</v>
      </c>
      <c r="G68" s="123">
        <f t="shared" ref="G68:G72" si="4">+E68-F68</f>
        <v>10</v>
      </c>
      <c r="H68" s="123">
        <v>2</v>
      </c>
      <c r="I68" s="123">
        <v>1</v>
      </c>
      <c r="J68" s="123">
        <v>2</v>
      </c>
      <c r="K68" s="151">
        <v>0.4</v>
      </c>
      <c r="L68" s="40">
        <f t="shared" si="3"/>
        <v>3840</v>
      </c>
    </row>
    <row r="69" spans="1:12" ht="15.5">
      <c r="A69" s="46" t="s">
        <v>1942</v>
      </c>
      <c r="B69" s="46" t="s">
        <v>1943</v>
      </c>
      <c r="C69" s="131" t="s">
        <v>1944</v>
      </c>
      <c r="D69" s="91">
        <v>6400</v>
      </c>
      <c r="E69" s="92">
        <v>1</v>
      </c>
      <c r="F69" s="123">
        <v>1</v>
      </c>
      <c r="G69" s="123">
        <v>2</v>
      </c>
      <c r="H69" s="123"/>
      <c r="I69" s="123"/>
      <c r="J69" s="123">
        <v>2</v>
      </c>
      <c r="K69" s="151">
        <v>0.4</v>
      </c>
      <c r="L69" s="40">
        <f t="shared" si="3"/>
        <v>3840</v>
      </c>
    </row>
    <row r="70" spans="1:12" ht="15.5">
      <c r="A70" s="46" t="s">
        <v>1945</v>
      </c>
      <c r="B70" s="46" t="s">
        <v>1946</v>
      </c>
      <c r="C70" s="131" t="s">
        <v>1947</v>
      </c>
      <c r="D70" s="91">
        <v>6400</v>
      </c>
      <c r="E70" s="92">
        <v>1</v>
      </c>
      <c r="F70" s="123">
        <v>1</v>
      </c>
      <c r="G70" s="123">
        <v>2</v>
      </c>
      <c r="H70" s="123"/>
      <c r="I70" s="123"/>
      <c r="J70" s="123">
        <v>1</v>
      </c>
      <c r="K70" s="151">
        <v>0.4</v>
      </c>
      <c r="L70" s="40">
        <f t="shared" si="3"/>
        <v>3840</v>
      </c>
    </row>
    <row r="71" spans="1:12" ht="15.5">
      <c r="A71" s="46" t="s">
        <v>1948</v>
      </c>
      <c r="B71" s="46" t="s">
        <v>1949</v>
      </c>
      <c r="C71" s="131" t="s">
        <v>1950</v>
      </c>
      <c r="D71" s="91">
        <v>6400</v>
      </c>
      <c r="E71" s="92">
        <v>3</v>
      </c>
      <c r="F71" s="123">
        <v>1</v>
      </c>
      <c r="G71" s="123">
        <f t="shared" si="4"/>
        <v>2</v>
      </c>
      <c r="H71" s="123">
        <v>1</v>
      </c>
      <c r="I71" s="123"/>
      <c r="J71" s="123">
        <v>1</v>
      </c>
      <c r="K71" s="151">
        <v>0.4</v>
      </c>
      <c r="L71" s="40">
        <f t="shared" si="3"/>
        <v>3840</v>
      </c>
    </row>
    <row r="72" spans="1:12" ht="15.5">
      <c r="A72" s="46" t="s">
        <v>1951</v>
      </c>
      <c r="B72" s="46" t="s">
        <v>1952</v>
      </c>
      <c r="C72" s="131" t="s">
        <v>1953</v>
      </c>
      <c r="D72" s="91">
        <v>6400</v>
      </c>
      <c r="E72" s="92">
        <v>3</v>
      </c>
      <c r="F72" s="123">
        <v>1</v>
      </c>
      <c r="G72" s="123">
        <f t="shared" si="4"/>
        <v>2</v>
      </c>
      <c r="H72" s="123">
        <v>1</v>
      </c>
      <c r="I72" s="123"/>
      <c r="J72" s="123">
        <v>1</v>
      </c>
      <c r="K72" s="151">
        <v>0.4</v>
      </c>
      <c r="L72" s="40">
        <f t="shared" si="3"/>
        <v>3840</v>
      </c>
    </row>
    <row r="73" spans="1:12">
      <c r="F73" s="152">
        <f>SUM(F2:F72)</f>
        <v>106</v>
      </c>
      <c r="H73" s="152">
        <f>SUM(H57:H72)</f>
        <v>20</v>
      </c>
      <c r="I73" s="152">
        <f>SUM(I2:I72)</f>
        <v>33</v>
      </c>
      <c r="J73" s="152">
        <f>SUM(J2:J72)</f>
        <v>80</v>
      </c>
    </row>
  </sheetData>
  <pageMargins left="0.70866141732283472" right="0.70866141732283472" top="0.35433070866141736" bottom="0.35433070866141736" header="0.31496062992125984" footer="0.31496062992125984"/>
  <pageSetup paperSize="9" scale="71" fitToHeight="0" orientation="portrait" verticalDpi="203" r:id="rId1"/>
  <rowBreaks count="1" manualBreakCount="1">
    <brk id="48" max="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3974-32D1-4DA9-B672-F469D41CDE82}">
  <sheetPr>
    <pageSetUpPr fitToPage="1"/>
  </sheetPr>
  <dimension ref="A1:O67"/>
  <sheetViews>
    <sheetView zoomScaleNormal="100" workbookViewId="0">
      <pane ySplit="1" topLeftCell="A2" activePane="bottomLeft" state="frozen"/>
      <selection pane="bottomLeft" activeCell="J1" sqref="J1"/>
    </sheetView>
  </sheetViews>
  <sheetFormatPr defaultColWidth="8.81640625" defaultRowHeight="14.5"/>
  <cols>
    <col min="1" max="1" width="22.453125" style="134" bestFit="1" customWidth="1"/>
    <col min="2" max="2" width="34" style="134" customWidth="1"/>
    <col min="3" max="3" width="8.90625" style="134" bestFit="1" customWidth="1"/>
    <col min="4" max="4" width="4.90625" style="143" hidden="1" customWidth="1"/>
    <col min="5" max="6" width="6.81640625" style="143" hidden="1" customWidth="1"/>
    <col min="7" max="7" width="4.90625" style="143" hidden="1" customWidth="1"/>
    <col min="8" max="8" width="5.453125" style="149" bestFit="1" customWidth="1"/>
    <col min="9" max="10" width="7.08984375" style="163" customWidth="1"/>
    <col min="11" max="11" width="4.7265625" style="133" bestFit="1" customWidth="1"/>
    <col min="12" max="12" width="5.1796875" style="134" customWidth="1"/>
    <col min="13" max="13" width="28.453125" style="134" bestFit="1" customWidth="1"/>
    <col min="14" max="16384" width="8.81640625" style="134"/>
  </cols>
  <sheetData>
    <row r="1" spans="1:15" s="157" customFormat="1" ht="28.75" customHeight="1">
      <c r="A1" s="153" t="s">
        <v>0</v>
      </c>
      <c r="B1" s="153" t="s">
        <v>1</v>
      </c>
      <c r="C1" s="67" t="s">
        <v>844</v>
      </c>
      <c r="D1" s="154">
        <v>2023</v>
      </c>
      <c r="E1" s="155" t="s">
        <v>1954</v>
      </c>
      <c r="F1" s="155" t="s">
        <v>1955</v>
      </c>
      <c r="G1" s="155">
        <v>2025</v>
      </c>
      <c r="H1" s="156" t="s">
        <v>370</v>
      </c>
      <c r="I1" s="164" t="s">
        <v>373</v>
      </c>
      <c r="J1" s="124" t="s">
        <v>1692</v>
      </c>
      <c r="K1" s="32" t="s">
        <v>88</v>
      </c>
      <c r="L1" s="33" t="s">
        <v>374</v>
      </c>
      <c r="M1" s="172" t="s">
        <v>2085</v>
      </c>
      <c r="N1" s="171"/>
      <c r="O1" s="171"/>
    </row>
    <row r="2" spans="1:15" ht="15.5">
      <c r="A2" s="135" t="s">
        <v>1956</v>
      </c>
      <c r="B2" s="136" t="s">
        <v>1957</v>
      </c>
      <c r="C2" s="137">
        <v>4900</v>
      </c>
      <c r="D2" s="138"/>
      <c r="E2" s="138"/>
      <c r="F2" s="138">
        <v>1</v>
      </c>
      <c r="G2" s="138"/>
      <c r="H2" s="139">
        <f>SUM(D2:G2)</f>
        <v>1</v>
      </c>
      <c r="I2" s="165">
        <v>1</v>
      </c>
      <c r="J2" s="173"/>
      <c r="K2" s="158">
        <v>0.3</v>
      </c>
      <c r="L2" s="40">
        <f>C2-(C2*K2)</f>
        <v>3430</v>
      </c>
    </row>
    <row r="3" spans="1:15" ht="15.5">
      <c r="A3" s="135" t="s">
        <v>1958</v>
      </c>
      <c r="B3" s="136" t="s">
        <v>1959</v>
      </c>
      <c r="C3" s="137">
        <v>4900</v>
      </c>
      <c r="D3" s="138"/>
      <c r="E3" s="138"/>
      <c r="F3" s="138">
        <v>1</v>
      </c>
      <c r="G3" s="138"/>
      <c r="H3" s="139">
        <f t="shared" ref="H3:H62" si="0">SUM(D3:G3)</f>
        <v>1</v>
      </c>
      <c r="I3" s="165">
        <v>1</v>
      </c>
      <c r="J3" s="173"/>
      <c r="K3" s="158">
        <v>0.3</v>
      </c>
      <c r="L3" s="40">
        <f t="shared" ref="L3:L62" si="1">C3-(C3*K3)</f>
        <v>3430</v>
      </c>
    </row>
    <row r="4" spans="1:15" ht="15.5">
      <c r="A4" s="135" t="s">
        <v>1960</v>
      </c>
      <c r="B4" s="136" t="s">
        <v>1961</v>
      </c>
      <c r="C4" s="137">
        <v>4900</v>
      </c>
      <c r="D4" s="138"/>
      <c r="E4" s="138"/>
      <c r="F4" s="138">
        <v>1</v>
      </c>
      <c r="G4" s="138"/>
      <c r="H4" s="139">
        <f t="shared" si="0"/>
        <v>1</v>
      </c>
      <c r="I4" s="165">
        <v>1</v>
      </c>
      <c r="J4" s="173"/>
      <c r="K4" s="158">
        <v>0.3</v>
      </c>
      <c r="L4" s="40">
        <f t="shared" si="1"/>
        <v>3430</v>
      </c>
    </row>
    <row r="5" spans="1:15" ht="15.5">
      <c r="A5" s="46" t="s">
        <v>1962</v>
      </c>
      <c r="B5" s="46" t="s">
        <v>1963</v>
      </c>
      <c r="C5" s="137">
        <v>4900</v>
      </c>
      <c r="D5" s="138"/>
      <c r="E5" s="138"/>
      <c r="F5" s="138">
        <v>3</v>
      </c>
      <c r="G5" s="138"/>
      <c r="H5" s="139">
        <f t="shared" si="0"/>
        <v>3</v>
      </c>
      <c r="I5" s="165">
        <v>3</v>
      </c>
      <c r="J5" s="173"/>
      <c r="K5" s="158">
        <v>0.3</v>
      </c>
      <c r="L5" s="40">
        <f t="shared" si="1"/>
        <v>3430</v>
      </c>
    </row>
    <row r="6" spans="1:15" ht="15.5">
      <c r="A6" s="46" t="s">
        <v>1964</v>
      </c>
      <c r="B6" s="46" t="s">
        <v>1965</v>
      </c>
      <c r="C6" s="137">
        <v>4900</v>
      </c>
      <c r="D6" s="138"/>
      <c r="E6" s="138"/>
      <c r="F6" s="138">
        <v>2</v>
      </c>
      <c r="G6" s="138"/>
      <c r="H6" s="139">
        <f>SUM(D6:G6)</f>
        <v>2</v>
      </c>
      <c r="I6" s="165">
        <v>2</v>
      </c>
      <c r="J6" s="173"/>
      <c r="K6" s="158">
        <v>0.3</v>
      </c>
      <c r="L6" s="40">
        <f t="shared" si="1"/>
        <v>3430</v>
      </c>
      <c r="M6" s="142"/>
    </row>
    <row r="7" spans="1:15" ht="15.5">
      <c r="A7" s="46" t="s">
        <v>1966</v>
      </c>
      <c r="B7" s="46" t="s">
        <v>1967</v>
      </c>
      <c r="C7" s="137">
        <v>5980</v>
      </c>
      <c r="D7" s="138"/>
      <c r="E7" s="140"/>
      <c r="F7" s="141"/>
      <c r="G7" s="141">
        <v>1</v>
      </c>
      <c r="H7" s="139">
        <f t="shared" si="0"/>
        <v>1</v>
      </c>
      <c r="I7" s="165">
        <v>1</v>
      </c>
      <c r="J7" s="173"/>
      <c r="K7" s="158">
        <v>0.3</v>
      </c>
      <c r="L7" s="40">
        <f t="shared" si="1"/>
        <v>4186</v>
      </c>
    </row>
    <row r="8" spans="1:15" ht="15.5">
      <c r="A8" s="46" t="s">
        <v>1968</v>
      </c>
      <c r="B8" s="46" t="s">
        <v>1969</v>
      </c>
      <c r="C8" s="137">
        <v>5980</v>
      </c>
      <c r="D8" s="138"/>
      <c r="E8" s="140"/>
      <c r="F8" s="141"/>
      <c r="G8" s="141">
        <v>1</v>
      </c>
      <c r="H8" s="139">
        <f t="shared" si="0"/>
        <v>1</v>
      </c>
      <c r="I8" s="165">
        <v>1</v>
      </c>
      <c r="J8" s="173"/>
      <c r="K8" s="158">
        <v>0.3</v>
      </c>
      <c r="L8" s="40">
        <f t="shared" si="1"/>
        <v>4186</v>
      </c>
    </row>
    <row r="9" spans="1:15" ht="15.5">
      <c r="A9" s="46" t="s">
        <v>1970</v>
      </c>
      <c r="B9" s="46" t="s">
        <v>1971</v>
      </c>
      <c r="C9" s="137">
        <v>5980</v>
      </c>
      <c r="D9" s="138"/>
      <c r="E9" s="140"/>
      <c r="F9" s="140">
        <v>5</v>
      </c>
      <c r="G9" s="140"/>
      <c r="H9" s="139">
        <f t="shared" si="0"/>
        <v>5</v>
      </c>
      <c r="I9" s="165">
        <v>2</v>
      </c>
      <c r="J9" s="173"/>
      <c r="K9" s="158">
        <v>0.3</v>
      </c>
      <c r="L9" s="40">
        <f t="shared" si="1"/>
        <v>4186</v>
      </c>
    </row>
    <row r="10" spans="1:15" ht="15.5">
      <c r="A10" s="46" t="s">
        <v>1972</v>
      </c>
      <c r="B10" s="46" t="s">
        <v>1973</v>
      </c>
      <c r="C10" s="137">
        <v>5980</v>
      </c>
      <c r="D10" s="138"/>
      <c r="E10" s="140"/>
      <c r="F10" s="140">
        <v>2</v>
      </c>
      <c r="G10" s="140"/>
      <c r="H10" s="139">
        <f t="shared" si="0"/>
        <v>2</v>
      </c>
      <c r="I10" s="165">
        <v>2</v>
      </c>
      <c r="J10" s="173"/>
      <c r="K10" s="158">
        <v>0.3</v>
      </c>
      <c r="L10" s="40">
        <f t="shared" si="1"/>
        <v>4186</v>
      </c>
    </row>
    <row r="11" spans="1:15" ht="15.5">
      <c r="A11" s="135" t="s">
        <v>1974</v>
      </c>
      <c r="B11" s="136" t="s">
        <v>1975</v>
      </c>
      <c r="C11" s="137">
        <v>5980</v>
      </c>
      <c r="D11" s="138"/>
      <c r="E11" s="140"/>
      <c r="F11" s="140">
        <v>1</v>
      </c>
      <c r="G11" s="140"/>
      <c r="H11" s="139">
        <f t="shared" si="0"/>
        <v>1</v>
      </c>
      <c r="I11" s="165">
        <v>1</v>
      </c>
      <c r="J11" s="173"/>
      <c r="K11" s="158">
        <v>0.3</v>
      </c>
      <c r="L11" s="40">
        <f t="shared" si="1"/>
        <v>4186</v>
      </c>
    </row>
    <row r="12" spans="1:15" ht="15.5">
      <c r="A12" s="135" t="s">
        <v>1976</v>
      </c>
      <c r="B12" s="136" t="s">
        <v>1977</v>
      </c>
      <c r="C12" s="137">
        <v>5980</v>
      </c>
      <c r="D12" s="138"/>
      <c r="E12" s="140"/>
      <c r="F12" s="140">
        <v>4</v>
      </c>
      <c r="G12" s="140"/>
      <c r="H12" s="139">
        <f t="shared" si="0"/>
        <v>4</v>
      </c>
      <c r="I12" s="165">
        <v>2</v>
      </c>
      <c r="J12" s="173"/>
      <c r="K12" s="158">
        <v>0.3</v>
      </c>
      <c r="L12" s="40">
        <f t="shared" si="1"/>
        <v>4186</v>
      </c>
    </row>
    <row r="13" spans="1:15" ht="15.5">
      <c r="A13" s="46" t="s">
        <v>1978</v>
      </c>
      <c r="B13" s="46" t="s">
        <v>1979</v>
      </c>
      <c r="C13" s="137">
        <v>5980</v>
      </c>
      <c r="D13" s="138"/>
      <c r="E13" s="140"/>
      <c r="F13" s="141"/>
      <c r="G13" s="141">
        <v>7</v>
      </c>
      <c r="H13" s="139">
        <f t="shared" si="0"/>
        <v>7</v>
      </c>
      <c r="I13" s="165">
        <v>3</v>
      </c>
      <c r="J13" s="173"/>
      <c r="K13" s="158">
        <v>0.3</v>
      </c>
      <c r="L13" s="40">
        <f t="shared" si="1"/>
        <v>4186</v>
      </c>
    </row>
    <row r="14" spans="1:15" ht="15.5">
      <c r="A14" s="46" t="s">
        <v>1980</v>
      </c>
      <c r="B14" s="46" t="s">
        <v>1981</v>
      </c>
      <c r="C14" s="137">
        <v>5200</v>
      </c>
      <c r="D14" s="98"/>
      <c r="E14" s="138"/>
      <c r="F14" s="138"/>
      <c r="G14" s="138">
        <v>7</v>
      </c>
      <c r="H14" s="139">
        <f>SUM(D14:G14)</f>
        <v>7</v>
      </c>
      <c r="I14" s="165">
        <v>3</v>
      </c>
      <c r="J14" s="173"/>
      <c r="K14" s="158">
        <v>0.3</v>
      </c>
      <c r="L14" s="40">
        <f t="shared" si="1"/>
        <v>3640</v>
      </c>
    </row>
    <row r="15" spans="1:15" ht="15.5">
      <c r="A15" s="46" t="s">
        <v>1982</v>
      </c>
      <c r="B15" s="46" t="s">
        <v>1983</v>
      </c>
      <c r="C15" s="137">
        <v>5200</v>
      </c>
      <c r="D15" s="98"/>
      <c r="E15" s="138"/>
      <c r="F15" s="138"/>
      <c r="G15" s="138">
        <v>2</v>
      </c>
      <c r="H15" s="139">
        <f t="shared" si="0"/>
        <v>2</v>
      </c>
      <c r="I15" s="165">
        <v>2</v>
      </c>
      <c r="J15" s="173"/>
      <c r="K15" s="158">
        <v>0.3</v>
      </c>
      <c r="L15" s="40">
        <f t="shared" si="1"/>
        <v>3640</v>
      </c>
    </row>
    <row r="16" spans="1:15" ht="15.5">
      <c r="A16" s="46" t="s">
        <v>1984</v>
      </c>
      <c r="B16" s="46" t="s">
        <v>1985</v>
      </c>
      <c r="C16" s="137">
        <v>5200</v>
      </c>
      <c r="D16" s="98"/>
      <c r="E16" s="138"/>
      <c r="F16" s="138"/>
      <c r="G16" s="138">
        <v>11</v>
      </c>
      <c r="H16" s="139">
        <f t="shared" si="0"/>
        <v>11</v>
      </c>
      <c r="I16" s="165">
        <v>3</v>
      </c>
      <c r="J16" s="173"/>
      <c r="K16" s="158">
        <v>0.3</v>
      </c>
      <c r="L16" s="40">
        <f t="shared" si="1"/>
        <v>3640</v>
      </c>
    </row>
    <row r="17" spans="1:12" ht="15.5">
      <c r="A17" s="46" t="s">
        <v>1986</v>
      </c>
      <c r="B17" s="46" t="s">
        <v>1987</v>
      </c>
      <c r="C17" s="137">
        <v>5200</v>
      </c>
      <c r="D17" s="98"/>
      <c r="E17" s="138"/>
      <c r="F17" s="138"/>
      <c r="G17" s="138">
        <v>5</v>
      </c>
      <c r="H17" s="139">
        <f t="shared" si="0"/>
        <v>5</v>
      </c>
      <c r="I17" s="165">
        <v>2</v>
      </c>
      <c r="J17" s="173"/>
      <c r="K17" s="158">
        <v>0.3</v>
      </c>
      <c r="L17" s="40">
        <f t="shared" si="1"/>
        <v>3640</v>
      </c>
    </row>
    <row r="18" spans="1:12" ht="15.5">
      <c r="A18" s="46" t="s">
        <v>1988</v>
      </c>
      <c r="B18" s="46" t="s">
        <v>1989</v>
      </c>
      <c r="C18" s="137">
        <v>5200</v>
      </c>
      <c r="D18" s="98"/>
      <c r="E18" s="138"/>
      <c r="F18" s="138"/>
      <c r="G18" s="138">
        <v>4</v>
      </c>
      <c r="H18" s="139">
        <f t="shared" si="0"/>
        <v>4</v>
      </c>
      <c r="I18" s="166">
        <v>2</v>
      </c>
      <c r="J18" s="173"/>
      <c r="K18" s="158">
        <v>0.3</v>
      </c>
      <c r="L18" s="40">
        <f t="shared" si="1"/>
        <v>3640</v>
      </c>
    </row>
    <row r="19" spans="1:12" ht="15.5">
      <c r="A19" s="46" t="s">
        <v>1990</v>
      </c>
      <c r="B19" s="46" t="s">
        <v>1991</v>
      </c>
      <c r="C19" s="137">
        <v>5200</v>
      </c>
      <c r="D19" s="98"/>
      <c r="E19" s="138"/>
      <c r="F19" s="138"/>
      <c r="G19" s="138">
        <v>2</v>
      </c>
      <c r="H19" s="139">
        <f t="shared" si="0"/>
        <v>2</v>
      </c>
      <c r="I19" s="166">
        <v>2</v>
      </c>
      <c r="J19" s="173"/>
      <c r="K19" s="158">
        <v>0.3</v>
      </c>
      <c r="L19" s="40">
        <f t="shared" si="1"/>
        <v>3640</v>
      </c>
    </row>
    <row r="20" spans="1:12" ht="15.5">
      <c r="A20" s="46" t="s">
        <v>1992</v>
      </c>
      <c r="B20" s="46" t="s">
        <v>1993</v>
      </c>
      <c r="C20" s="137">
        <v>5200</v>
      </c>
      <c r="D20" s="98"/>
      <c r="E20" s="138"/>
      <c r="F20" s="138"/>
      <c r="G20" s="138">
        <v>3</v>
      </c>
      <c r="H20" s="139">
        <f t="shared" si="0"/>
        <v>3</v>
      </c>
      <c r="I20" s="166">
        <v>3</v>
      </c>
      <c r="J20" s="173"/>
      <c r="K20" s="158">
        <v>0.3</v>
      </c>
      <c r="L20" s="40">
        <f t="shared" si="1"/>
        <v>3640</v>
      </c>
    </row>
    <row r="21" spans="1:12" ht="15.5">
      <c r="A21" s="46" t="s">
        <v>1994</v>
      </c>
      <c r="B21" s="46" t="s">
        <v>1995</v>
      </c>
      <c r="C21" s="91">
        <v>5400</v>
      </c>
      <c r="D21" s="98"/>
      <c r="E21" s="138"/>
      <c r="F21" s="98"/>
      <c r="G21" s="98">
        <v>2</v>
      </c>
      <c r="H21" s="139">
        <f t="shared" si="0"/>
        <v>2</v>
      </c>
      <c r="I21" s="166">
        <v>2</v>
      </c>
      <c r="J21" s="173"/>
      <c r="K21" s="158">
        <v>0.3</v>
      </c>
      <c r="L21" s="40">
        <f t="shared" si="1"/>
        <v>3780</v>
      </c>
    </row>
    <row r="22" spans="1:12" ht="15.5">
      <c r="A22" s="46" t="s">
        <v>1996</v>
      </c>
      <c r="B22" s="46" t="s">
        <v>1997</v>
      </c>
      <c r="C22" s="91">
        <v>5400</v>
      </c>
      <c r="D22" s="98"/>
      <c r="E22" s="138"/>
      <c r="F22" s="98"/>
      <c r="G22" s="98">
        <v>3</v>
      </c>
      <c r="H22" s="139">
        <f t="shared" si="0"/>
        <v>3</v>
      </c>
      <c r="I22" s="166">
        <v>3</v>
      </c>
      <c r="J22" s="173"/>
      <c r="K22" s="158">
        <v>0.3</v>
      </c>
      <c r="L22" s="40">
        <f t="shared" si="1"/>
        <v>3780</v>
      </c>
    </row>
    <row r="23" spans="1:12" ht="15.5">
      <c r="A23" s="46" t="s">
        <v>1998</v>
      </c>
      <c r="B23" s="46" t="s">
        <v>1999</v>
      </c>
      <c r="C23" s="91">
        <v>5400</v>
      </c>
      <c r="D23" s="98"/>
      <c r="E23" s="159"/>
      <c r="F23" s="98"/>
      <c r="G23" s="98">
        <v>3</v>
      </c>
      <c r="H23" s="139">
        <f t="shared" si="0"/>
        <v>3</v>
      </c>
      <c r="I23" s="166">
        <v>3</v>
      </c>
      <c r="J23" s="173"/>
      <c r="K23" s="158">
        <v>0.3</v>
      </c>
      <c r="L23" s="40">
        <f t="shared" si="1"/>
        <v>3780</v>
      </c>
    </row>
    <row r="24" spans="1:12" ht="15.5">
      <c r="A24" s="46" t="s">
        <v>2000</v>
      </c>
      <c r="B24" s="46" t="s">
        <v>2001</v>
      </c>
      <c r="C24" s="91">
        <v>5400</v>
      </c>
      <c r="D24" s="98"/>
      <c r="E24" s="138"/>
      <c r="F24" s="98"/>
      <c r="G24" s="98">
        <v>2</v>
      </c>
      <c r="H24" s="139">
        <f t="shared" si="0"/>
        <v>2</v>
      </c>
      <c r="I24" s="166">
        <v>2</v>
      </c>
      <c r="J24" s="173"/>
      <c r="K24" s="158">
        <v>0.3</v>
      </c>
      <c r="L24" s="40">
        <f t="shared" si="1"/>
        <v>3780</v>
      </c>
    </row>
    <row r="25" spans="1:12" s="147" customFormat="1" ht="15.5">
      <c r="A25" s="144" t="s">
        <v>2002</v>
      </c>
      <c r="B25" s="136" t="s">
        <v>2003</v>
      </c>
      <c r="C25" s="145">
        <v>5980</v>
      </c>
      <c r="D25" s="140"/>
      <c r="E25" s="140">
        <v>2</v>
      </c>
      <c r="F25" s="140"/>
      <c r="G25" s="140"/>
      <c r="H25" s="139">
        <f t="shared" si="0"/>
        <v>2</v>
      </c>
      <c r="I25" s="166">
        <v>2</v>
      </c>
      <c r="J25" s="173"/>
      <c r="K25" s="160">
        <v>0.3</v>
      </c>
      <c r="L25" s="40">
        <f t="shared" si="1"/>
        <v>4186</v>
      </c>
    </row>
    <row r="26" spans="1:12" s="147" customFormat="1" ht="15.5">
      <c r="A26" s="144" t="s">
        <v>2004</v>
      </c>
      <c r="B26" s="136" t="s">
        <v>2005</v>
      </c>
      <c r="C26" s="145">
        <v>5980</v>
      </c>
      <c r="D26" s="140"/>
      <c r="E26" s="140">
        <v>2</v>
      </c>
      <c r="F26" s="140"/>
      <c r="G26" s="140"/>
      <c r="H26" s="139">
        <f t="shared" si="0"/>
        <v>2</v>
      </c>
      <c r="I26" s="166">
        <v>2</v>
      </c>
      <c r="J26" s="173"/>
      <c r="K26" s="160">
        <v>0.3</v>
      </c>
      <c r="L26" s="40">
        <f t="shared" si="1"/>
        <v>4186</v>
      </c>
    </row>
    <row r="27" spans="1:12" s="147" customFormat="1" ht="15.5">
      <c r="A27" s="46" t="s">
        <v>2006</v>
      </c>
      <c r="B27" s="46" t="s">
        <v>2007</v>
      </c>
      <c r="C27" s="145">
        <v>7200</v>
      </c>
      <c r="D27" s="140"/>
      <c r="E27" s="140"/>
      <c r="F27" s="140"/>
      <c r="G27" s="140">
        <v>2</v>
      </c>
      <c r="H27" s="139">
        <f t="shared" si="0"/>
        <v>2</v>
      </c>
      <c r="I27" s="166">
        <v>2</v>
      </c>
      <c r="J27" s="173"/>
      <c r="K27" s="160">
        <v>0.3</v>
      </c>
      <c r="L27" s="40">
        <f t="shared" si="1"/>
        <v>5040</v>
      </c>
    </row>
    <row r="28" spans="1:12" s="147" customFormat="1" ht="15.5">
      <c r="A28" s="46" t="s">
        <v>2008</v>
      </c>
      <c r="B28" s="46" t="s">
        <v>2009</v>
      </c>
      <c r="C28" s="145">
        <v>7200</v>
      </c>
      <c r="D28" s="140"/>
      <c r="E28" s="140"/>
      <c r="F28" s="140"/>
      <c r="G28" s="140">
        <v>2</v>
      </c>
      <c r="H28" s="139">
        <f t="shared" si="0"/>
        <v>2</v>
      </c>
      <c r="I28" s="166">
        <v>2</v>
      </c>
      <c r="J28" s="173"/>
      <c r="K28" s="160">
        <v>0.3</v>
      </c>
      <c r="L28" s="40">
        <f t="shared" si="1"/>
        <v>5040</v>
      </c>
    </row>
    <row r="29" spans="1:12" s="147" customFormat="1" ht="15.5">
      <c r="A29" s="46" t="s">
        <v>2010</v>
      </c>
      <c r="B29" s="46" t="s">
        <v>2011</v>
      </c>
      <c r="C29" s="145">
        <v>7200</v>
      </c>
      <c r="D29" s="140"/>
      <c r="E29" s="140"/>
      <c r="F29" s="140"/>
      <c r="G29" s="140">
        <v>2</v>
      </c>
      <c r="H29" s="139">
        <f t="shared" si="0"/>
        <v>2</v>
      </c>
      <c r="I29" s="166">
        <v>2</v>
      </c>
      <c r="J29" s="173"/>
      <c r="K29" s="160">
        <v>0.3</v>
      </c>
      <c r="L29" s="40">
        <f t="shared" si="1"/>
        <v>5040</v>
      </c>
    </row>
    <row r="30" spans="1:12" s="147" customFormat="1" ht="15.5">
      <c r="A30" s="144" t="s">
        <v>2012</v>
      </c>
      <c r="B30" s="136" t="s">
        <v>2013</v>
      </c>
      <c r="C30" s="145">
        <v>7200</v>
      </c>
      <c r="D30" s="140"/>
      <c r="E30" s="140"/>
      <c r="F30" s="140">
        <v>1</v>
      </c>
      <c r="G30" s="140"/>
      <c r="H30" s="139">
        <f t="shared" si="0"/>
        <v>1</v>
      </c>
      <c r="I30" s="166">
        <v>1</v>
      </c>
      <c r="J30" s="173"/>
      <c r="K30" s="160">
        <v>0.3</v>
      </c>
      <c r="L30" s="40">
        <f t="shared" si="1"/>
        <v>5040</v>
      </c>
    </row>
    <row r="31" spans="1:12" s="147" customFormat="1" ht="15.5">
      <c r="A31" s="144" t="s">
        <v>2014</v>
      </c>
      <c r="B31" s="136" t="s">
        <v>2015</v>
      </c>
      <c r="C31" s="145">
        <v>7200</v>
      </c>
      <c r="D31" s="140"/>
      <c r="E31" s="140"/>
      <c r="F31" s="140">
        <v>3</v>
      </c>
      <c r="G31" s="140"/>
      <c r="H31" s="139">
        <f t="shared" si="0"/>
        <v>3</v>
      </c>
      <c r="I31" s="166">
        <v>3</v>
      </c>
      <c r="J31" s="173"/>
      <c r="K31" s="161">
        <v>0.3</v>
      </c>
      <c r="L31" s="40">
        <f t="shared" si="1"/>
        <v>5040</v>
      </c>
    </row>
    <row r="32" spans="1:12" s="147" customFormat="1" ht="15.5">
      <c r="A32" s="144" t="s">
        <v>2016</v>
      </c>
      <c r="B32" s="136" t="s">
        <v>2017</v>
      </c>
      <c r="C32" s="145">
        <v>7200</v>
      </c>
      <c r="D32" s="140"/>
      <c r="E32" s="140"/>
      <c r="F32" s="140">
        <v>1</v>
      </c>
      <c r="G32" s="140"/>
      <c r="H32" s="139">
        <f t="shared" si="0"/>
        <v>1</v>
      </c>
      <c r="I32" s="166">
        <v>1</v>
      </c>
      <c r="J32" s="173"/>
      <c r="K32" s="161">
        <v>0.3</v>
      </c>
      <c r="L32" s="40">
        <f t="shared" si="1"/>
        <v>5040</v>
      </c>
    </row>
    <row r="33" spans="1:12" s="147" customFormat="1" ht="15.5">
      <c r="A33" s="144" t="s">
        <v>2018</v>
      </c>
      <c r="B33" s="136" t="s">
        <v>2019</v>
      </c>
      <c r="C33" s="145">
        <v>7200</v>
      </c>
      <c r="D33" s="140"/>
      <c r="E33" s="140"/>
      <c r="F33" s="140">
        <v>3</v>
      </c>
      <c r="G33" s="140"/>
      <c r="H33" s="139">
        <f t="shared" si="0"/>
        <v>3</v>
      </c>
      <c r="I33" s="166">
        <v>3</v>
      </c>
      <c r="J33" s="173"/>
      <c r="K33" s="161">
        <v>0.3</v>
      </c>
      <c r="L33" s="40">
        <f t="shared" si="1"/>
        <v>5040</v>
      </c>
    </row>
    <row r="34" spans="1:12" s="147" customFormat="1" ht="15.5">
      <c r="A34" s="144" t="s">
        <v>2081</v>
      </c>
      <c r="B34" s="136" t="s">
        <v>2082</v>
      </c>
      <c r="C34" s="145">
        <v>7200</v>
      </c>
      <c r="D34" s="140"/>
      <c r="E34" s="140"/>
      <c r="F34" s="140">
        <v>1</v>
      </c>
      <c r="G34" s="140"/>
      <c r="H34" s="139">
        <f t="shared" si="0"/>
        <v>1</v>
      </c>
      <c r="I34" s="166">
        <v>1</v>
      </c>
      <c r="J34" s="173"/>
      <c r="K34" s="161">
        <v>0.3</v>
      </c>
      <c r="L34" s="40">
        <f t="shared" si="1"/>
        <v>5040</v>
      </c>
    </row>
    <row r="35" spans="1:12" s="147" customFormat="1" ht="15.5">
      <c r="A35" s="144" t="s">
        <v>2020</v>
      </c>
      <c r="B35" s="136" t="s">
        <v>2021</v>
      </c>
      <c r="C35" s="145">
        <v>7200</v>
      </c>
      <c r="D35" s="140"/>
      <c r="E35" s="140"/>
      <c r="F35" s="140">
        <v>4</v>
      </c>
      <c r="G35" s="140"/>
      <c r="H35" s="139">
        <f t="shared" si="0"/>
        <v>4</v>
      </c>
      <c r="I35" s="166">
        <v>2</v>
      </c>
      <c r="J35" s="173"/>
      <c r="K35" s="161">
        <v>0.3</v>
      </c>
      <c r="L35" s="40">
        <f t="shared" si="1"/>
        <v>5040</v>
      </c>
    </row>
    <row r="36" spans="1:12" s="147" customFormat="1" ht="15.5">
      <c r="A36" s="144" t="s">
        <v>2022</v>
      </c>
      <c r="B36" s="136" t="s">
        <v>2023</v>
      </c>
      <c r="C36" s="145">
        <v>7200</v>
      </c>
      <c r="D36" s="140"/>
      <c r="E36" s="140"/>
      <c r="F36" s="140">
        <v>4</v>
      </c>
      <c r="G36" s="140"/>
      <c r="H36" s="139">
        <f t="shared" si="0"/>
        <v>4</v>
      </c>
      <c r="I36" s="166">
        <v>2</v>
      </c>
      <c r="J36" s="173"/>
      <c r="K36" s="161">
        <v>0.3</v>
      </c>
      <c r="L36" s="40">
        <f t="shared" si="1"/>
        <v>5040</v>
      </c>
    </row>
    <row r="37" spans="1:12" ht="15.5">
      <c r="A37" s="135" t="s">
        <v>2024</v>
      </c>
      <c r="B37" s="136" t="s">
        <v>2025</v>
      </c>
      <c r="C37" s="137">
        <v>5800</v>
      </c>
      <c r="D37" s="138"/>
      <c r="E37" s="138">
        <v>1</v>
      </c>
      <c r="F37" s="138"/>
      <c r="G37" s="138"/>
      <c r="H37" s="139">
        <f t="shared" si="0"/>
        <v>1</v>
      </c>
      <c r="I37" s="166">
        <v>1</v>
      </c>
      <c r="J37" s="173"/>
      <c r="K37" s="161">
        <v>0.3</v>
      </c>
      <c r="L37" s="40">
        <f t="shared" si="1"/>
        <v>4060</v>
      </c>
    </row>
    <row r="38" spans="1:12" s="147" customFormat="1" ht="15.5">
      <c r="A38" s="46" t="s">
        <v>2026</v>
      </c>
      <c r="B38" s="46" t="s">
        <v>2027</v>
      </c>
      <c r="C38" s="145">
        <v>5800</v>
      </c>
      <c r="D38" s="140"/>
      <c r="E38" s="140"/>
      <c r="F38" s="140"/>
      <c r="G38" s="140">
        <v>3</v>
      </c>
      <c r="H38" s="139">
        <f t="shared" si="0"/>
        <v>3</v>
      </c>
      <c r="I38" s="166">
        <v>3</v>
      </c>
      <c r="J38" s="173"/>
      <c r="K38" s="160">
        <v>0.3</v>
      </c>
      <c r="L38" s="40">
        <f t="shared" si="1"/>
        <v>4060</v>
      </c>
    </row>
    <row r="39" spans="1:12" ht="15.5">
      <c r="A39" s="46" t="s">
        <v>2028</v>
      </c>
      <c r="B39" s="46" t="s">
        <v>2029</v>
      </c>
      <c r="C39" s="91">
        <v>6200</v>
      </c>
      <c r="D39" s="98"/>
      <c r="E39" s="138"/>
      <c r="F39" s="98"/>
      <c r="G39" s="98">
        <v>3</v>
      </c>
      <c r="H39" s="139">
        <f t="shared" si="0"/>
        <v>3</v>
      </c>
      <c r="I39" s="165">
        <v>3</v>
      </c>
      <c r="J39" s="173"/>
      <c r="K39" s="160">
        <v>0.4</v>
      </c>
      <c r="L39" s="40">
        <f t="shared" si="1"/>
        <v>3720</v>
      </c>
    </row>
    <row r="40" spans="1:12" ht="15.5">
      <c r="A40" s="46" t="s">
        <v>2030</v>
      </c>
      <c r="B40" s="46" t="s">
        <v>2031</v>
      </c>
      <c r="C40" s="91">
        <v>6200</v>
      </c>
      <c r="D40" s="98"/>
      <c r="E40" s="138"/>
      <c r="F40" s="98"/>
      <c r="G40" s="98">
        <v>1</v>
      </c>
      <c r="H40" s="139">
        <f t="shared" si="0"/>
        <v>1</v>
      </c>
      <c r="I40" s="165">
        <v>1</v>
      </c>
      <c r="J40" s="173"/>
      <c r="K40" s="160">
        <v>0.4</v>
      </c>
      <c r="L40" s="40">
        <f t="shared" si="1"/>
        <v>3720</v>
      </c>
    </row>
    <row r="41" spans="1:12" ht="15.5">
      <c r="A41" s="46" t="s">
        <v>2032</v>
      </c>
      <c r="B41" s="46" t="s">
        <v>2033</v>
      </c>
      <c r="C41" s="91">
        <v>6200</v>
      </c>
      <c r="D41" s="98"/>
      <c r="E41" s="138"/>
      <c r="F41" s="98"/>
      <c r="G41" s="98">
        <v>1</v>
      </c>
      <c r="H41" s="139">
        <f t="shared" si="0"/>
        <v>1</v>
      </c>
      <c r="I41" s="165">
        <v>1</v>
      </c>
      <c r="J41" s="173"/>
      <c r="K41" s="160">
        <v>0.4</v>
      </c>
      <c r="L41" s="40">
        <f t="shared" si="1"/>
        <v>3720</v>
      </c>
    </row>
    <row r="42" spans="1:12" ht="15.5">
      <c r="A42" s="46" t="s">
        <v>2083</v>
      </c>
      <c r="B42" s="46" t="s">
        <v>2084</v>
      </c>
      <c r="C42" s="91">
        <v>6200</v>
      </c>
      <c r="D42" s="98"/>
      <c r="E42" s="138"/>
      <c r="F42" s="98"/>
      <c r="G42" s="98">
        <v>2</v>
      </c>
      <c r="H42" s="139">
        <f t="shared" si="0"/>
        <v>2</v>
      </c>
      <c r="I42" s="165">
        <v>2</v>
      </c>
      <c r="J42" s="173"/>
      <c r="K42" s="160">
        <v>0.4</v>
      </c>
      <c r="L42" s="40">
        <f t="shared" si="1"/>
        <v>3720</v>
      </c>
    </row>
    <row r="43" spans="1:12" ht="15.5">
      <c r="A43" s="46" t="s">
        <v>2034</v>
      </c>
      <c r="B43" s="46" t="s">
        <v>2035</v>
      </c>
      <c r="C43" s="91">
        <v>6200</v>
      </c>
      <c r="D43" s="98"/>
      <c r="E43" s="138"/>
      <c r="F43" s="98"/>
      <c r="G43" s="98">
        <v>1</v>
      </c>
      <c r="H43" s="139">
        <f t="shared" si="0"/>
        <v>1</v>
      </c>
      <c r="I43" s="165">
        <v>1</v>
      </c>
      <c r="J43" s="173"/>
      <c r="K43" s="160">
        <v>0.4</v>
      </c>
      <c r="L43" s="40">
        <f t="shared" si="1"/>
        <v>3720</v>
      </c>
    </row>
    <row r="44" spans="1:12" ht="15.5">
      <c r="A44" s="135" t="s">
        <v>2036</v>
      </c>
      <c r="B44" s="136" t="s">
        <v>2037</v>
      </c>
      <c r="C44" s="137">
        <v>4900</v>
      </c>
      <c r="D44" s="138"/>
      <c r="E44" s="138">
        <v>2</v>
      </c>
      <c r="F44" s="138"/>
      <c r="G44" s="138"/>
      <c r="H44" s="139">
        <f t="shared" si="0"/>
        <v>2</v>
      </c>
      <c r="I44" s="165">
        <v>2</v>
      </c>
      <c r="J44" s="173"/>
      <c r="K44" s="160">
        <v>0.4</v>
      </c>
      <c r="L44" s="40">
        <f t="shared" si="1"/>
        <v>2940</v>
      </c>
    </row>
    <row r="45" spans="1:12" ht="15.5">
      <c r="A45" s="135" t="s">
        <v>2038</v>
      </c>
      <c r="B45" s="136" t="s">
        <v>2039</v>
      </c>
      <c r="C45" s="137">
        <v>4900</v>
      </c>
      <c r="D45" s="138"/>
      <c r="E45" s="138">
        <v>3</v>
      </c>
      <c r="F45" s="138"/>
      <c r="G45" s="138"/>
      <c r="H45" s="139">
        <f t="shared" si="0"/>
        <v>3</v>
      </c>
      <c r="I45" s="165">
        <v>3</v>
      </c>
      <c r="J45" s="173"/>
      <c r="K45" s="160">
        <v>0.4</v>
      </c>
      <c r="L45" s="40">
        <f t="shared" si="1"/>
        <v>2940</v>
      </c>
    </row>
    <row r="46" spans="1:12" ht="15.5">
      <c r="A46" s="135" t="s">
        <v>2040</v>
      </c>
      <c r="B46" s="136" t="s">
        <v>2041</v>
      </c>
      <c r="C46" s="137">
        <v>5200</v>
      </c>
      <c r="D46" s="138"/>
      <c r="E46" s="138">
        <v>1</v>
      </c>
      <c r="F46" s="138"/>
      <c r="G46" s="138"/>
      <c r="H46" s="139">
        <f t="shared" si="0"/>
        <v>1</v>
      </c>
      <c r="I46" s="166">
        <v>1</v>
      </c>
      <c r="J46" s="173"/>
      <c r="K46" s="160">
        <v>0.4</v>
      </c>
      <c r="L46" s="40">
        <f t="shared" si="1"/>
        <v>3120</v>
      </c>
    </row>
    <row r="47" spans="1:12" ht="15.5">
      <c r="A47" s="135" t="s">
        <v>2042</v>
      </c>
      <c r="B47" s="136" t="s">
        <v>2043</v>
      </c>
      <c r="C47" s="137">
        <v>5200</v>
      </c>
      <c r="D47" s="138"/>
      <c r="E47" s="138">
        <v>1</v>
      </c>
      <c r="F47" s="138"/>
      <c r="G47" s="138"/>
      <c r="H47" s="139">
        <f t="shared" si="0"/>
        <v>1</v>
      </c>
      <c r="I47" s="166">
        <v>1</v>
      </c>
      <c r="J47" s="173"/>
      <c r="K47" s="160">
        <v>0.4</v>
      </c>
      <c r="L47" s="40">
        <f t="shared" si="1"/>
        <v>3120</v>
      </c>
    </row>
    <row r="48" spans="1:12" ht="15.5">
      <c r="A48" s="135" t="s">
        <v>2044</v>
      </c>
      <c r="B48" s="136" t="s">
        <v>2045</v>
      </c>
      <c r="C48" s="137">
        <v>5200</v>
      </c>
      <c r="D48" s="138">
        <v>1</v>
      </c>
      <c r="E48" s="138"/>
      <c r="F48" s="138"/>
      <c r="G48" s="138"/>
      <c r="H48" s="139">
        <f t="shared" si="0"/>
        <v>1</v>
      </c>
      <c r="I48" s="166">
        <v>1</v>
      </c>
      <c r="J48" s="173"/>
      <c r="K48" s="160">
        <v>0.4</v>
      </c>
      <c r="L48" s="40">
        <f t="shared" si="1"/>
        <v>3120</v>
      </c>
    </row>
    <row r="49" spans="1:12" ht="15.5">
      <c r="A49" s="135" t="s">
        <v>2046</v>
      </c>
      <c r="B49" s="136" t="s">
        <v>2047</v>
      </c>
      <c r="C49" s="137">
        <v>5200</v>
      </c>
      <c r="D49" s="138">
        <v>1</v>
      </c>
      <c r="E49" s="138"/>
      <c r="F49" s="138"/>
      <c r="G49" s="138"/>
      <c r="H49" s="139">
        <f t="shared" si="0"/>
        <v>1</v>
      </c>
      <c r="I49" s="166">
        <v>1</v>
      </c>
      <c r="J49" s="173"/>
      <c r="K49" s="160">
        <v>0.4</v>
      </c>
      <c r="L49" s="40">
        <f t="shared" si="1"/>
        <v>3120</v>
      </c>
    </row>
    <row r="50" spans="1:12" ht="15.5">
      <c r="A50" s="135" t="s">
        <v>2048</v>
      </c>
      <c r="B50" s="136" t="s">
        <v>2049</v>
      </c>
      <c r="C50" s="137">
        <v>5200</v>
      </c>
      <c r="D50" s="138"/>
      <c r="E50" s="138">
        <v>3</v>
      </c>
      <c r="F50" s="138"/>
      <c r="G50" s="138"/>
      <c r="H50" s="139">
        <f t="shared" si="0"/>
        <v>3</v>
      </c>
      <c r="I50" s="166">
        <v>3</v>
      </c>
      <c r="J50" s="173"/>
      <c r="K50" s="160">
        <v>0.4</v>
      </c>
      <c r="L50" s="40">
        <f t="shared" si="1"/>
        <v>3120</v>
      </c>
    </row>
    <row r="51" spans="1:12" ht="15.5">
      <c r="A51" s="135" t="s">
        <v>2050</v>
      </c>
      <c r="B51" s="136" t="s">
        <v>2051</v>
      </c>
      <c r="C51" s="137">
        <v>5200</v>
      </c>
      <c r="D51" s="138"/>
      <c r="E51" s="138">
        <v>2</v>
      </c>
      <c r="F51" s="138"/>
      <c r="G51" s="138"/>
      <c r="H51" s="139">
        <f t="shared" si="0"/>
        <v>2</v>
      </c>
      <c r="I51" s="166">
        <v>2</v>
      </c>
      <c r="J51" s="173"/>
      <c r="K51" s="160">
        <v>0.4</v>
      </c>
      <c r="L51" s="40">
        <f t="shared" si="1"/>
        <v>3120</v>
      </c>
    </row>
    <row r="52" spans="1:12" ht="15.5">
      <c r="A52" s="135" t="s">
        <v>2052</v>
      </c>
      <c r="B52" s="136" t="s">
        <v>2053</v>
      </c>
      <c r="C52" s="137">
        <v>5400</v>
      </c>
      <c r="D52" s="138"/>
      <c r="E52" s="138"/>
      <c r="F52" s="138">
        <v>1</v>
      </c>
      <c r="G52" s="138"/>
      <c r="H52" s="139">
        <f t="shared" si="0"/>
        <v>1</v>
      </c>
      <c r="I52" s="166">
        <v>1</v>
      </c>
      <c r="J52" s="173"/>
      <c r="K52" s="160">
        <v>0.4</v>
      </c>
      <c r="L52" s="40">
        <f t="shared" si="1"/>
        <v>3240</v>
      </c>
    </row>
    <row r="53" spans="1:12" ht="15.5">
      <c r="A53" s="135" t="s">
        <v>2054</v>
      </c>
      <c r="B53" s="136" t="s">
        <v>2055</v>
      </c>
      <c r="C53" s="137">
        <v>5400</v>
      </c>
      <c r="D53" s="138"/>
      <c r="E53" s="138"/>
      <c r="F53" s="138">
        <v>1</v>
      </c>
      <c r="G53" s="138"/>
      <c r="H53" s="139">
        <f t="shared" si="0"/>
        <v>1</v>
      </c>
      <c r="I53" s="166">
        <v>1</v>
      </c>
      <c r="J53" s="173"/>
      <c r="K53" s="160">
        <v>0.4</v>
      </c>
      <c r="L53" s="40">
        <f t="shared" si="1"/>
        <v>3240</v>
      </c>
    </row>
    <row r="54" spans="1:12" ht="15.5">
      <c r="A54" s="135" t="s">
        <v>2056</v>
      </c>
      <c r="B54" s="136" t="s">
        <v>2057</v>
      </c>
      <c r="C54" s="137">
        <v>5400</v>
      </c>
      <c r="D54" s="138"/>
      <c r="E54" s="138"/>
      <c r="F54" s="138">
        <v>1</v>
      </c>
      <c r="G54" s="138"/>
      <c r="H54" s="139">
        <f t="shared" si="0"/>
        <v>1</v>
      </c>
      <c r="I54" s="166">
        <v>1</v>
      </c>
      <c r="J54" s="173"/>
      <c r="K54" s="160">
        <v>0.4</v>
      </c>
      <c r="L54" s="40">
        <f t="shared" si="1"/>
        <v>3240</v>
      </c>
    </row>
    <row r="55" spans="1:12" ht="15.5">
      <c r="A55" s="135" t="s">
        <v>2058</v>
      </c>
      <c r="B55" s="136" t="s">
        <v>2059</v>
      </c>
      <c r="C55" s="137">
        <v>5400</v>
      </c>
      <c r="D55" s="138"/>
      <c r="E55" s="138"/>
      <c r="F55" s="138">
        <v>3</v>
      </c>
      <c r="G55" s="138"/>
      <c r="H55" s="139">
        <f t="shared" si="0"/>
        <v>3</v>
      </c>
      <c r="I55" s="166">
        <v>3</v>
      </c>
      <c r="J55" s="173"/>
      <c r="K55" s="160">
        <v>0.4</v>
      </c>
      <c r="L55" s="40">
        <f t="shared" si="1"/>
        <v>3240</v>
      </c>
    </row>
    <row r="56" spans="1:12" ht="15.5">
      <c r="A56" s="135" t="s">
        <v>2060</v>
      </c>
      <c r="B56" s="136" t="s">
        <v>2061</v>
      </c>
      <c r="C56" s="137">
        <v>5400</v>
      </c>
      <c r="D56" s="138"/>
      <c r="E56" s="138">
        <v>1</v>
      </c>
      <c r="F56" s="138"/>
      <c r="G56" s="138"/>
      <c r="H56" s="139">
        <f t="shared" si="0"/>
        <v>1</v>
      </c>
      <c r="I56" s="166">
        <v>1</v>
      </c>
      <c r="J56" s="173"/>
      <c r="K56" s="160">
        <v>0.4</v>
      </c>
      <c r="L56" s="40">
        <f t="shared" si="1"/>
        <v>3240</v>
      </c>
    </row>
    <row r="57" spans="1:12" ht="15.5">
      <c r="A57" s="135" t="s">
        <v>2062</v>
      </c>
      <c r="B57" s="136" t="s">
        <v>2063</v>
      </c>
      <c r="C57" s="137">
        <v>5400</v>
      </c>
      <c r="D57" s="138"/>
      <c r="E57" s="138">
        <v>1</v>
      </c>
      <c r="F57" s="138"/>
      <c r="G57" s="138"/>
      <c r="H57" s="139">
        <f t="shared" si="0"/>
        <v>1</v>
      </c>
      <c r="I57" s="166">
        <v>1</v>
      </c>
      <c r="J57" s="173"/>
      <c r="K57" s="160">
        <v>0.4</v>
      </c>
      <c r="L57" s="40">
        <f t="shared" si="1"/>
        <v>3240</v>
      </c>
    </row>
    <row r="58" spans="1:12" ht="15.5">
      <c r="A58" s="135" t="s">
        <v>2064</v>
      </c>
      <c r="B58" s="136" t="s">
        <v>2065</v>
      </c>
      <c r="C58" s="137">
        <v>5400</v>
      </c>
      <c r="D58" s="138"/>
      <c r="E58" s="138">
        <v>2</v>
      </c>
      <c r="F58" s="138"/>
      <c r="G58" s="138"/>
      <c r="H58" s="139">
        <f t="shared" si="0"/>
        <v>2</v>
      </c>
      <c r="I58" s="166">
        <v>2</v>
      </c>
      <c r="J58" s="173"/>
      <c r="K58" s="160">
        <v>0.4</v>
      </c>
      <c r="L58" s="40">
        <f t="shared" si="1"/>
        <v>3240</v>
      </c>
    </row>
    <row r="59" spans="1:12" ht="15.5">
      <c r="A59" s="135" t="s">
        <v>2066</v>
      </c>
      <c r="B59" s="136" t="s">
        <v>2067</v>
      </c>
      <c r="C59" s="137">
        <v>5400</v>
      </c>
      <c r="D59" s="138"/>
      <c r="E59" s="138">
        <v>1</v>
      </c>
      <c r="F59" s="138"/>
      <c r="G59" s="138"/>
      <c r="H59" s="139">
        <f t="shared" si="0"/>
        <v>1</v>
      </c>
      <c r="I59" s="166">
        <v>1</v>
      </c>
      <c r="J59" s="173"/>
      <c r="K59" s="160">
        <v>0.4</v>
      </c>
      <c r="L59" s="40">
        <f t="shared" si="1"/>
        <v>3240</v>
      </c>
    </row>
    <row r="60" spans="1:12" s="147" customFormat="1" ht="15.5">
      <c r="A60" s="144" t="s">
        <v>2068</v>
      </c>
      <c r="B60" s="136" t="s">
        <v>2069</v>
      </c>
      <c r="C60" s="145">
        <v>4980</v>
      </c>
      <c r="D60" s="140">
        <v>3</v>
      </c>
      <c r="E60" s="140"/>
      <c r="F60" s="140"/>
      <c r="G60" s="140"/>
      <c r="H60" s="139">
        <f t="shared" si="0"/>
        <v>3</v>
      </c>
      <c r="I60" s="166">
        <v>3</v>
      </c>
      <c r="J60" s="173"/>
      <c r="K60" s="160">
        <v>0.5</v>
      </c>
      <c r="L60" s="40">
        <f t="shared" si="1"/>
        <v>2490</v>
      </c>
    </row>
    <row r="61" spans="1:12" s="147" customFormat="1" ht="15.5">
      <c r="A61" s="144" t="s">
        <v>2070</v>
      </c>
      <c r="B61" s="136" t="s">
        <v>2071</v>
      </c>
      <c r="C61" s="145">
        <v>4980</v>
      </c>
      <c r="D61" s="140">
        <v>2</v>
      </c>
      <c r="E61" s="140"/>
      <c r="F61" s="140"/>
      <c r="G61" s="140"/>
      <c r="H61" s="139">
        <f t="shared" si="0"/>
        <v>2</v>
      </c>
      <c r="I61" s="166">
        <v>2</v>
      </c>
      <c r="J61" s="173"/>
      <c r="K61" s="160">
        <v>0.5</v>
      </c>
      <c r="L61" s="40">
        <f t="shared" si="1"/>
        <v>2490</v>
      </c>
    </row>
    <row r="62" spans="1:12" s="147" customFormat="1" ht="15.5">
      <c r="A62" s="144" t="s">
        <v>2072</v>
      </c>
      <c r="B62" s="136" t="s">
        <v>2073</v>
      </c>
      <c r="C62" s="145">
        <v>4980</v>
      </c>
      <c r="D62" s="140">
        <v>3</v>
      </c>
      <c r="E62" s="140"/>
      <c r="F62" s="140"/>
      <c r="G62" s="140"/>
      <c r="H62" s="139">
        <f t="shared" si="0"/>
        <v>3</v>
      </c>
      <c r="I62" s="166">
        <v>3</v>
      </c>
      <c r="J62" s="173"/>
      <c r="K62" s="160">
        <v>0.5</v>
      </c>
      <c r="L62" s="40">
        <f t="shared" si="1"/>
        <v>2490</v>
      </c>
    </row>
    <row r="63" spans="1:12">
      <c r="D63" s="143">
        <f t="shared" ref="D63:I63" si="2">SUM(D2:D62)</f>
        <v>10</v>
      </c>
      <c r="E63" s="143">
        <f t="shared" si="2"/>
        <v>22</v>
      </c>
      <c r="F63" s="143">
        <f t="shared" si="2"/>
        <v>43</v>
      </c>
      <c r="G63" s="143">
        <f t="shared" si="2"/>
        <v>70</v>
      </c>
      <c r="H63" s="148">
        <f t="shared" si="2"/>
        <v>145</v>
      </c>
      <c r="I63" s="162">
        <f t="shared" si="2"/>
        <v>115</v>
      </c>
      <c r="J63" s="162"/>
      <c r="K63" s="146"/>
    </row>
    <row r="64" spans="1:12">
      <c r="K64" s="146"/>
    </row>
    <row r="65" spans="11:11">
      <c r="K65" s="146"/>
    </row>
    <row r="66" spans="11:11">
      <c r="K66" s="146"/>
    </row>
    <row r="67" spans="11:11">
      <c r="K67" s="146"/>
    </row>
  </sheetData>
  <pageMargins left="0.25" right="0.25" top="0.39" bottom="0.39" header="0.3" footer="0.3"/>
  <pageSetup paperSize="9" scale="97" fitToHeight="0" orientation="portrait" r:id="rId1"/>
  <rowBreaks count="1" manualBreakCount="1">
    <brk id="4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7E88-04F7-436F-9BEB-DED54E033812}">
  <sheetPr>
    <pageSetUpPr fitToPage="1"/>
  </sheetPr>
  <dimension ref="A1:M101"/>
  <sheetViews>
    <sheetView tabSelected="1" zoomScaleNormal="100" workbookViewId="0">
      <pane ySplit="1" topLeftCell="A2" activePane="bottomLeft" state="frozen"/>
      <selection pane="bottomLeft" activeCell="I29" sqref="I29"/>
    </sheetView>
  </sheetViews>
  <sheetFormatPr defaultColWidth="8.81640625" defaultRowHeight="14.5"/>
  <cols>
    <col min="1" max="1" width="20.7265625" style="41" bestFit="1" customWidth="1" collapsed="1"/>
    <col min="2" max="2" width="53" style="41" customWidth="1" collapsed="1"/>
    <col min="3" max="3" width="14" style="41" customWidth="1" collapsed="1"/>
    <col min="4" max="4" width="7.90625" style="61" bestFit="1" customWidth="1" collapsed="1"/>
    <col min="5" max="5" width="5.453125" style="63" hidden="1" customWidth="1"/>
    <col min="6" max="6" width="6.6328125" style="63" hidden="1" customWidth="1"/>
    <col min="7" max="7" width="3.90625" style="64" hidden="1" customWidth="1"/>
    <col min="8" max="8" width="7.90625" style="65" bestFit="1" customWidth="1"/>
    <col min="9" max="9" width="10.6328125" style="65" bestFit="1" customWidth="1"/>
    <col min="10" max="10" width="6.08984375" style="65" bestFit="1" customWidth="1"/>
    <col min="11" max="11" width="4.7265625" style="56" bestFit="1" customWidth="1"/>
    <col min="12" max="12" width="5" style="41" bestFit="1" customWidth="1"/>
    <col min="13" max="16384" width="8.81640625" style="41"/>
  </cols>
  <sheetData>
    <row r="1" spans="1:12" s="34" customFormat="1" ht="41.4" customHeight="1">
      <c r="A1" s="28" t="s">
        <v>0</v>
      </c>
      <c r="B1" s="28" t="s">
        <v>1</v>
      </c>
      <c r="C1" s="28" t="s">
        <v>4</v>
      </c>
      <c r="D1" s="28" t="s">
        <v>369</v>
      </c>
      <c r="E1" s="29" t="s">
        <v>370</v>
      </c>
      <c r="F1" s="30" t="s">
        <v>371</v>
      </c>
      <c r="G1" s="31" t="s">
        <v>372</v>
      </c>
      <c r="H1" s="121" t="s">
        <v>1691</v>
      </c>
      <c r="I1" s="124" t="s">
        <v>1693</v>
      </c>
      <c r="J1" s="124" t="s">
        <v>1692</v>
      </c>
      <c r="K1" s="176" t="s">
        <v>88</v>
      </c>
      <c r="L1" s="33" t="s">
        <v>374</v>
      </c>
    </row>
    <row r="2" spans="1:12" ht="15.5">
      <c r="A2" s="23" t="s">
        <v>375</v>
      </c>
      <c r="B2" s="23" t="s">
        <v>376</v>
      </c>
      <c r="C2" s="24" t="s">
        <v>377</v>
      </c>
      <c r="D2" s="35">
        <v>880</v>
      </c>
      <c r="E2" s="36"/>
      <c r="F2" s="37">
        <v>230</v>
      </c>
      <c r="G2" s="38">
        <v>120</v>
      </c>
      <c r="H2" s="174">
        <v>8</v>
      </c>
      <c r="I2" s="174">
        <v>5</v>
      </c>
      <c r="J2" s="174">
        <v>10</v>
      </c>
      <c r="K2" s="177">
        <v>0.1</v>
      </c>
      <c r="L2" s="40">
        <f>D2-(K2*D2)</f>
        <v>792</v>
      </c>
    </row>
    <row r="3" spans="1:12" ht="15.5">
      <c r="A3" s="23" t="s">
        <v>378</v>
      </c>
      <c r="B3" s="23" t="s">
        <v>379</v>
      </c>
      <c r="C3" s="24" t="s">
        <v>380</v>
      </c>
      <c r="D3" s="35">
        <v>880</v>
      </c>
      <c r="E3" s="42">
        <v>4</v>
      </c>
      <c r="F3" s="43">
        <v>460</v>
      </c>
      <c r="G3" s="44">
        <v>200</v>
      </c>
      <c r="H3" s="174">
        <v>8</v>
      </c>
      <c r="I3" s="174">
        <v>5</v>
      </c>
      <c r="J3" s="174">
        <v>10</v>
      </c>
      <c r="K3" s="177">
        <v>0.1</v>
      </c>
      <c r="L3" s="40">
        <f t="shared" ref="L3:L66" si="0">D3-(K3*D3)</f>
        <v>792</v>
      </c>
    </row>
    <row r="4" spans="1:12" ht="15.5">
      <c r="A4" s="23" t="s">
        <v>381</v>
      </c>
      <c r="B4" s="23" t="s">
        <v>382</v>
      </c>
      <c r="C4" s="24" t="s">
        <v>383</v>
      </c>
      <c r="D4" s="35">
        <v>880</v>
      </c>
      <c r="E4" s="42">
        <v>3</v>
      </c>
      <c r="F4" s="43">
        <v>210</v>
      </c>
      <c r="G4" s="44">
        <v>80</v>
      </c>
      <c r="H4" s="174">
        <v>8</v>
      </c>
      <c r="I4" s="174">
        <v>5</v>
      </c>
      <c r="J4" s="174">
        <v>10</v>
      </c>
      <c r="K4" s="177">
        <v>0.1</v>
      </c>
      <c r="L4" s="40">
        <f t="shared" si="0"/>
        <v>792</v>
      </c>
    </row>
    <row r="5" spans="1:12" ht="15.5">
      <c r="A5" s="23" t="s">
        <v>384</v>
      </c>
      <c r="B5" s="23" t="s">
        <v>385</v>
      </c>
      <c r="C5" s="24" t="s">
        <v>386</v>
      </c>
      <c r="D5" s="35">
        <v>940</v>
      </c>
      <c r="E5" s="42"/>
      <c r="F5" s="43">
        <v>55</v>
      </c>
      <c r="G5" s="44">
        <v>30</v>
      </c>
      <c r="H5" s="174">
        <v>8</v>
      </c>
      <c r="I5" s="174">
        <v>5</v>
      </c>
      <c r="J5" s="174">
        <v>10</v>
      </c>
      <c r="K5" s="177">
        <v>0.1</v>
      </c>
      <c r="L5" s="40">
        <f t="shared" si="0"/>
        <v>846</v>
      </c>
    </row>
    <row r="6" spans="1:12" ht="15.5">
      <c r="A6" s="23" t="s">
        <v>387</v>
      </c>
      <c r="B6" s="23" t="s">
        <v>388</v>
      </c>
      <c r="C6" s="24" t="s">
        <v>389</v>
      </c>
      <c r="D6" s="35">
        <v>940</v>
      </c>
      <c r="E6" s="42"/>
      <c r="F6" s="43">
        <v>115</v>
      </c>
      <c r="G6" s="44">
        <v>60</v>
      </c>
      <c r="H6" s="174">
        <v>8</v>
      </c>
      <c r="I6" s="174">
        <v>5</v>
      </c>
      <c r="J6" s="174">
        <v>10</v>
      </c>
      <c r="K6" s="177">
        <v>0.1</v>
      </c>
      <c r="L6" s="40">
        <f t="shared" si="0"/>
        <v>846</v>
      </c>
    </row>
    <row r="7" spans="1:12" ht="15.5">
      <c r="A7" s="23" t="s">
        <v>390</v>
      </c>
      <c r="B7" s="23" t="s">
        <v>391</v>
      </c>
      <c r="C7" s="24" t="s">
        <v>392</v>
      </c>
      <c r="D7" s="35">
        <v>940</v>
      </c>
      <c r="E7" s="42"/>
      <c r="F7" s="43">
        <v>50</v>
      </c>
      <c r="G7" s="44">
        <v>30</v>
      </c>
      <c r="H7" s="174">
        <v>8</v>
      </c>
      <c r="I7" s="174">
        <v>5</v>
      </c>
      <c r="J7" s="174">
        <v>10</v>
      </c>
      <c r="K7" s="177">
        <v>0.1</v>
      </c>
      <c r="L7" s="40">
        <f t="shared" si="0"/>
        <v>846</v>
      </c>
    </row>
    <row r="8" spans="1:12" ht="15.5">
      <c r="A8" s="23" t="s">
        <v>393</v>
      </c>
      <c r="B8" s="23" t="s">
        <v>394</v>
      </c>
      <c r="C8" s="24" t="s">
        <v>395</v>
      </c>
      <c r="D8" s="35">
        <v>940</v>
      </c>
      <c r="E8" s="42">
        <v>3</v>
      </c>
      <c r="F8" s="43">
        <v>20</v>
      </c>
      <c r="G8" s="44"/>
      <c r="H8" s="174">
        <v>8</v>
      </c>
      <c r="I8" s="174"/>
      <c r="J8" s="174">
        <v>8</v>
      </c>
      <c r="K8" s="177">
        <v>0.1</v>
      </c>
      <c r="L8" s="40">
        <f t="shared" si="0"/>
        <v>846</v>
      </c>
    </row>
    <row r="9" spans="1:12" ht="15.5">
      <c r="A9" s="23" t="s">
        <v>396</v>
      </c>
      <c r="B9" s="23" t="s">
        <v>397</v>
      </c>
      <c r="C9" s="24" t="s">
        <v>398</v>
      </c>
      <c r="D9" s="35">
        <v>940</v>
      </c>
      <c r="E9" s="42"/>
      <c r="F9" s="43">
        <v>40</v>
      </c>
      <c r="G9" s="44"/>
      <c r="H9" s="174">
        <v>8</v>
      </c>
      <c r="I9" s="174"/>
      <c r="J9" s="174">
        <v>8</v>
      </c>
      <c r="K9" s="177">
        <v>0.1</v>
      </c>
      <c r="L9" s="40">
        <f t="shared" si="0"/>
        <v>846</v>
      </c>
    </row>
    <row r="10" spans="1:12" ht="15.5">
      <c r="A10" s="23" t="s">
        <v>399</v>
      </c>
      <c r="B10" s="23" t="s">
        <v>400</v>
      </c>
      <c r="C10" s="24" t="s">
        <v>401</v>
      </c>
      <c r="D10" s="35">
        <v>940</v>
      </c>
      <c r="E10" s="42"/>
      <c r="F10" s="43">
        <v>40</v>
      </c>
      <c r="G10" s="44"/>
      <c r="H10" s="174">
        <v>8</v>
      </c>
      <c r="I10" s="174"/>
      <c r="J10" s="174">
        <v>8</v>
      </c>
      <c r="K10" s="177">
        <v>0.1</v>
      </c>
      <c r="L10" s="40">
        <f t="shared" si="0"/>
        <v>846</v>
      </c>
    </row>
    <row r="11" spans="1:12" ht="15.5" hidden="1">
      <c r="A11" s="23" t="s">
        <v>402</v>
      </c>
      <c r="B11" s="23" t="s">
        <v>403</v>
      </c>
      <c r="C11" s="24" t="s">
        <v>404</v>
      </c>
      <c r="D11" s="35">
        <v>940</v>
      </c>
      <c r="E11" s="42"/>
      <c r="F11" s="43"/>
      <c r="G11" s="44"/>
      <c r="H11" s="174"/>
      <c r="I11" s="174"/>
      <c r="J11" s="174"/>
      <c r="K11" s="178"/>
      <c r="L11" s="40">
        <f t="shared" si="0"/>
        <v>940</v>
      </c>
    </row>
    <row r="12" spans="1:12" ht="15.5" hidden="1">
      <c r="A12" s="23" t="s">
        <v>405</v>
      </c>
      <c r="B12" s="23" t="s">
        <v>406</v>
      </c>
      <c r="C12" s="24" t="s">
        <v>407</v>
      </c>
      <c r="D12" s="35">
        <v>940</v>
      </c>
      <c r="E12" s="42">
        <v>2</v>
      </c>
      <c r="F12" s="43"/>
      <c r="G12" s="44"/>
      <c r="H12" s="174"/>
      <c r="I12" s="174"/>
      <c r="J12" s="174"/>
      <c r="K12" s="178"/>
      <c r="L12" s="40">
        <f t="shared" si="0"/>
        <v>940</v>
      </c>
    </row>
    <row r="13" spans="1:12" ht="15.5" hidden="1">
      <c r="A13" s="23" t="s">
        <v>408</v>
      </c>
      <c r="B13" s="23" t="s">
        <v>409</v>
      </c>
      <c r="C13" s="24" t="s">
        <v>410</v>
      </c>
      <c r="D13" s="35">
        <v>940</v>
      </c>
      <c r="E13" s="42">
        <v>1</v>
      </c>
      <c r="F13" s="43"/>
      <c r="G13" s="44"/>
      <c r="H13" s="174"/>
      <c r="I13" s="174"/>
      <c r="J13" s="174"/>
      <c r="K13" s="178"/>
      <c r="L13" s="40">
        <f t="shared" si="0"/>
        <v>940</v>
      </c>
    </row>
    <row r="14" spans="1:12" ht="15.5">
      <c r="A14" s="23" t="s">
        <v>411</v>
      </c>
      <c r="B14" s="23" t="s">
        <v>412</v>
      </c>
      <c r="C14" s="45" t="s">
        <v>413</v>
      </c>
      <c r="D14" s="35">
        <v>940</v>
      </c>
      <c r="E14" s="42"/>
      <c r="F14" s="43">
        <v>20</v>
      </c>
      <c r="G14" s="44"/>
      <c r="H14" s="174">
        <v>8</v>
      </c>
      <c r="I14" s="174">
        <v>5</v>
      </c>
      <c r="J14" s="174">
        <v>8</v>
      </c>
      <c r="K14" s="177">
        <v>0.1</v>
      </c>
      <c r="L14" s="40">
        <f t="shared" si="0"/>
        <v>846</v>
      </c>
    </row>
    <row r="15" spans="1:12" ht="15.5">
      <c r="A15" s="23" t="s">
        <v>414</v>
      </c>
      <c r="B15" s="23" t="s">
        <v>415</v>
      </c>
      <c r="C15" s="45" t="s">
        <v>416</v>
      </c>
      <c r="D15" s="35">
        <v>940</v>
      </c>
      <c r="E15" s="42"/>
      <c r="F15" s="43">
        <v>40</v>
      </c>
      <c r="G15" s="44"/>
      <c r="H15" s="174">
        <v>8</v>
      </c>
      <c r="I15" s="174">
        <v>5</v>
      </c>
      <c r="J15" s="174">
        <v>8</v>
      </c>
      <c r="K15" s="177">
        <v>0.1</v>
      </c>
      <c r="L15" s="40">
        <f t="shared" si="0"/>
        <v>846</v>
      </c>
    </row>
    <row r="16" spans="1:12" ht="15.5">
      <c r="A16" s="23" t="s">
        <v>417</v>
      </c>
      <c r="B16" s="23" t="s">
        <v>418</v>
      </c>
      <c r="C16" s="45" t="s">
        <v>419</v>
      </c>
      <c r="D16" s="35">
        <v>940</v>
      </c>
      <c r="E16" s="42"/>
      <c r="F16" s="43">
        <v>30</v>
      </c>
      <c r="G16" s="44"/>
      <c r="H16" s="174">
        <v>8</v>
      </c>
      <c r="I16" s="174">
        <v>5</v>
      </c>
      <c r="J16" s="174">
        <v>8</v>
      </c>
      <c r="K16" s="177">
        <v>0.1</v>
      </c>
      <c r="L16" s="40">
        <f t="shared" si="0"/>
        <v>846</v>
      </c>
    </row>
    <row r="17" spans="1:12" ht="15.5" hidden="1">
      <c r="A17" s="23" t="s">
        <v>420</v>
      </c>
      <c r="B17" s="23" t="s">
        <v>421</v>
      </c>
      <c r="C17" s="24" t="s">
        <v>422</v>
      </c>
      <c r="D17" s="35">
        <v>880</v>
      </c>
      <c r="E17" s="42"/>
      <c r="F17" s="43"/>
      <c r="G17" s="44"/>
      <c r="H17" s="174"/>
      <c r="I17" s="174"/>
      <c r="J17" s="174"/>
      <c r="K17" s="178"/>
      <c r="L17" s="40">
        <f t="shared" si="0"/>
        <v>880</v>
      </c>
    </row>
    <row r="18" spans="1:12" ht="15.5" hidden="1">
      <c r="A18" s="23" t="s">
        <v>423</v>
      </c>
      <c r="B18" s="23" t="s">
        <v>424</v>
      </c>
      <c r="C18" s="24" t="s">
        <v>425</v>
      </c>
      <c r="D18" s="35">
        <v>880</v>
      </c>
      <c r="E18" s="42">
        <v>10</v>
      </c>
      <c r="F18" s="43"/>
      <c r="G18" s="44"/>
      <c r="H18" s="174"/>
      <c r="I18" s="174"/>
      <c r="J18" s="174"/>
      <c r="K18" s="178"/>
      <c r="L18" s="40">
        <f t="shared" si="0"/>
        <v>880</v>
      </c>
    </row>
    <row r="19" spans="1:12" ht="15.5" hidden="1">
      <c r="A19" s="23" t="s">
        <v>426</v>
      </c>
      <c r="B19" s="23" t="s">
        <v>427</v>
      </c>
      <c r="C19" s="24" t="s">
        <v>428</v>
      </c>
      <c r="D19" s="35">
        <v>880</v>
      </c>
      <c r="E19" s="42">
        <v>4</v>
      </c>
      <c r="F19" s="43"/>
      <c r="G19" s="44"/>
      <c r="H19" s="174"/>
      <c r="I19" s="174"/>
      <c r="J19" s="174"/>
      <c r="K19" s="178"/>
      <c r="L19" s="40">
        <f t="shared" si="0"/>
        <v>880</v>
      </c>
    </row>
    <row r="20" spans="1:12" ht="15.5">
      <c r="A20" s="23" t="s">
        <v>429</v>
      </c>
      <c r="B20" s="23" t="s">
        <v>430</v>
      </c>
      <c r="C20" s="24" t="s">
        <v>431</v>
      </c>
      <c r="D20" s="35">
        <v>1100</v>
      </c>
      <c r="E20" s="42"/>
      <c r="F20" s="43">
        <v>35</v>
      </c>
      <c r="G20" s="44"/>
      <c r="H20" s="174">
        <v>5</v>
      </c>
      <c r="I20" s="174"/>
      <c r="J20" s="174">
        <v>5</v>
      </c>
      <c r="K20" s="177">
        <v>0.1</v>
      </c>
      <c r="L20" s="40">
        <f t="shared" si="0"/>
        <v>990</v>
      </c>
    </row>
    <row r="21" spans="1:12" ht="15.5">
      <c r="A21" s="23" t="s">
        <v>432</v>
      </c>
      <c r="B21" s="23" t="s">
        <v>433</v>
      </c>
      <c r="C21" s="24" t="s">
        <v>434</v>
      </c>
      <c r="D21" s="35">
        <v>1100</v>
      </c>
      <c r="E21" s="42"/>
      <c r="F21" s="43">
        <v>70</v>
      </c>
      <c r="G21" s="44"/>
      <c r="H21" s="174">
        <v>5</v>
      </c>
      <c r="I21" s="174"/>
      <c r="J21" s="174">
        <v>5</v>
      </c>
      <c r="K21" s="177">
        <v>0.1</v>
      </c>
      <c r="L21" s="40">
        <f t="shared" si="0"/>
        <v>990</v>
      </c>
    </row>
    <row r="22" spans="1:12" ht="15.5">
      <c r="A22" s="23" t="s">
        <v>435</v>
      </c>
      <c r="B22" s="23" t="s">
        <v>436</v>
      </c>
      <c r="C22" s="24" t="s">
        <v>437</v>
      </c>
      <c r="D22" s="35">
        <v>1100</v>
      </c>
      <c r="E22" s="42"/>
      <c r="F22" s="43">
        <v>55</v>
      </c>
      <c r="G22" s="44"/>
      <c r="H22" s="174">
        <v>5</v>
      </c>
      <c r="I22" s="174"/>
      <c r="J22" s="174">
        <v>5</v>
      </c>
      <c r="K22" s="177">
        <v>0.1</v>
      </c>
      <c r="L22" s="40">
        <f t="shared" si="0"/>
        <v>990</v>
      </c>
    </row>
    <row r="23" spans="1:12" ht="15.5">
      <c r="A23" s="23" t="s">
        <v>438</v>
      </c>
      <c r="B23" s="23" t="s">
        <v>439</v>
      </c>
      <c r="C23" s="24" t="s">
        <v>440</v>
      </c>
      <c r="D23" s="35">
        <v>1100</v>
      </c>
      <c r="E23" s="42"/>
      <c r="F23" s="43">
        <v>60</v>
      </c>
      <c r="G23" s="44"/>
      <c r="H23" s="174">
        <v>5</v>
      </c>
      <c r="I23" s="174">
        <v>5</v>
      </c>
      <c r="J23" s="174">
        <v>5</v>
      </c>
      <c r="K23" s="177">
        <v>0.1</v>
      </c>
      <c r="L23" s="40">
        <f t="shared" si="0"/>
        <v>990</v>
      </c>
    </row>
    <row r="24" spans="1:12" ht="15.5">
      <c r="A24" s="23" t="s">
        <v>441</v>
      </c>
      <c r="B24" s="23" t="s">
        <v>442</v>
      </c>
      <c r="C24" s="24" t="s">
        <v>443</v>
      </c>
      <c r="D24" s="35">
        <v>1100</v>
      </c>
      <c r="E24" s="42">
        <v>11</v>
      </c>
      <c r="F24" s="43">
        <v>130</v>
      </c>
      <c r="G24" s="44"/>
      <c r="H24" s="174">
        <v>5</v>
      </c>
      <c r="I24" s="174">
        <v>5</v>
      </c>
      <c r="J24" s="174">
        <v>5</v>
      </c>
      <c r="K24" s="177">
        <v>0.1</v>
      </c>
      <c r="L24" s="40">
        <f t="shared" si="0"/>
        <v>990</v>
      </c>
    </row>
    <row r="25" spans="1:12" ht="15.5">
      <c r="A25" s="23" t="s">
        <v>444</v>
      </c>
      <c r="B25" s="23" t="s">
        <v>445</v>
      </c>
      <c r="C25" s="24" t="s">
        <v>446</v>
      </c>
      <c r="D25" s="35">
        <v>1100</v>
      </c>
      <c r="E25" s="42">
        <v>17</v>
      </c>
      <c r="F25" s="43">
        <v>80</v>
      </c>
      <c r="G25" s="44"/>
      <c r="H25" s="174">
        <v>5</v>
      </c>
      <c r="I25" s="174">
        <v>5</v>
      </c>
      <c r="J25" s="174">
        <v>5</v>
      </c>
      <c r="K25" s="177">
        <v>0.1</v>
      </c>
      <c r="L25" s="40">
        <f t="shared" si="0"/>
        <v>990</v>
      </c>
    </row>
    <row r="26" spans="1:12" ht="15.5">
      <c r="A26" s="23" t="s">
        <v>447</v>
      </c>
      <c r="B26" s="23" t="s">
        <v>448</v>
      </c>
      <c r="C26" s="24" t="s">
        <v>449</v>
      </c>
      <c r="D26" s="35">
        <v>1100</v>
      </c>
      <c r="E26" s="42">
        <v>4</v>
      </c>
      <c r="F26" s="43">
        <v>10</v>
      </c>
      <c r="G26" s="44"/>
      <c r="H26" s="174">
        <v>5</v>
      </c>
      <c r="I26" s="174">
        <v>5</v>
      </c>
      <c r="J26" s="174">
        <v>5</v>
      </c>
      <c r="K26" s="177">
        <v>0.1</v>
      </c>
      <c r="L26" s="40">
        <f t="shared" si="0"/>
        <v>990</v>
      </c>
    </row>
    <row r="27" spans="1:12" ht="15.5">
      <c r="A27" s="23" t="s">
        <v>450</v>
      </c>
      <c r="B27" s="23" t="s">
        <v>451</v>
      </c>
      <c r="C27" s="24" t="s">
        <v>452</v>
      </c>
      <c r="D27" s="35">
        <v>1100</v>
      </c>
      <c r="E27" s="42">
        <v>7</v>
      </c>
      <c r="F27" s="43">
        <v>35</v>
      </c>
      <c r="G27" s="44"/>
      <c r="H27" s="174">
        <v>5</v>
      </c>
      <c r="I27" s="174">
        <v>5</v>
      </c>
      <c r="J27" s="174">
        <v>5</v>
      </c>
      <c r="K27" s="177">
        <v>0.1</v>
      </c>
      <c r="L27" s="40">
        <f t="shared" si="0"/>
        <v>990</v>
      </c>
    </row>
    <row r="28" spans="1:12" ht="15.5">
      <c r="A28" s="23" t="s">
        <v>453</v>
      </c>
      <c r="B28" s="23" t="s">
        <v>454</v>
      </c>
      <c r="C28" s="24" t="s">
        <v>455</v>
      </c>
      <c r="D28" s="35">
        <v>1100</v>
      </c>
      <c r="E28" s="42">
        <v>18</v>
      </c>
      <c r="F28" s="43">
        <v>25</v>
      </c>
      <c r="G28" s="44"/>
      <c r="H28" s="174">
        <v>5</v>
      </c>
      <c r="I28" s="174">
        <v>5</v>
      </c>
      <c r="J28" s="174">
        <v>5</v>
      </c>
      <c r="K28" s="177">
        <v>0.1</v>
      </c>
      <c r="L28" s="40">
        <f t="shared" si="0"/>
        <v>990</v>
      </c>
    </row>
    <row r="29" spans="1:12" ht="15.5">
      <c r="A29" s="23" t="s">
        <v>456</v>
      </c>
      <c r="B29" s="23" t="s">
        <v>457</v>
      </c>
      <c r="C29" s="24" t="s">
        <v>458</v>
      </c>
      <c r="D29" s="35">
        <v>1280</v>
      </c>
      <c r="E29" s="42">
        <v>7</v>
      </c>
      <c r="F29" s="43">
        <v>20</v>
      </c>
      <c r="G29" s="44"/>
      <c r="H29" s="174">
        <v>5</v>
      </c>
      <c r="I29" s="174">
        <v>5</v>
      </c>
      <c r="J29" s="174">
        <v>5</v>
      </c>
      <c r="K29" s="177">
        <v>0.1</v>
      </c>
      <c r="L29" s="40">
        <f t="shared" si="0"/>
        <v>1152</v>
      </c>
    </row>
    <row r="30" spans="1:12" ht="15.5">
      <c r="A30" s="23" t="s">
        <v>459</v>
      </c>
      <c r="B30" s="23" t="s">
        <v>460</v>
      </c>
      <c r="C30" s="24" t="s">
        <v>461</v>
      </c>
      <c r="D30" s="35">
        <v>1280</v>
      </c>
      <c r="E30" s="42">
        <v>3</v>
      </c>
      <c r="F30" s="43">
        <v>40</v>
      </c>
      <c r="G30" s="44"/>
      <c r="H30" s="174">
        <v>5</v>
      </c>
      <c r="I30" s="174">
        <v>5</v>
      </c>
      <c r="J30" s="174">
        <v>5</v>
      </c>
      <c r="K30" s="177">
        <v>0.1</v>
      </c>
      <c r="L30" s="40">
        <f t="shared" si="0"/>
        <v>1152</v>
      </c>
    </row>
    <row r="31" spans="1:12" ht="15.5">
      <c r="A31" s="23" t="s">
        <v>462</v>
      </c>
      <c r="B31" s="23" t="s">
        <v>463</v>
      </c>
      <c r="C31" s="24" t="s">
        <v>464</v>
      </c>
      <c r="D31" s="35">
        <v>1280</v>
      </c>
      <c r="E31" s="42">
        <v>11</v>
      </c>
      <c r="F31" s="43">
        <v>40</v>
      </c>
      <c r="G31" s="44"/>
      <c r="H31" s="174">
        <v>5</v>
      </c>
      <c r="I31" s="174">
        <v>5</v>
      </c>
      <c r="J31" s="174">
        <v>5</v>
      </c>
      <c r="K31" s="177">
        <v>0.1</v>
      </c>
      <c r="L31" s="40">
        <f t="shared" si="0"/>
        <v>1152</v>
      </c>
    </row>
    <row r="32" spans="1:12" ht="15.5">
      <c r="A32" s="23" t="s">
        <v>465</v>
      </c>
      <c r="B32" s="23" t="s">
        <v>466</v>
      </c>
      <c r="C32" s="24" t="s">
        <v>467</v>
      </c>
      <c r="D32" s="35">
        <v>1280</v>
      </c>
      <c r="E32" s="42">
        <v>25</v>
      </c>
      <c r="F32" s="43"/>
      <c r="G32" s="44"/>
      <c r="H32" s="174">
        <v>5</v>
      </c>
      <c r="I32" s="174"/>
      <c r="J32" s="174">
        <v>5</v>
      </c>
      <c r="K32" s="177">
        <v>0.1</v>
      </c>
      <c r="L32" s="40">
        <f t="shared" si="0"/>
        <v>1152</v>
      </c>
    </row>
    <row r="33" spans="1:12" ht="15.5">
      <c r="A33" s="23" t="s">
        <v>468</v>
      </c>
      <c r="B33" s="23" t="s">
        <v>469</v>
      </c>
      <c r="C33" s="24" t="s">
        <v>470</v>
      </c>
      <c r="D33" s="35">
        <v>1280</v>
      </c>
      <c r="E33" s="42">
        <v>30</v>
      </c>
      <c r="F33" s="43"/>
      <c r="G33" s="44"/>
      <c r="H33" s="174">
        <v>5</v>
      </c>
      <c r="I33" s="174"/>
      <c r="J33" s="174">
        <v>5</v>
      </c>
      <c r="K33" s="177">
        <v>0.1</v>
      </c>
      <c r="L33" s="40">
        <f t="shared" si="0"/>
        <v>1152</v>
      </c>
    </row>
    <row r="34" spans="1:12" ht="15.5" hidden="1">
      <c r="A34" s="23" t="s">
        <v>471</v>
      </c>
      <c r="B34" s="23" t="s">
        <v>472</v>
      </c>
      <c r="C34" s="24" t="s">
        <v>473</v>
      </c>
      <c r="D34" s="35">
        <v>1280</v>
      </c>
      <c r="E34" s="42">
        <v>2</v>
      </c>
      <c r="F34" s="43"/>
      <c r="G34" s="44"/>
      <c r="H34" s="174"/>
      <c r="I34" s="174"/>
      <c r="J34" s="174"/>
      <c r="K34" s="177">
        <v>0.1</v>
      </c>
      <c r="L34" s="40">
        <f t="shared" si="0"/>
        <v>1152</v>
      </c>
    </row>
    <row r="35" spans="1:12" ht="15.5" hidden="1">
      <c r="A35" s="23" t="s">
        <v>474</v>
      </c>
      <c r="B35" s="23" t="s">
        <v>475</v>
      </c>
      <c r="C35" s="24" t="s">
        <v>476</v>
      </c>
      <c r="D35" s="35">
        <v>1280</v>
      </c>
      <c r="E35" s="42">
        <v>6</v>
      </c>
      <c r="F35" s="43"/>
      <c r="G35" s="44"/>
      <c r="H35" s="174"/>
      <c r="I35" s="174"/>
      <c r="J35" s="174"/>
      <c r="K35" s="177">
        <v>0.1</v>
      </c>
      <c r="L35" s="40">
        <f t="shared" si="0"/>
        <v>1152</v>
      </c>
    </row>
    <row r="36" spans="1:12" ht="15.5" hidden="1">
      <c r="A36" s="23" t="s">
        <v>477</v>
      </c>
      <c r="B36" s="23" t="s">
        <v>478</v>
      </c>
      <c r="C36" s="24" t="s">
        <v>479</v>
      </c>
      <c r="D36" s="35">
        <v>1280</v>
      </c>
      <c r="E36" s="42">
        <v>2</v>
      </c>
      <c r="F36" s="43"/>
      <c r="G36" s="44"/>
      <c r="H36" s="174"/>
      <c r="I36" s="174"/>
      <c r="J36" s="174"/>
      <c r="K36" s="177">
        <v>0.1</v>
      </c>
      <c r="L36" s="40">
        <f t="shared" si="0"/>
        <v>1152</v>
      </c>
    </row>
    <row r="37" spans="1:12" ht="15.5">
      <c r="A37" s="23" t="s">
        <v>480</v>
      </c>
      <c r="B37" s="23" t="s">
        <v>481</v>
      </c>
      <c r="C37" s="24" t="s">
        <v>482</v>
      </c>
      <c r="D37" s="35">
        <v>1280</v>
      </c>
      <c r="E37" s="42">
        <v>11</v>
      </c>
      <c r="F37" s="43"/>
      <c r="G37" s="44"/>
      <c r="H37" s="174">
        <v>5</v>
      </c>
      <c r="I37" s="174"/>
      <c r="J37" s="174">
        <v>5</v>
      </c>
      <c r="K37" s="177">
        <v>0.1</v>
      </c>
      <c r="L37" s="40">
        <f t="shared" si="0"/>
        <v>1152</v>
      </c>
    </row>
    <row r="38" spans="1:12" ht="15.5" hidden="1">
      <c r="A38" s="23" t="s">
        <v>483</v>
      </c>
      <c r="B38" s="23" t="s">
        <v>484</v>
      </c>
      <c r="C38" s="24" t="s">
        <v>485</v>
      </c>
      <c r="D38" s="35">
        <v>1280</v>
      </c>
      <c r="E38" s="42">
        <v>1</v>
      </c>
      <c r="F38" s="43"/>
      <c r="G38" s="44"/>
      <c r="H38" s="174"/>
      <c r="I38" s="174"/>
      <c r="J38" s="174"/>
      <c r="K38" s="177">
        <v>0.1</v>
      </c>
      <c r="L38" s="40">
        <f t="shared" si="0"/>
        <v>1152</v>
      </c>
    </row>
    <row r="39" spans="1:12" ht="15.5">
      <c r="A39" s="46" t="s">
        <v>486</v>
      </c>
      <c r="B39" s="46" t="s">
        <v>487</v>
      </c>
      <c r="C39" s="45" t="s">
        <v>488</v>
      </c>
      <c r="D39" s="35">
        <v>940</v>
      </c>
      <c r="E39" s="42"/>
      <c r="F39" s="43">
        <v>20</v>
      </c>
      <c r="G39" s="44"/>
      <c r="H39" s="174">
        <v>5</v>
      </c>
      <c r="I39" s="174">
        <v>5</v>
      </c>
      <c r="J39" s="174">
        <v>5</v>
      </c>
      <c r="K39" s="177">
        <v>0.1</v>
      </c>
      <c r="L39" s="40">
        <f t="shared" si="0"/>
        <v>846</v>
      </c>
    </row>
    <row r="40" spans="1:12" ht="15.5">
      <c r="A40" s="46" t="s">
        <v>489</v>
      </c>
      <c r="B40" s="46" t="s">
        <v>490</v>
      </c>
      <c r="C40" s="45" t="s">
        <v>491</v>
      </c>
      <c r="D40" s="35">
        <v>940</v>
      </c>
      <c r="E40" s="42"/>
      <c r="F40" s="43">
        <v>36</v>
      </c>
      <c r="G40" s="44"/>
      <c r="H40" s="174">
        <v>5</v>
      </c>
      <c r="I40" s="174">
        <v>5</v>
      </c>
      <c r="J40" s="174">
        <v>5</v>
      </c>
      <c r="K40" s="177">
        <v>0.1</v>
      </c>
      <c r="L40" s="40">
        <f t="shared" si="0"/>
        <v>846</v>
      </c>
    </row>
    <row r="41" spans="1:12" ht="15.5">
      <c r="A41" s="46" t="s">
        <v>492</v>
      </c>
      <c r="B41" s="46" t="s">
        <v>493</v>
      </c>
      <c r="C41" s="45" t="s">
        <v>494</v>
      </c>
      <c r="D41" s="35">
        <v>940</v>
      </c>
      <c r="E41" s="42"/>
      <c r="F41" s="43">
        <v>24</v>
      </c>
      <c r="G41" s="44"/>
      <c r="H41" s="174">
        <v>5</v>
      </c>
      <c r="I41" s="174">
        <v>5</v>
      </c>
      <c r="J41" s="174">
        <v>5</v>
      </c>
      <c r="K41" s="177">
        <v>0.1</v>
      </c>
      <c r="L41" s="40">
        <f t="shared" si="0"/>
        <v>846</v>
      </c>
    </row>
    <row r="42" spans="1:12" ht="15.5">
      <c r="A42" s="46" t="s">
        <v>495</v>
      </c>
      <c r="B42" s="46" t="s">
        <v>496</v>
      </c>
      <c r="C42" s="45" t="s">
        <v>497</v>
      </c>
      <c r="D42" s="35">
        <v>940</v>
      </c>
      <c r="E42" s="42"/>
      <c r="F42" s="43">
        <v>24</v>
      </c>
      <c r="G42" s="44"/>
      <c r="H42" s="174">
        <v>5</v>
      </c>
      <c r="I42" s="174">
        <v>5</v>
      </c>
      <c r="J42" s="174">
        <v>5</v>
      </c>
      <c r="K42" s="177">
        <v>0.1</v>
      </c>
      <c r="L42" s="40">
        <f t="shared" si="0"/>
        <v>846</v>
      </c>
    </row>
    <row r="43" spans="1:12" ht="15.5">
      <c r="A43" s="46" t="s">
        <v>498</v>
      </c>
      <c r="B43" s="46" t="s">
        <v>499</v>
      </c>
      <c r="C43" s="45" t="s">
        <v>500</v>
      </c>
      <c r="D43" s="35">
        <v>940</v>
      </c>
      <c r="E43" s="42"/>
      <c r="F43" s="43">
        <v>46</v>
      </c>
      <c r="G43" s="44"/>
      <c r="H43" s="174">
        <v>5</v>
      </c>
      <c r="I43" s="174">
        <v>5</v>
      </c>
      <c r="J43" s="174">
        <v>5</v>
      </c>
      <c r="K43" s="177">
        <v>0.1</v>
      </c>
      <c r="L43" s="40">
        <f t="shared" si="0"/>
        <v>846</v>
      </c>
    </row>
    <row r="44" spans="1:12" ht="15.5">
      <c r="A44" s="46" t="s">
        <v>501</v>
      </c>
      <c r="B44" s="46" t="s">
        <v>502</v>
      </c>
      <c r="C44" s="45" t="s">
        <v>503</v>
      </c>
      <c r="D44" s="35">
        <v>940</v>
      </c>
      <c r="E44" s="42"/>
      <c r="F44" s="43">
        <v>30</v>
      </c>
      <c r="G44" s="44"/>
      <c r="H44" s="174">
        <v>5</v>
      </c>
      <c r="I44" s="174">
        <v>5</v>
      </c>
      <c r="J44" s="174">
        <v>5</v>
      </c>
      <c r="K44" s="177">
        <v>0.1</v>
      </c>
      <c r="L44" s="40">
        <f t="shared" si="0"/>
        <v>846</v>
      </c>
    </row>
    <row r="45" spans="1:12" ht="15.5">
      <c r="A45" s="46" t="s">
        <v>504</v>
      </c>
      <c r="B45" s="46" t="s">
        <v>505</v>
      </c>
      <c r="C45" s="45" t="s">
        <v>506</v>
      </c>
      <c r="D45" s="47">
        <v>940</v>
      </c>
      <c r="E45" s="42"/>
      <c r="F45" s="43">
        <v>15</v>
      </c>
      <c r="G45" s="44"/>
      <c r="H45" s="174">
        <v>3</v>
      </c>
      <c r="I45" s="174">
        <v>3</v>
      </c>
      <c r="J45" s="174">
        <v>3</v>
      </c>
      <c r="K45" s="177">
        <v>0.1</v>
      </c>
      <c r="L45" s="40">
        <f t="shared" si="0"/>
        <v>846</v>
      </c>
    </row>
    <row r="46" spans="1:12" ht="15.5">
      <c r="A46" s="46" t="s">
        <v>507</v>
      </c>
      <c r="B46" s="46" t="s">
        <v>508</v>
      </c>
      <c r="C46" s="45" t="s">
        <v>509</v>
      </c>
      <c r="D46" s="47">
        <v>940</v>
      </c>
      <c r="E46" s="42"/>
      <c r="F46" s="43">
        <v>25</v>
      </c>
      <c r="G46" s="44"/>
      <c r="H46" s="174">
        <v>3</v>
      </c>
      <c r="I46" s="174">
        <v>3</v>
      </c>
      <c r="J46" s="174">
        <v>3</v>
      </c>
      <c r="K46" s="177">
        <v>0.1</v>
      </c>
      <c r="L46" s="40">
        <f t="shared" si="0"/>
        <v>846</v>
      </c>
    </row>
    <row r="47" spans="1:12" ht="15.5">
      <c r="A47" s="46" t="s">
        <v>510</v>
      </c>
      <c r="B47" s="46" t="s">
        <v>511</v>
      </c>
      <c r="C47" s="45" t="s">
        <v>512</v>
      </c>
      <c r="D47" s="47">
        <v>940</v>
      </c>
      <c r="E47" s="42"/>
      <c r="F47" s="43">
        <v>20</v>
      </c>
      <c r="G47" s="44"/>
      <c r="H47" s="174">
        <v>3</v>
      </c>
      <c r="I47" s="174">
        <v>3</v>
      </c>
      <c r="J47" s="174">
        <v>3</v>
      </c>
      <c r="K47" s="177">
        <v>0.1</v>
      </c>
      <c r="L47" s="40">
        <f t="shared" si="0"/>
        <v>846</v>
      </c>
    </row>
    <row r="48" spans="1:12" ht="15.5">
      <c r="A48" s="46" t="s">
        <v>513</v>
      </c>
      <c r="B48" s="46" t="s">
        <v>514</v>
      </c>
      <c r="C48" s="45" t="s">
        <v>515</v>
      </c>
      <c r="D48" s="47">
        <v>1400</v>
      </c>
      <c r="E48" s="42"/>
      <c r="F48" s="43">
        <v>15</v>
      </c>
      <c r="G48" s="44"/>
      <c r="H48" s="174">
        <v>3</v>
      </c>
      <c r="I48" s="174">
        <v>3</v>
      </c>
      <c r="J48" s="174">
        <v>3</v>
      </c>
      <c r="K48" s="177">
        <v>0.1</v>
      </c>
      <c r="L48" s="40">
        <f t="shared" si="0"/>
        <v>1260</v>
      </c>
    </row>
    <row r="49" spans="1:12" ht="15.5">
      <c r="A49" s="46" t="s">
        <v>516</v>
      </c>
      <c r="B49" s="46" t="s">
        <v>517</v>
      </c>
      <c r="C49" s="45" t="s">
        <v>518</v>
      </c>
      <c r="D49" s="47">
        <v>1400</v>
      </c>
      <c r="E49" s="42"/>
      <c r="F49" s="43">
        <v>25</v>
      </c>
      <c r="G49" s="44"/>
      <c r="H49" s="174">
        <v>3</v>
      </c>
      <c r="I49" s="174">
        <v>3</v>
      </c>
      <c r="J49" s="174">
        <v>3</v>
      </c>
      <c r="K49" s="177">
        <v>0.1</v>
      </c>
      <c r="L49" s="40">
        <f t="shared" si="0"/>
        <v>1260</v>
      </c>
    </row>
    <row r="50" spans="1:12" ht="15.5">
      <c r="A50" s="46" t="s">
        <v>519</v>
      </c>
      <c r="B50" s="46" t="s">
        <v>520</v>
      </c>
      <c r="C50" s="45" t="s">
        <v>521</v>
      </c>
      <c r="D50" s="47">
        <v>1400</v>
      </c>
      <c r="E50" s="42"/>
      <c r="F50" s="43">
        <v>25</v>
      </c>
      <c r="G50" s="44"/>
      <c r="H50" s="174">
        <v>3</v>
      </c>
      <c r="I50" s="174">
        <v>3</v>
      </c>
      <c r="J50" s="174">
        <v>3</v>
      </c>
      <c r="K50" s="177">
        <v>0.1</v>
      </c>
      <c r="L50" s="40">
        <f t="shared" si="0"/>
        <v>1260</v>
      </c>
    </row>
    <row r="51" spans="1:12" ht="15.5">
      <c r="A51" s="46" t="s">
        <v>522</v>
      </c>
      <c r="B51" s="46" t="s">
        <v>523</v>
      </c>
      <c r="C51" s="45" t="s">
        <v>524</v>
      </c>
      <c r="D51" s="47">
        <v>660</v>
      </c>
      <c r="E51" s="42"/>
      <c r="F51" s="43">
        <v>30</v>
      </c>
      <c r="G51" s="44"/>
      <c r="H51" s="174">
        <v>5</v>
      </c>
      <c r="I51" s="174">
        <v>5</v>
      </c>
      <c r="J51" s="174">
        <v>5</v>
      </c>
      <c r="K51" s="177">
        <v>0.1</v>
      </c>
      <c r="L51" s="40">
        <f t="shared" si="0"/>
        <v>594</v>
      </c>
    </row>
    <row r="52" spans="1:12" ht="15.5">
      <c r="A52" s="46" t="s">
        <v>525</v>
      </c>
      <c r="B52" s="46" t="s">
        <v>526</v>
      </c>
      <c r="C52" s="45" t="s">
        <v>527</v>
      </c>
      <c r="D52" s="47">
        <v>660</v>
      </c>
      <c r="E52" s="42"/>
      <c r="F52" s="43">
        <v>70</v>
      </c>
      <c r="G52" s="44"/>
      <c r="H52" s="174">
        <v>5</v>
      </c>
      <c r="I52" s="174">
        <v>5</v>
      </c>
      <c r="J52" s="174">
        <v>5</v>
      </c>
      <c r="K52" s="177">
        <v>0.1</v>
      </c>
      <c r="L52" s="40">
        <f t="shared" si="0"/>
        <v>594</v>
      </c>
    </row>
    <row r="53" spans="1:12" ht="15.5">
      <c r="A53" s="46" t="s">
        <v>528</v>
      </c>
      <c r="B53" s="46" t="s">
        <v>529</v>
      </c>
      <c r="C53" s="45" t="s">
        <v>530</v>
      </c>
      <c r="D53" s="47">
        <v>660</v>
      </c>
      <c r="E53" s="42"/>
      <c r="F53" s="43">
        <v>50</v>
      </c>
      <c r="G53" s="44"/>
      <c r="H53" s="174">
        <v>5</v>
      </c>
      <c r="I53" s="174">
        <v>5</v>
      </c>
      <c r="J53" s="174">
        <v>5</v>
      </c>
      <c r="K53" s="177">
        <v>0.1</v>
      </c>
      <c r="L53" s="40">
        <f t="shared" si="0"/>
        <v>594</v>
      </c>
    </row>
    <row r="54" spans="1:12" ht="15.5">
      <c r="A54" s="46" t="s">
        <v>531</v>
      </c>
      <c r="B54" s="46" t="s">
        <v>532</v>
      </c>
      <c r="C54" s="45" t="s">
        <v>533</v>
      </c>
      <c r="D54" s="47">
        <v>660</v>
      </c>
      <c r="E54" s="42"/>
      <c r="F54" s="43">
        <v>24</v>
      </c>
      <c r="G54" s="44"/>
      <c r="H54" s="174">
        <v>5</v>
      </c>
      <c r="I54" s="174">
        <v>5</v>
      </c>
      <c r="J54" s="174">
        <v>5</v>
      </c>
      <c r="K54" s="177">
        <v>0.1</v>
      </c>
      <c r="L54" s="40">
        <f t="shared" si="0"/>
        <v>594</v>
      </c>
    </row>
    <row r="55" spans="1:12" ht="15.5">
      <c r="A55" s="46" t="s">
        <v>534</v>
      </c>
      <c r="B55" s="46" t="s">
        <v>535</v>
      </c>
      <c r="C55" s="45" t="s">
        <v>536</v>
      </c>
      <c r="D55" s="47">
        <v>660</v>
      </c>
      <c r="E55" s="42"/>
      <c r="F55" s="43">
        <v>54</v>
      </c>
      <c r="G55" s="44"/>
      <c r="H55" s="174">
        <v>5</v>
      </c>
      <c r="I55" s="174">
        <v>5</v>
      </c>
      <c r="J55" s="174">
        <v>5</v>
      </c>
      <c r="K55" s="177">
        <v>0.1</v>
      </c>
      <c r="L55" s="40">
        <f t="shared" si="0"/>
        <v>594</v>
      </c>
    </row>
    <row r="56" spans="1:12" ht="15.5">
      <c r="A56" s="46" t="s">
        <v>537</v>
      </c>
      <c r="B56" s="46" t="s">
        <v>538</v>
      </c>
      <c r="C56" s="45" t="s">
        <v>539</v>
      </c>
      <c r="D56" s="47">
        <v>660</v>
      </c>
      <c r="E56" s="42"/>
      <c r="F56" s="43">
        <v>42</v>
      </c>
      <c r="G56" s="44"/>
      <c r="H56" s="174">
        <v>5</v>
      </c>
      <c r="I56" s="174">
        <v>5</v>
      </c>
      <c r="J56" s="174">
        <v>5</v>
      </c>
      <c r="K56" s="177">
        <v>0.1</v>
      </c>
      <c r="L56" s="40">
        <f t="shared" si="0"/>
        <v>594</v>
      </c>
    </row>
    <row r="57" spans="1:12" ht="15.5">
      <c r="A57" s="46" t="s">
        <v>540</v>
      </c>
      <c r="B57" s="46" t="s">
        <v>541</v>
      </c>
      <c r="C57" s="45" t="s">
        <v>542</v>
      </c>
      <c r="D57" s="47">
        <v>660</v>
      </c>
      <c r="E57" s="42"/>
      <c r="F57" s="43">
        <v>24</v>
      </c>
      <c r="G57" s="44"/>
      <c r="H57" s="174">
        <v>5</v>
      </c>
      <c r="I57" s="174">
        <v>5</v>
      </c>
      <c r="J57" s="174">
        <v>5</v>
      </c>
      <c r="K57" s="177">
        <v>0.1</v>
      </c>
      <c r="L57" s="40">
        <f t="shared" si="0"/>
        <v>594</v>
      </c>
    </row>
    <row r="58" spans="1:12" ht="15.5">
      <c r="A58" s="46" t="s">
        <v>543</v>
      </c>
      <c r="B58" s="46" t="s">
        <v>544</v>
      </c>
      <c r="C58" s="45" t="s">
        <v>545</v>
      </c>
      <c r="D58" s="47">
        <v>660</v>
      </c>
      <c r="E58" s="42"/>
      <c r="F58" s="43">
        <v>54</v>
      </c>
      <c r="G58" s="44"/>
      <c r="H58" s="174">
        <v>5</v>
      </c>
      <c r="I58" s="174">
        <v>5</v>
      </c>
      <c r="J58" s="174">
        <v>5</v>
      </c>
      <c r="K58" s="177">
        <v>0.1</v>
      </c>
      <c r="L58" s="40">
        <f t="shared" si="0"/>
        <v>594</v>
      </c>
    </row>
    <row r="59" spans="1:12" ht="15.5">
      <c r="A59" s="46" t="s">
        <v>546</v>
      </c>
      <c r="B59" s="46" t="s">
        <v>547</v>
      </c>
      <c r="C59" s="45" t="s">
        <v>548</v>
      </c>
      <c r="D59" s="47">
        <v>660</v>
      </c>
      <c r="E59" s="42"/>
      <c r="F59" s="43">
        <v>42</v>
      </c>
      <c r="G59" s="44"/>
      <c r="H59" s="174">
        <v>5</v>
      </c>
      <c r="I59" s="174">
        <v>5</v>
      </c>
      <c r="J59" s="174">
        <v>5</v>
      </c>
      <c r="K59" s="177">
        <v>0.1</v>
      </c>
      <c r="L59" s="40">
        <f t="shared" si="0"/>
        <v>594</v>
      </c>
    </row>
    <row r="60" spans="1:12" ht="15.5">
      <c r="A60" s="46" t="s">
        <v>549</v>
      </c>
      <c r="B60" s="46" t="s">
        <v>550</v>
      </c>
      <c r="C60" s="45" t="s">
        <v>551</v>
      </c>
      <c r="D60" s="47">
        <v>660</v>
      </c>
      <c r="E60" s="42"/>
      <c r="F60" s="43">
        <v>24</v>
      </c>
      <c r="G60" s="44"/>
      <c r="H60" s="174">
        <v>5</v>
      </c>
      <c r="I60" s="174">
        <v>5</v>
      </c>
      <c r="J60" s="174">
        <v>5</v>
      </c>
      <c r="K60" s="177">
        <v>0.1</v>
      </c>
      <c r="L60" s="40">
        <f t="shared" si="0"/>
        <v>594</v>
      </c>
    </row>
    <row r="61" spans="1:12" ht="15.5">
      <c r="A61" s="46" t="s">
        <v>552</v>
      </c>
      <c r="B61" s="46" t="s">
        <v>553</v>
      </c>
      <c r="C61" s="45" t="s">
        <v>554</v>
      </c>
      <c r="D61" s="47">
        <v>660</v>
      </c>
      <c r="E61" s="42"/>
      <c r="F61" s="43">
        <v>54</v>
      </c>
      <c r="G61" s="44"/>
      <c r="H61" s="174">
        <v>5</v>
      </c>
      <c r="I61" s="174">
        <v>5</v>
      </c>
      <c r="J61" s="174">
        <v>5</v>
      </c>
      <c r="K61" s="177">
        <v>0.1</v>
      </c>
      <c r="L61" s="40">
        <f t="shared" si="0"/>
        <v>594</v>
      </c>
    </row>
    <row r="62" spans="1:12" ht="15.5">
      <c r="A62" s="46" t="s">
        <v>555</v>
      </c>
      <c r="B62" s="46" t="s">
        <v>556</v>
      </c>
      <c r="C62" s="45" t="s">
        <v>557</v>
      </c>
      <c r="D62" s="47">
        <v>660</v>
      </c>
      <c r="E62" s="42"/>
      <c r="F62" s="43">
        <v>42</v>
      </c>
      <c r="G62" s="44"/>
      <c r="H62" s="174">
        <v>5</v>
      </c>
      <c r="I62" s="174">
        <v>5</v>
      </c>
      <c r="J62" s="174">
        <v>5</v>
      </c>
      <c r="K62" s="177">
        <v>0.1</v>
      </c>
      <c r="L62" s="40">
        <f t="shared" si="0"/>
        <v>594</v>
      </c>
    </row>
    <row r="63" spans="1:12" ht="15.5">
      <c r="A63" s="46" t="s">
        <v>558</v>
      </c>
      <c r="B63" s="46" t="s">
        <v>559</v>
      </c>
      <c r="C63" s="45" t="s">
        <v>560</v>
      </c>
      <c r="D63" s="47">
        <v>940</v>
      </c>
      <c r="E63" s="42"/>
      <c r="F63" s="43">
        <v>20</v>
      </c>
      <c r="G63" s="44"/>
      <c r="H63" s="174">
        <v>5</v>
      </c>
      <c r="I63" s="174">
        <v>5</v>
      </c>
      <c r="J63" s="174">
        <v>5</v>
      </c>
      <c r="K63" s="177">
        <v>0.1</v>
      </c>
      <c r="L63" s="40">
        <f t="shared" si="0"/>
        <v>846</v>
      </c>
    </row>
    <row r="64" spans="1:12" ht="15.5">
      <c r="A64" s="46" t="s">
        <v>561</v>
      </c>
      <c r="B64" s="46" t="s">
        <v>562</v>
      </c>
      <c r="C64" s="45" t="s">
        <v>563</v>
      </c>
      <c r="D64" s="47">
        <v>940</v>
      </c>
      <c r="E64" s="42"/>
      <c r="F64" s="43">
        <v>40</v>
      </c>
      <c r="G64" s="44"/>
      <c r="H64" s="174">
        <v>5</v>
      </c>
      <c r="I64" s="174">
        <v>5</v>
      </c>
      <c r="J64" s="174">
        <v>5</v>
      </c>
      <c r="K64" s="177">
        <v>0.1</v>
      </c>
      <c r="L64" s="40">
        <f t="shared" si="0"/>
        <v>846</v>
      </c>
    </row>
    <row r="65" spans="1:12" ht="15.5">
      <c r="A65" s="46" t="s">
        <v>564</v>
      </c>
      <c r="B65" s="46" t="s">
        <v>565</v>
      </c>
      <c r="C65" s="45" t="s">
        <v>566</v>
      </c>
      <c r="D65" s="47">
        <v>940</v>
      </c>
      <c r="E65" s="42"/>
      <c r="F65" s="43">
        <v>30</v>
      </c>
      <c r="G65" s="44"/>
      <c r="H65" s="174">
        <v>5</v>
      </c>
      <c r="I65" s="174">
        <v>5</v>
      </c>
      <c r="J65" s="174">
        <v>5</v>
      </c>
      <c r="K65" s="177">
        <v>0.1</v>
      </c>
      <c r="L65" s="40">
        <f t="shared" si="0"/>
        <v>846</v>
      </c>
    </row>
    <row r="66" spans="1:12" ht="15.5">
      <c r="A66" s="48" t="s">
        <v>567</v>
      </c>
      <c r="B66" s="48" t="s">
        <v>568</v>
      </c>
      <c r="C66" s="49" t="s">
        <v>569</v>
      </c>
      <c r="D66" s="50">
        <v>900</v>
      </c>
      <c r="E66" s="51">
        <v>4</v>
      </c>
      <c r="F66" s="52">
        <v>50</v>
      </c>
      <c r="G66" s="53"/>
      <c r="H66" s="174">
        <v>5</v>
      </c>
      <c r="I66" s="174">
        <v>3</v>
      </c>
      <c r="J66" s="174">
        <v>5</v>
      </c>
      <c r="K66" s="54">
        <v>0.1</v>
      </c>
      <c r="L66" s="40">
        <f t="shared" si="0"/>
        <v>810</v>
      </c>
    </row>
    <row r="67" spans="1:12" ht="15.5">
      <c r="A67" s="23" t="s">
        <v>570</v>
      </c>
      <c r="B67" s="23" t="s">
        <v>571</v>
      </c>
      <c r="C67" s="24" t="s">
        <v>572</v>
      </c>
      <c r="D67" s="35">
        <v>900</v>
      </c>
      <c r="E67" s="42">
        <v>5</v>
      </c>
      <c r="F67" s="43">
        <v>50</v>
      </c>
      <c r="G67" s="44"/>
      <c r="H67" s="174">
        <v>5</v>
      </c>
      <c r="I67" s="174">
        <v>3</v>
      </c>
      <c r="J67" s="174">
        <v>5</v>
      </c>
      <c r="K67" s="54">
        <v>0.1</v>
      </c>
      <c r="L67" s="40">
        <f t="shared" ref="L67:L79" si="1">D67-(K67*D67)</f>
        <v>810</v>
      </c>
    </row>
    <row r="68" spans="1:12" ht="15.5">
      <c r="A68" s="23" t="s">
        <v>573</v>
      </c>
      <c r="B68" s="23" t="s">
        <v>574</v>
      </c>
      <c r="C68" s="24" t="s">
        <v>575</v>
      </c>
      <c r="D68" s="35">
        <v>900</v>
      </c>
      <c r="E68" s="42"/>
      <c r="F68" s="43">
        <v>40</v>
      </c>
      <c r="G68" s="44"/>
      <c r="H68" s="174">
        <v>5</v>
      </c>
      <c r="I68" s="174">
        <v>3</v>
      </c>
      <c r="J68" s="174">
        <v>5</v>
      </c>
      <c r="K68" s="54">
        <v>0.1</v>
      </c>
      <c r="L68" s="40">
        <f t="shared" si="1"/>
        <v>810</v>
      </c>
    </row>
    <row r="69" spans="1:12" ht="15.5">
      <c r="A69" s="23" t="s">
        <v>576</v>
      </c>
      <c r="B69" s="23" t="s">
        <v>577</v>
      </c>
      <c r="C69" s="24" t="s">
        <v>578</v>
      </c>
      <c r="D69" s="35">
        <v>900</v>
      </c>
      <c r="E69" s="42"/>
      <c r="F69" s="43">
        <v>40</v>
      </c>
      <c r="G69" s="44"/>
      <c r="H69" s="174">
        <v>5</v>
      </c>
      <c r="I69" s="174">
        <v>3</v>
      </c>
      <c r="J69" s="174">
        <v>5</v>
      </c>
      <c r="K69" s="54">
        <v>0.1</v>
      </c>
      <c r="L69" s="40">
        <f t="shared" si="1"/>
        <v>810</v>
      </c>
    </row>
    <row r="70" spans="1:12" ht="15.5">
      <c r="A70" s="23" t="s">
        <v>579</v>
      </c>
      <c r="B70" s="23" t="s">
        <v>580</v>
      </c>
      <c r="C70" s="24" t="s">
        <v>581</v>
      </c>
      <c r="D70" s="35">
        <v>800</v>
      </c>
      <c r="E70" s="42">
        <v>5</v>
      </c>
      <c r="F70" s="43">
        <v>40</v>
      </c>
      <c r="G70" s="44"/>
      <c r="H70" s="174">
        <v>5</v>
      </c>
      <c r="I70" s="174">
        <v>3</v>
      </c>
      <c r="J70" s="174">
        <v>5</v>
      </c>
      <c r="K70" s="54">
        <v>0.1</v>
      </c>
      <c r="L70" s="40">
        <f t="shared" si="1"/>
        <v>720</v>
      </c>
    </row>
    <row r="71" spans="1:12" ht="15.5">
      <c r="A71" s="23" t="s">
        <v>582</v>
      </c>
      <c r="B71" s="23" t="s">
        <v>583</v>
      </c>
      <c r="C71" s="24" t="s">
        <v>584</v>
      </c>
      <c r="D71" s="35">
        <v>800</v>
      </c>
      <c r="E71" s="42">
        <v>3</v>
      </c>
      <c r="F71" s="43">
        <v>40</v>
      </c>
      <c r="G71" s="44"/>
      <c r="H71" s="174">
        <v>5</v>
      </c>
      <c r="I71" s="174">
        <v>3</v>
      </c>
      <c r="J71" s="174">
        <v>5</v>
      </c>
      <c r="K71" s="54">
        <v>0.1</v>
      </c>
      <c r="L71" s="40">
        <f t="shared" si="1"/>
        <v>720</v>
      </c>
    </row>
    <row r="72" spans="1:12" ht="15.5">
      <c r="A72" s="23" t="s">
        <v>585</v>
      </c>
      <c r="B72" s="23" t="s">
        <v>586</v>
      </c>
      <c r="C72" s="24" t="s">
        <v>587</v>
      </c>
      <c r="D72" s="35">
        <v>800</v>
      </c>
      <c r="E72" s="42">
        <v>10</v>
      </c>
      <c r="F72" s="43">
        <v>40</v>
      </c>
      <c r="G72" s="44"/>
      <c r="H72" s="174">
        <v>5</v>
      </c>
      <c r="I72" s="174">
        <v>3</v>
      </c>
      <c r="J72" s="174">
        <v>5</v>
      </c>
      <c r="K72" s="54">
        <v>0.1</v>
      </c>
      <c r="L72" s="40">
        <f t="shared" si="1"/>
        <v>720</v>
      </c>
    </row>
    <row r="73" spans="1:12" ht="15.5">
      <c r="A73" s="23" t="s">
        <v>588</v>
      </c>
      <c r="B73" s="23" t="s">
        <v>589</v>
      </c>
      <c r="C73" s="24" t="s">
        <v>590</v>
      </c>
      <c r="D73" s="35">
        <v>800</v>
      </c>
      <c r="E73" s="42">
        <v>6</v>
      </c>
      <c r="F73" s="43">
        <v>40</v>
      </c>
      <c r="G73" s="44"/>
      <c r="H73" s="174">
        <v>5</v>
      </c>
      <c r="I73" s="174">
        <v>3</v>
      </c>
      <c r="J73" s="174">
        <v>5</v>
      </c>
      <c r="K73" s="54">
        <v>0.1</v>
      </c>
      <c r="L73" s="40">
        <f t="shared" si="1"/>
        <v>720</v>
      </c>
    </row>
    <row r="74" spans="1:12" ht="15.5">
      <c r="A74" s="23" t="s">
        <v>591</v>
      </c>
      <c r="B74" s="23" t="s">
        <v>592</v>
      </c>
      <c r="C74" s="24" t="s">
        <v>593</v>
      </c>
      <c r="D74" s="35">
        <v>800</v>
      </c>
      <c r="E74" s="42">
        <v>7</v>
      </c>
      <c r="F74" s="43">
        <v>30</v>
      </c>
      <c r="G74" s="44"/>
      <c r="H74" s="174">
        <v>5</v>
      </c>
      <c r="I74" s="174">
        <v>3</v>
      </c>
      <c r="J74" s="174">
        <v>5</v>
      </c>
      <c r="K74" s="54">
        <v>0.1</v>
      </c>
      <c r="L74" s="40">
        <f t="shared" si="1"/>
        <v>720</v>
      </c>
    </row>
    <row r="75" spans="1:12" ht="15.5">
      <c r="A75" s="23" t="s">
        <v>594</v>
      </c>
      <c r="B75" s="23" t="s">
        <v>595</v>
      </c>
      <c r="C75" s="24" t="s">
        <v>596</v>
      </c>
      <c r="D75" s="35">
        <v>800</v>
      </c>
      <c r="E75" s="42">
        <v>6</v>
      </c>
      <c r="F75" s="43">
        <v>30</v>
      </c>
      <c r="G75" s="44"/>
      <c r="H75" s="174">
        <v>5</v>
      </c>
      <c r="I75" s="174">
        <v>3</v>
      </c>
      <c r="J75" s="174">
        <v>5</v>
      </c>
      <c r="K75" s="54">
        <v>0.1</v>
      </c>
      <c r="L75" s="40">
        <f t="shared" si="1"/>
        <v>720</v>
      </c>
    </row>
    <row r="76" spans="1:12" ht="15.5">
      <c r="A76" s="46" t="s">
        <v>597</v>
      </c>
      <c r="B76" s="46" t="s">
        <v>598</v>
      </c>
      <c r="C76" s="45" t="s">
        <v>599</v>
      </c>
      <c r="D76" s="47">
        <v>800</v>
      </c>
      <c r="E76" s="42"/>
      <c r="F76" s="43">
        <v>30</v>
      </c>
      <c r="G76" s="44"/>
      <c r="H76" s="174">
        <v>5</v>
      </c>
      <c r="I76" s="174">
        <v>3</v>
      </c>
      <c r="J76" s="174">
        <v>5</v>
      </c>
      <c r="K76" s="54">
        <v>0.1</v>
      </c>
      <c r="L76" s="40">
        <f t="shared" si="1"/>
        <v>720</v>
      </c>
    </row>
    <row r="77" spans="1:12" ht="15.5">
      <c r="A77" s="46" t="s">
        <v>600</v>
      </c>
      <c r="B77" s="46" t="s">
        <v>601</v>
      </c>
      <c r="C77" s="45" t="s">
        <v>602</v>
      </c>
      <c r="D77" s="47">
        <v>800</v>
      </c>
      <c r="E77" s="42"/>
      <c r="F77" s="43">
        <v>30</v>
      </c>
      <c r="G77" s="44"/>
      <c r="H77" s="174">
        <v>5</v>
      </c>
      <c r="I77" s="174">
        <v>3</v>
      </c>
      <c r="J77" s="174">
        <v>5</v>
      </c>
      <c r="K77" s="54">
        <v>0.1</v>
      </c>
      <c r="L77" s="40">
        <f t="shared" si="1"/>
        <v>720</v>
      </c>
    </row>
    <row r="78" spans="1:12" ht="15.5">
      <c r="A78" s="46" t="s">
        <v>603</v>
      </c>
      <c r="B78" s="46" t="s">
        <v>604</v>
      </c>
      <c r="C78" s="55" t="s">
        <v>605</v>
      </c>
      <c r="D78" s="47">
        <v>800</v>
      </c>
      <c r="E78" s="42"/>
      <c r="F78" s="43">
        <v>30</v>
      </c>
      <c r="G78" s="44"/>
      <c r="H78" s="174">
        <v>5</v>
      </c>
      <c r="I78" s="174">
        <v>3</v>
      </c>
      <c r="J78" s="174">
        <v>5</v>
      </c>
      <c r="K78" s="54">
        <v>0.1</v>
      </c>
      <c r="L78" s="40">
        <f t="shared" si="1"/>
        <v>720</v>
      </c>
    </row>
    <row r="79" spans="1:12" ht="15.5">
      <c r="A79" s="46" t="s">
        <v>606</v>
      </c>
      <c r="B79" s="46" t="s">
        <v>607</v>
      </c>
      <c r="C79" s="55" t="s">
        <v>608</v>
      </c>
      <c r="D79" s="47">
        <v>800</v>
      </c>
      <c r="E79" s="42"/>
      <c r="F79" s="43">
        <v>30</v>
      </c>
      <c r="G79" s="44"/>
      <c r="H79" s="174">
        <v>5</v>
      </c>
      <c r="I79" s="174">
        <v>3</v>
      </c>
      <c r="J79" s="174">
        <v>5</v>
      </c>
      <c r="K79" s="54">
        <v>0.1</v>
      </c>
      <c r="L79" s="40">
        <f t="shared" si="1"/>
        <v>720</v>
      </c>
    </row>
    <row r="80" spans="1:12" ht="15.5">
      <c r="A80" s="23" t="s">
        <v>609</v>
      </c>
      <c r="B80" s="23" t="s">
        <v>610</v>
      </c>
      <c r="C80" s="24" t="s">
        <v>611</v>
      </c>
      <c r="D80" s="35">
        <v>700</v>
      </c>
      <c r="E80" s="42">
        <v>16</v>
      </c>
      <c r="F80" s="43">
        <v>65</v>
      </c>
      <c r="G80" s="44"/>
      <c r="H80" s="175">
        <v>5</v>
      </c>
      <c r="I80" s="175">
        <v>5</v>
      </c>
      <c r="J80" s="175">
        <v>10</v>
      </c>
      <c r="K80" s="54">
        <v>0.1</v>
      </c>
      <c r="L80" s="40">
        <f t="shared" ref="L80:L100" si="2">D80-(K80*D80)</f>
        <v>630</v>
      </c>
    </row>
    <row r="81" spans="1:13" ht="15.5">
      <c r="A81" s="23" t="s">
        <v>612</v>
      </c>
      <c r="B81" s="23" t="s">
        <v>613</v>
      </c>
      <c r="C81" s="24" t="s">
        <v>614</v>
      </c>
      <c r="D81" s="35">
        <v>700</v>
      </c>
      <c r="E81" s="42">
        <v>4</v>
      </c>
      <c r="F81" s="43">
        <v>35</v>
      </c>
      <c r="G81" s="44"/>
      <c r="H81" s="175">
        <v>5</v>
      </c>
      <c r="I81" s="175">
        <v>5</v>
      </c>
      <c r="J81" s="175">
        <v>10</v>
      </c>
      <c r="K81" s="54">
        <v>0.1</v>
      </c>
      <c r="L81" s="40">
        <f t="shared" si="2"/>
        <v>630</v>
      </c>
    </row>
    <row r="82" spans="1:13" ht="15.5">
      <c r="A82" s="23" t="s">
        <v>615</v>
      </c>
      <c r="B82" s="23" t="s">
        <v>616</v>
      </c>
      <c r="C82" s="24" t="s">
        <v>617</v>
      </c>
      <c r="D82" s="35">
        <v>700</v>
      </c>
      <c r="E82" s="42"/>
      <c r="F82" s="43">
        <v>50</v>
      </c>
      <c r="G82" s="44"/>
      <c r="H82" s="175">
        <v>5</v>
      </c>
      <c r="I82" s="175">
        <v>5</v>
      </c>
      <c r="J82" s="175">
        <v>10</v>
      </c>
      <c r="K82" s="54">
        <v>0.1</v>
      </c>
      <c r="L82" s="40">
        <f t="shared" si="2"/>
        <v>630</v>
      </c>
    </row>
    <row r="83" spans="1:13" ht="15.5">
      <c r="A83" s="23" t="s">
        <v>618</v>
      </c>
      <c r="B83" s="23" t="s">
        <v>619</v>
      </c>
      <c r="C83" s="24" t="s">
        <v>620</v>
      </c>
      <c r="D83" s="35">
        <v>700</v>
      </c>
      <c r="E83" s="42"/>
      <c r="F83" s="43">
        <v>30</v>
      </c>
      <c r="G83" s="44"/>
      <c r="H83" s="175">
        <v>5</v>
      </c>
      <c r="I83" s="175">
        <v>5</v>
      </c>
      <c r="J83" s="175">
        <v>10</v>
      </c>
      <c r="K83" s="54">
        <v>0.1</v>
      </c>
      <c r="L83" s="40">
        <f t="shared" si="2"/>
        <v>630</v>
      </c>
    </row>
    <row r="84" spans="1:13" ht="15.5" hidden="1">
      <c r="A84" s="23" t="s">
        <v>621</v>
      </c>
      <c r="B84" s="23" t="s">
        <v>622</v>
      </c>
      <c r="C84" s="24" t="s">
        <v>623</v>
      </c>
      <c r="D84" s="35">
        <v>700</v>
      </c>
      <c r="E84" s="42"/>
      <c r="F84" s="43"/>
      <c r="G84" s="44"/>
      <c r="H84" s="175"/>
      <c r="I84" s="175"/>
      <c r="J84" s="175"/>
      <c r="L84" s="40">
        <f t="shared" si="2"/>
        <v>700</v>
      </c>
    </row>
    <row r="85" spans="1:13" ht="15.5" hidden="1">
      <c r="A85" s="23" t="s">
        <v>624</v>
      </c>
      <c r="B85" s="23" t="s">
        <v>625</v>
      </c>
      <c r="C85" s="24" t="s">
        <v>626</v>
      </c>
      <c r="D85" s="35">
        <v>700</v>
      </c>
      <c r="E85" s="42"/>
      <c r="F85" s="43"/>
      <c r="G85" s="44"/>
      <c r="H85" s="175"/>
      <c r="I85" s="175"/>
      <c r="J85" s="175"/>
      <c r="L85" s="40">
        <f t="shared" si="2"/>
        <v>700</v>
      </c>
    </row>
    <row r="86" spans="1:13" ht="15.5">
      <c r="A86" s="23" t="s">
        <v>627</v>
      </c>
      <c r="B86" s="23" t="s">
        <v>628</v>
      </c>
      <c r="C86" s="24" t="s">
        <v>629</v>
      </c>
      <c r="D86" s="35">
        <v>700</v>
      </c>
      <c r="E86" s="42"/>
      <c r="F86" s="43">
        <v>50</v>
      </c>
      <c r="G86" s="44"/>
      <c r="H86" s="175">
        <v>5</v>
      </c>
      <c r="I86" s="175">
        <v>5</v>
      </c>
      <c r="J86" s="175">
        <v>10</v>
      </c>
      <c r="K86" s="54">
        <v>0.1</v>
      </c>
      <c r="L86" s="40">
        <f t="shared" si="2"/>
        <v>630</v>
      </c>
    </row>
    <row r="87" spans="1:13" ht="15.5">
      <c r="A87" s="23" t="s">
        <v>630</v>
      </c>
      <c r="B87" s="23" t="s">
        <v>631</v>
      </c>
      <c r="C87" s="24" t="s">
        <v>632</v>
      </c>
      <c r="D87" s="35">
        <v>700</v>
      </c>
      <c r="E87" s="42"/>
      <c r="F87" s="43">
        <v>30</v>
      </c>
      <c r="G87" s="44"/>
      <c r="H87" s="175">
        <v>5</v>
      </c>
      <c r="I87" s="175">
        <v>5</v>
      </c>
      <c r="J87" s="175">
        <v>10</v>
      </c>
      <c r="K87" s="54">
        <v>0.1</v>
      </c>
      <c r="L87" s="40">
        <f t="shared" si="2"/>
        <v>630</v>
      </c>
    </row>
    <row r="88" spans="1:13" ht="15.5">
      <c r="A88" s="23" t="s">
        <v>633</v>
      </c>
      <c r="B88" s="23" t="s">
        <v>634</v>
      </c>
      <c r="C88" s="24" t="s">
        <v>635</v>
      </c>
      <c r="D88" s="35">
        <v>700</v>
      </c>
      <c r="E88" s="42"/>
      <c r="F88" s="43">
        <v>50</v>
      </c>
      <c r="G88" s="44"/>
      <c r="H88" s="175">
        <v>5</v>
      </c>
      <c r="I88" s="175">
        <v>5</v>
      </c>
      <c r="J88" s="175">
        <v>10</v>
      </c>
      <c r="K88" s="54">
        <v>0.1</v>
      </c>
      <c r="L88" s="40">
        <f t="shared" si="2"/>
        <v>630</v>
      </c>
    </row>
    <row r="89" spans="1:13" ht="15.5">
      <c r="A89" s="23" t="s">
        <v>636</v>
      </c>
      <c r="B89" s="23" t="s">
        <v>637</v>
      </c>
      <c r="C89" s="24" t="s">
        <v>638</v>
      </c>
      <c r="D89" s="35">
        <v>700</v>
      </c>
      <c r="E89" s="42"/>
      <c r="F89" s="43">
        <v>30</v>
      </c>
      <c r="G89" s="44"/>
      <c r="H89" s="175">
        <v>5</v>
      </c>
      <c r="I89" s="175">
        <v>5</v>
      </c>
      <c r="J89" s="175">
        <v>10</v>
      </c>
      <c r="K89" s="54">
        <v>0.1</v>
      </c>
      <c r="L89" s="40">
        <f t="shared" si="2"/>
        <v>630</v>
      </c>
      <c r="M89" s="57"/>
    </row>
    <row r="90" spans="1:13" ht="15.5">
      <c r="A90" s="23" t="s">
        <v>639</v>
      </c>
      <c r="B90" s="23" t="s">
        <v>640</v>
      </c>
      <c r="C90" s="58" t="s">
        <v>641</v>
      </c>
      <c r="D90" s="35">
        <v>800</v>
      </c>
      <c r="E90" s="42"/>
      <c r="F90" s="43">
        <v>103</v>
      </c>
      <c r="G90" s="44"/>
      <c r="H90" s="175">
        <v>5</v>
      </c>
      <c r="I90" s="175">
        <v>5</v>
      </c>
      <c r="J90" s="175">
        <v>10</v>
      </c>
      <c r="K90" s="54">
        <v>0.1</v>
      </c>
      <c r="L90" s="40">
        <f t="shared" si="2"/>
        <v>720</v>
      </c>
    </row>
    <row r="91" spans="1:13" ht="15.5">
      <c r="A91" s="23" t="s">
        <v>642</v>
      </c>
      <c r="B91" s="23" t="s">
        <v>643</v>
      </c>
      <c r="C91" s="24" t="s">
        <v>644</v>
      </c>
      <c r="D91" s="35">
        <v>800</v>
      </c>
      <c r="E91" s="42"/>
      <c r="F91" s="43">
        <v>50</v>
      </c>
      <c r="G91" s="44"/>
      <c r="H91" s="175">
        <v>5</v>
      </c>
      <c r="I91" s="175">
        <v>5</v>
      </c>
      <c r="J91" s="175">
        <v>10</v>
      </c>
      <c r="K91" s="54">
        <v>0.1</v>
      </c>
      <c r="L91" s="40">
        <f t="shared" si="2"/>
        <v>720</v>
      </c>
    </row>
    <row r="92" spans="1:13" ht="15.5">
      <c r="A92" s="23" t="s">
        <v>645</v>
      </c>
      <c r="B92" s="23" t="s">
        <v>646</v>
      </c>
      <c r="C92" s="24" t="s">
        <v>647</v>
      </c>
      <c r="D92" s="35">
        <v>800</v>
      </c>
      <c r="E92" s="42"/>
      <c r="F92" s="43">
        <v>30</v>
      </c>
      <c r="G92" s="44"/>
      <c r="H92" s="175">
        <v>5</v>
      </c>
      <c r="I92" s="175">
        <v>5</v>
      </c>
      <c r="J92" s="175">
        <v>10</v>
      </c>
      <c r="K92" s="54">
        <v>0.1</v>
      </c>
      <c r="L92" s="40">
        <f t="shared" si="2"/>
        <v>720</v>
      </c>
    </row>
    <row r="93" spans="1:13" ht="15.5">
      <c r="A93" s="23" t="s">
        <v>648</v>
      </c>
      <c r="B93" s="23" t="s">
        <v>649</v>
      </c>
      <c r="C93" s="24" t="s">
        <v>650</v>
      </c>
      <c r="D93" s="35">
        <v>800</v>
      </c>
      <c r="E93" s="42"/>
      <c r="F93" s="43">
        <v>50</v>
      </c>
      <c r="G93" s="44"/>
      <c r="H93" s="175">
        <v>5</v>
      </c>
      <c r="I93" s="175">
        <v>5</v>
      </c>
      <c r="J93" s="175">
        <v>10</v>
      </c>
      <c r="K93" s="54">
        <v>0.1</v>
      </c>
      <c r="L93" s="40">
        <f t="shared" si="2"/>
        <v>720</v>
      </c>
    </row>
    <row r="94" spans="1:13" ht="15.5">
      <c r="A94" s="23" t="s">
        <v>651</v>
      </c>
      <c r="B94" s="23" t="s">
        <v>652</v>
      </c>
      <c r="C94" s="24" t="s">
        <v>653</v>
      </c>
      <c r="D94" s="35">
        <v>800</v>
      </c>
      <c r="E94" s="42"/>
      <c r="F94" s="43">
        <v>30</v>
      </c>
      <c r="G94" s="44"/>
      <c r="H94" s="175">
        <v>5</v>
      </c>
      <c r="I94" s="175">
        <v>5</v>
      </c>
      <c r="J94" s="175">
        <v>10</v>
      </c>
      <c r="K94" s="54">
        <v>0.1</v>
      </c>
      <c r="L94" s="40">
        <f t="shared" si="2"/>
        <v>720</v>
      </c>
    </row>
    <row r="95" spans="1:13" ht="15.5">
      <c r="A95" s="46" t="s">
        <v>654</v>
      </c>
      <c r="B95" s="46" t="s">
        <v>655</v>
      </c>
      <c r="C95" s="45" t="s">
        <v>656</v>
      </c>
      <c r="D95" s="47">
        <v>800</v>
      </c>
      <c r="E95" s="42"/>
      <c r="F95" s="43">
        <v>50</v>
      </c>
      <c r="G95" s="44"/>
      <c r="H95" s="175">
        <v>5</v>
      </c>
      <c r="I95" s="175">
        <v>5</v>
      </c>
      <c r="J95" s="175">
        <v>10</v>
      </c>
      <c r="K95" s="54">
        <v>0.1</v>
      </c>
      <c r="L95" s="40">
        <f t="shared" si="2"/>
        <v>720</v>
      </c>
    </row>
    <row r="96" spans="1:13" ht="15.5">
      <c r="A96" s="46" t="s">
        <v>657</v>
      </c>
      <c r="B96" s="46" t="s">
        <v>658</v>
      </c>
      <c r="C96" s="45" t="s">
        <v>659</v>
      </c>
      <c r="D96" s="47">
        <v>800</v>
      </c>
      <c r="E96" s="42"/>
      <c r="F96" s="43">
        <v>30</v>
      </c>
      <c r="G96" s="44"/>
      <c r="H96" s="175">
        <v>5</v>
      </c>
      <c r="I96" s="175">
        <v>5</v>
      </c>
      <c r="J96" s="175">
        <v>10</v>
      </c>
      <c r="K96" s="54">
        <v>0.1</v>
      </c>
      <c r="L96" s="40">
        <f t="shared" si="2"/>
        <v>720</v>
      </c>
    </row>
    <row r="97" spans="1:12" ht="15.5">
      <c r="A97" s="46" t="s">
        <v>660</v>
      </c>
      <c r="B97" s="46" t="s">
        <v>661</v>
      </c>
      <c r="C97" s="45" t="s">
        <v>662</v>
      </c>
      <c r="D97" s="47">
        <v>800</v>
      </c>
      <c r="E97" s="42"/>
      <c r="F97" s="43">
        <v>50</v>
      </c>
      <c r="G97" s="44"/>
      <c r="H97" s="175">
        <v>5</v>
      </c>
      <c r="I97" s="175">
        <v>5</v>
      </c>
      <c r="J97" s="175">
        <v>10</v>
      </c>
      <c r="K97" s="54">
        <v>0.1</v>
      </c>
      <c r="L97" s="40">
        <f t="shared" si="2"/>
        <v>720</v>
      </c>
    </row>
    <row r="98" spans="1:12" ht="15.5">
      <c r="A98" s="46" t="s">
        <v>663</v>
      </c>
      <c r="B98" s="46" t="s">
        <v>664</v>
      </c>
      <c r="C98" s="45" t="s">
        <v>665</v>
      </c>
      <c r="D98" s="47">
        <v>800</v>
      </c>
      <c r="E98" s="42"/>
      <c r="F98" s="43">
        <v>30</v>
      </c>
      <c r="G98" s="44"/>
      <c r="H98" s="175">
        <v>5</v>
      </c>
      <c r="I98" s="175">
        <v>5</v>
      </c>
      <c r="J98" s="175">
        <v>10</v>
      </c>
      <c r="K98" s="54">
        <v>0.1</v>
      </c>
      <c r="L98" s="40">
        <f t="shared" si="2"/>
        <v>720</v>
      </c>
    </row>
    <row r="99" spans="1:12" ht="15.5">
      <c r="A99" s="59" t="s">
        <v>666</v>
      </c>
      <c r="B99" s="59" t="s">
        <v>667</v>
      </c>
      <c r="C99" s="60">
        <v>4580558424368</v>
      </c>
      <c r="D99" s="35">
        <v>700</v>
      </c>
      <c r="E99" s="42"/>
      <c r="F99" s="43">
        <v>50</v>
      </c>
      <c r="G99" s="44"/>
      <c r="H99" s="175">
        <v>5</v>
      </c>
      <c r="I99" s="175">
        <v>5</v>
      </c>
      <c r="J99" s="175">
        <v>10</v>
      </c>
      <c r="K99" s="54">
        <v>0.1</v>
      </c>
      <c r="L99" s="40">
        <f t="shared" si="2"/>
        <v>630</v>
      </c>
    </row>
    <row r="100" spans="1:12" ht="15.5">
      <c r="A100" s="59" t="s">
        <v>668</v>
      </c>
      <c r="B100" s="59" t="s">
        <v>669</v>
      </c>
      <c r="C100" s="60">
        <v>4580558424351</v>
      </c>
      <c r="D100" s="35">
        <v>700</v>
      </c>
      <c r="E100" s="42"/>
      <c r="F100" s="43">
        <v>30</v>
      </c>
      <c r="G100" s="44"/>
      <c r="H100" s="175">
        <v>5</v>
      </c>
      <c r="I100" s="175">
        <v>5</v>
      </c>
      <c r="J100" s="175">
        <v>10</v>
      </c>
      <c r="K100" s="54">
        <v>0.1</v>
      </c>
      <c r="L100" s="40">
        <f t="shared" si="2"/>
        <v>630</v>
      </c>
    </row>
    <row r="101" spans="1:12">
      <c r="E101" s="62">
        <f>SUM(E8:E100)</f>
        <v>241</v>
      </c>
      <c r="H101" s="65">
        <f>SUM(H2:H100)</f>
        <v>459</v>
      </c>
      <c r="I101" s="65">
        <f t="shared" ref="I101:J101" si="3">SUM(I2:I100)</f>
        <v>350</v>
      </c>
      <c r="J101" s="65">
        <f t="shared" si="3"/>
        <v>566</v>
      </c>
    </row>
  </sheetData>
  <pageMargins left="0.19" right="0.15" top="0.39370078740157483" bottom="0.39370078740157483" header="0.31496062992125984" footer="0.31496062992125984"/>
  <pageSetup paperSize="9" scale="72" fitToHeight="0" orientation="portrait" r:id="rId1"/>
  <rowBreaks count="1" manualBreakCount="1">
    <brk id="50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C163-DAF5-45C7-93E3-3A9B45C7997D}">
  <sheetPr>
    <pageSetUpPr fitToPage="1"/>
  </sheetPr>
  <dimension ref="A1:I41"/>
  <sheetViews>
    <sheetView zoomScaleNormal="100" workbookViewId="0">
      <pane ySplit="1" topLeftCell="A14" activePane="bottomLeft" state="frozen"/>
      <selection pane="bottomLeft" activeCell="H1" sqref="H1:I1048576"/>
    </sheetView>
  </sheetViews>
  <sheetFormatPr defaultColWidth="8.81640625" defaultRowHeight="14.5"/>
  <cols>
    <col min="1" max="1" width="13.81640625" style="73" bestFit="1" customWidth="1" collapsed="1"/>
    <col min="2" max="2" width="34.6328125" style="73" bestFit="1" customWidth="1" collapsed="1"/>
    <col min="3" max="3" width="14" style="74" bestFit="1" customWidth="1" collapsed="1"/>
    <col min="4" max="4" width="6.36328125" style="74" bestFit="1" customWidth="1" collapsed="1"/>
    <col min="5" max="5" width="7.90625" style="65" bestFit="1" customWidth="1"/>
    <col min="6" max="6" width="10.6328125" style="65" bestFit="1" customWidth="1"/>
    <col min="7" max="7" width="6.08984375" style="65" bestFit="1" customWidth="1"/>
    <col min="8" max="8" width="5.1796875" style="75" customWidth="1"/>
    <col min="9" max="9" width="5.26953125" style="73" customWidth="1"/>
    <col min="10" max="16384" width="8.81640625" style="73"/>
  </cols>
  <sheetData>
    <row r="1" spans="1:9" s="68" customFormat="1" ht="31.75" customHeight="1">
      <c r="A1" s="66" t="s">
        <v>85</v>
      </c>
      <c r="B1" s="66" t="s">
        <v>86</v>
      </c>
      <c r="C1" s="66" t="s">
        <v>4</v>
      </c>
      <c r="D1" s="67" t="s">
        <v>670</v>
      </c>
      <c r="E1" s="121" t="s">
        <v>1691</v>
      </c>
      <c r="F1" s="124" t="s">
        <v>1693</v>
      </c>
      <c r="G1" s="124" t="s">
        <v>1692</v>
      </c>
      <c r="H1" s="115" t="s">
        <v>88</v>
      </c>
      <c r="I1" s="33" t="s">
        <v>374</v>
      </c>
    </row>
    <row r="2" spans="1:9" ht="15.5">
      <c r="A2" s="69" t="s">
        <v>671</v>
      </c>
      <c r="B2" s="69" t="s">
        <v>672</v>
      </c>
      <c r="C2" s="70" t="s">
        <v>673</v>
      </c>
      <c r="D2" s="71">
        <v>500</v>
      </c>
      <c r="E2" s="174">
        <v>8</v>
      </c>
      <c r="F2" s="174">
        <v>5</v>
      </c>
      <c r="G2" s="174">
        <v>10</v>
      </c>
      <c r="H2" s="72">
        <v>0.1</v>
      </c>
      <c r="I2" s="40">
        <f t="shared" ref="I2:I40" si="0">D2-(D2*H2)</f>
        <v>450</v>
      </c>
    </row>
    <row r="3" spans="1:9" ht="15.5">
      <c r="A3" s="69" t="s">
        <v>674</v>
      </c>
      <c r="B3" s="69" t="s">
        <v>675</v>
      </c>
      <c r="C3" s="70" t="s">
        <v>676</v>
      </c>
      <c r="D3" s="71">
        <v>500</v>
      </c>
      <c r="E3" s="174">
        <v>8</v>
      </c>
      <c r="F3" s="174">
        <v>5</v>
      </c>
      <c r="G3" s="174">
        <v>10</v>
      </c>
      <c r="H3" s="72">
        <v>0.1</v>
      </c>
      <c r="I3" s="40">
        <f t="shared" si="0"/>
        <v>450</v>
      </c>
    </row>
    <row r="4" spans="1:9" ht="15.5">
      <c r="A4" s="69" t="s">
        <v>677</v>
      </c>
      <c r="B4" s="69" t="s">
        <v>678</v>
      </c>
      <c r="C4" s="70" t="s">
        <v>679</v>
      </c>
      <c r="D4" s="71">
        <v>500</v>
      </c>
      <c r="E4" s="174">
        <v>8</v>
      </c>
      <c r="F4" s="174">
        <v>5</v>
      </c>
      <c r="G4" s="174">
        <v>10</v>
      </c>
      <c r="H4" s="72">
        <v>0.1</v>
      </c>
      <c r="I4" s="40">
        <f t="shared" si="0"/>
        <v>450</v>
      </c>
    </row>
    <row r="5" spans="1:9" ht="15.5">
      <c r="A5" s="69" t="s">
        <v>680</v>
      </c>
      <c r="B5" s="69" t="s">
        <v>681</v>
      </c>
      <c r="C5" s="70" t="s">
        <v>682</v>
      </c>
      <c r="D5" s="71">
        <v>500</v>
      </c>
      <c r="E5" s="174">
        <v>5</v>
      </c>
      <c r="F5" s="174">
        <v>5</v>
      </c>
      <c r="G5" s="174">
        <v>8</v>
      </c>
      <c r="H5" s="72">
        <v>0.1</v>
      </c>
      <c r="I5" s="40">
        <f t="shared" si="0"/>
        <v>450</v>
      </c>
    </row>
    <row r="6" spans="1:9" ht="15.5">
      <c r="A6" s="69" t="s">
        <v>683</v>
      </c>
      <c r="B6" s="69" t="s">
        <v>684</v>
      </c>
      <c r="C6" s="70" t="s">
        <v>685</v>
      </c>
      <c r="D6" s="71">
        <v>500</v>
      </c>
      <c r="E6" s="174">
        <v>5</v>
      </c>
      <c r="F6" s="174">
        <v>5</v>
      </c>
      <c r="G6" s="174">
        <v>8</v>
      </c>
      <c r="H6" s="72">
        <v>0.1</v>
      </c>
      <c r="I6" s="40">
        <f t="shared" si="0"/>
        <v>450</v>
      </c>
    </row>
    <row r="7" spans="1:9" ht="15.5">
      <c r="A7" s="69" t="s">
        <v>686</v>
      </c>
      <c r="B7" s="69" t="s">
        <v>687</v>
      </c>
      <c r="C7" s="70" t="s">
        <v>688</v>
      </c>
      <c r="D7" s="71">
        <v>500</v>
      </c>
      <c r="E7" s="174">
        <v>5</v>
      </c>
      <c r="F7" s="174">
        <v>5</v>
      </c>
      <c r="G7" s="174">
        <v>8</v>
      </c>
      <c r="H7" s="72">
        <v>0.1</v>
      </c>
      <c r="I7" s="40">
        <f t="shared" si="0"/>
        <v>450</v>
      </c>
    </row>
    <row r="8" spans="1:9" ht="15.5">
      <c r="A8" s="69" t="s">
        <v>689</v>
      </c>
      <c r="B8" s="69" t="s">
        <v>690</v>
      </c>
      <c r="C8" s="70" t="s">
        <v>691</v>
      </c>
      <c r="D8" s="71">
        <v>500</v>
      </c>
      <c r="E8" s="174">
        <v>8</v>
      </c>
      <c r="F8" s="174">
        <v>5</v>
      </c>
      <c r="G8" s="174">
        <v>10</v>
      </c>
      <c r="H8" s="72">
        <v>0.1</v>
      </c>
      <c r="I8" s="40">
        <f t="shared" si="0"/>
        <v>450</v>
      </c>
    </row>
    <row r="9" spans="1:9" ht="15.5">
      <c r="A9" s="69" t="s">
        <v>692</v>
      </c>
      <c r="B9" s="69" t="s">
        <v>693</v>
      </c>
      <c r="C9" s="70" t="s">
        <v>694</v>
      </c>
      <c r="D9" s="71">
        <v>500</v>
      </c>
      <c r="E9" s="174">
        <v>8</v>
      </c>
      <c r="F9" s="174">
        <v>5</v>
      </c>
      <c r="G9" s="174">
        <v>10</v>
      </c>
      <c r="H9" s="72">
        <v>0.1</v>
      </c>
      <c r="I9" s="40">
        <f t="shared" si="0"/>
        <v>450</v>
      </c>
    </row>
    <row r="10" spans="1:9" ht="15.5">
      <c r="A10" s="69" t="s">
        <v>695</v>
      </c>
      <c r="B10" s="69" t="s">
        <v>696</v>
      </c>
      <c r="C10" s="70" t="s">
        <v>697</v>
      </c>
      <c r="D10" s="71">
        <v>500</v>
      </c>
      <c r="E10" s="174">
        <v>8</v>
      </c>
      <c r="F10" s="174">
        <v>5</v>
      </c>
      <c r="G10" s="174">
        <v>10</v>
      </c>
      <c r="H10" s="72">
        <v>0.1</v>
      </c>
      <c r="I10" s="40">
        <f t="shared" si="0"/>
        <v>450</v>
      </c>
    </row>
    <row r="11" spans="1:9" ht="15.5">
      <c r="A11" s="69" t="s">
        <v>698</v>
      </c>
      <c r="B11" s="69" t="s">
        <v>699</v>
      </c>
      <c r="C11" s="70" t="s">
        <v>700</v>
      </c>
      <c r="D11" s="71">
        <v>500</v>
      </c>
      <c r="E11" s="174">
        <v>5</v>
      </c>
      <c r="F11" s="174">
        <v>5</v>
      </c>
      <c r="G11" s="174">
        <v>8</v>
      </c>
      <c r="H11" s="72">
        <v>0.1</v>
      </c>
      <c r="I11" s="40">
        <f t="shared" si="0"/>
        <v>450</v>
      </c>
    </row>
    <row r="12" spans="1:9" ht="15.5">
      <c r="A12" s="69" t="s">
        <v>701</v>
      </c>
      <c r="B12" s="69" t="s">
        <v>702</v>
      </c>
      <c r="C12" s="70" t="s">
        <v>703</v>
      </c>
      <c r="D12" s="71">
        <v>500</v>
      </c>
      <c r="E12" s="174">
        <v>5</v>
      </c>
      <c r="F12" s="174">
        <v>5</v>
      </c>
      <c r="G12" s="174">
        <v>8</v>
      </c>
      <c r="H12" s="72">
        <v>0.1</v>
      </c>
      <c r="I12" s="40">
        <f t="shared" si="0"/>
        <v>450</v>
      </c>
    </row>
    <row r="13" spans="1:9" ht="15.5">
      <c r="A13" s="69" t="s">
        <v>704</v>
      </c>
      <c r="B13" s="69" t="s">
        <v>705</v>
      </c>
      <c r="C13" s="70" t="s">
        <v>706</v>
      </c>
      <c r="D13" s="71">
        <v>500</v>
      </c>
      <c r="E13" s="174">
        <v>5</v>
      </c>
      <c r="F13" s="174">
        <v>5</v>
      </c>
      <c r="G13" s="174">
        <v>8</v>
      </c>
      <c r="H13" s="72">
        <v>0.1</v>
      </c>
      <c r="I13" s="40">
        <f t="shared" si="0"/>
        <v>450</v>
      </c>
    </row>
    <row r="14" spans="1:9" ht="15.5">
      <c r="A14" s="69" t="s">
        <v>707</v>
      </c>
      <c r="B14" s="69" t="s">
        <v>708</v>
      </c>
      <c r="C14" s="70" t="s">
        <v>709</v>
      </c>
      <c r="D14" s="71">
        <v>500</v>
      </c>
      <c r="E14" s="174">
        <v>5</v>
      </c>
      <c r="F14" s="174">
        <v>5</v>
      </c>
      <c r="G14" s="174">
        <v>8</v>
      </c>
      <c r="H14" s="72">
        <v>0.1</v>
      </c>
      <c r="I14" s="40">
        <f t="shared" si="0"/>
        <v>450</v>
      </c>
    </row>
    <row r="15" spans="1:9" ht="15.5">
      <c r="A15" s="69" t="s">
        <v>710</v>
      </c>
      <c r="B15" s="69" t="s">
        <v>711</v>
      </c>
      <c r="C15" s="70" t="s">
        <v>712</v>
      </c>
      <c r="D15" s="71">
        <v>500</v>
      </c>
      <c r="E15" s="174">
        <v>5</v>
      </c>
      <c r="F15" s="174">
        <v>5</v>
      </c>
      <c r="G15" s="174">
        <v>8</v>
      </c>
      <c r="H15" s="72">
        <v>0.1</v>
      </c>
      <c r="I15" s="40">
        <f t="shared" si="0"/>
        <v>450</v>
      </c>
    </row>
    <row r="16" spans="1:9" ht="15.5" hidden="1">
      <c r="A16" s="69" t="s">
        <v>713</v>
      </c>
      <c r="B16" s="69" t="s">
        <v>714</v>
      </c>
      <c r="C16" s="70" t="s">
        <v>715</v>
      </c>
      <c r="D16" s="71">
        <v>500</v>
      </c>
      <c r="E16" s="174">
        <v>8</v>
      </c>
      <c r="F16" s="174">
        <v>5</v>
      </c>
      <c r="G16" s="174">
        <v>8</v>
      </c>
      <c r="H16" s="72">
        <v>0.1</v>
      </c>
      <c r="I16" s="40">
        <f t="shared" si="0"/>
        <v>450</v>
      </c>
    </row>
    <row r="17" spans="1:9" ht="15.5" hidden="1">
      <c r="A17" s="69" t="s">
        <v>716</v>
      </c>
      <c r="B17" s="69" t="s">
        <v>717</v>
      </c>
      <c r="C17" s="70" t="s">
        <v>718</v>
      </c>
      <c r="D17" s="71">
        <v>700</v>
      </c>
      <c r="E17" s="174"/>
      <c r="F17" s="174"/>
      <c r="G17" s="174"/>
      <c r="H17" s="72">
        <v>0.1</v>
      </c>
      <c r="I17" s="40">
        <f t="shared" si="0"/>
        <v>630</v>
      </c>
    </row>
    <row r="18" spans="1:9" ht="15.5" hidden="1">
      <c r="A18" s="69" t="s">
        <v>719</v>
      </c>
      <c r="B18" s="69" t="s">
        <v>720</v>
      </c>
      <c r="C18" s="70" t="s">
        <v>721</v>
      </c>
      <c r="D18" s="71">
        <v>700</v>
      </c>
      <c r="E18" s="174"/>
      <c r="F18" s="174"/>
      <c r="G18" s="174"/>
      <c r="H18" s="72">
        <v>0.1</v>
      </c>
      <c r="I18" s="40">
        <f t="shared" si="0"/>
        <v>630</v>
      </c>
    </row>
    <row r="19" spans="1:9" ht="15.5" hidden="1">
      <c r="A19" s="69" t="s">
        <v>722</v>
      </c>
      <c r="B19" s="69" t="s">
        <v>723</v>
      </c>
      <c r="C19" s="70" t="s">
        <v>724</v>
      </c>
      <c r="D19" s="71">
        <v>700</v>
      </c>
      <c r="E19" s="174"/>
      <c r="F19" s="174"/>
      <c r="G19" s="174"/>
      <c r="H19" s="72">
        <v>0.1</v>
      </c>
      <c r="I19" s="40">
        <f t="shared" si="0"/>
        <v>630</v>
      </c>
    </row>
    <row r="20" spans="1:9" ht="15.5" hidden="1">
      <c r="A20" s="69" t="s">
        <v>725</v>
      </c>
      <c r="B20" s="69" t="s">
        <v>726</v>
      </c>
      <c r="C20" s="70" t="s">
        <v>727</v>
      </c>
      <c r="D20" s="71">
        <v>700</v>
      </c>
      <c r="E20" s="174">
        <v>5</v>
      </c>
      <c r="F20" s="174"/>
      <c r="G20" s="174">
        <v>5</v>
      </c>
      <c r="H20" s="72">
        <v>0.1</v>
      </c>
      <c r="I20" s="40">
        <f t="shared" si="0"/>
        <v>630</v>
      </c>
    </row>
    <row r="21" spans="1:9" ht="15.5">
      <c r="A21" s="69" t="s">
        <v>728</v>
      </c>
      <c r="B21" s="69" t="s">
        <v>729</v>
      </c>
      <c r="C21" s="70" t="s">
        <v>730</v>
      </c>
      <c r="D21" s="71">
        <v>650</v>
      </c>
      <c r="E21" s="174">
        <v>5</v>
      </c>
      <c r="F21" s="174">
        <v>5</v>
      </c>
      <c r="G21" s="174">
        <v>8</v>
      </c>
      <c r="H21" s="72">
        <v>0.1</v>
      </c>
      <c r="I21" s="40">
        <f t="shared" si="0"/>
        <v>585</v>
      </c>
    </row>
    <row r="22" spans="1:9" ht="15.5">
      <c r="A22" s="69" t="s">
        <v>731</v>
      </c>
      <c r="B22" s="69" t="s">
        <v>732</v>
      </c>
      <c r="C22" s="70" t="s">
        <v>733</v>
      </c>
      <c r="D22" s="71">
        <v>650</v>
      </c>
      <c r="E22" s="174">
        <v>5</v>
      </c>
      <c r="F22" s="174">
        <v>5</v>
      </c>
      <c r="G22" s="174">
        <v>8</v>
      </c>
      <c r="H22" s="72">
        <v>0.1</v>
      </c>
      <c r="I22" s="40">
        <f t="shared" si="0"/>
        <v>585</v>
      </c>
    </row>
    <row r="23" spans="1:9" ht="15.5">
      <c r="A23" s="69" t="s">
        <v>734</v>
      </c>
      <c r="B23" s="69" t="s">
        <v>735</v>
      </c>
      <c r="C23" s="70" t="s">
        <v>736</v>
      </c>
      <c r="D23" s="71">
        <v>650</v>
      </c>
      <c r="E23" s="174">
        <v>5</v>
      </c>
      <c r="F23" s="174">
        <v>5</v>
      </c>
      <c r="G23" s="174">
        <v>8</v>
      </c>
      <c r="H23" s="72">
        <v>0.1</v>
      </c>
      <c r="I23" s="40">
        <f t="shared" si="0"/>
        <v>585</v>
      </c>
    </row>
    <row r="24" spans="1:9" ht="15.5">
      <c r="A24" s="69" t="s">
        <v>737</v>
      </c>
      <c r="B24" s="69" t="s">
        <v>738</v>
      </c>
      <c r="C24" s="70" t="s">
        <v>739</v>
      </c>
      <c r="D24" s="71">
        <v>650</v>
      </c>
      <c r="E24" s="174">
        <v>5</v>
      </c>
      <c r="F24" s="174">
        <v>5</v>
      </c>
      <c r="G24" s="174">
        <v>8</v>
      </c>
      <c r="H24" s="72">
        <v>0.1</v>
      </c>
      <c r="I24" s="40">
        <f t="shared" si="0"/>
        <v>585</v>
      </c>
    </row>
    <row r="25" spans="1:9" ht="15.5">
      <c r="A25" s="69" t="s">
        <v>740</v>
      </c>
      <c r="B25" s="69" t="s">
        <v>741</v>
      </c>
      <c r="C25" s="70" t="s">
        <v>742</v>
      </c>
      <c r="D25" s="71">
        <v>600</v>
      </c>
      <c r="E25" s="174">
        <v>5</v>
      </c>
      <c r="F25" s="174">
        <v>5</v>
      </c>
      <c r="G25" s="174">
        <v>8</v>
      </c>
      <c r="H25" s="72">
        <v>0.1</v>
      </c>
      <c r="I25" s="40">
        <f t="shared" si="0"/>
        <v>540</v>
      </c>
    </row>
    <row r="26" spans="1:9" ht="15.5">
      <c r="A26" s="69" t="s">
        <v>743</v>
      </c>
      <c r="B26" s="69" t="s">
        <v>744</v>
      </c>
      <c r="C26" s="70" t="s">
        <v>745</v>
      </c>
      <c r="D26" s="71">
        <v>600</v>
      </c>
      <c r="E26" s="174">
        <v>5</v>
      </c>
      <c r="F26" s="174">
        <v>5</v>
      </c>
      <c r="G26" s="174">
        <v>8</v>
      </c>
      <c r="H26" s="72">
        <v>0.1</v>
      </c>
      <c r="I26" s="40">
        <f t="shared" si="0"/>
        <v>540</v>
      </c>
    </row>
    <row r="27" spans="1:9" ht="15.5">
      <c r="A27" s="69" t="s">
        <v>746</v>
      </c>
      <c r="B27" s="69" t="s">
        <v>747</v>
      </c>
      <c r="C27" s="70" t="s">
        <v>748</v>
      </c>
      <c r="D27" s="71">
        <v>600</v>
      </c>
      <c r="E27" s="174">
        <v>5</v>
      </c>
      <c r="F27" s="174">
        <v>5</v>
      </c>
      <c r="G27" s="174">
        <v>8</v>
      </c>
      <c r="H27" s="72">
        <v>0.1</v>
      </c>
      <c r="I27" s="40">
        <f t="shared" si="0"/>
        <v>540</v>
      </c>
    </row>
    <row r="28" spans="1:9" ht="15.5">
      <c r="A28" s="69" t="s">
        <v>749</v>
      </c>
      <c r="B28" s="69" t="s">
        <v>750</v>
      </c>
      <c r="C28" s="70" t="s">
        <v>751</v>
      </c>
      <c r="D28" s="71">
        <v>600</v>
      </c>
      <c r="E28" s="174">
        <v>5</v>
      </c>
      <c r="F28" s="174">
        <v>5</v>
      </c>
      <c r="G28" s="174">
        <v>8</v>
      </c>
      <c r="H28" s="72">
        <v>0.1</v>
      </c>
      <c r="I28" s="40">
        <f t="shared" si="0"/>
        <v>540</v>
      </c>
    </row>
    <row r="29" spans="1:9" ht="15.5">
      <c r="A29" s="69" t="s">
        <v>752</v>
      </c>
      <c r="B29" s="69" t="s">
        <v>753</v>
      </c>
      <c r="C29" s="70" t="s">
        <v>754</v>
      </c>
      <c r="D29" s="71">
        <v>600</v>
      </c>
      <c r="E29" s="174">
        <v>5</v>
      </c>
      <c r="F29" s="174">
        <v>5</v>
      </c>
      <c r="G29" s="174">
        <v>8</v>
      </c>
      <c r="H29" s="72">
        <v>0.1</v>
      </c>
      <c r="I29" s="40">
        <f t="shared" si="0"/>
        <v>540</v>
      </c>
    </row>
    <row r="30" spans="1:9" ht="15.5">
      <c r="A30" s="69" t="s">
        <v>755</v>
      </c>
      <c r="B30" s="69" t="s">
        <v>756</v>
      </c>
      <c r="C30" s="70" t="s">
        <v>757</v>
      </c>
      <c r="D30" s="71">
        <v>600</v>
      </c>
      <c r="E30" s="174">
        <v>5</v>
      </c>
      <c r="F30" s="174">
        <v>5</v>
      </c>
      <c r="G30" s="174">
        <v>8</v>
      </c>
      <c r="H30" s="72">
        <v>0.1</v>
      </c>
      <c r="I30" s="40">
        <f t="shared" si="0"/>
        <v>540</v>
      </c>
    </row>
    <row r="31" spans="1:9" ht="15.5">
      <c r="A31" s="69" t="s">
        <v>758</v>
      </c>
      <c r="B31" s="69" t="s">
        <v>759</v>
      </c>
      <c r="C31" s="70" t="s">
        <v>760</v>
      </c>
      <c r="D31" s="71">
        <v>600</v>
      </c>
      <c r="E31" s="174">
        <v>5</v>
      </c>
      <c r="F31" s="174">
        <v>5</v>
      </c>
      <c r="G31" s="174">
        <v>8</v>
      </c>
      <c r="H31" s="72">
        <v>0.1</v>
      </c>
      <c r="I31" s="40">
        <f t="shared" si="0"/>
        <v>540</v>
      </c>
    </row>
    <row r="32" spans="1:9" ht="15.5">
      <c r="A32" s="69" t="s">
        <v>761</v>
      </c>
      <c r="B32" s="69" t="s">
        <v>762</v>
      </c>
      <c r="C32" s="70" t="s">
        <v>763</v>
      </c>
      <c r="D32" s="71">
        <v>600</v>
      </c>
      <c r="E32" s="174">
        <v>5</v>
      </c>
      <c r="F32" s="174">
        <v>5</v>
      </c>
      <c r="G32" s="174">
        <v>8</v>
      </c>
      <c r="H32" s="72">
        <v>0.1</v>
      </c>
      <c r="I32" s="40">
        <f t="shared" si="0"/>
        <v>540</v>
      </c>
    </row>
    <row r="33" spans="1:9" ht="15.5">
      <c r="A33" s="69" t="s">
        <v>764</v>
      </c>
      <c r="B33" s="69" t="s">
        <v>765</v>
      </c>
      <c r="C33" s="70" t="s">
        <v>766</v>
      </c>
      <c r="D33" s="71">
        <v>600</v>
      </c>
      <c r="E33" s="174">
        <v>5</v>
      </c>
      <c r="F33" s="174">
        <v>5</v>
      </c>
      <c r="G33" s="174">
        <v>8</v>
      </c>
      <c r="H33" s="72">
        <v>0.1</v>
      </c>
      <c r="I33" s="40">
        <f t="shared" si="0"/>
        <v>540</v>
      </c>
    </row>
    <row r="34" spans="1:9" ht="15.5">
      <c r="A34" s="69" t="s">
        <v>767</v>
      </c>
      <c r="B34" s="69" t="s">
        <v>768</v>
      </c>
      <c r="C34" s="70" t="s">
        <v>769</v>
      </c>
      <c r="D34" s="71">
        <v>600</v>
      </c>
      <c r="E34" s="174">
        <v>5</v>
      </c>
      <c r="F34" s="174">
        <v>5</v>
      </c>
      <c r="G34" s="174">
        <v>8</v>
      </c>
      <c r="H34" s="72">
        <v>0.1</v>
      </c>
      <c r="I34" s="40">
        <f t="shared" si="0"/>
        <v>540</v>
      </c>
    </row>
    <row r="35" spans="1:9" ht="15.5">
      <c r="A35" s="69" t="s">
        <v>770</v>
      </c>
      <c r="B35" s="69" t="s">
        <v>771</v>
      </c>
      <c r="C35" s="70" t="s">
        <v>772</v>
      </c>
      <c r="D35" s="71">
        <v>600</v>
      </c>
      <c r="E35" s="174">
        <v>5</v>
      </c>
      <c r="F35" s="174">
        <v>5</v>
      </c>
      <c r="G35" s="174">
        <v>8</v>
      </c>
      <c r="H35" s="72">
        <v>0.1</v>
      </c>
      <c r="I35" s="40">
        <f t="shared" si="0"/>
        <v>540</v>
      </c>
    </row>
    <row r="36" spans="1:9" ht="15.5">
      <c r="A36" s="69" t="s">
        <v>773</v>
      </c>
      <c r="B36" s="69" t="s">
        <v>774</v>
      </c>
      <c r="C36" s="70" t="s">
        <v>775</v>
      </c>
      <c r="D36" s="71">
        <v>600</v>
      </c>
      <c r="E36" s="174">
        <v>5</v>
      </c>
      <c r="F36" s="174">
        <v>5</v>
      </c>
      <c r="G36" s="174">
        <v>8</v>
      </c>
      <c r="H36" s="72">
        <v>0.1</v>
      </c>
      <c r="I36" s="40">
        <f t="shared" si="0"/>
        <v>540</v>
      </c>
    </row>
    <row r="37" spans="1:9" ht="15.5">
      <c r="A37" s="69" t="s">
        <v>776</v>
      </c>
      <c r="B37" s="69" t="s">
        <v>777</v>
      </c>
      <c r="C37" s="70" t="s">
        <v>778</v>
      </c>
      <c r="D37" s="71">
        <v>600</v>
      </c>
      <c r="E37" s="174">
        <v>5</v>
      </c>
      <c r="F37" s="174">
        <v>5</v>
      </c>
      <c r="G37" s="174">
        <v>8</v>
      </c>
      <c r="H37" s="72">
        <v>0.1</v>
      </c>
      <c r="I37" s="40">
        <f t="shared" si="0"/>
        <v>540</v>
      </c>
    </row>
    <row r="38" spans="1:9" ht="15.5">
      <c r="A38" s="69" t="s">
        <v>779</v>
      </c>
      <c r="B38" s="69" t="s">
        <v>780</v>
      </c>
      <c r="C38" s="70" t="s">
        <v>781</v>
      </c>
      <c r="D38" s="71">
        <v>600</v>
      </c>
      <c r="E38" s="174">
        <v>5</v>
      </c>
      <c r="F38" s="174">
        <v>5</v>
      </c>
      <c r="G38" s="174">
        <v>8</v>
      </c>
      <c r="H38" s="72">
        <v>0.1</v>
      </c>
      <c r="I38" s="40">
        <f t="shared" si="0"/>
        <v>540</v>
      </c>
    </row>
    <row r="39" spans="1:9" ht="15.5">
      <c r="A39" s="69" t="s">
        <v>782</v>
      </c>
      <c r="B39" s="69" t="s">
        <v>783</v>
      </c>
      <c r="C39" s="70" t="s">
        <v>784</v>
      </c>
      <c r="D39" s="71">
        <v>600</v>
      </c>
      <c r="E39" s="174">
        <v>5</v>
      </c>
      <c r="F39" s="174">
        <v>5</v>
      </c>
      <c r="G39" s="174">
        <v>8</v>
      </c>
      <c r="H39" s="72">
        <v>0.1</v>
      </c>
      <c r="I39" s="40">
        <f t="shared" si="0"/>
        <v>540</v>
      </c>
    </row>
    <row r="40" spans="1:9" ht="15.5">
      <c r="A40" s="69" t="s">
        <v>785</v>
      </c>
      <c r="B40" s="69" t="s">
        <v>786</v>
      </c>
      <c r="C40" s="70" t="s">
        <v>787</v>
      </c>
      <c r="D40" s="71">
        <v>600</v>
      </c>
      <c r="E40" s="174">
        <v>5</v>
      </c>
      <c r="F40" s="174">
        <v>5</v>
      </c>
      <c r="G40" s="174">
        <v>8</v>
      </c>
      <c r="H40" s="72">
        <v>0.1</v>
      </c>
      <c r="I40" s="40">
        <f t="shared" si="0"/>
        <v>540</v>
      </c>
    </row>
    <row r="41" spans="1:9">
      <c r="E41" s="65">
        <f>SUM(E2:E40)</f>
        <v>201</v>
      </c>
      <c r="F41" s="65">
        <f>SUM(F2:F40)</f>
        <v>175</v>
      </c>
      <c r="G41" s="65">
        <f>SUM(G2:G40)</f>
        <v>297</v>
      </c>
    </row>
  </sheetData>
  <pageMargins left="0.15" right="7.0000000000000007E-2" top="0.38" bottom="0.4" header="0.31" footer="0.3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7DD2-9F1C-4995-B1C9-D6D944673F5B}">
  <dimension ref="A1:E23"/>
  <sheetViews>
    <sheetView workbookViewId="0">
      <selection activeCell="C1" sqref="C1:C1048576"/>
    </sheetView>
  </sheetViews>
  <sheetFormatPr defaultColWidth="8.36328125" defaultRowHeight="14.5"/>
  <cols>
    <col min="1" max="1" width="16.1796875" style="3" bestFit="1" customWidth="1"/>
    <col min="2" max="2" width="42.08984375" style="3" bestFit="1" customWidth="1"/>
    <col min="3" max="3" width="13" style="3" bestFit="1" customWidth="1"/>
    <col min="4" max="4" width="9.36328125" style="3" bestFit="1" customWidth="1"/>
    <col min="5" max="5" width="7.08984375" style="3" bestFit="1" customWidth="1"/>
    <col min="6" max="16384" width="8.36328125" style="3"/>
  </cols>
  <sheetData>
    <row r="1" spans="1:5" ht="15.5">
      <c r="A1" s="5" t="s">
        <v>0</v>
      </c>
      <c r="B1" s="5" t="s">
        <v>1</v>
      </c>
      <c r="C1" s="5" t="s">
        <v>4</v>
      </c>
      <c r="D1" s="5" t="s">
        <v>3</v>
      </c>
      <c r="E1" s="5" t="s">
        <v>2</v>
      </c>
    </row>
    <row r="2" spans="1:5" ht="15.5">
      <c r="A2" s="97" t="s">
        <v>1424</v>
      </c>
      <c r="B2" s="97" t="s">
        <v>1425</v>
      </c>
      <c r="C2" s="6" t="s">
        <v>1426</v>
      </c>
      <c r="D2" s="7">
        <v>2280</v>
      </c>
      <c r="E2" s="7">
        <v>0</v>
      </c>
    </row>
    <row r="3" spans="1:5" ht="15.5">
      <c r="A3" s="97" t="s">
        <v>1427</v>
      </c>
      <c r="B3" s="97" t="s">
        <v>1428</v>
      </c>
      <c r="C3" s="6" t="s">
        <v>1429</v>
      </c>
      <c r="D3" s="7">
        <v>2280</v>
      </c>
      <c r="E3" s="7">
        <v>0</v>
      </c>
    </row>
    <row r="4" spans="1:5" ht="15.5">
      <c r="A4" s="97" t="s">
        <v>1430</v>
      </c>
      <c r="B4" s="97" t="s">
        <v>1431</v>
      </c>
      <c r="C4" s="6" t="s">
        <v>1432</v>
      </c>
      <c r="D4" s="7">
        <v>2280</v>
      </c>
      <c r="E4" s="7">
        <v>0</v>
      </c>
    </row>
    <row r="5" spans="1:5" ht="15.5">
      <c r="A5" s="97" t="s">
        <v>1433</v>
      </c>
      <c r="B5" s="97" t="s">
        <v>1434</v>
      </c>
      <c r="C5" s="6" t="s">
        <v>1435</v>
      </c>
      <c r="D5" s="7">
        <v>2280</v>
      </c>
      <c r="E5" s="7">
        <v>0</v>
      </c>
    </row>
    <row r="6" spans="1:5" ht="15.5">
      <c r="A6" s="97" t="s">
        <v>1436</v>
      </c>
      <c r="B6" s="97" t="s">
        <v>1437</v>
      </c>
      <c r="C6" s="6" t="s">
        <v>1438</v>
      </c>
      <c r="D6" s="7">
        <v>2280</v>
      </c>
      <c r="E6" s="7">
        <v>0</v>
      </c>
    </row>
    <row r="7" spans="1:5" ht="15.5">
      <c r="A7" s="97" t="s">
        <v>1439</v>
      </c>
      <c r="B7" s="97" t="s">
        <v>1440</v>
      </c>
      <c r="C7" s="6" t="s">
        <v>1441</v>
      </c>
      <c r="D7" s="7">
        <v>2280</v>
      </c>
      <c r="E7" s="7">
        <v>0</v>
      </c>
    </row>
    <row r="8" spans="1:5" ht="15.5">
      <c r="A8" s="97" t="s">
        <v>1442</v>
      </c>
      <c r="B8" s="97" t="s">
        <v>1443</v>
      </c>
      <c r="C8" s="6" t="s">
        <v>1444</v>
      </c>
      <c r="D8" s="7">
        <v>2280</v>
      </c>
      <c r="E8" s="7">
        <v>0</v>
      </c>
    </row>
    <row r="9" spans="1:5" ht="15.5">
      <c r="A9" s="97" t="s">
        <v>1445</v>
      </c>
      <c r="B9" s="97" t="s">
        <v>1446</v>
      </c>
      <c r="C9" s="6" t="s">
        <v>1447</v>
      </c>
      <c r="D9" s="7">
        <v>2280</v>
      </c>
      <c r="E9" s="7">
        <v>0</v>
      </c>
    </row>
    <row r="10" spans="1:5" ht="15.5">
      <c r="A10" s="97" t="s">
        <v>1448</v>
      </c>
      <c r="B10" s="97" t="s">
        <v>1449</v>
      </c>
      <c r="C10" s="6" t="s">
        <v>1450</v>
      </c>
      <c r="D10" s="7">
        <v>1980</v>
      </c>
      <c r="E10" s="7">
        <v>0</v>
      </c>
    </row>
    <row r="11" spans="1:5" ht="15.5">
      <c r="A11" s="97" t="s">
        <v>1451</v>
      </c>
      <c r="B11" s="97" t="s">
        <v>1452</v>
      </c>
      <c r="C11" s="6" t="s">
        <v>1453</v>
      </c>
      <c r="D11" s="7">
        <v>1980</v>
      </c>
      <c r="E11" s="7">
        <v>0</v>
      </c>
    </row>
    <row r="12" spans="1:5" ht="15.5">
      <c r="A12" s="97" t="s">
        <v>1454</v>
      </c>
      <c r="B12" s="97" t="s">
        <v>1455</v>
      </c>
      <c r="C12" s="6" t="s">
        <v>1456</v>
      </c>
      <c r="D12" s="7">
        <v>1980</v>
      </c>
      <c r="E12" s="7">
        <v>-1</v>
      </c>
    </row>
    <row r="13" spans="1:5" ht="15.5">
      <c r="A13" s="97" t="s">
        <v>1457</v>
      </c>
      <c r="B13" s="97" t="s">
        <v>1458</v>
      </c>
      <c r="C13" s="6" t="s">
        <v>1459</v>
      </c>
      <c r="D13" s="7">
        <v>1980</v>
      </c>
      <c r="E13" s="7">
        <v>-1</v>
      </c>
    </row>
    <row r="14" spans="1:5" ht="15.5">
      <c r="A14" s="97" t="s">
        <v>1460</v>
      </c>
      <c r="B14" s="97" t="s">
        <v>1461</v>
      </c>
      <c r="C14" s="6" t="s">
        <v>1462</v>
      </c>
      <c r="D14" s="7">
        <v>1980</v>
      </c>
      <c r="E14" s="7">
        <v>-1</v>
      </c>
    </row>
    <row r="15" spans="1:5" ht="15.5">
      <c r="A15" s="97" t="s">
        <v>1463</v>
      </c>
      <c r="B15" s="97" t="s">
        <v>1464</v>
      </c>
      <c r="C15" s="6" t="s">
        <v>1465</v>
      </c>
      <c r="D15" s="7">
        <v>1980</v>
      </c>
      <c r="E15" s="7">
        <v>0</v>
      </c>
    </row>
    <row r="16" spans="1:5" ht="15.5">
      <c r="A16" s="97" t="s">
        <v>1466</v>
      </c>
      <c r="B16" s="97" t="s">
        <v>1467</v>
      </c>
      <c r="C16" s="6" t="s">
        <v>1468</v>
      </c>
      <c r="D16" s="7">
        <v>1980</v>
      </c>
      <c r="E16" s="7">
        <v>0</v>
      </c>
    </row>
    <row r="17" spans="1:5" ht="15.5">
      <c r="A17" s="97" t="s">
        <v>1469</v>
      </c>
      <c r="B17" s="97" t="s">
        <v>1470</v>
      </c>
      <c r="C17" s="6" t="s">
        <v>1471</v>
      </c>
      <c r="D17" s="7">
        <v>1980</v>
      </c>
      <c r="E17" s="7">
        <v>-1</v>
      </c>
    </row>
    <row r="18" spans="1:5" ht="15.5">
      <c r="A18" s="97" t="s">
        <v>1472</v>
      </c>
      <c r="B18" s="97" t="s">
        <v>1473</v>
      </c>
      <c r="C18" s="6" t="s">
        <v>1474</v>
      </c>
      <c r="D18" s="7">
        <v>1980</v>
      </c>
      <c r="E18" s="7">
        <v>-1</v>
      </c>
    </row>
    <row r="19" spans="1:5" ht="15.5">
      <c r="A19" s="97" t="s">
        <v>1475</v>
      </c>
      <c r="B19" s="97" t="s">
        <v>1476</v>
      </c>
      <c r="C19" s="6" t="s">
        <v>1477</v>
      </c>
      <c r="D19" s="7">
        <v>1980</v>
      </c>
      <c r="E19" s="7">
        <v>-2</v>
      </c>
    </row>
    <row r="20" spans="1:5" ht="15.5">
      <c r="A20" s="97" t="s">
        <v>1478</v>
      </c>
      <c r="B20" s="97" t="s">
        <v>1479</v>
      </c>
      <c r="C20" s="6" t="s">
        <v>1480</v>
      </c>
      <c r="D20" s="7">
        <v>1980</v>
      </c>
      <c r="E20" s="7">
        <v>-3</v>
      </c>
    </row>
    <row r="21" spans="1:5" ht="15.5">
      <c r="A21" s="97" t="s">
        <v>1481</v>
      </c>
      <c r="B21" s="97" t="s">
        <v>1482</v>
      </c>
      <c r="C21" s="6" t="s">
        <v>1483</v>
      </c>
      <c r="D21" s="7">
        <v>1980</v>
      </c>
      <c r="E21" s="7">
        <v>-1</v>
      </c>
    </row>
    <row r="22" spans="1:5" ht="15.5">
      <c r="A22" s="97" t="s">
        <v>1484</v>
      </c>
      <c r="B22" s="97" t="s">
        <v>1485</v>
      </c>
      <c r="C22" s="6" t="s">
        <v>1486</v>
      </c>
      <c r="D22" s="7">
        <v>1980</v>
      </c>
      <c r="E22" s="7">
        <v>-1</v>
      </c>
    </row>
    <row r="23" spans="1:5" ht="15.5">
      <c r="A23" s="97" t="s">
        <v>1487</v>
      </c>
      <c r="B23" s="97" t="s">
        <v>1488</v>
      </c>
      <c r="C23" s="6" t="s">
        <v>1489</v>
      </c>
      <c r="D23" s="7">
        <v>1980</v>
      </c>
      <c r="E23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B0D9-6409-484F-B325-BF1774ADE150}">
  <dimension ref="A1:I37"/>
  <sheetViews>
    <sheetView workbookViewId="0">
      <pane ySplit="1" topLeftCell="A2" activePane="bottomLeft" state="frozen"/>
      <selection pane="bottomLeft" activeCell="G1" sqref="G1"/>
    </sheetView>
  </sheetViews>
  <sheetFormatPr defaultColWidth="8.36328125" defaultRowHeight="14.5"/>
  <cols>
    <col min="1" max="1" width="18.26953125" style="112" bestFit="1" customWidth="1"/>
    <col min="2" max="2" width="53.7265625" style="112" bestFit="1" customWidth="1"/>
    <col min="3" max="3" width="13" style="112" bestFit="1" customWidth="1"/>
    <col min="4" max="4" width="9.36328125" style="112" bestFit="1" customWidth="1"/>
    <col min="5" max="5" width="7.08984375" style="112" customWidth="1"/>
    <col min="6" max="6" width="5.81640625" style="112" bestFit="1" customWidth="1"/>
    <col min="7" max="7" width="8.36328125" style="112"/>
    <col min="8" max="8" width="5.1796875" style="75" customWidth="1"/>
    <col min="9" max="9" width="5.26953125" style="73" customWidth="1"/>
    <col min="10" max="16384" width="8.36328125" style="112"/>
  </cols>
  <sheetData>
    <row r="1" spans="1:9" s="183" customFormat="1" ht="46.5">
      <c r="A1" s="66" t="s">
        <v>85</v>
      </c>
      <c r="B1" s="66" t="s">
        <v>86</v>
      </c>
      <c r="C1" s="66" t="s">
        <v>4</v>
      </c>
      <c r="D1" s="67" t="s">
        <v>670</v>
      </c>
      <c r="E1" s="182" t="s">
        <v>1695</v>
      </c>
      <c r="F1" s="182" t="s">
        <v>87</v>
      </c>
      <c r="G1" s="121" t="s">
        <v>1691</v>
      </c>
      <c r="H1" s="115" t="s">
        <v>88</v>
      </c>
      <c r="I1" s="33" t="s">
        <v>374</v>
      </c>
    </row>
    <row r="2" spans="1:9" ht="15.5">
      <c r="A2" s="179" t="s">
        <v>1576</v>
      </c>
      <c r="B2" s="179" t="s">
        <v>1577</v>
      </c>
      <c r="C2" s="107" t="s">
        <v>1690</v>
      </c>
      <c r="D2" s="180">
        <v>299</v>
      </c>
      <c r="E2" s="113">
        <v>4</v>
      </c>
      <c r="F2" s="181"/>
      <c r="G2" s="184"/>
      <c r="H2" s="72">
        <v>0.1</v>
      </c>
      <c r="I2" s="40">
        <f t="shared" ref="I2:I37" si="0">D2-(D2*H2)</f>
        <v>269.10000000000002</v>
      </c>
    </row>
    <row r="3" spans="1:9" ht="15.5">
      <c r="A3" s="179" t="s">
        <v>1578</v>
      </c>
      <c r="B3" s="179" t="s">
        <v>1579</v>
      </c>
      <c r="C3" s="107" t="s">
        <v>1689</v>
      </c>
      <c r="D3" s="180">
        <v>269</v>
      </c>
      <c r="E3" s="113">
        <v>1</v>
      </c>
      <c r="F3" s="181"/>
      <c r="G3" s="184"/>
      <c r="H3" s="72">
        <v>0.1</v>
      </c>
      <c r="I3" s="40">
        <f t="shared" si="0"/>
        <v>242.1</v>
      </c>
    </row>
    <row r="4" spans="1:9" ht="15.5">
      <c r="A4" s="179" t="s">
        <v>1580</v>
      </c>
      <c r="B4" s="179" t="s">
        <v>1581</v>
      </c>
      <c r="C4" s="107" t="s">
        <v>1688</v>
      </c>
      <c r="D4" s="180">
        <v>459</v>
      </c>
      <c r="E4" s="113">
        <v>1</v>
      </c>
      <c r="F4" s="181"/>
      <c r="G4" s="184"/>
      <c r="H4" s="72">
        <v>0.1</v>
      </c>
      <c r="I4" s="40">
        <f t="shared" si="0"/>
        <v>413.1</v>
      </c>
    </row>
    <row r="5" spans="1:9" ht="15.5">
      <c r="A5" s="179" t="s">
        <v>1582</v>
      </c>
      <c r="B5" s="179" t="s">
        <v>1583</v>
      </c>
      <c r="C5" s="107" t="s">
        <v>1676</v>
      </c>
      <c r="D5" s="180">
        <v>1299</v>
      </c>
      <c r="E5" s="113">
        <v>2</v>
      </c>
      <c r="F5" s="181"/>
      <c r="G5" s="184"/>
      <c r="H5" s="72">
        <v>0.1</v>
      </c>
      <c r="I5" s="40">
        <f t="shared" si="0"/>
        <v>1169.0999999999999</v>
      </c>
    </row>
    <row r="6" spans="1:9" ht="15.5">
      <c r="A6" s="179" t="s">
        <v>1584</v>
      </c>
      <c r="B6" s="179" t="s">
        <v>1585</v>
      </c>
      <c r="C6" s="107" t="s">
        <v>1675</v>
      </c>
      <c r="D6" s="180">
        <v>1299</v>
      </c>
      <c r="E6" s="113">
        <v>2</v>
      </c>
      <c r="F6" s="181"/>
      <c r="G6" s="184"/>
      <c r="H6" s="72">
        <v>0.1</v>
      </c>
      <c r="I6" s="40">
        <f t="shared" si="0"/>
        <v>1169.0999999999999</v>
      </c>
    </row>
    <row r="7" spans="1:9" ht="15.5">
      <c r="A7" s="179" t="s">
        <v>1586</v>
      </c>
      <c r="B7" s="179" t="s">
        <v>1587</v>
      </c>
      <c r="C7" s="107" t="s">
        <v>1674</v>
      </c>
      <c r="D7" s="180">
        <v>1499</v>
      </c>
      <c r="E7" s="113">
        <v>1</v>
      </c>
      <c r="F7" s="181">
        <v>2</v>
      </c>
      <c r="G7" s="184"/>
      <c r="H7" s="72">
        <v>0.1</v>
      </c>
      <c r="I7" s="40">
        <f t="shared" si="0"/>
        <v>1349.1</v>
      </c>
    </row>
    <row r="8" spans="1:9" ht="15.5">
      <c r="A8" s="179" t="s">
        <v>1588</v>
      </c>
      <c r="B8" s="179" t="s">
        <v>1589</v>
      </c>
      <c r="C8" s="107" t="s">
        <v>1673</v>
      </c>
      <c r="D8" s="180">
        <v>1499</v>
      </c>
      <c r="E8" s="181">
        <v>1</v>
      </c>
      <c r="F8" s="181"/>
      <c r="G8" s="184"/>
      <c r="H8" s="72">
        <v>0.1</v>
      </c>
      <c r="I8" s="40">
        <f t="shared" si="0"/>
        <v>1349.1</v>
      </c>
    </row>
    <row r="9" spans="1:9" ht="15.5">
      <c r="A9" s="179" t="s">
        <v>1590</v>
      </c>
      <c r="B9" s="179" t="s">
        <v>1591</v>
      </c>
      <c r="C9" s="107" t="s">
        <v>1687</v>
      </c>
      <c r="D9" s="180">
        <v>2599</v>
      </c>
      <c r="E9" s="181">
        <v>1</v>
      </c>
      <c r="F9" s="181"/>
      <c r="G9" s="184"/>
      <c r="H9" s="72">
        <v>0.1</v>
      </c>
      <c r="I9" s="40">
        <f t="shared" si="0"/>
        <v>2339.1</v>
      </c>
    </row>
    <row r="10" spans="1:9" ht="15.5">
      <c r="A10" s="179" t="s">
        <v>1592</v>
      </c>
      <c r="B10" s="179" t="s">
        <v>1593</v>
      </c>
      <c r="C10" s="107" t="s">
        <v>1685</v>
      </c>
      <c r="D10" s="180">
        <v>429</v>
      </c>
      <c r="E10" s="181">
        <v>2</v>
      </c>
      <c r="F10" s="181">
        <v>5</v>
      </c>
      <c r="G10" s="184"/>
      <c r="H10" s="72">
        <v>0.1</v>
      </c>
      <c r="I10" s="40">
        <f t="shared" si="0"/>
        <v>386.1</v>
      </c>
    </row>
    <row r="11" spans="1:9" ht="15.5">
      <c r="A11" s="179" t="s">
        <v>1594</v>
      </c>
      <c r="B11" s="179" t="s">
        <v>1595</v>
      </c>
      <c r="C11" s="107" t="s">
        <v>1684</v>
      </c>
      <c r="D11" s="180">
        <v>459</v>
      </c>
      <c r="E11" s="181">
        <v>1</v>
      </c>
      <c r="F11" s="181">
        <v>1</v>
      </c>
      <c r="G11" s="184"/>
      <c r="H11" s="72">
        <v>0.1</v>
      </c>
      <c r="I11" s="40">
        <f t="shared" si="0"/>
        <v>413.1</v>
      </c>
    </row>
    <row r="12" spans="1:9" ht="15.5">
      <c r="A12" s="179" t="s">
        <v>1596</v>
      </c>
      <c r="B12" s="179" t="s">
        <v>1597</v>
      </c>
      <c r="C12" s="107" t="s">
        <v>1686</v>
      </c>
      <c r="D12" s="180">
        <v>429</v>
      </c>
      <c r="E12" s="181">
        <v>2</v>
      </c>
      <c r="F12" s="181"/>
      <c r="G12" s="184"/>
      <c r="H12" s="72">
        <v>0.1</v>
      </c>
      <c r="I12" s="40">
        <f t="shared" si="0"/>
        <v>386.1</v>
      </c>
    </row>
    <row r="13" spans="1:9" ht="15.5">
      <c r="A13" s="179" t="s">
        <v>1598</v>
      </c>
      <c r="B13" s="179" t="s">
        <v>1599</v>
      </c>
      <c r="C13" s="107" t="s">
        <v>1683</v>
      </c>
      <c r="D13" s="180">
        <v>459</v>
      </c>
      <c r="E13" s="181">
        <v>1</v>
      </c>
      <c r="F13" s="181"/>
      <c r="G13" s="184"/>
      <c r="H13" s="72">
        <v>0.1</v>
      </c>
      <c r="I13" s="40">
        <f t="shared" si="0"/>
        <v>413.1</v>
      </c>
    </row>
    <row r="14" spans="1:9" ht="15.5">
      <c r="A14" s="179" t="s">
        <v>1600</v>
      </c>
      <c r="B14" s="179" t="s">
        <v>1601</v>
      </c>
      <c r="C14" s="107" t="s">
        <v>1672</v>
      </c>
      <c r="D14" s="180">
        <v>429</v>
      </c>
      <c r="E14" s="181"/>
      <c r="F14" s="181">
        <v>4</v>
      </c>
      <c r="G14" s="184"/>
      <c r="H14" s="72">
        <v>0.1</v>
      </c>
      <c r="I14" s="40">
        <f t="shared" si="0"/>
        <v>386.1</v>
      </c>
    </row>
    <row r="15" spans="1:9" ht="15.5">
      <c r="A15" s="179" t="s">
        <v>1602</v>
      </c>
      <c r="B15" s="179" t="s">
        <v>1603</v>
      </c>
      <c r="C15" s="107" t="s">
        <v>1682</v>
      </c>
      <c r="D15" s="180">
        <v>499</v>
      </c>
      <c r="E15" s="181">
        <v>1</v>
      </c>
      <c r="F15" s="181">
        <v>3</v>
      </c>
      <c r="G15" s="184"/>
      <c r="H15" s="72">
        <v>0.1</v>
      </c>
      <c r="I15" s="40">
        <f t="shared" si="0"/>
        <v>449.1</v>
      </c>
    </row>
    <row r="16" spans="1:9" ht="15.5">
      <c r="A16" s="179" t="s">
        <v>1604</v>
      </c>
      <c r="B16" s="179" t="s">
        <v>1605</v>
      </c>
      <c r="C16" s="107" t="s">
        <v>1681</v>
      </c>
      <c r="D16" s="180">
        <v>1899</v>
      </c>
      <c r="E16" s="181">
        <v>1</v>
      </c>
      <c r="F16" s="181"/>
      <c r="G16" s="184"/>
      <c r="H16" s="72">
        <v>0.1</v>
      </c>
      <c r="I16" s="40">
        <f t="shared" si="0"/>
        <v>1709.1</v>
      </c>
    </row>
    <row r="17" spans="1:9" ht="15.5">
      <c r="A17" s="179" t="s">
        <v>1606</v>
      </c>
      <c r="B17" s="179" t="s">
        <v>1607</v>
      </c>
      <c r="C17" s="107" t="s">
        <v>1680</v>
      </c>
      <c r="D17" s="180">
        <v>1899</v>
      </c>
      <c r="E17" s="181"/>
      <c r="F17" s="181">
        <v>1</v>
      </c>
      <c r="G17" s="184"/>
      <c r="H17" s="72">
        <v>0.1</v>
      </c>
      <c r="I17" s="40">
        <f t="shared" si="0"/>
        <v>1709.1</v>
      </c>
    </row>
    <row r="18" spans="1:9" ht="15.5">
      <c r="A18" s="179" t="s">
        <v>1608</v>
      </c>
      <c r="B18" s="179" t="s">
        <v>1609</v>
      </c>
      <c r="C18" s="107" t="s">
        <v>1679</v>
      </c>
      <c r="D18" s="180">
        <v>2199</v>
      </c>
      <c r="E18" s="181">
        <v>1</v>
      </c>
      <c r="F18" s="181"/>
      <c r="G18" s="184"/>
      <c r="H18" s="72">
        <v>0.1</v>
      </c>
      <c r="I18" s="40">
        <f t="shared" si="0"/>
        <v>1979.1</v>
      </c>
    </row>
    <row r="19" spans="1:9" ht="15.5">
      <c r="A19" s="179" t="s">
        <v>1610</v>
      </c>
      <c r="B19" s="179" t="s">
        <v>1611</v>
      </c>
      <c r="C19" s="107" t="s">
        <v>1678</v>
      </c>
      <c r="D19" s="180">
        <v>2199</v>
      </c>
      <c r="E19" s="181">
        <v>1</v>
      </c>
      <c r="F19" s="181">
        <v>1</v>
      </c>
      <c r="G19" s="184"/>
      <c r="H19" s="72">
        <v>0.1</v>
      </c>
      <c r="I19" s="40">
        <f t="shared" si="0"/>
        <v>1979.1</v>
      </c>
    </row>
    <row r="20" spans="1:9" ht="15.5">
      <c r="A20" s="179" t="s">
        <v>1612</v>
      </c>
      <c r="B20" s="179" t="s">
        <v>1613</v>
      </c>
      <c r="C20" s="107" t="s">
        <v>1677</v>
      </c>
      <c r="D20" s="180">
        <v>2499</v>
      </c>
      <c r="E20" s="181">
        <v>1</v>
      </c>
      <c r="F20" s="181"/>
      <c r="G20" s="184"/>
      <c r="H20" s="72">
        <v>0.1</v>
      </c>
      <c r="I20" s="40">
        <f t="shared" si="0"/>
        <v>2249.1</v>
      </c>
    </row>
    <row r="21" spans="1:9" ht="15.5">
      <c r="A21" s="179" t="s">
        <v>1627</v>
      </c>
      <c r="B21" s="179" t="s">
        <v>1628</v>
      </c>
      <c r="C21" s="107" t="s">
        <v>1669</v>
      </c>
      <c r="D21" s="180">
        <v>1199</v>
      </c>
      <c r="E21" s="181">
        <v>2</v>
      </c>
      <c r="F21" s="181"/>
      <c r="G21" s="184"/>
      <c r="H21" s="72">
        <v>0.1</v>
      </c>
      <c r="I21" s="40">
        <f t="shared" si="0"/>
        <v>1079.0999999999999</v>
      </c>
    </row>
    <row r="22" spans="1:9" ht="15.5">
      <c r="A22" s="179" t="s">
        <v>1619</v>
      </c>
      <c r="B22" s="179" t="s">
        <v>1620</v>
      </c>
      <c r="C22" s="107" t="s">
        <v>1670</v>
      </c>
      <c r="D22" s="180">
        <v>1199</v>
      </c>
      <c r="E22" s="181">
        <v>1</v>
      </c>
      <c r="F22" s="181"/>
      <c r="G22" s="184"/>
      <c r="H22" s="72">
        <v>0.1</v>
      </c>
      <c r="I22" s="40">
        <f t="shared" si="0"/>
        <v>1079.0999999999999</v>
      </c>
    </row>
    <row r="23" spans="1:9" ht="15.5">
      <c r="A23" s="179" t="s">
        <v>1625</v>
      </c>
      <c r="B23" s="179" t="s">
        <v>1626</v>
      </c>
      <c r="C23" s="107" t="s">
        <v>1671</v>
      </c>
      <c r="D23" s="180">
        <v>1899</v>
      </c>
      <c r="E23" s="181">
        <v>2</v>
      </c>
      <c r="F23" s="181"/>
      <c r="G23" s="184"/>
      <c r="H23" s="72">
        <v>0.1</v>
      </c>
      <c r="I23" s="40">
        <f t="shared" si="0"/>
        <v>1709.1</v>
      </c>
    </row>
    <row r="24" spans="1:9" ht="15.5">
      <c r="A24" s="179" t="s">
        <v>1614</v>
      </c>
      <c r="B24" s="179" t="s">
        <v>1615</v>
      </c>
      <c r="C24" s="107" t="s">
        <v>2099</v>
      </c>
      <c r="D24" s="180">
        <v>799</v>
      </c>
      <c r="E24" s="181">
        <v>1</v>
      </c>
      <c r="F24" s="181">
        <v>2</v>
      </c>
      <c r="G24" s="184"/>
      <c r="H24" s="72">
        <v>0.1</v>
      </c>
      <c r="I24" s="40">
        <f t="shared" si="0"/>
        <v>719.1</v>
      </c>
    </row>
    <row r="25" spans="1:9" ht="15.5">
      <c r="A25" s="179" t="s">
        <v>1616</v>
      </c>
      <c r="B25" s="179" t="s">
        <v>1617</v>
      </c>
      <c r="C25" s="107" t="s">
        <v>2089</v>
      </c>
      <c r="D25" s="180">
        <v>399</v>
      </c>
      <c r="E25" s="181">
        <v>2</v>
      </c>
      <c r="F25" s="181">
        <v>4</v>
      </c>
      <c r="G25" s="184"/>
      <c r="H25" s="72">
        <v>0.1</v>
      </c>
      <c r="I25" s="40">
        <f t="shared" si="0"/>
        <v>359.1</v>
      </c>
    </row>
    <row r="26" spans="1:9" ht="15.5">
      <c r="A26" s="179" t="s">
        <v>1618</v>
      </c>
      <c r="B26" s="179" t="s">
        <v>1617</v>
      </c>
      <c r="C26" s="107" t="s">
        <v>2088</v>
      </c>
      <c r="D26" s="180">
        <v>399</v>
      </c>
      <c r="E26" s="181">
        <v>2</v>
      </c>
      <c r="F26" s="181">
        <v>5</v>
      </c>
      <c r="G26" s="184"/>
      <c r="H26" s="72">
        <v>0.1</v>
      </c>
      <c r="I26" s="40">
        <f t="shared" si="0"/>
        <v>359.1</v>
      </c>
    </row>
    <row r="27" spans="1:9" ht="15.5">
      <c r="A27" s="179" t="s">
        <v>1623</v>
      </c>
      <c r="B27" s="179" t="s">
        <v>1624</v>
      </c>
      <c r="C27" s="107" t="s">
        <v>2090</v>
      </c>
      <c r="D27" s="180">
        <v>1699</v>
      </c>
      <c r="E27" s="181">
        <v>2</v>
      </c>
      <c r="F27" s="181"/>
      <c r="G27" s="184"/>
      <c r="H27" s="72">
        <v>0.1</v>
      </c>
      <c r="I27" s="40">
        <f t="shared" si="0"/>
        <v>1529.1</v>
      </c>
    </row>
    <row r="28" spans="1:9" ht="15.5">
      <c r="A28" s="179" t="s">
        <v>1621</v>
      </c>
      <c r="B28" s="179" t="s">
        <v>1622</v>
      </c>
      <c r="C28" s="107" t="s">
        <v>2091</v>
      </c>
      <c r="D28" s="180">
        <v>1699</v>
      </c>
      <c r="E28" s="181">
        <v>1</v>
      </c>
      <c r="F28" s="181"/>
      <c r="G28" s="184"/>
      <c r="H28" s="72">
        <v>0.1</v>
      </c>
      <c r="I28" s="40">
        <f t="shared" si="0"/>
        <v>1529.1</v>
      </c>
    </row>
    <row r="29" spans="1:9" ht="15.5">
      <c r="A29" s="179" t="s">
        <v>1629</v>
      </c>
      <c r="B29" s="179" t="s">
        <v>1630</v>
      </c>
      <c r="C29" s="107" t="s">
        <v>2097</v>
      </c>
      <c r="D29" s="180">
        <v>1299</v>
      </c>
      <c r="E29" s="181"/>
      <c r="F29" s="181">
        <v>1</v>
      </c>
      <c r="G29" s="184"/>
      <c r="H29" s="72">
        <v>0.1</v>
      </c>
      <c r="I29" s="40">
        <f t="shared" si="0"/>
        <v>1169.0999999999999</v>
      </c>
    </row>
    <row r="30" spans="1:9" ht="15.5">
      <c r="A30" s="179" t="s">
        <v>1631</v>
      </c>
      <c r="B30" s="179" t="s">
        <v>1632</v>
      </c>
      <c r="C30" s="107" t="s">
        <v>2096</v>
      </c>
      <c r="D30" s="180">
        <v>1399</v>
      </c>
      <c r="E30" s="181">
        <v>1</v>
      </c>
      <c r="F30" s="181">
        <v>4</v>
      </c>
      <c r="G30" s="184"/>
      <c r="H30" s="72">
        <v>0.1</v>
      </c>
      <c r="I30" s="40">
        <f t="shared" si="0"/>
        <v>1259.0999999999999</v>
      </c>
    </row>
    <row r="31" spans="1:9" ht="15.5">
      <c r="A31" s="179" t="s">
        <v>1633</v>
      </c>
      <c r="B31" s="179" t="s">
        <v>1634</v>
      </c>
      <c r="C31" s="107" t="s">
        <v>2098</v>
      </c>
      <c r="D31" s="180">
        <v>1099</v>
      </c>
      <c r="E31" s="181">
        <v>1</v>
      </c>
      <c r="F31" s="181"/>
      <c r="G31" s="184"/>
      <c r="H31" s="72">
        <v>0.1</v>
      </c>
      <c r="I31" s="40">
        <f t="shared" si="0"/>
        <v>989.1</v>
      </c>
    </row>
    <row r="32" spans="1:9" ht="15.5">
      <c r="A32" s="179" t="s">
        <v>1635</v>
      </c>
      <c r="B32" s="179" t="s">
        <v>1636</v>
      </c>
      <c r="C32" s="107" t="s">
        <v>2094</v>
      </c>
      <c r="D32" s="180">
        <v>259</v>
      </c>
      <c r="E32" s="181">
        <v>2</v>
      </c>
      <c r="F32" s="181"/>
      <c r="G32" s="184"/>
      <c r="H32" s="72">
        <v>0.1</v>
      </c>
      <c r="I32" s="40">
        <f t="shared" si="0"/>
        <v>233.1</v>
      </c>
    </row>
    <row r="33" spans="1:9" ht="15.5">
      <c r="A33" s="179" t="s">
        <v>1637</v>
      </c>
      <c r="B33" s="179" t="s">
        <v>1638</v>
      </c>
      <c r="C33" s="107" t="s">
        <v>2095</v>
      </c>
      <c r="D33" s="180">
        <v>499</v>
      </c>
      <c r="E33" s="181">
        <v>3</v>
      </c>
      <c r="F33" s="181">
        <v>8</v>
      </c>
      <c r="G33" s="184"/>
      <c r="H33" s="72">
        <v>0.1</v>
      </c>
      <c r="I33" s="40">
        <f t="shared" si="0"/>
        <v>449.1</v>
      </c>
    </row>
    <row r="34" spans="1:9" ht="15.5">
      <c r="A34" s="179" t="s">
        <v>1639</v>
      </c>
      <c r="B34" s="179" t="s">
        <v>1640</v>
      </c>
      <c r="C34" s="107" t="s">
        <v>2092</v>
      </c>
      <c r="D34" s="180">
        <v>259</v>
      </c>
      <c r="E34" s="181"/>
      <c r="F34" s="181">
        <v>2</v>
      </c>
      <c r="G34" s="184"/>
      <c r="H34" s="72">
        <v>0.1</v>
      </c>
      <c r="I34" s="40">
        <f t="shared" si="0"/>
        <v>233.1</v>
      </c>
    </row>
    <row r="35" spans="1:9" ht="15.5">
      <c r="A35" s="179" t="s">
        <v>1641</v>
      </c>
      <c r="B35" s="179" t="s">
        <v>1642</v>
      </c>
      <c r="C35" s="107" t="s">
        <v>2093</v>
      </c>
      <c r="D35" s="180">
        <v>259</v>
      </c>
      <c r="E35" s="181">
        <v>1</v>
      </c>
      <c r="F35" s="181">
        <v>4</v>
      </c>
      <c r="G35" s="184"/>
      <c r="H35" s="72">
        <v>0.1</v>
      </c>
      <c r="I35" s="40">
        <f t="shared" si="0"/>
        <v>233.1</v>
      </c>
    </row>
    <row r="36" spans="1:9" ht="15.5">
      <c r="A36" s="179" t="s">
        <v>1643</v>
      </c>
      <c r="B36" s="179" t="s">
        <v>1644</v>
      </c>
      <c r="C36" s="107" t="s">
        <v>2087</v>
      </c>
      <c r="D36" s="180">
        <v>999</v>
      </c>
      <c r="E36" s="181"/>
      <c r="F36" s="181">
        <v>2</v>
      </c>
      <c r="G36" s="184"/>
      <c r="H36" s="72">
        <v>0.1</v>
      </c>
      <c r="I36" s="40">
        <f t="shared" si="0"/>
        <v>899.1</v>
      </c>
    </row>
    <row r="37" spans="1:9" ht="15.5">
      <c r="A37" s="179" t="s">
        <v>1645</v>
      </c>
      <c r="B37" s="179" t="s">
        <v>1646</v>
      </c>
      <c r="C37" s="107" t="s">
        <v>2086</v>
      </c>
      <c r="D37" s="180">
        <v>1299</v>
      </c>
      <c r="E37" s="181"/>
      <c r="F37" s="181">
        <v>2</v>
      </c>
      <c r="G37" s="184"/>
      <c r="H37" s="72">
        <v>0.1</v>
      </c>
      <c r="I37" s="40">
        <f t="shared" si="0"/>
        <v>1169.0999999999999</v>
      </c>
    </row>
  </sheetData>
  <sortState xmlns:xlrd2="http://schemas.microsoft.com/office/spreadsheetml/2017/richdata2" ref="A2:F37">
    <sortCondition ref="A2:A3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C8C6-FCD9-4EC7-B99A-D728393B91D6}">
  <sheetPr>
    <pageSetUpPr fitToPage="1"/>
  </sheetPr>
  <dimension ref="A1:K956"/>
  <sheetViews>
    <sheetView zoomScaleNormal="100" workbookViewId="0">
      <pane ySplit="2" topLeftCell="A5" activePane="bottomLeft" state="frozen"/>
      <selection pane="bottomLeft" activeCell="K78" sqref="K78"/>
    </sheetView>
  </sheetViews>
  <sheetFormatPr defaultColWidth="12.6328125" defaultRowHeight="15" customHeight="1"/>
  <cols>
    <col min="1" max="1" width="18.453125" style="14" bestFit="1" customWidth="1"/>
    <col min="2" max="2" width="63.1796875" style="14" bestFit="1" customWidth="1"/>
    <col min="3" max="3" width="13" style="14" bestFit="1" customWidth="1"/>
    <col min="4" max="4" width="5.81640625" style="15" bestFit="1" customWidth="1"/>
    <col min="5" max="5" width="5.81640625" style="15" customWidth="1"/>
    <col min="6" max="6" width="8.08984375" style="16" customWidth="1"/>
    <col min="7" max="7" width="4.26953125" style="15" bestFit="1" customWidth="1"/>
    <col min="8" max="8" width="7.90625" style="14" bestFit="1" customWidth="1"/>
    <col min="9" max="9" width="5" style="14" bestFit="1" customWidth="1"/>
    <col min="10" max="27" width="14.36328125" style="14" customWidth="1"/>
    <col min="28" max="16384" width="12.6328125" style="14"/>
  </cols>
  <sheetData>
    <row r="1" spans="1:9" ht="21" customHeight="1">
      <c r="A1" s="189" t="s">
        <v>85</v>
      </c>
      <c r="B1" s="189" t="s">
        <v>86</v>
      </c>
      <c r="C1" s="189" t="s">
        <v>4</v>
      </c>
      <c r="D1" s="187" t="s">
        <v>1647</v>
      </c>
      <c r="E1" s="187" t="s">
        <v>87</v>
      </c>
      <c r="F1" s="200" t="s">
        <v>1691</v>
      </c>
      <c r="G1" s="192" t="s">
        <v>88</v>
      </c>
      <c r="H1" s="187" t="s">
        <v>89</v>
      </c>
      <c r="I1" s="195" t="s">
        <v>90</v>
      </c>
    </row>
    <row r="2" spans="1:9" ht="19.75" customHeight="1">
      <c r="A2" s="190"/>
      <c r="B2" s="190"/>
      <c r="C2" s="198"/>
      <c r="D2" s="197"/>
      <c r="E2" s="199"/>
      <c r="F2" s="200"/>
      <c r="G2" s="193"/>
      <c r="H2" s="194"/>
      <c r="I2" s="196"/>
    </row>
    <row r="3" spans="1:9" ht="23.4" hidden="1" customHeight="1">
      <c r="A3" s="76" t="s">
        <v>119</v>
      </c>
      <c r="B3" s="76" t="s">
        <v>120</v>
      </c>
      <c r="C3" s="77" t="s">
        <v>121</v>
      </c>
      <c r="D3" s="186"/>
      <c r="E3" s="78"/>
      <c r="F3" s="79"/>
      <c r="G3" s="19"/>
      <c r="H3" s="80">
        <v>1150</v>
      </c>
      <c r="I3" s="81">
        <f>H3-(H3*G3)</f>
        <v>1150</v>
      </c>
    </row>
    <row r="4" spans="1:9" ht="15.5" hidden="1">
      <c r="A4" s="76" t="s">
        <v>122</v>
      </c>
      <c r="B4" s="76" t="s">
        <v>123</v>
      </c>
      <c r="C4" s="77" t="s">
        <v>124</v>
      </c>
      <c r="D4" s="186"/>
      <c r="E4" s="82"/>
      <c r="F4" s="79"/>
      <c r="G4" s="19"/>
      <c r="H4" s="80">
        <v>1150</v>
      </c>
      <c r="I4" s="83">
        <f t="shared" ref="I4:I67" si="0">H4-(H4*G4)</f>
        <v>1150</v>
      </c>
    </row>
    <row r="5" spans="1:9" ht="15.5">
      <c r="A5" s="76" t="s">
        <v>125</v>
      </c>
      <c r="B5" s="76" t="s">
        <v>126</v>
      </c>
      <c r="C5" s="77" t="s">
        <v>127</v>
      </c>
      <c r="D5" s="186"/>
      <c r="E5" s="82">
        <v>5</v>
      </c>
      <c r="F5" s="79">
        <v>5</v>
      </c>
      <c r="G5" s="19">
        <v>0.1</v>
      </c>
      <c r="H5" s="80">
        <v>1150</v>
      </c>
      <c r="I5" s="84">
        <f t="shared" si="0"/>
        <v>1035</v>
      </c>
    </row>
    <row r="6" spans="1:9" ht="15.5" hidden="1">
      <c r="A6" s="76" t="s">
        <v>128</v>
      </c>
      <c r="B6" s="76" t="s">
        <v>129</v>
      </c>
      <c r="C6" s="77" t="s">
        <v>130</v>
      </c>
      <c r="D6" s="186"/>
      <c r="E6" s="82"/>
      <c r="F6" s="79"/>
      <c r="G6" s="19"/>
      <c r="H6" s="80">
        <v>1150</v>
      </c>
      <c r="I6" s="84">
        <f>H6-(H6*G6)</f>
        <v>1150</v>
      </c>
    </row>
    <row r="7" spans="1:9" ht="15.5" hidden="1">
      <c r="A7" s="76" t="s">
        <v>131</v>
      </c>
      <c r="B7" s="76" t="s">
        <v>132</v>
      </c>
      <c r="C7" s="77" t="s">
        <v>133</v>
      </c>
      <c r="D7" s="186"/>
      <c r="E7" s="82"/>
      <c r="F7" s="79"/>
      <c r="G7" s="19"/>
      <c r="H7" s="80">
        <v>1150</v>
      </c>
      <c r="I7" s="84">
        <f t="shared" si="0"/>
        <v>1150</v>
      </c>
    </row>
    <row r="8" spans="1:9" ht="15.5" hidden="1">
      <c r="A8" s="76" t="s">
        <v>134</v>
      </c>
      <c r="B8" s="76" t="s">
        <v>135</v>
      </c>
      <c r="C8" s="77" t="s">
        <v>136</v>
      </c>
      <c r="D8" s="186"/>
      <c r="E8" s="82"/>
      <c r="F8" s="79"/>
      <c r="G8" s="19"/>
      <c r="H8" s="80">
        <v>1150</v>
      </c>
      <c r="I8" s="84">
        <f t="shared" si="0"/>
        <v>1150</v>
      </c>
    </row>
    <row r="9" spans="1:9" ht="15.5">
      <c r="A9" s="76" t="s">
        <v>137</v>
      </c>
      <c r="B9" s="76" t="s">
        <v>138</v>
      </c>
      <c r="C9" s="77" t="s">
        <v>139</v>
      </c>
      <c r="D9" s="186">
        <v>1</v>
      </c>
      <c r="E9" s="82"/>
      <c r="F9" s="79">
        <v>1</v>
      </c>
      <c r="G9" s="19">
        <v>0.1</v>
      </c>
      <c r="H9" s="80">
        <v>1150</v>
      </c>
      <c r="I9" s="84">
        <f t="shared" si="0"/>
        <v>1035</v>
      </c>
    </row>
    <row r="10" spans="1:9" ht="15.5" hidden="1">
      <c r="A10" s="76" t="s">
        <v>140</v>
      </c>
      <c r="B10" s="76" t="s">
        <v>141</v>
      </c>
      <c r="C10" s="77" t="s">
        <v>142</v>
      </c>
      <c r="D10" s="186"/>
      <c r="E10" s="82"/>
      <c r="F10" s="79"/>
      <c r="G10" s="19">
        <v>0.1</v>
      </c>
      <c r="H10" s="80">
        <v>1150</v>
      </c>
      <c r="I10" s="84">
        <f t="shared" si="0"/>
        <v>1035</v>
      </c>
    </row>
    <row r="11" spans="1:9" ht="15.5" hidden="1">
      <c r="A11" s="76" t="s">
        <v>143</v>
      </c>
      <c r="B11" s="76" t="s">
        <v>144</v>
      </c>
      <c r="C11" s="77" t="s">
        <v>145</v>
      </c>
      <c r="D11" s="186"/>
      <c r="E11" s="82"/>
      <c r="F11" s="79"/>
      <c r="G11" s="19">
        <v>0.1</v>
      </c>
      <c r="H11" s="80">
        <v>1150</v>
      </c>
      <c r="I11" s="84">
        <f t="shared" si="0"/>
        <v>1035</v>
      </c>
    </row>
    <row r="12" spans="1:9" ht="15.5" hidden="1">
      <c r="A12" s="76" t="s">
        <v>146</v>
      </c>
      <c r="B12" s="76" t="s">
        <v>147</v>
      </c>
      <c r="C12" s="77" t="s">
        <v>148</v>
      </c>
      <c r="D12" s="186"/>
      <c r="E12" s="82"/>
      <c r="F12" s="79"/>
      <c r="G12" s="19">
        <v>0.1</v>
      </c>
      <c r="H12" s="80">
        <v>1250</v>
      </c>
      <c r="I12" s="84">
        <f t="shared" si="0"/>
        <v>1125</v>
      </c>
    </row>
    <row r="13" spans="1:9" ht="15.5" hidden="1">
      <c r="A13" s="76" t="s">
        <v>149</v>
      </c>
      <c r="B13" s="76" t="s">
        <v>150</v>
      </c>
      <c r="C13" s="77" t="s">
        <v>151</v>
      </c>
      <c r="D13" s="186"/>
      <c r="E13" s="82"/>
      <c r="F13" s="79"/>
      <c r="G13" s="19">
        <v>0.1</v>
      </c>
      <c r="H13" s="80">
        <v>1150</v>
      </c>
      <c r="I13" s="84">
        <f t="shared" si="0"/>
        <v>1035</v>
      </c>
    </row>
    <row r="14" spans="1:9" ht="15.5">
      <c r="A14" s="76" t="s">
        <v>152</v>
      </c>
      <c r="B14" s="76" t="s">
        <v>153</v>
      </c>
      <c r="C14" s="77" t="s">
        <v>154</v>
      </c>
      <c r="D14" s="186">
        <v>1</v>
      </c>
      <c r="E14" s="82"/>
      <c r="F14" s="79">
        <v>1</v>
      </c>
      <c r="G14" s="19">
        <v>0.1</v>
      </c>
      <c r="H14" s="80">
        <v>1150</v>
      </c>
      <c r="I14" s="84">
        <f t="shared" si="0"/>
        <v>1035</v>
      </c>
    </row>
    <row r="15" spans="1:9" ht="15.5" hidden="1">
      <c r="A15" s="76" t="s">
        <v>155</v>
      </c>
      <c r="B15" s="76" t="s">
        <v>156</v>
      </c>
      <c r="C15" s="77" t="s">
        <v>157</v>
      </c>
      <c r="D15" s="186"/>
      <c r="E15" s="82"/>
      <c r="F15" s="79"/>
      <c r="G15" s="19">
        <v>0.1</v>
      </c>
      <c r="H15" s="80">
        <v>1150</v>
      </c>
      <c r="I15" s="84">
        <f t="shared" si="0"/>
        <v>1035</v>
      </c>
    </row>
    <row r="16" spans="1:9" ht="15.5" hidden="1">
      <c r="A16" s="76" t="s">
        <v>158</v>
      </c>
      <c r="B16" s="76" t="s">
        <v>159</v>
      </c>
      <c r="C16" s="77" t="s">
        <v>160</v>
      </c>
      <c r="D16" s="186"/>
      <c r="E16" s="82"/>
      <c r="F16" s="79"/>
      <c r="G16" s="19">
        <v>0.1</v>
      </c>
      <c r="H16" s="80">
        <v>1150</v>
      </c>
      <c r="I16" s="84">
        <f t="shared" si="0"/>
        <v>1035</v>
      </c>
    </row>
    <row r="17" spans="1:9" ht="15.5" hidden="1">
      <c r="A17" s="76" t="s">
        <v>161</v>
      </c>
      <c r="B17" s="76" t="s">
        <v>162</v>
      </c>
      <c r="C17" s="77" t="s">
        <v>163</v>
      </c>
      <c r="D17" s="186"/>
      <c r="E17" s="82"/>
      <c r="F17" s="79"/>
      <c r="G17" s="19">
        <v>0.1</v>
      </c>
      <c r="H17" s="80">
        <v>1150</v>
      </c>
      <c r="I17" s="84">
        <f t="shared" si="0"/>
        <v>1035</v>
      </c>
    </row>
    <row r="18" spans="1:9" ht="15.5" hidden="1">
      <c r="A18" s="76" t="s">
        <v>164</v>
      </c>
      <c r="B18" s="76" t="s">
        <v>165</v>
      </c>
      <c r="C18" s="77" t="s">
        <v>166</v>
      </c>
      <c r="D18" s="186"/>
      <c r="E18" s="82"/>
      <c r="F18" s="79"/>
      <c r="G18" s="19">
        <v>0.1</v>
      </c>
      <c r="H18" s="80">
        <v>1150</v>
      </c>
      <c r="I18" s="84">
        <f t="shared" si="0"/>
        <v>1035</v>
      </c>
    </row>
    <row r="19" spans="1:9" ht="15.5">
      <c r="A19" s="76" t="s">
        <v>167</v>
      </c>
      <c r="B19" s="76" t="s">
        <v>168</v>
      </c>
      <c r="C19" s="77" t="s">
        <v>169</v>
      </c>
      <c r="D19" s="186">
        <v>2</v>
      </c>
      <c r="E19" s="82"/>
      <c r="F19" s="79">
        <v>2</v>
      </c>
      <c r="G19" s="19">
        <v>0.1</v>
      </c>
      <c r="H19" s="80">
        <v>1150</v>
      </c>
      <c r="I19" s="84">
        <f t="shared" si="0"/>
        <v>1035</v>
      </c>
    </row>
    <row r="20" spans="1:9" ht="15.5" hidden="1">
      <c r="A20" s="76" t="s">
        <v>170</v>
      </c>
      <c r="B20" s="76" t="s">
        <v>171</v>
      </c>
      <c r="C20" s="77" t="s">
        <v>172</v>
      </c>
      <c r="D20" s="186"/>
      <c r="E20" s="82"/>
      <c r="F20" s="79"/>
      <c r="G20" s="19">
        <v>0.1</v>
      </c>
      <c r="H20" s="80">
        <v>1150</v>
      </c>
      <c r="I20" s="84">
        <f t="shared" si="0"/>
        <v>1035</v>
      </c>
    </row>
    <row r="21" spans="1:9" ht="15.5" hidden="1">
      <c r="A21" s="76" t="s">
        <v>173</v>
      </c>
      <c r="B21" s="76" t="s">
        <v>174</v>
      </c>
      <c r="C21" s="77" t="s">
        <v>175</v>
      </c>
      <c r="D21" s="186"/>
      <c r="E21" s="82"/>
      <c r="F21" s="79"/>
      <c r="G21" s="19">
        <v>0.1</v>
      </c>
      <c r="H21" s="80">
        <v>1550</v>
      </c>
      <c r="I21" s="84">
        <f t="shared" si="0"/>
        <v>1395</v>
      </c>
    </row>
    <row r="22" spans="1:9" ht="15.5" hidden="1">
      <c r="A22" s="76" t="s">
        <v>176</v>
      </c>
      <c r="B22" s="76" t="s">
        <v>177</v>
      </c>
      <c r="C22" s="77" t="s">
        <v>178</v>
      </c>
      <c r="D22" s="186"/>
      <c r="E22" s="82"/>
      <c r="F22" s="79"/>
      <c r="G22" s="19">
        <v>0.1</v>
      </c>
      <c r="H22" s="80">
        <v>1150</v>
      </c>
      <c r="I22" s="84">
        <f t="shared" si="0"/>
        <v>1035</v>
      </c>
    </row>
    <row r="23" spans="1:9" ht="15.5" hidden="1">
      <c r="A23" s="76" t="s">
        <v>179</v>
      </c>
      <c r="B23" s="76" t="s">
        <v>180</v>
      </c>
      <c r="C23" s="77" t="s">
        <v>181</v>
      </c>
      <c r="D23" s="186"/>
      <c r="E23" s="82"/>
      <c r="F23" s="79"/>
      <c r="G23" s="19">
        <v>0.1</v>
      </c>
      <c r="H23" s="80">
        <v>1550</v>
      </c>
      <c r="I23" s="84">
        <f t="shared" si="0"/>
        <v>1395</v>
      </c>
    </row>
    <row r="24" spans="1:9" ht="15.5" hidden="1">
      <c r="A24" s="76" t="s">
        <v>182</v>
      </c>
      <c r="B24" s="76" t="s">
        <v>183</v>
      </c>
      <c r="C24" s="77" t="s">
        <v>184</v>
      </c>
      <c r="D24" s="186"/>
      <c r="E24" s="82"/>
      <c r="F24" s="79"/>
      <c r="G24" s="19">
        <v>0.1</v>
      </c>
      <c r="H24" s="80">
        <v>1350</v>
      </c>
      <c r="I24" s="84">
        <f t="shared" si="0"/>
        <v>1215</v>
      </c>
    </row>
    <row r="25" spans="1:9" ht="15.5" hidden="1">
      <c r="A25" s="76" t="s">
        <v>185</v>
      </c>
      <c r="B25" s="76" t="s">
        <v>186</v>
      </c>
      <c r="C25" s="77" t="s">
        <v>187</v>
      </c>
      <c r="D25" s="186"/>
      <c r="E25" s="82"/>
      <c r="F25" s="79"/>
      <c r="G25" s="19">
        <v>0.1</v>
      </c>
      <c r="H25" s="80">
        <v>1550</v>
      </c>
      <c r="I25" s="84">
        <f t="shared" si="0"/>
        <v>1395</v>
      </c>
    </row>
    <row r="26" spans="1:9" ht="15.5" hidden="1">
      <c r="A26" s="76" t="s">
        <v>188</v>
      </c>
      <c r="B26" s="76" t="s">
        <v>189</v>
      </c>
      <c r="C26" s="77" t="s">
        <v>190</v>
      </c>
      <c r="D26" s="186"/>
      <c r="E26" s="82"/>
      <c r="F26" s="79"/>
      <c r="G26" s="19">
        <v>0.1</v>
      </c>
      <c r="H26" s="80">
        <v>1650</v>
      </c>
      <c r="I26" s="84">
        <f t="shared" si="0"/>
        <v>1485</v>
      </c>
    </row>
    <row r="27" spans="1:9" ht="15.5" hidden="1">
      <c r="A27" s="76" t="s">
        <v>191</v>
      </c>
      <c r="B27" s="76" t="s">
        <v>192</v>
      </c>
      <c r="C27" s="77" t="s">
        <v>193</v>
      </c>
      <c r="D27" s="186"/>
      <c r="E27" s="82"/>
      <c r="F27" s="79"/>
      <c r="G27" s="19">
        <v>0.1</v>
      </c>
      <c r="H27" s="80">
        <v>1150</v>
      </c>
      <c r="I27" s="84">
        <f t="shared" si="0"/>
        <v>1035</v>
      </c>
    </row>
    <row r="28" spans="1:9" ht="15.5" hidden="1">
      <c r="A28" s="76" t="s">
        <v>194</v>
      </c>
      <c r="B28" s="76" t="s">
        <v>195</v>
      </c>
      <c r="C28" s="77" t="s">
        <v>196</v>
      </c>
      <c r="D28" s="186"/>
      <c r="E28" s="82"/>
      <c r="F28" s="79"/>
      <c r="G28" s="19">
        <v>0.1</v>
      </c>
      <c r="H28" s="80">
        <v>1150</v>
      </c>
      <c r="I28" s="84">
        <f t="shared" si="0"/>
        <v>1035</v>
      </c>
    </row>
    <row r="29" spans="1:9" ht="15.5">
      <c r="A29" s="76" t="s">
        <v>197</v>
      </c>
      <c r="B29" s="76" t="s">
        <v>198</v>
      </c>
      <c r="C29" s="77" t="s">
        <v>199</v>
      </c>
      <c r="D29" s="186">
        <v>1</v>
      </c>
      <c r="E29" s="82"/>
      <c r="F29" s="79">
        <v>1</v>
      </c>
      <c r="G29" s="19">
        <v>0.1</v>
      </c>
      <c r="H29" s="80">
        <v>1150</v>
      </c>
      <c r="I29" s="84">
        <f t="shared" si="0"/>
        <v>1035</v>
      </c>
    </row>
    <row r="30" spans="1:9" ht="15.5" hidden="1">
      <c r="A30" s="76" t="s">
        <v>200</v>
      </c>
      <c r="B30" s="76" t="s">
        <v>201</v>
      </c>
      <c r="C30" s="77" t="s">
        <v>202</v>
      </c>
      <c r="D30" s="186"/>
      <c r="E30" s="82"/>
      <c r="F30" s="79"/>
      <c r="G30" s="19">
        <v>0.1</v>
      </c>
      <c r="H30" s="80">
        <v>1150</v>
      </c>
      <c r="I30" s="84">
        <f t="shared" si="0"/>
        <v>1035</v>
      </c>
    </row>
    <row r="31" spans="1:9" ht="15.5">
      <c r="A31" s="76" t="s">
        <v>203</v>
      </c>
      <c r="B31" s="76" t="s">
        <v>204</v>
      </c>
      <c r="C31" s="77" t="s">
        <v>205</v>
      </c>
      <c r="D31" s="186">
        <v>1</v>
      </c>
      <c r="E31" s="82"/>
      <c r="F31" s="79">
        <v>1</v>
      </c>
      <c r="G31" s="19">
        <v>0.1</v>
      </c>
      <c r="H31" s="80">
        <v>1150</v>
      </c>
      <c r="I31" s="84">
        <f t="shared" si="0"/>
        <v>1035</v>
      </c>
    </row>
    <row r="32" spans="1:9" ht="15.5">
      <c r="A32" s="76" t="s">
        <v>206</v>
      </c>
      <c r="B32" s="76" t="s">
        <v>207</v>
      </c>
      <c r="C32" s="77" t="s">
        <v>208</v>
      </c>
      <c r="D32" s="186"/>
      <c r="E32" s="82">
        <v>2</v>
      </c>
      <c r="F32" s="79">
        <v>2</v>
      </c>
      <c r="G32" s="19">
        <v>0.1</v>
      </c>
      <c r="H32" s="80">
        <v>1150</v>
      </c>
      <c r="I32" s="84">
        <f t="shared" si="0"/>
        <v>1035</v>
      </c>
    </row>
    <row r="33" spans="1:11" ht="15.5">
      <c r="A33" s="76" t="s">
        <v>209</v>
      </c>
      <c r="B33" s="76" t="s">
        <v>210</v>
      </c>
      <c r="C33" s="77" t="s">
        <v>211</v>
      </c>
      <c r="D33" s="186"/>
      <c r="E33" s="82">
        <v>1</v>
      </c>
      <c r="F33" s="79">
        <v>1</v>
      </c>
      <c r="G33" s="19">
        <v>0.1</v>
      </c>
      <c r="H33" s="80">
        <v>1150</v>
      </c>
      <c r="I33" s="84">
        <f t="shared" si="0"/>
        <v>1035</v>
      </c>
    </row>
    <row r="34" spans="1:11" ht="15.5" hidden="1">
      <c r="A34" s="76" t="s">
        <v>212</v>
      </c>
      <c r="B34" s="76" t="s">
        <v>213</v>
      </c>
      <c r="C34" s="77" t="s">
        <v>214</v>
      </c>
      <c r="D34" s="186"/>
      <c r="E34" s="82"/>
      <c r="F34" s="79"/>
      <c r="G34" s="19">
        <v>0.1</v>
      </c>
      <c r="H34" s="80">
        <v>1350</v>
      </c>
      <c r="I34" s="84">
        <f t="shared" si="0"/>
        <v>1215</v>
      </c>
    </row>
    <row r="35" spans="1:11" ht="15.5">
      <c r="A35" s="76" t="s">
        <v>215</v>
      </c>
      <c r="B35" s="76" t="s">
        <v>216</v>
      </c>
      <c r="C35" s="77" t="s">
        <v>217</v>
      </c>
      <c r="D35" s="186">
        <v>1</v>
      </c>
      <c r="E35" s="82">
        <v>2</v>
      </c>
      <c r="F35" s="79">
        <v>3</v>
      </c>
      <c r="G35" s="19">
        <v>0.1</v>
      </c>
      <c r="H35" s="80">
        <v>1150</v>
      </c>
      <c r="I35" s="84">
        <f t="shared" si="0"/>
        <v>1035</v>
      </c>
    </row>
    <row r="36" spans="1:11" ht="15.5" hidden="1">
      <c r="A36" s="76" t="s">
        <v>218</v>
      </c>
      <c r="B36" s="76" t="s">
        <v>219</v>
      </c>
      <c r="C36" s="77" t="s">
        <v>220</v>
      </c>
      <c r="D36" s="186"/>
      <c r="E36" s="82"/>
      <c r="F36" s="79"/>
      <c r="G36" s="19">
        <v>0.1</v>
      </c>
      <c r="H36" s="80">
        <v>1150</v>
      </c>
      <c r="I36" s="84">
        <f t="shared" si="0"/>
        <v>1035</v>
      </c>
    </row>
    <row r="37" spans="1:11" ht="15.5" hidden="1">
      <c r="A37" s="76" t="s">
        <v>221</v>
      </c>
      <c r="B37" s="76" t="s">
        <v>222</v>
      </c>
      <c r="C37" s="77" t="s">
        <v>223</v>
      </c>
      <c r="D37" s="186"/>
      <c r="E37" s="82"/>
      <c r="F37" s="79"/>
      <c r="G37" s="19">
        <v>0.1</v>
      </c>
      <c r="H37" s="80">
        <v>2000</v>
      </c>
      <c r="I37" s="84">
        <f t="shared" si="0"/>
        <v>1800</v>
      </c>
    </row>
    <row r="38" spans="1:11" ht="15.5">
      <c r="A38" s="76" t="s">
        <v>224</v>
      </c>
      <c r="B38" s="76" t="s">
        <v>225</v>
      </c>
      <c r="C38" s="77" t="s">
        <v>226</v>
      </c>
      <c r="D38" s="186">
        <v>1</v>
      </c>
      <c r="E38" s="82"/>
      <c r="F38" s="79">
        <v>1</v>
      </c>
      <c r="G38" s="19">
        <v>0.1</v>
      </c>
      <c r="H38" s="80">
        <v>1150</v>
      </c>
      <c r="I38" s="84">
        <f t="shared" si="0"/>
        <v>1035</v>
      </c>
    </row>
    <row r="39" spans="1:11" ht="15.5" hidden="1">
      <c r="A39" s="76" t="s">
        <v>227</v>
      </c>
      <c r="B39" s="76" t="s">
        <v>228</v>
      </c>
      <c r="C39" s="77" t="s">
        <v>229</v>
      </c>
      <c r="D39" s="186"/>
      <c r="E39" s="82"/>
      <c r="F39" s="79"/>
      <c r="G39" s="19">
        <v>0.1</v>
      </c>
      <c r="H39" s="80">
        <v>1150</v>
      </c>
      <c r="I39" s="84">
        <f t="shared" si="0"/>
        <v>1035</v>
      </c>
    </row>
    <row r="40" spans="1:11" ht="15.5">
      <c r="A40" s="76" t="s">
        <v>230</v>
      </c>
      <c r="B40" s="76" t="s">
        <v>231</v>
      </c>
      <c r="C40" s="77" t="s">
        <v>232</v>
      </c>
      <c r="D40" s="186">
        <v>1</v>
      </c>
      <c r="E40" s="82">
        <v>1</v>
      </c>
      <c r="F40" s="79">
        <v>2</v>
      </c>
      <c r="G40" s="19">
        <v>0.1</v>
      </c>
      <c r="H40" s="80">
        <v>1250</v>
      </c>
      <c r="I40" s="84">
        <f t="shared" si="0"/>
        <v>1125</v>
      </c>
    </row>
    <row r="41" spans="1:11" ht="15.5" hidden="1">
      <c r="A41" s="76" t="s">
        <v>233</v>
      </c>
      <c r="B41" s="76" t="s">
        <v>234</v>
      </c>
      <c r="C41" s="77" t="s">
        <v>235</v>
      </c>
      <c r="D41" s="186"/>
      <c r="E41" s="82"/>
      <c r="F41" s="79"/>
      <c r="G41" s="19">
        <v>0.1</v>
      </c>
      <c r="H41" s="80">
        <v>1150</v>
      </c>
      <c r="I41" s="84">
        <f t="shared" si="0"/>
        <v>1035</v>
      </c>
    </row>
    <row r="42" spans="1:11" ht="15.5" hidden="1">
      <c r="A42" s="76" t="s">
        <v>236</v>
      </c>
      <c r="B42" s="76" t="s">
        <v>237</v>
      </c>
      <c r="C42" s="77" t="s">
        <v>238</v>
      </c>
      <c r="D42" s="186"/>
      <c r="E42" s="82"/>
      <c r="F42" s="79"/>
      <c r="G42" s="19">
        <v>0.1</v>
      </c>
      <c r="H42" s="80">
        <v>1150</v>
      </c>
      <c r="I42" s="84">
        <f t="shared" si="0"/>
        <v>1035</v>
      </c>
    </row>
    <row r="43" spans="1:11" ht="15.5" hidden="1">
      <c r="A43" s="76" t="s">
        <v>239</v>
      </c>
      <c r="B43" s="76" t="s">
        <v>240</v>
      </c>
      <c r="C43" s="77" t="s">
        <v>241</v>
      </c>
      <c r="D43" s="186"/>
      <c r="E43" s="82"/>
      <c r="F43" s="79"/>
      <c r="G43" s="19">
        <v>0.1</v>
      </c>
      <c r="H43" s="80">
        <v>1150</v>
      </c>
      <c r="I43" s="84">
        <f t="shared" si="0"/>
        <v>1035</v>
      </c>
    </row>
    <row r="44" spans="1:11" ht="15.5" hidden="1">
      <c r="A44" s="76" t="s">
        <v>242</v>
      </c>
      <c r="B44" s="76" t="s">
        <v>243</v>
      </c>
      <c r="C44" s="77" t="s">
        <v>244</v>
      </c>
      <c r="D44" s="186"/>
      <c r="E44" s="82"/>
      <c r="F44" s="79"/>
      <c r="G44" s="19">
        <v>0.1</v>
      </c>
      <c r="H44" s="80">
        <v>1150</v>
      </c>
      <c r="I44" s="84">
        <f t="shared" si="0"/>
        <v>1035</v>
      </c>
    </row>
    <row r="45" spans="1:11" ht="15.5" hidden="1">
      <c r="A45" s="76" t="s">
        <v>245</v>
      </c>
      <c r="B45" s="76" t="s">
        <v>246</v>
      </c>
      <c r="C45" s="77" t="s">
        <v>247</v>
      </c>
      <c r="D45" s="186"/>
      <c r="E45" s="85"/>
      <c r="F45" s="79"/>
      <c r="G45" s="19">
        <v>0.1</v>
      </c>
      <c r="H45" s="80">
        <v>1250</v>
      </c>
      <c r="I45" s="84">
        <f t="shared" si="0"/>
        <v>1125</v>
      </c>
      <c r="J45" s="86"/>
      <c r="K45" s="86"/>
    </row>
    <row r="46" spans="1:11" ht="15.5" hidden="1">
      <c r="A46" s="76" t="s">
        <v>248</v>
      </c>
      <c r="B46" s="76" t="s">
        <v>249</v>
      </c>
      <c r="C46" s="77" t="s">
        <v>250</v>
      </c>
      <c r="D46" s="186"/>
      <c r="F46" s="79"/>
      <c r="G46" s="19">
        <v>0.1</v>
      </c>
      <c r="H46" s="80">
        <v>2000</v>
      </c>
      <c r="I46" s="84">
        <f t="shared" si="0"/>
        <v>1800</v>
      </c>
    </row>
    <row r="47" spans="1:11" ht="15.5" hidden="1">
      <c r="A47" s="76" t="s">
        <v>251</v>
      </c>
      <c r="B47" s="76" t="s">
        <v>252</v>
      </c>
      <c r="C47" s="77" t="s">
        <v>253</v>
      </c>
      <c r="D47" s="186"/>
      <c r="E47" s="85"/>
      <c r="F47" s="79"/>
      <c r="G47" s="19">
        <v>0.1</v>
      </c>
      <c r="H47" s="80">
        <v>1150</v>
      </c>
      <c r="I47" s="84">
        <f t="shared" si="0"/>
        <v>1035</v>
      </c>
    </row>
    <row r="48" spans="1:11" ht="15.5">
      <c r="A48" s="76" t="s">
        <v>254</v>
      </c>
      <c r="B48" s="76" t="s">
        <v>255</v>
      </c>
      <c r="C48" s="77" t="s">
        <v>256</v>
      </c>
      <c r="D48" s="186"/>
      <c r="E48" s="185">
        <v>7</v>
      </c>
      <c r="F48" s="79">
        <v>7</v>
      </c>
      <c r="G48" s="19">
        <v>0.1</v>
      </c>
      <c r="H48" s="80">
        <v>1150</v>
      </c>
      <c r="I48" s="84">
        <f t="shared" si="0"/>
        <v>1035</v>
      </c>
    </row>
    <row r="49" spans="1:9" ht="15.5" hidden="1">
      <c r="A49" s="76" t="s">
        <v>257</v>
      </c>
      <c r="B49" s="76" t="s">
        <v>258</v>
      </c>
      <c r="C49" s="77" t="s">
        <v>259</v>
      </c>
      <c r="D49" s="186"/>
      <c r="E49" s="185"/>
      <c r="F49" s="79"/>
      <c r="G49" s="19">
        <v>0.1</v>
      </c>
      <c r="H49" s="80">
        <v>1150</v>
      </c>
      <c r="I49" s="84">
        <f t="shared" si="0"/>
        <v>1035</v>
      </c>
    </row>
    <row r="50" spans="1:9" ht="15.5">
      <c r="A50" s="76" t="s">
        <v>260</v>
      </c>
      <c r="B50" s="76" t="s">
        <v>261</v>
      </c>
      <c r="C50" s="77" t="s">
        <v>262</v>
      </c>
      <c r="D50" s="186">
        <v>1</v>
      </c>
      <c r="E50" s="185">
        <v>1</v>
      </c>
      <c r="F50" s="79">
        <v>2</v>
      </c>
      <c r="G50" s="19">
        <v>0.1</v>
      </c>
      <c r="H50" s="80">
        <v>1150</v>
      </c>
      <c r="I50" s="84">
        <f t="shared" si="0"/>
        <v>1035</v>
      </c>
    </row>
    <row r="51" spans="1:9" ht="15.5" hidden="1">
      <c r="A51" s="76" t="s">
        <v>263</v>
      </c>
      <c r="B51" s="76" t="s">
        <v>264</v>
      </c>
      <c r="C51" s="77" t="s">
        <v>265</v>
      </c>
      <c r="D51" s="186"/>
      <c r="E51" s="185"/>
      <c r="F51" s="79"/>
      <c r="G51" s="19">
        <v>0.1</v>
      </c>
      <c r="H51" s="80">
        <v>1150</v>
      </c>
      <c r="I51" s="84">
        <f t="shared" si="0"/>
        <v>1035</v>
      </c>
    </row>
    <row r="52" spans="1:9" ht="15.5" hidden="1">
      <c r="A52" s="76" t="s">
        <v>266</v>
      </c>
      <c r="B52" s="76" t="s">
        <v>267</v>
      </c>
      <c r="C52" s="77" t="s">
        <v>268</v>
      </c>
      <c r="D52" s="186"/>
      <c r="E52" s="185"/>
      <c r="F52" s="79"/>
      <c r="G52" s="19">
        <v>0.1</v>
      </c>
      <c r="H52" s="80">
        <v>1150</v>
      </c>
      <c r="I52" s="84">
        <f t="shared" si="0"/>
        <v>1035</v>
      </c>
    </row>
    <row r="53" spans="1:9" ht="15.5" hidden="1">
      <c r="A53" s="76" t="s">
        <v>269</v>
      </c>
      <c r="B53" s="76" t="s">
        <v>270</v>
      </c>
      <c r="C53" s="77" t="s">
        <v>271</v>
      </c>
      <c r="D53" s="186"/>
      <c r="E53" s="185"/>
      <c r="F53" s="79"/>
      <c r="G53" s="19">
        <v>0.1</v>
      </c>
      <c r="H53" s="80">
        <v>1550</v>
      </c>
      <c r="I53" s="84">
        <f t="shared" si="0"/>
        <v>1395</v>
      </c>
    </row>
    <row r="54" spans="1:9" ht="15.5" hidden="1">
      <c r="A54" s="76" t="s">
        <v>272</v>
      </c>
      <c r="B54" s="76" t="s">
        <v>273</v>
      </c>
      <c r="C54" s="77" t="s">
        <v>274</v>
      </c>
      <c r="D54" s="186"/>
      <c r="E54" s="185"/>
      <c r="F54" s="79"/>
      <c r="G54" s="19">
        <v>0.1</v>
      </c>
      <c r="H54" s="80">
        <v>1350</v>
      </c>
      <c r="I54" s="84">
        <f t="shared" si="0"/>
        <v>1215</v>
      </c>
    </row>
    <row r="55" spans="1:9" ht="15.5" hidden="1">
      <c r="A55" s="76" t="s">
        <v>275</v>
      </c>
      <c r="B55" s="76" t="s">
        <v>276</v>
      </c>
      <c r="C55" s="77" t="s">
        <v>277</v>
      </c>
      <c r="D55" s="186"/>
      <c r="E55" s="185"/>
      <c r="F55" s="79"/>
      <c r="G55" s="19">
        <v>0.1</v>
      </c>
      <c r="H55" s="80">
        <v>1550</v>
      </c>
      <c r="I55" s="84">
        <f t="shared" si="0"/>
        <v>1395</v>
      </c>
    </row>
    <row r="56" spans="1:9" ht="15.5" hidden="1">
      <c r="A56" s="76" t="s">
        <v>278</v>
      </c>
      <c r="B56" s="76" t="s">
        <v>279</v>
      </c>
      <c r="C56" s="77" t="s">
        <v>280</v>
      </c>
      <c r="D56" s="186"/>
      <c r="E56" s="185"/>
      <c r="F56" s="79"/>
      <c r="G56" s="19">
        <v>0.1</v>
      </c>
      <c r="H56" s="80">
        <v>2000</v>
      </c>
      <c r="I56" s="84">
        <f t="shared" si="0"/>
        <v>1800</v>
      </c>
    </row>
    <row r="57" spans="1:9" ht="15.5">
      <c r="A57" s="76" t="s">
        <v>281</v>
      </c>
      <c r="B57" s="76" t="s">
        <v>282</v>
      </c>
      <c r="C57" s="77" t="s">
        <v>283</v>
      </c>
      <c r="D57" s="186">
        <v>1</v>
      </c>
      <c r="E57" s="185"/>
      <c r="F57" s="79">
        <v>1</v>
      </c>
      <c r="G57" s="19">
        <v>0.1</v>
      </c>
      <c r="H57" s="80">
        <v>1350</v>
      </c>
      <c r="I57" s="84">
        <f t="shared" si="0"/>
        <v>1215</v>
      </c>
    </row>
    <row r="58" spans="1:9" ht="15.5" hidden="1">
      <c r="A58" s="76" t="s">
        <v>284</v>
      </c>
      <c r="B58" s="76" t="s">
        <v>285</v>
      </c>
      <c r="C58" s="77" t="s">
        <v>286</v>
      </c>
      <c r="D58" s="186"/>
      <c r="E58" s="185"/>
      <c r="F58" s="79"/>
      <c r="G58" s="19">
        <v>0.1</v>
      </c>
      <c r="H58" s="80">
        <v>1350</v>
      </c>
      <c r="I58" s="84">
        <f t="shared" si="0"/>
        <v>1215</v>
      </c>
    </row>
    <row r="59" spans="1:9" ht="15.5">
      <c r="A59" s="76" t="s">
        <v>287</v>
      </c>
      <c r="B59" s="76" t="s">
        <v>288</v>
      </c>
      <c r="C59" s="77" t="s">
        <v>289</v>
      </c>
      <c r="D59" s="186"/>
      <c r="E59" s="185">
        <v>1</v>
      </c>
      <c r="F59" s="79">
        <v>1</v>
      </c>
      <c r="G59" s="19">
        <v>0.1</v>
      </c>
      <c r="H59" s="80">
        <v>1350</v>
      </c>
      <c r="I59" s="84">
        <f t="shared" si="0"/>
        <v>1215</v>
      </c>
    </row>
    <row r="60" spans="1:9" ht="15.5" hidden="1">
      <c r="A60" s="76" t="s">
        <v>290</v>
      </c>
      <c r="B60" s="76" t="s">
        <v>291</v>
      </c>
      <c r="C60" s="77" t="s">
        <v>292</v>
      </c>
      <c r="D60" s="186"/>
      <c r="E60" s="185"/>
      <c r="F60" s="79"/>
      <c r="G60" s="19">
        <v>0.1</v>
      </c>
      <c r="H60" s="80">
        <v>1350</v>
      </c>
      <c r="I60" s="84">
        <f t="shared" si="0"/>
        <v>1215</v>
      </c>
    </row>
    <row r="61" spans="1:9" ht="15.5" hidden="1">
      <c r="A61" s="76" t="s">
        <v>293</v>
      </c>
      <c r="B61" s="76" t="s">
        <v>294</v>
      </c>
      <c r="C61" s="77" t="s">
        <v>295</v>
      </c>
      <c r="D61" s="186"/>
      <c r="E61" s="185"/>
      <c r="F61" s="79"/>
      <c r="G61" s="19">
        <v>0.1</v>
      </c>
      <c r="H61" s="80">
        <v>1350</v>
      </c>
      <c r="I61" s="84">
        <f t="shared" si="0"/>
        <v>1215</v>
      </c>
    </row>
    <row r="62" spans="1:9" ht="15.5" hidden="1">
      <c r="A62" s="76" t="s">
        <v>296</v>
      </c>
      <c r="B62" s="76" t="s">
        <v>297</v>
      </c>
      <c r="C62" s="77" t="s">
        <v>298</v>
      </c>
      <c r="D62" s="186"/>
      <c r="E62" s="185"/>
      <c r="F62" s="79"/>
      <c r="G62" s="19">
        <v>0.1</v>
      </c>
      <c r="H62" s="80">
        <v>1350</v>
      </c>
      <c r="I62" s="84">
        <f t="shared" si="0"/>
        <v>1215</v>
      </c>
    </row>
    <row r="63" spans="1:9" ht="15.5" hidden="1">
      <c r="A63" s="76" t="s">
        <v>299</v>
      </c>
      <c r="B63" s="76" t="s">
        <v>300</v>
      </c>
      <c r="C63" s="77" t="s">
        <v>301</v>
      </c>
      <c r="D63" s="186"/>
      <c r="E63" s="185"/>
      <c r="F63" s="79"/>
      <c r="G63" s="19">
        <v>0.1</v>
      </c>
      <c r="H63" s="80">
        <v>1350</v>
      </c>
      <c r="I63" s="84">
        <f t="shared" si="0"/>
        <v>1215</v>
      </c>
    </row>
    <row r="64" spans="1:9" ht="15.5" hidden="1">
      <c r="A64" s="76" t="s">
        <v>302</v>
      </c>
      <c r="B64" s="76" t="s">
        <v>303</v>
      </c>
      <c r="C64" s="77" t="s">
        <v>304</v>
      </c>
      <c r="D64" s="186"/>
      <c r="E64" s="185"/>
      <c r="F64" s="79"/>
      <c r="G64" s="19">
        <v>0.1</v>
      </c>
      <c r="H64" s="80">
        <v>1550</v>
      </c>
      <c r="I64" s="84">
        <f t="shared" si="0"/>
        <v>1395</v>
      </c>
    </row>
    <row r="65" spans="1:9" ht="15.5" hidden="1">
      <c r="A65" s="76" t="s">
        <v>305</v>
      </c>
      <c r="B65" s="76" t="s">
        <v>306</v>
      </c>
      <c r="C65" s="77" t="s">
        <v>307</v>
      </c>
      <c r="D65" s="186"/>
      <c r="E65" s="185"/>
      <c r="F65" s="79"/>
      <c r="G65" s="19">
        <v>0.1</v>
      </c>
      <c r="H65" s="80">
        <v>1150</v>
      </c>
      <c r="I65" s="84">
        <f t="shared" si="0"/>
        <v>1035</v>
      </c>
    </row>
    <row r="66" spans="1:9" ht="15.5" hidden="1">
      <c r="A66" s="76" t="s">
        <v>308</v>
      </c>
      <c r="B66" s="76" t="s">
        <v>309</v>
      </c>
      <c r="C66" s="77" t="s">
        <v>310</v>
      </c>
      <c r="D66" s="186"/>
      <c r="E66" s="185"/>
      <c r="F66" s="79"/>
      <c r="G66" s="19">
        <v>0.1</v>
      </c>
      <c r="H66" s="80">
        <v>1150</v>
      </c>
      <c r="I66" s="84">
        <f t="shared" si="0"/>
        <v>1035</v>
      </c>
    </row>
    <row r="67" spans="1:9" ht="15.5" hidden="1">
      <c r="A67" s="76" t="s">
        <v>311</v>
      </c>
      <c r="B67" s="76" t="s">
        <v>312</v>
      </c>
      <c r="C67" s="77" t="s">
        <v>313</v>
      </c>
      <c r="D67" s="186"/>
      <c r="E67" s="185"/>
      <c r="F67" s="79"/>
      <c r="G67" s="19">
        <v>0.1</v>
      </c>
      <c r="H67" s="80">
        <v>1150</v>
      </c>
      <c r="I67" s="84">
        <f t="shared" si="0"/>
        <v>1035</v>
      </c>
    </row>
    <row r="68" spans="1:9" ht="15.5" hidden="1">
      <c r="A68" s="76" t="s">
        <v>314</v>
      </c>
      <c r="B68" s="76" t="s">
        <v>315</v>
      </c>
      <c r="C68" s="77" t="s">
        <v>316</v>
      </c>
      <c r="D68" s="186"/>
      <c r="E68" s="185"/>
      <c r="F68" s="79"/>
      <c r="G68" s="19">
        <v>0.1</v>
      </c>
      <c r="H68" s="80">
        <v>1150</v>
      </c>
      <c r="I68" s="84">
        <f t="shared" ref="I68:I85" si="1">H68-(H68*G68)</f>
        <v>1035</v>
      </c>
    </row>
    <row r="69" spans="1:9" ht="15.5" hidden="1">
      <c r="A69" s="76" t="s">
        <v>317</v>
      </c>
      <c r="B69" s="76" t="s">
        <v>318</v>
      </c>
      <c r="C69" s="77" t="s">
        <v>319</v>
      </c>
      <c r="D69" s="186"/>
      <c r="E69" s="185"/>
      <c r="F69" s="79"/>
      <c r="G69" s="19">
        <v>0.1</v>
      </c>
      <c r="H69" s="80">
        <v>1150</v>
      </c>
      <c r="I69" s="84">
        <f t="shared" si="1"/>
        <v>1035</v>
      </c>
    </row>
    <row r="70" spans="1:9" ht="15.5" hidden="1">
      <c r="A70" s="76" t="s">
        <v>320</v>
      </c>
      <c r="B70" s="76" t="s">
        <v>321</v>
      </c>
      <c r="C70" s="77" t="s">
        <v>322</v>
      </c>
      <c r="D70" s="186"/>
      <c r="E70" s="185"/>
      <c r="F70" s="79"/>
      <c r="G70" s="19">
        <v>0.1</v>
      </c>
      <c r="H70" s="80">
        <v>1150</v>
      </c>
      <c r="I70" s="84">
        <f t="shared" si="1"/>
        <v>1035</v>
      </c>
    </row>
    <row r="71" spans="1:9" ht="15.5" hidden="1">
      <c r="A71" s="76" t="s">
        <v>323</v>
      </c>
      <c r="B71" s="76" t="s">
        <v>324</v>
      </c>
      <c r="C71" s="77" t="s">
        <v>325</v>
      </c>
      <c r="D71" s="186"/>
      <c r="E71" s="185"/>
      <c r="F71" s="79"/>
      <c r="G71" s="19">
        <v>0.1</v>
      </c>
      <c r="H71" s="80">
        <v>1150</v>
      </c>
      <c r="I71" s="84">
        <f t="shared" si="1"/>
        <v>1035</v>
      </c>
    </row>
    <row r="72" spans="1:9" ht="15.5" hidden="1">
      <c r="A72" s="76" t="s">
        <v>326</v>
      </c>
      <c r="B72" s="76" t="s">
        <v>327</v>
      </c>
      <c r="C72" s="77" t="s">
        <v>328</v>
      </c>
      <c r="D72" s="186"/>
      <c r="E72" s="185"/>
      <c r="F72" s="79"/>
      <c r="G72" s="19">
        <v>0.1</v>
      </c>
      <c r="H72" s="80">
        <v>1650</v>
      </c>
      <c r="I72" s="84">
        <f t="shared" si="1"/>
        <v>1485</v>
      </c>
    </row>
    <row r="73" spans="1:9" ht="15.5" hidden="1">
      <c r="A73" s="76" t="s">
        <v>329</v>
      </c>
      <c r="B73" s="76" t="s">
        <v>330</v>
      </c>
      <c r="C73" s="77" t="s">
        <v>331</v>
      </c>
      <c r="D73" s="186"/>
      <c r="E73" s="185"/>
      <c r="F73" s="79"/>
      <c r="G73" s="19">
        <v>0.1</v>
      </c>
      <c r="H73" s="80">
        <v>1650</v>
      </c>
      <c r="I73" s="84">
        <f t="shared" si="1"/>
        <v>1485</v>
      </c>
    </row>
    <row r="74" spans="1:9" ht="15.5" hidden="1">
      <c r="A74" s="76" t="s">
        <v>332</v>
      </c>
      <c r="B74" s="76" t="s">
        <v>333</v>
      </c>
      <c r="C74" s="77" t="s">
        <v>334</v>
      </c>
      <c r="D74" s="186"/>
      <c r="E74" s="185"/>
      <c r="F74" s="79"/>
      <c r="G74" s="19">
        <v>0.1</v>
      </c>
      <c r="H74" s="80">
        <v>1650</v>
      </c>
      <c r="I74" s="84">
        <f t="shared" si="1"/>
        <v>1485</v>
      </c>
    </row>
    <row r="75" spans="1:9" ht="15.5" hidden="1">
      <c r="A75" s="76" t="s">
        <v>335</v>
      </c>
      <c r="B75" s="76" t="s">
        <v>336</v>
      </c>
      <c r="C75" s="77" t="s">
        <v>337</v>
      </c>
      <c r="D75" s="186"/>
      <c r="E75" s="185"/>
      <c r="F75" s="79"/>
      <c r="G75" s="19">
        <v>0.1</v>
      </c>
      <c r="H75" s="80">
        <v>1650</v>
      </c>
      <c r="I75" s="84">
        <f t="shared" si="1"/>
        <v>1485</v>
      </c>
    </row>
    <row r="76" spans="1:9" ht="15.5" hidden="1">
      <c r="A76" s="76" t="s">
        <v>338</v>
      </c>
      <c r="B76" s="76" t="s">
        <v>339</v>
      </c>
      <c r="C76" s="77" t="s">
        <v>340</v>
      </c>
      <c r="D76" s="186"/>
      <c r="E76" s="185"/>
      <c r="F76" s="79"/>
      <c r="G76" s="19">
        <v>0.1</v>
      </c>
      <c r="H76" s="80">
        <v>1650</v>
      </c>
      <c r="I76" s="84">
        <f t="shared" si="1"/>
        <v>1485</v>
      </c>
    </row>
    <row r="77" spans="1:9" ht="15.5" hidden="1">
      <c r="A77" s="76" t="s">
        <v>341</v>
      </c>
      <c r="B77" s="76" t="s">
        <v>342</v>
      </c>
      <c r="C77" s="77" t="s">
        <v>343</v>
      </c>
      <c r="D77" s="186"/>
      <c r="E77" s="185"/>
      <c r="F77" s="79"/>
      <c r="G77" s="19">
        <v>0.1</v>
      </c>
      <c r="H77" s="80">
        <v>1650</v>
      </c>
      <c r="I77" s="84">
        <f t="shared" si="1"/>
        <v>1485</v>
      </c>
    </row>
    <row r="78" spans="1:9" ht="15.5">
      <c r="A78" s="76" t="s">
        <v>344</v>
      </c>
      <c r="B78" s="76" t="s">
        <v>345</v>
      </c>
      <c r="C78" s="77" t="s">
        <v>346</v>
      </c>
      <c r="D78" s="186"/>
      <c r="E78" s="185">
        <v>3</v>
      </c>
      <c r="F78" s="79">
        <v>3</v>
      </c>
      <c r="G78" s="19">
        <v>0.1</v>
      </c>
      <c r="H78" s="80">
        <v>2400</v>
      </c>
      <c r="I78" s="84">
        <f t="shared" si="1"/>
        <v>2160</v>
      </c>
    </row>
    <row r="79" spans="1:9" ht="15.5">
      <c r="A79" s="76" t="s">
        <v>347</v>
      </c>
      <c r="B79" s="76" t="s">
        <v>348</v>
      </c>
      <c r="C79" s="77" t="s">
        <v>349</v>
      </c>
      <c r="D79" s="186"/>
      <c r="E79" s="185">
        <v>1</v>
      </c>
      <c r="F79" s="79">
        <v>1</v>
      </c>
      <c r="G79" s="19">
        <v>0.1</v>
      </c>
      <c r="H79" s="80">
        <v>2750</v>
      </c>
      <c r="I79" s="84">
        <f t="shared" si="1"/>
        <v>2475</v>
      </c>
    </row>
    <row r="80" spans="1:9" ht="15.5">
      <c r="A80" s="76" t="s">
        <v>350</v>
      </c>
      <c r="B80" s="76" t="s">
        <v>351</v>
      </c>
      <c r="C80" s="77" t="s">
        <v>352</v>
      </c>
      <c r="D80" s="186">
        <v>1</v>
      </c>
      <c r="E80" s="185"/>
      <c r="F80" s="79">
        <v>1</v>
      </c>
      <c r="G80" s="19">
        <v>0.1</v>
      </c>
      <c r="H80" s="80">
        <v>2750</v>
      </c>
      <c r="I80" s="84">
        <f t="shared" si="1"/>
        <v>2475</v>
      </c>
    </row>
    <row r="81" spans="1:9" ht="15.5">
      <c r="A81" s="76" t="s">
        <v>353</v>
      </c>
      <c r="B81" s="76" t="s">
        <v>354</v>
      </c>
      <c r="C81" s="77" t="s">
        <v>355</v>
      </c>
      <c r="D81" s="186">
        <v>1</v>
      </c>
      <c r="E81" s="87"/>
      <c r="F81" s="79">
        <v>1</v>
      </c>
      <c r="G81" s="19">
        <v>0.1</v>
      </c>
      <c r="H81" s="80">
        <v>2750</v>
      </c>
      <c r="I81" s="84">
        <f t="shared" si="1"/>
        <v>2475</v>
      </c>
    </row>
    <row r="82" spans="1:9" ht="15.5">
      <c r="A82" s="76" t="s">
        <v>356</v>
      </c>
      <c r="B82" s="76" t="s">
        <v>357</v>
      </c>
      <c r="C82" s="77" t="s">
        <v>358</v>
      </c>
      <c r="D82" s="186"/>
      <c r="E82" s="87">
        <v>1</v>
      </c>
      <c r="F82" s="79">
        <v>1</v>
      </c>
      <c r="G82" s="19">
        <v>0.1</v>
      </c>
      <c r="H82" s="80">
        <v>2400</v>
      </c>
      <c r="I82" s="84">
        <f t="shared" si="1"/>
        <v>2160</v>
      </c>
    </row>
    <row r="83" spans="1:9" ht="15.5" hidden="1">
      <c r="A83" s="76" t="s">
        <v>359</v>
      </c>
      <c r="B83" s="76" t="s">
        <v>360</v>
      </c>
      <c r="C83" s="77" t="s">
        <v>361</v>
      </c>
      <c r="D83" s="186"/>
      <c r="E83" s="87"/>
      <c r="F83" s="79"/>
      <c r="G83" s="19">
        <v>0.1</v>
      </c>
      <c r="H83" s="80">
        <v>2400</v>
      </c>
      <c r="I83" s="84">
        <f t="shared" si="1"/>
        <v>2160</v>
      </c>
    </row>
    <row r="84" spans="1:9" ht="15.5">
      <c r="A84" s="76" t="s">
        <v>362</v>
      </c>
      <c r="B84" s="76" t="s">
        <v>363</v>
      </c>
      <c r="C84" s="77" t="s">
        <v>364</v>
      </c>
      <c r="D84" s="186"/>
      <c r="E84" s="87">
        <v>6</v>
      </c>
      <c r="F84" s="79">
        <v>2</v>
      </c>
      <c r="G84" s="19">
        <v>0.1</v>
      </c>
      <c r="H84" s="80">
        <v>2400</v>
      </c>
      <c r="I84" s="84">
        <f t="shared" si="1"/>
        <v>2160</v>
      </c>
    </row>
    <row r="85" spans="1:9" ht="15.5" hidden="1">
      <c r="A85" s="76" t="s">
        <v>788</v>
      </c>
      <c r="B85" s="76" t="s">
        <v>789</v>
      </c>
      <c r="C85" s="77" t="s">
        <v>790</v>
      </c>
      <c r="D85" s="186"/>
      <c r="E85" s="87"/>
      <c r="F85" s="79"/>
      <c r="G85" s="19"/>
      <c r="H85" s="80">
        <v>1150</v>
      </c>
      <c r="I85" s="84">
        <f t="shared" si="1"/>
        <v>1150</v>
      </c>
    </row>
    <row r="86" spans="1:9" ht="15.75" customHeight="1">
      <c r="E86" s="88">
        <f>SUM(E3:E85)</f>
        <v>31</v>
      </c>
      <c r="F86" s="22">
        <f>SUM(F3:F85)</f>
        <v>40</v>
      </c>
    </row>
    <row r="87" spans="1:9" ht="15.75" customHeight="1"/>
    <row r="88" spans="1:9" ht="15.75" customHeight="1"/>
    <row r="89" spans="1:9" ht="15.75" customHeight="1"/>
    <row r="90" spans="1:9" ht="15.75" customHeight="1"/>
    <row r="91" spans="1:9" ht="15.75" customHeight="1"/>
    <row r="92" spans="1:9" ht="15.75" customHeight="1"/>
    <row r="93" spans="1:9" ht="15.75" customHeight="1"/>
    <row r="94" spans="1:9" ht="15.75" customHeight="1"/>
    <row r="95" spans="1:9" ht="15.75" customHeight="1"/>
    <row r="96" spans="1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mergeCells count="9">
    <mergeCell ref="H1:H2"/>
    <mergeCell ref="I1:I2"/>
    <mergeCell ref="D1:D2"/>
    <mergeCell ref="A1:A2"/>
    <mergeCell ref="B1:B2"/>
    <mergeCell ref="C1:C2"/>
    <mergeCell ref="E1:E2"/>
    <mergeCell ref="F1:F2"/>
    <mergeCell ref="G1:G2"/>
  </mergeCells>
  <printOptions horizontalCentered="1"/>
  <pageMargins left="0.27559055118110237" right="0.19685039370078741" top="0.23622047244094491" bottom="0.35433070866141736" header="0" footer="0"/>
  <pageSetup paperSize="9" scale="6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ADD2-A712-46CA-8EA1-1FB82377D3D5}">
  <sheetPr>
    <pageSetUpPr fitToPage="1"/>
  </sheetPr>
  <dimension ref="A1:G959"/>
  <sheetViews>
    <sheetView zoomScaleNormal="100" workbookViewId="0">
      <pane ySplit="2" topLeftCell="A18" activePane="bottomLeft" state="frozen"/>
      <selection pane="bottomLeft" activeCell="D1" sqref="D1:D2"/>
    </sheetView>
  </sheetViews>
  <sheetFormatPr defaultColWidth="12.6328125" defaultRowHeight="15" customHeight="1"/>
  <cols>
    <col min="1" max="1" width="21.36328125" style="14" customWidth="1"/>
    <col min="2" max="2" width="34.453125" style="14" customWidth="1"/>
    <col min="3" max="3" width="5.81640625" style="14" hidden="1" customWidth="1"/>
    <col min="4" max="4" width="10.453125" style="14" customWidth="1"/>
    <col min="5" max="5" width="6.26953125" style="15" customWidth="1"/>
    <col min="6" max="7" width="5" style="14" bestFit="1" customWidth="1"/>
    <col min="8" max="21" width="14.36328125" style="14" customWidth="1"/>
    <col min="22" max="16384" width="12.6328125" style="14"/>
  </cols>
  <sheetData>
    <row r="1" spans="1:7" ht="21" customHeight="1">
      <c r="A1" s="203" t="s">
        <v>85</v>
      </c>
      <c r="B1" s="203" t="s">
        <v>86</v>
      </c>
      <c r="C1" s="205" t="s">
        <v>87</v>
      </c>
      <c r="D1" s="206" t="s">
        <v>1691</v>
      </c>
      <c r="E1" s="205" t="s">
        <v>88</v>
      </c>
      <c r="F1" s="205" t="s">
        <v>670</v>
      </c>
      <c r="G1" s="201" t="s">
        <v>90</v>
      </c>
    </row>
    <row r="2" spans="1:7" ht="8.4" customHeight="1">
      <c r="A2" s="204"/>
      <c r="B2" s="204"/>
      <c r="C2" s="204"/>
      <c r="D2" s="207"/>
      <c r="E2" s="204"/>
      <c r="F2" s="208"/>
      <c r="G2" s="202"/>
    </row>
    <row r="3" spans="1:7" ht="15.75" customHeight="1">
      <c r="A3" s="167" t="s">
        <v>1490</v>
      </c>
      <c r="B3" s="167" t="s">
        <v>1491</v>
      </c>
      <c r="C3" s="168">
        <v>18</v>
      </c>
      <c r="D3" s="169">
        <v>10</v>
      </c>
      <c r="E3" s="19">
        <v>0.1</v>
      </c>
      <c r="F3" s="25">
        <v>760</v>
      </c>
      <c r="G3" s="84">
        <f>F3-(F3*E3)</f>
        <v>684</v>
      </c>
    </row>
    <row r="4" spans="1:7" ht="15.5">
      <c r="A4" s="167" t="s">
        <v>1492</v>
      </c>
      <c r="B4" s="167" t="s">
        <v>1493</v>
      </c>
      <c r="C4" s="168">
        <v>72</v>
      </c>
      <c r="D4" s="169">
        <v>10</v>
      </c>
      <c r="E4" s="19">
        <v>0.1</v>
      </c>
      <c r="F4" s="25">
        <v>760</v>
      </c>
      <c r="G4" s="84">
        <f t="shared" ref="G4:G45" si="0">F4-(F4*E4)</f>
        <v>684</v>
      </c>
    </row>
    <row r="5" spans="1:7" ht="15.5">
      <c r="A5" s="167" t="s">
        <v>1494</v>
      </c>
      <c r="B5" s="167" t="s">
        <v>1495</v>
      </c>
      <c r="C5" s="168">
        <v>216</v>
      </c>
      <c r="D5" s="169">
        <v>10</v>
      </c>
      <c r="E5" s="19">
        <v>0.1</v>
      </c>
      <c r="F5" s="25">
        <v>800</v>
      </c>
      <c r="G5" s="84">
        <f t="shared" si="0"/>
        <v>720</v>
      </c>
    </row>
    <row r="6" spans="1:7" ht="15.5">
      <c r="A6" s="167" t="s">
        <v>1496</v>
      </c>
      <c r="B6" s="167" t="s">
        <v>1497</v>
      </c>
      <c r="C6" s="168">
        <v>107</v>
      </c>
      <c r="D6" s="169">
        <v>10</v>
      </c>
      <c r="E6" s="19">
        <v>0.1</v>
      </c>
      <c r="F6" s="25">
        <v>800</v>
      </c>
      <c r="G6" s="84">
        <f>F6-(F6*E6)</f>
        <v>720</v>
      </c>
    </row>
    <row r="7" spans="1:7" ht="15.5">
      <c r="A7" s="167" t="s">
        <v>1498</v>
      </c>
      <c r="B7" s="167" t="s">
        <v>1499</v>
      </c>
      <c r="C7" s="168">
        <v>178</v>
      </c>
      <c r="D7" s="169">
        <v>10</v>
      </c>
      <c r="E7" s="19">
        <v>0.1</v>
      </c>
      <c r="F7" s="25">
        <v>800</v>
      </c>
      <c r="G7" s="84">
        <f t="shared" si="0"/>
        <v>720</v>
      </c>
    </row>
    <row r="8" spans="1:7" ht="15.5">
      <c r="A8" s="167" t="s">
        <v>1500</v>
      </c>
      <c r="B8" s="167" t="s">
        <v>1501</v>
      </c>
      <c r="C8" s="168">
        <v>8</v>
      </c>
      <c r="D8" s="169">
        <v>10</v>
      </c>
      <c r="E8" s="19">
        <v>0.1</v>
      </c>
      <c r="F8" s="25">
        <v>760</v>
      </c>
      <c r="G8" s="84">
        <f t="shared" si="0"/>
        <v>684</v>
      </c>
    </row>
    <row r="9" spans="1:7" ht="15.5">
      <c r="A9" s="167" t="s">
        <v>1502</v>
      </c>
      <c r="B9" s="167" t="s">
        <v>1503</v>
      </c>
      <c r="C9" s="168">
        <v>44</v>
      </c>
      <c r="D9" s="169">
        <v>10</v>
      </c>
      <c r="E9" s="19">
        <v>0.1</v>
      </c>
      <c r="F9" s="25">
        <v>760</v>
      </c>
      <c r="G9" s="84">
        <f t="shared" si="0"/>
        <v>684</v>
      </c>
    </row>
    <row r="10" spans="1:7" ht="15" customHeight="1">
      <c r="A10" s="167" t="s">
        <v>1504</v>
      </c>
      <c r="B10" s="167" t="s">
        <v>1505</v>
      </c>
      <c r="C10" s="168">
        <f>66+119</f>
        <v>185</v>
      </c>
      <c r="D10" s="169">
        <v>10</v>
      </c>
      <c r="E10" s="19">
        <v>0.1</v>
      </c>
      <c r="F10" s="25">
        <v>800</v>
      </c>
      <c r="G10" s="84">
        <f t="shared" si="0"/>
        <v>720</v>
      </c>
    </row>
    <row r="11" spans="1:7" ht="15.5">
      <c r="A11" s="167" t="s">
        <v>1506</v>
      </c>
      <c r="B11" s="167" t="s">
        <v>1507</v>
      </c>
      <c r="C11" s="168">
        <v>10</v>
      </c>
      <c r="D11" s="169">
        <v>10</v>
      </c>
      <c r="E11" s="19">
        <v>0.1</v>
      </c>
      <c r="F11" s="25">
        <v>800</v>
      </c>
      <c r="G11" s="84">
        <f t="shared" si="0"/>
        <v>720</v>
      </c>
    </row>
    <row r="12" spans="1:7" ht="15.5">
      <c r="A12" s="167" t="s">
        <v>1508</v>
      </c>
      <c r="B12" s="167" t="s">
        <v>1509</v>
      </c>
      <c r="C12" s="168">
        <f>72+36</f>
        <v>108</v>
      </c>
      <c r="D12" s="169">
        <v>10</v>
      </c>
      <c r="E12" s="19">
        <v>0.1</v>
      </c>
      <c r="F12" s="25">
        <v>800</v>
      </c>
      <c r="G12" s="84">
        <f t="shared" si="0"/>
        <v>720</v>
      </c>
    </row>
    <row r="13" spans="1:7" ht="15.5">
      <c r="A13" s="167" t="s">
        <v>1510</v>
      </c>
      <c r="B13" s="167" t="s">
        <v>1511</v>
      </c>
      <c r="C13" s="168">
        <v>41</v>
      </c>
      <c r="D13" s="169">
        <v>10</v>
      </c>
      <c r="E13" s="19">
        <v>0.1</v>
      </c>
      <c r="F13" s="25">
        <v>760</v>
      </c>
      <c r="G13" s="84">
        <f t="shared" si="0"/>
        <v>684</v>
      </c>
    </row>
    <row r="14" spans="1:7" ht="15.5">
      <c r="A14" s="167" t="s">
        <v>1512</v>
      </c>
      <c r="B14" s="167" t="s">
        <v>1513</v>
      </c>
      <c r="C14" s="168">
        <v>96</v>
      </c>
      <c r="D14" s="169">
        <v>10</v>
      </c>
      <c r="E14" s="19">
        <v>0.1</v>
      </c>
      <c r="F14" s="25">
        <v>760</v>
      </c>
      <c r="G14" s="84">
        <f t="shared" si="0"/>
        <v>684</v>
      </c>
    </row>
    <row r="15" spans="1:7" ht="15.5">
      <c r="A15" s="167" t="s">
        <v>1514</v>
      </c>
      <c r="B15" s="167" t="s">
        <v>1515</v>
      </c>
      <c r="C15" s="168">
        <f>149+39</f>
        <v>188</v>
      </c>
      <c r="D15" s="169">
        <v>10</v>
      </c>
      <c r="E15" s="19">
        <v>0.1</v>
      </c>
      <c r="F15" s="25">
        <v>800</v>
      </c>
      <c r="G15" s="84">
        <f t="shared" si="0"/>
        <v>720</v>
      </c>
    </row>
    <row r="16" spans="1:7" ht="15.5">
      <c r="A16" s="167" t="s">
        <v>1516</v>
      </c>
      <c r="B16" s="167" t="s">
        <v>1517</v>
      </c>
      <c r="C16" s="168">
        <v>21</v>
      </c>
      <c r="D16" s="169">
        <v>10</v>
      </c>
      <c r="E16" s="19">
        <v>0.1</v>
      </c>
      <c r="F16" s="25">
        <v>800</v>
      </c>
      <c r="G16" s="84">
        <f t="shared" si="0"/>
        <v>720</v>
      </c>
    </row>
    <row r="17" spans="1:7" ht="15.5">
      <c r="A17" s="167" t="s">
        <v>1518</v>
      </c>
      <c r="B17" s="167" t="s">
        <v>1519</v>
      </c>
      <c r="C17" s="168">
        <v>27</v>
      </c>
      <c r="D17" s="169">
        <v>10</v>
      </c>
      <c r="E17" s="19">
        <v>0.1</v>
      </c>
      <c r="F17" s="25">
        <v>800</v>
      </c>
      <c r="G17" s="84">
        <f t="shared" si="0"/>
        <v>720</v>
      </c>
    </row>
    <row r="18" spans="1:7" ht="15.5">
      <c r="A18" s="167" t="s">
        <v>1520</v>
      </c>
      <c r="B18" s="167" t="s">
        <v>1521</v>
      </c>
      <c r="C18" s="168">
        <v>18</v>
      </c>
      <c r="D18" s="169">
        <v>10</v>
      </c>
      <c r="E18" s="19">
        <v>0.1</v>
      </c>
      <c r="F18" s="25">
        <v>760</v>
      </c>
      <c r="G18" s="84">
        <f t="shared" si="0"/>
        <v>684</v>
      </c>
    </row>
    <row r="19" spans="1:7" ht="15.5">
      <c r="A19" s="167" t="s">
        <v>1522</v>
      </c>
      <c r="B19" s="167" t="s">
        <v>1523</v>
      </c>
      <c r="C19" s="168">
        <f>102+28</f>
        <v>130</v>
      </c>
      <c r="D19" s="169">
        <v>10</v>
      </c>
      <c r="E19" s="19">
        <v>0.1</v>
      </c>
      <c r="F19" s="25">
        <v>760</v>
      </c>
      <c r="G19" s="84">
        <f t="shared" si="0"/>
        <v>684</v>
      </c>
    </row>
    <row r="20" spans="1:7" ht="15.5">
      <c r="A20" s="167" t="s">
        <v>1524</v>
      </c>
      <c r="B20" s="167" t="s">
        <v>1525</v>
      </c>
      <c r="C20" s="168">
        <f>160+61</f>
        <v>221</v>
      </c>
      <c r="D20" s="169">
        <v>10</v>
      </c>
      <c r="E20" s="19">
        <v>0.1</v>
      </c>
      <c r="F20" s="25">
        <v>800</v>
      </c>
      <c r="G20" s="84">
        <f t="shared" si="0"/>
        <v>720</v>
      </c>
    </row>
    <row r="21" spans="1:7" ht="15.5">
      <c r="A21" s="167" t="s">
        <v>1526</v>
      </c>
      <c r="B21" s="167" t="s">
        <v>1527</v>
      </c>
      <c r="C21" s="168">
        <f>57+95</f>
        <v>152</v>
      </c>
      <c r="D21" s="169">
        <v>10</v>
      </c>
      <c r="E21" s="19">
        <v>0.1</v>
      </c>
      <c r="F21" s="25">
        <v>800</v>
      </c>
      <c r="G21" s="84">
        <f t="shared" si="0"/>
        <v>720</v>
      </c>
    </row>
    <row r="22" spans="1:7" ht="15.5">
      <c r="A22" s="167" t="s">
        <v>1528</v>
      </c>
      <c r="B22" s="167" t="s">
        <v>1529</v>
      </c>
      <c r="C22" s="168">
        <f>96+41</f>
        <v>137</v>
      </c>
      <c r="D22" s="169">
        <v>10</v>
      </c>
      <c r="E22" s="19">
        <v>0.1</v>
      </c>
      <c r="F22" s="25">
        <v>800</v>
      </c>
      <c r="G22" s="84">
        <f t="shared" si="0"/>
        <v>720</v>
      </c>
    </row>
    <row r="23" spans="1:7" ht="15.5">
      <c r="A23" s="167" t="s">
        <v>1530</v>
      </c>
      <c r="B23" s="167" t="s">
        <v>1531</v>
      </c>
      <c r="C23" s="168">
        <v>56</v>
      </c>
      <c r="D23" s="169">
        <v>10</v>
      </c>
      <c r="E23" s="19">
        <v>0.1</v>
      </c>
      <c r="F23" s="25">
        <v>760</v>
      </c>
      <c r="G23" s="84">
        <f t="shared" si="0"/>
        <v>684</v>
      </c>
    </row>
    <row r="24" spans="1:7" ht="15.5">
      <c r="A24" s="167" t="s">
        <v>1532</v>
      </c>
      <c r="B24" s="167" t="s">
        <v>1533</v>
      </c>
      <c r="C24" s="168">
        <f>118+35</f>
        <v>153</v>
      </c>
      <c r="D24" s="169">
        <v>10</v>
      </c>
      <c r="E24" s="19">
        <v>0.1</v>
      </c>
      <c r="F24" s="25">
        <v>760</v>
      </c>
      <c r="G24" s="84">
        <f t="shared" si="0"/>
        <v>684</v>
      </c>
    </row>
    <row r="25" spans="1:7" ht="15.5">
      <c r="A25" s="167" t="s">
        <v>1534</v>
      </c>
      <c r="B25" s="167" t="s">
        <v>1535</v>
      </c>
      <c r="C25" s="168">
        <f>285+52</f>
        <v>337</v>
      </c>
      <c r="D25" s="169">
        <v>10</v>
      </c>
      <c r="E25" s="19">
        <v>0.1</v>
      </c>
      <c r="F25" s="25">
        <v>800</v>
      </c>
      <c r="G25" s="84">
        <f t="shared" si="0"/>
        <v>720</v>
      </c>
    </row>
    <row r="26" spans="1:7" ht="15.75" customHeight="1">
      <c r="A26" s="167" t="s">
        <v>1536</v>
      </c>
      <c r="B26" s="167" t="s">
        <v>1537</v>
      </c>
      <c r="C26" s="168">
        <f>124+39</f>
        <v>163</v>
      </c>
      <c r="D26" s="169">
        <v>10</v>
      </c>
      <c r="E26" s="19">
        <v>0.1</v>
      </c>
      <c r="F26" s="25">
        <v>800</v>
      </c>
      <c r="G26" s="84">
        <f t="shared" si="0"/>
        <v>720</v>
      </c>
    </row>
    <row r="27" spans="1:7" ht="15.75" customHeight="1">
      <c r="A27" s="167" t="s">
        <v>1538</v>
      </c>
      <c r="B27" s="167" t="s">
        <v>1539</v>
      </c>
      <c r="C27" s="168">
        <f>180+34</f>
        <v>214</v>
      </c>
      <c r="D27" s="169">
        <v>10</v>
      </c>
      <c r="E27" s="19">
        <v>0.1</v>
      </c>
      <c r="F27" s="25">
        <v>800</v>
      </c>
      <c r="G27" s="84">
        <f t="shared" si="0"/>
        <v>720</v>
      </c>
    </row>
    <row r="28" spans="1:7" ht="15.75" customHeight="1">
      <c r="A28" s="167" t="s">
        <v>1540</v>
      </c>
      <c r="B28" s="167" t="s">
        <v>1541</v>
      </c>
      <c r="C28" s="168">
        <v>102</v>
      </c>
      <c r="D28" s="169">
        <v>10</v>
      </c>
      <c r="E28" s="19">
        <v>0.1</v>
      </c>
      <c r="F28" s="25">
        <v>600</v>
      </c>
      <c r="G28" s="84">
        <f t="shared" si="0"/>
        <v>540</v>
      </c>
    </row>
    <row r="29" spans="1:7" ht="15.75" customHeight="1">
      <c r="A29" s="167" t="s">
        <v>1542</v>
      </c>
      <c r="B29" s="167" t="s">
        <v>1543</v>
      </c>
      <c r="C29" s="168">
        <v>17</v>
      </c>
      <c r="D29" s="169">
        <v>10</v>
      </c>
      <c r="E29" s="19">
        <v>0.1</v>
      </c>
      <c r="F29" s="25">
        <v>600</v>
      </c>
      <c r="G29" s="84">
        <f t="shared" si="0"/>
        <v>540</v>
      </c>
    </row>
    <row r="30" spans="1:7" ht="15.75" customHeight="1">
      <c r="A30" s="167" t="s">
        <v>1544</v>
      </c>
      <c r="B30" s="167" t="s">
        <v>1545</v>
      </c>
      <c r="C30" s="168">
        <f>234+33</f>
        <v>267</v>
      </c>
      <c r="D30" s="169">
        <v>10</v>
      </c>
      <c r="E30" s="19">
        <v>0.1</v>
      </c>
      <c r="F30" s="25">
        <v>600</v>
      </c>
      <c r="G30" s="84">
        <f t="shared" si="0"/>
        <v>540</v>
      </c>
    </row>
    <row r="31" spans="1:7" ht="15.75" customHeight="1">
      <c r="A31" s="167" t="s">
        <v>1546</v>
      </c>
      <c r="B31" s="167" t="s">
        <v>1547</v>
      </c>
      <c r="C31" s="168">
        <f>342+36</f>
        <v>378</v>
      </c>
      <c r="D31" s="169">
        <v>10</v>
      </c>
      <c r="E31" s="19">
        <v>0.1</v>
      </c>
      <c r="F31" s="25">
        <v>600</v>
      </c>
      <c r="G31" s="84">
        <f t="shared" si="0"/>
        <v>540</v>
      </c>
    </row>
    <row r="32" spans="1:7" ht="15.75" hidden="1" customHeight="1">
      <c r="A32" s="167" t="s">
        <v>1548</v>
      </c>
      <c r="B32" s="167" t="s">
        <v>1549</v>
      </c>
      <c r="C32" s="168">
        <v>3</v>
      </c>
      <c r="D32" s="169"/>
      <c r="E32" s="19">
        <v>0.1</v>
      </c>
      <c r="F32" s="25">
        <v>600</v>
      </c>
      <c r="G32" s="84">
        <f t="shared" si="0"/>
        <v>540</v>
      </c>
    </row>
    <row r="33" spans="1:7" ht="15.75" customHeight="1">
      <c r="A33" s="167" t="s">
        <v>1550</v>
      </c>
      <c r="B33" s="167" t="s">
        <v>1551</v>
      </c>
      <c r="C33" s="168">
        <f>234+112</f>
        <v>346</v>
      </c>
      <c r="D33" s="169">
        <v>10</v>
      </c>
      <c r="E33" s="19">
        <v>0.1</v>
      </c>
      <c r="F33" s="25">
        <v>600</v>
      </c>
      <c r="G33" s="84">
        <f t="shared" si="0"/>
        <v>540</v>
      </c>
    </row>
    <row r="34" spans="1:7" ht="15.75" customHeight="1">
      <c r="A34" s="167" t="s">
        <v>1552</v>
      </c>
      <c r="B34" s="167" t="s">
        <v>1553</v>
      </c>
      <c r="C34" s="168">
        <v>63</v>
      </c>
      <c r="D34" s="169">
        <v>10</v>
      </c>
      <c r="E34" s="19">
        <v>0.1</v>
      </c>
      <c r="F34" s="25">
        <v>600</v>
      </c>
      <c r="G34" s="84">
        <f t="shared" si="0"/>
        <v>540</v>
      </c>
    </row>
    <row r="35" spans="1:7" ht="15.75" customHeight="1">
      <c r="A35" s="167" t="s">
        <v>1554</v>
      </c>
      <c r="B35" s="167" t="s">
        <v>1555</v>
      </c>
      <c r="C35" s="168">
        <v>14</v>
      </c>
      <c r="D35" s="169">
        <v>10</v>
      </c>
      <c r="E35" s="19">
        <v>0.1</v>
      </c>
      <c r="F35" s="25">
        <v>600</v>
      </c>
      <c r="G35" s="84">
        <f t="shared" si="0"/>
        <v>540</v>
      </c>
    </row>
    <row r="36" spans="1:7" ht="15.75" hidden="1" customHeight="1">
      <c r="A36" s="167" t="s">
        <v>1556</v>
      </c>
      <c r="B36" s="167" t="s">
        <v>1557</v>
      </c>
      <c r="C36" s="168">
        <v>4</v>
      </c>
      <c r="D36" s="169"/>
      <c r="E36" s="19">
        <v>0.1</v>
      </c>
      <c r="F36" s="25">
        <v>600</v>
      </c>
      <c r="G36" s="84">
        <f t="shared" si="0"/>
        <v>540</v>
      </c>
    </row>
    <row r="37" spans="1:7" ht="15.75" hidden="1" customHeight="1">
      <c r="A37" s="167" t="s">
        <v>1558</v>
      </c>
      <c r="B37" s="167" t="s">
        <v>1559</v>
      </c>
      <c r="C37" s="168"/>
      <c r="D37" s="169"/>
      <c r="E37" s="19">
        <v>0.1</v>
      </c>
      <c r="F37" s="25">
        <v>600</v>
      </c>
      <c r="G37" s="84">
        <f t="shared" si="0"/>
        <v>540</v>
      </c>
    </row>
    <row r="38" spans="1:7" ht="15.75" hidden="1" customHeight="1">
      <c r="A38" s="167" t="s">
        <v>1560</v>
      </c>
      <c r="B38" s="167" t="s">
        <v>1561</v>
      </c>
      <c r="C38" s="168">
        <v>16</v>
      </c>
      <c r="D38" s="169"/>
      <c r="E38" s="19">
        <v>0.1</v>
      </c>
      <c r="F38" s="25">
        <v>440</v>
      </c>
      <c r="G38" s="84">
        <f t="shared" si="0"/>
        <v>396</v>
      </c>
    </row>
    <row r="39" spans="1:7" ht="15.75" hidden="1" customHeight="1">
      <c r="A39" s="167" t="s">
        <v>1562</v>
      </c>
      <c r="B39" s="167" t="s">
        <v>1563</v>
      </c>
      <c r="C39" s="168"/>
      <c r="D39" s="169"/>
      <c r="E39" s="19">
        <v>0.1</v>
      </c>
      <c r="F39" s="25">
        <v>440</v>
      </c>
      <c r="G39" s="84">
        <f t="shared" si="0"/>
        <v>396</v>
      </c>
    </row>
    <row r="40" spans="1:7" ht="15.75" customHeight="1">
      <c r="A40" s="167" t="s">
        <v>1564</v>
      </c>
      <c r="B40" s="167" t="s">
        <v>1565</v>
      </c>
      <c r="C40" s="168">
        <f>144+9+34</f>
        <v>187</v>
      </c>
      <c r="D40" s="169">
        <v>12</v>
      </c>
      <c r="E40" s="19">
        <v>0.1</v>
      </c>
      <c r="F40" s="25">
        <v>550</v>
      </c>
      <c r="G40" s="84">
        <f t="shared" si="0"/>
        <v>495</v>
      </c>
    </row>
    <row r="41" spans="1:7" ht="15.75" customHeight="1">
      <c r="A41" s="167" t="s">
        <v>1566</v>
      </c>
      <c r="B41" s="167" t="s">
        <v>1567</v>
      </c>
      <c r="C41" s="168">
        <f>288+11+48+4</f>
        <v>351</v>
      </c>
      <c r="D41" s="169">
        <v>12</v>
      </c>
      <c r="E41" s="19">
        <v>0.1</v>
      </c>
      <c r="F41" s="25">
        <v>550</v>
      </c>
      <c r="G41" s="84">
        <f t="shared" si="0"/>
        <v>495</v>
      </c>
    </row>
    <row r="42" spans="1:7" ht="15.75" customHeight="1">
      <c r="A42" s="167" t="s">
        <v>1568</v>
      </c>
      <c r="B42" s="167" t="s">
        <v>1569</v>
      </c>
      <c r="C42" s="168">
        <f>57+59</f>
        <v>116</v>
      </c>
      <c r="D42" s="169">
        <v>12</v>
      </c>
      <c r="E42" s="19">
        <v>0.1</v>
      </c>
      <c r="F42" s="25">
        <v>550</v>
      </c>
      <c r="G42" s="84">
        <f t="shared" si="0"/>
        <v>495</v>
      </c>
    </row>
    <row r="43" spans="1:7" ht="15.75" customHeight="1">
      <c r="A43" s="167" t="s">
        <v>1570</v>
      </c>
      <c r="B43" s="167" t="s">
        <v>1571</v>
      </c>
      <c r="C43" s="168">
        <f>96+12+48+24+12</f>
        <v>192</v>
      </c>
      <c r="D43" s="169">
        <v>12</v>
      </c>
      <c r="E43" s="19">
        <v>0.1</v>
      </c>
      <c r="F43" s="25">
        <v>550</v>
      </c>
      <c r="G43" s="84">
        <f t="shared" si="0"/>
        <v>495</v>
      </c>
    </row>
    <row r="44" spans="1:7" ht="15.75" customHeight="1">
      <c r="A44" s="167" t="s">
        <v>1572</v>
      </c>
      <c r="B44" s="167" t="s">
        <v>1573</v>
      </c>
      <c r="C44" s="168">
        <v>61</v>
      </c>
      <c r="D44" s="169">
        <v>12</v>
      </c>
      <c r="E44" s="19">
        <v>0.1</v>
      </c>
      <c r="F44" s="25">
        <v>550</v>
      </c>
      <c r="G44" s="84">
        <f t="shared" si="0"/>
        <v>495</v>
      </c>
    </row>
    <row r="45" spans="1:7" ht="15.75" customHeight="1">
      <c r="A45" s="167" t="s">
        <v>1574</v>
      </c>
      <c r="B45" s="167" t="s">
        <v>1575</v>
      </c>
      <c r="C45" s="168">
        <f>12+288+48+11</f>
        <v>359</v>
      </c>
      <c r="D45" s="169">
        <v>12</v>
      </c>
      <c r="E45" s="19">
        <v>0.1</v>
      </c>
      <c r="F45" s="25">
        <v>550</v>
      </c>
      <c r="G45" s="84">
        <f t="shared" si="0"/>
        <v>495</v>
      </c>
    </row>
    <row r="46" spans="1:7" ht="14.5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7">
    <mergeCell ref="G1:G2"/>
    <mergeCell ref="A1:A2"/>
    <mergeCell ref="B1:B2"/>
    <mergeCell ref="C1:C2"/>
    <mergeCell ref="D1:D2"/>
    <mergeCell ref="E1:E2"/>
    <mergeCell ref="F1:F2"/>
  </mergeCells>
  <printOptions horizontalCentered="1"/>
  <pageMargins left="0.27559055118110237" right="0.19685039370078741" top="0.36" bottom="0.35433070866141736" header="0" footer="0"/>
  <pageSetup paperSize="9" orientation="portrait" r:id="rId1"/>
  <rowBreaks count="1" manualBreakCount="1">
    <brk id="4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7A28-1371-4415-A9DD-5A8B4D27155A}">
  <sheetPr>
    <pageSetUpPr fitToPage="1"/>
  </sheetPr>
  <dimension ref="A1:F836"/>
  <sheetViews>
    <sheetView view="pageBreakPreview" zoomScale="80" zoomScaleNormal="100" zoomScaleSheetLayoutView="80" workbookViewId="0">
      <pane ySplit="2" topLeftCell="A3" activePane="bottomLeft" state="frozen"/>
      <selection pane="bottomLeft" activeCell="K19" sqref="K19"/>
    </sheetView>
  </sheetViews>
  <sheetFormatPr defaultColWidth="12.6328125" defaultRowHeight="15" customHeight="1"/>
  <cols>
    <col min="1" max="1" width="18.453125" style="14" bestFit="1" customWidth="1"/>
    <col min="2" max="2" width="63.1796875" style="14" bestFit="1" customWidth="1"/>
    <col min="3" max="3" width="8.08984375" style="16" bestFit="1" customWidth="1"/>
    <col min="4" max="4" width="4.26953125" style="15" bestFit="1" customWidth="1"/>
    <col min="5" max="5" width="7.90625" style="14" bestFit="1" customWidth="1"/>
    <col min="6" max="6" width="5" style="14" bestFit="1" customWidth="1"/>
    <col min="7" max="24" width="14.36328125" style="14" customWidth="1"/>
    <col min="25" max="16384" width="12.6328125" style="14"/>
  </cols>
  <sheetData>
    <row r="1" spans="1:6" ht="21" customHeight="1">
      <c r="A1" s="189" t="s">
        <v>85</v>
      </c>
      <c r="B1" s="189" t="s">
        <v>86</v>
      </c>
      <c r="C1" s="191" t="s">
        <v>365</v>
      </c>
      <c r="D1" s="192" t="s">
        <v>88</v>
      </c>
      <c r="E1" s="187" t="s">
        <v>89</v>
      </c>
      <c r="F1" s="187" t="s">
        <v>90</v>
      </c>
    </row>
    <row r="2" spans="1:6" ht="14.5">
      <c r="A2" s="190"/>
      <c r="B2" s="190"/>
      <c r="C2" s="191"/>
      <c r="D2" s="193"/>
      <c r="E2" s="194"/>
      <c r="F2" s="188"/>
    </row>
    <row r="3" spans="1:6" ht="15.75" customHeight="1">
      <c r="A3" s="17" t="s">
        <v>91</v>
      </c>
      <c r="B3" s="17" t="s">
        <v>92</v>
      </c>
      <c r="C3" s="18">
        <v>6</v>
      </c>
      <c r="D3" s="19">
        <v>0.8</v>
      </c>
      <c r="E3" s="20">
        <v>1180</v>
      </c>
      <c r="F3" s="21">
        <f>E3-(E3*D3)</f>
        <v>236</v>
      </c>
    </row>
    <row r="4" spans="1:6" ht="15.5">
      <c r="A4" s="17" t="s">
        <v>93</v>
      </c>
      <c r="B4" s="17" t="s">
        <v>94</v>
      </c>
      <c r="C4" s="18">
        <v>1</v>
      </c>
      <c r="D4" s="19">
        <v>0.8</v>
      </c>
      <c r="E4" s="20">
        <v>1180</v>
      </c>
      <c r="F4" s="21">
        <f t="shared" ref="F4:F16" si="0">E4-(E4*D4)</f>
        <v>236</v>
      </c>
    </row>
    <row r="5" spans="1:6" ht="15.5">
      <c r="A5" s="17" t="s">
        <v>95</v>
      </c>
      <c r="B5" s="17" t="s">
        <v>96</v>
      </c>
      <c r="C5" s="18">
        <v>7</v>
      </c>
      <c r="D5" s="19">
        <v>0.8</v>
      </c>
      <c r="E5" s="20">
        <v>1200</v>
      </c>
      <c r="F5" s="21">
        <f t="shared" si="0"/>
        <v>240</v>
      </c>
    </row>
    <row r="6" spans="1:6" ht="15.5">
      <c r="A6" s="17" t="s">
        <v>97</v>
      </c>
      <c r="B6" s="17" t="s">
        <v>98</v>
      </c>
      <c r="C6" s="18">
        <v>5</v>
      </c>
      <c r="D6" s="19">
        <v>0.8</v>
      </c>
      <c r="E6" s="20">
        <v>1380</v>
      </c>
      <c r="F6" s="21">
        <f t="shared" si="0"/>
        <v>276</v>
      </c>
    </row>
    <row r="7" spans="1:6" ht="15.5">
      <c r="A7" s="17" t="s">
        <v>99</v>
      </c>
      <c r="B7" s="17" t="s">
        <v>100</v>
      </c>
      <c r="C7" s="18">
        <v>7</v>
      </c>
      <c r="D7" s="19">
        <v>0.8</v>
      </c>
      <c r="E7" s="20">
        <v>1380</v>
      </c>
      <c r="F7" s="21">
        <f t="shared" si="0"/>
        <v>276</v>
      </c>
    </row>
    <row r="8" spans="1:6" ht="15.5">
      <c r="A8" s="17" t="s">
        <v>101</v>
      </c>
      <c r="B8" s="17" t="s">
        <v>102</v>
      </c>
      <c r="C8" s="18">
        <v>2</v>
      </c>
      <c r="D8" s="19">
        <v>0.8</v>
      </c>
      <c r="E8" s="20">
        <v>1500</v>
      </c>
      <c r="F8" s="21">
        <f t="shared" si="0"/>
        <v>300</v>
      </c>
    </row>
    <row r="9" spans="1:6" ht="15.5">
      <c r="A9" s="17" t="s">
        <v>103</v>
      </c>
      <c r="B9" s="17" t="s">
        <v>104</v>
      </c>
      <c r="C9" s="18">
        <v>4</v>
      </c>
      <c r="D9" s="19">
        <v>0.8</v>
      </c>
      <c r="E9" s="20">
        <v>1480</v>
      </c>
      <c r="F9" s="21">
        <f t="shared" si="0"/>
        <v>296</v>
      </c>
    </row>
    <row r="10" spans="1:6" ht="15.5">
      <c r="A10" s="17" t="s">
        <v>105</v>
      </c>
      <c r="B10" s="17" t="s">
        <v>106</v>
      </c>
      <c r="C10" s="18">
        <v>5</v>
      </c>
      <c r="D10" s="19">
        <v>0.8</v>
      </c>
      <c r="E10" s="20">
        <v>1480</v>
      </c>
      <c r="F10" s="21">
        <f t="shared" si="0"/>
        <v>296</v>
      </c>
    </row>
    <row r="11" spans="1:6" ht="15.5">
      <c r="A11" s="17" t="s">
        <v>107</v>
      </c>
      <c r="B11" s="17" t="s">
        <v>108</v>
      </c>
      <c r="C11" s="18">
        <v>8</v>
      </c>
      <c r="D11" s="19">
        <v>0.8</v>
      </c>
      <c r="E11" s="20">
        <v>780</v>
      </c>
      <c r="F11" s="21">
        <f t="shared" si="0"/>
        <v>156</v>
      </c>
    </row>
    <row r="12" spans="1:6" ht="15.5">
      <c r="A12" s="17" t="s">
        <v>109</v>
      </c>
      <c r="B12" s="17" t="s">
        <v>110</v>
      </c>
      <c r="C12" s="18">
        <v>1</v>
      </c>
      <c r="D12" s="19">
        <v>0.8</v>
      </c>
      <c r="E12" s="20">
        <v>690</v>
      </c>
      <c r="F12" s="21">
        <f t="shared" si="0"/>
        <v>138</v>
      </c>
    </row>
    <row r="13" spans="1:6" ht="15.5">
      <c r="A13" s="17" t="s">
        <v>111</v>
      </c>
      <c r="B13" s="17" t="s">
        <v>112</v>
      </c>
      <c r="C13" s="18">
        <v>5</v>
      </c>
      <c r="D13" s="19">
        <v>0.8</v>
      </c>
      <c r="E13" s="20">
        <v>690</v>
      </c>
      <c r="F13" s="21">
        <f t="shared" si="0"/>
        <v>138</v>
      </c>
    </row>
    <row r="14" spans="1:6" ht="15.5">
      <c r="A14" s="17" t="s">
        <v>113</v>
      </c>
      <c r="B14" s="17" t="s">
        <v>114</v>
      </c>
      <c r="C14" s="18">
        <v>9</v>
      </c>
      <c r="D14" s="19">
        <v>0.8</v>
      </c>
      <c r="E14" s="20">
        <v>690</v>
      </c>
      <c r="F14" s="21">
        <f t="shared" si="0"/>
        <v>138</v>
      </c>
    </row>
    <row r="15" spans="1:6" ht="15.5">
      <c r="A15" s="17" t="s">
        <v>115</v>
      </c>
      <c r="B15" s="17" t="s">
        <v>116</v>
      </c>
      <c r="C15" s="18">
        <v>2</v>
      </c>
      <c r="D15" s="19">
        <v>0.8</v>
      </c>
      <c r="E15" s="20">
        <v>690</v>
      </c>
      <c r="F15" s="21">
        <f t="shared" si="0"/>
        <v>138</v>
      </c>
    </row>
    <row r="16" spans="1:6" ht="15.5">
      <c r="A16" s="17" t="s">
        <v>117</v>
      </c>
      <c r="B16" s="17" t="s">
        <v>118</v>
      </c>
      <c r="C16" s="18">
        <v>2</v>
      </c>
      <c r="D16" s="19">
        <v>0.8</v>
      </c>
      <c r="E16" s="20">
        <v>2150</v>
      </c>
      <c r="F16" s="21">
        <f t="shared" si="0"/>
        <v>430</v>
      </c>
    </row>
    <row r="17" spans="3:3" ht="15.75" customHeight="1">
      <c r="C17" s="22">
        <f>SUM(C3:C16)</f>
        <v>64</v>
      </c>
    </row>
    <row r="18" spans="3:3" ht="15.75" customHeight="1"/>
    <row r="19" spans="3:3" ht="15.75" customHeight="1"/>
    <row r="20" spans="3:3" ht="15.75" customHeight="1"/>
    <row r="21" spans="3:3" ht="15.75" customHeight="1"/>
    <row r="22" spans="3:3" ht="15.75" customHeight="1"/>
    <row r="23" spans="3:3" ht="15.75" customHeight="1"/>
    <row r="24" spans="3:3" ht="15.75" customHeight="1"/>
    <row r="25" spans="3:3" ht="15.75" customHeight="1"/>
    <row r="26" spans="3:3" ht="15.75" customHeight="1"/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</sheetData>
  <mergeCells count="6">
    <mergeCell ref="F1:F2"/>
    <mergeCell ref="A1:A2"/>
    <mergeCell ref="B1:B2"/>
    <mergeCell ref="C1:C2"/>
    <mergeCell ref="D1:D2"/>
    <mergeCell ref="E1:E2"/>
  </mergeCells>
  <printOptions horizontalCentered="1"/>
  <pageMargins left="0.27559055118110237" right="0.19685039370078741" top="0.59" bottom="0.35433070866141736" header="0" footer="0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VIVO</vt:lpstr>
      <vt:lpstr>Tabio</vt:lpstr>
      <vt:lpstr>VFF</vt:lpstr>
      <vt:lpstr>Not all sizes&amp;Slow seller</vt:lpstr>
      <vt:lpstr>2023-2024</vt:lpstr>
      <vt:lpstr>Oleno</vt:lpstr>
      <vt:lpstr>BFJ Sock</vt:lpstr>
      <vt:lpstr>AQOZ</vt:lpstr>
      <vt:lpstr>Klean Kanteen</vt:lpstr>
      <vt:lpstr>Knockaround</vt:lpstr>
      <vt:lpstr>CC goods&amp;price</vt:lpstr>
      <vt:lpstr>Insect shield</vt:lpstr>
      <vt:lpstr>'2023-2024'!Print_Area</vt:lpstr>
      <vt:lpstr>'BFJ Sock'!Print_Area</vt:lpstr>
      <vt:lpstr>'CC goods&amp;price'!Print_Area</vt:lpstr>
      <vt:lpstr>'Insect shield'!Print_Area</vt:lpstr>
      <vt:lpstr>Knockaround!Print_Area</vt:lpstr>
      <vt:lpstr>'Not all sizes&amp;Slow seller'!Print_Area</vt:lpstr>
      <vt:lpstr>Oleno!Print_Area</vt:lpstr>
      <vt:lpstr>VFF!Print_Area</vt:lpstr>
      <vt:lpstr>'2023-2024'!Print_Titles</vt:lpstr>
      <vt:lpstr>'Not all sizes&amp;Slow seller'!Print_Titles</vt:lpstr>
      <vt:lpstr>Oleno!Print_Titles</vt:lpstr>
      <vt:lpstr>VFF!Print_Titles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Accounting EDV</cp:lastModifiedBy>
  <cp:lastPrinted>2026-09-04T13:14:51Z</cp:lastPrinted>
  <dcterms:created xsi:type="dcterms:W3CDTF">2026-08-29T03:57:44Z</dcterms:created>
  <dcterms:modified xsi:type="dcterms:W3CDTF">2026-09-07T06:32:41Z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