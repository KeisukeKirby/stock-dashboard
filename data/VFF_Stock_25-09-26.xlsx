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ropbox\BFI\Stock Ho\"/>
    </mc:Choice>
  </mc:AlternateContent>
  <xr:revisionPtr revIDLastSave="0" documentId="13_ncr:1_{902FA074-2D9C-4D11-BAC0-F29384E4BE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t (2)" sheetId="1" r:id="rId1"/>
  </sheets>
  <externalReferences>
    <externalReference r:id="rId2"/>
  </externalReferences>
  <definedNames>
    <definedName name="_xlnm.Print_Area" localSheetId="0">'Net (2)'!$A$1:$BY$606</definedName>
    <definedName name="_xlnm.Print_Titles" localSheetId="0">'Net (2)'!$2:$3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16" i="1" l="1"/>
  <c r="BN217" i="1"/>
  <c r="BN141" i="1"/>
  <c r="AS606" i="1"/>
  <c r="BZ175" i="1"/>
  <c r="BZ176" i="1"/>
  <c r="BZ177" i="1"/>
  <c r="BZ178" i="1"/>
  <c r="BZ179" i="1"/>
  <c r="BZ180" i="1"/>
  <c r="BZ181" i="1"/>
  <c r="BZ182" i="1"/>
  <c r="BZ183" i="1"/>
  <c r="BZ184" i="1"/>
  <c r="BU606" i="1"/>
  <c r="BR158" i="1"/>
  <c r="BR157" i="1"/>
  <c r="BR155" i="1"/>
  <c r="BR152" i="1"/>
  <c r="BR151" i="1"/>
  <c r="BZ107" i="1"/>
  <c r="BZ106" i="1"/>
  <c r="BZ105" i="1"/>
  <c r="BZ104" i="1"/>
  <c r="BZ103" i="1"/>
  <c r="BZ102" i="1"/>
  <c r="BI229" i="1"/>
  <c r="BI230" i="1"/>
  <c r="BI231" i="1"/>
  <c r="BI232" i="1"/>
  <c r="BI233" i="1"/>
  <c r="BI234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6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5" i="1"/>
  <c r="AR158" i="1"/>
  <c r="AY158" i="1" s="1"/>
  <c r="AR157" i="1"/>
  <c r="AY157" i="1" s="1"/>
  <c r="AR154" i="1"/>
  <c r="AY154" i="1" s="1"/>
  <c r="AR153" i="1"/>
  <c r="AH606" i="1"/>
  <c r="BZ446" i="1"/>
  <c r="BY606" i="1"/>
  <c r="BX606" i="1"/>
  <c r="BW606" i="1"/>
  <c r="BV606" i="1"/>
  <c r="BT606" i="1"/>
  <c r="BS606" i="1"/>
  <c r="BR606" i="1"/>
  <c r="BQ606" i="1"/>
  <c r="BP606" i="1"/>
  <c r="BH606" i="1"/>
  <c r="BG606" i="1"/>
  <c r="BF606" i="1"/>
  <c r="BE606" i="1"/>
  <c r="BD606" i="1"/>
  <c r="BC606" i="1"/>
  <c r="BA606" i="1"/>
  <c r="AZ606" i="1"/>
  <c r="AX606" i="1"/>
  <c r="AW606" i="1"/>
  <c r="AV606" i="1"/>
  <c r="AU606" i="1"/>
  <c r="AT606" i="1"/>
  <c r="AQ606" i="1"/>
  <c r="AP606" i="1"/>
  <c r="AO606" i="1"/>
  <c r="AN606" i="1"/>
  <c r="AM606" i="1"/>
  <c r="AL606" i="1"/>
  <c r="AK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BZ605" i="1"/>
  <c r="BB605" i="1"/>
  <c r="BJ605" i="1"/>
  <c r="BZ604" i="1"/>
  <c r="BK604" i="1"/>
  <c r="BB604" i="1"/>
  <c r="BI604" i="1" s="1"/>
  <c r="BJ604" i="1" s="1"/>
  <c r="BN604" i="1" s="1"/>
  <c r="BZ603" i="1"/>
  <c r="BK603" i="1"/>
  <c r="BB603" i="1"/>
  <c r="BI603" i="1" s="1"/>
  <c r="BJ603" i="1" s="1"/>
  <c r="BN603" i="1" s="1"/>
  <c r="BZ602" i="1"/>
  <c r="BK602" i="1"/>
  <c r="BB602" i="1"/>
  <c r="BI602" i="1" s="1"/>
  <c r="BJ602" i="1" s="1"/>
  <c r="BN602" i="1" s="1"/>
  <c r="BZ601" i="1"/>
  <c r="BK601" i="1"/>
  <c r="BB601" i="1"/>
  <c r="BI601" i="1" s="1"/>
  <c r="BJ601" i="1" s="1"/>
  <c r="BN601" i="1" s="1"/>
  <c r="BZ600" i="1"/>
  <c r="BK600" i="1"/>
  <c r="BB600" i="1"/>
  <c r="BI600" i="1" s="1"/>
  <c r="BJ600" i="1" s="1"/>
  <c r="BN600" i="1" s="1"/>
  <c r="BZ599" i="1"/>
  <c r="BK599" i="1"/>
  <c r="BB599" i="1"/>
  <c r="BI599" i="1" s="1"/>
  <c r="BJ599" i="1" s="1"/>
  <c r="BN599" i="1" s="1"/>
  <c r="BZ598" i="1"/>
  <c r="BK598" i="1"/>
  <c r="BB598" i="1"/>
  <c r="BI598" i="1" s="1"/>
  <c r="BJ598" i="1" s="1"/>
  <c r="BN598" i="1" s="1"/>
  <c r="BZ597" i="1"/>
  <c r="BK597" i="1"/>
  <c r="BI597" i="1"/>
  <c r="BJ597" i="1" s="1"/>
  <c r="BN597" i="1" s="1"/>
  <c r="BZ596" i="1"/>
  <c r="BK596" i="1"/>
  <c r="BI596" i="1"/>
  <c r="BJ596" i="1" s="1"/>
  <c r="BN596" i="1" s="1"/>
  <c r="BZ595" i="1"/>
  <c r="BK595" i="1"/>
  <c r="BI595" i="1"/>
  <c r="BJ595" i="1" s="1"/>
  <c r="BN595" i="1" s="1"/>
  <c r="BZ594" i="1"/>
  <c r="BK594" i="1"/>
  <c r="BI594" i="1"/>
  <c r="BJ594" i="1" s="1"/>
  <c r="BN594" i="1" s="1"/>
  <c r="BZ593" i="1"/>
  <c r="BK593" i="1"/>
  <c r="BI593" i="1"/>
  <c r="BJ593" i="1" s="1"/>
  <c r="BN593" i="1" s="1"/>
  <c r="BZ592" i="1"/>
  <c r="BK592" i="1"/>
  <c r="BI592" i="1"/>
  <c r="BJ592" i="1" s="1"/>
  <c r="BN592" i="1" s="1"/>
  <c r="BZ591" i="1"/>
  <c r="BK591" i="1"/>
  <c r="BI591" i="1"/>
  <c r="BJ591" i="1" s="1"/>
  <c r="BN591" i="1" s="1"/>
  <c r="BZ590" i="1"/>
  <c r="BK590" i="1"/>
  <c r="BI590" i="1"/>
  <c r="BJ590" i="1" s="1"/>
  <c r="BN590" i="1" s="1"/>
  <c r="BZ589" i="1"/>
  <c r="BK589" i="1"/>
  <c r="BI589" i="1"/>
  <c r="BJ589" i="1" s="1"/>
  <c r="BN589" i="1" s="1"/>
  <c r="BZ588" i="1"/>
  <c r="BK588" i="1"/>
  <c r="BI588" i="1"/>
  <c r="BZ587" i="1"/>
  <c r="BK587" i="1"/>
  <c r="BI587" i="1"/>
  <c r="BZ586" i="1"/>
  <c r="BK586" i="1"/>
  <c r="BI586" i="1"/>
  <c r="BZ585" i="1"/>
  <c r="BK585" i="1"/>
  <c r="BI585" i="1"/>
  <c r="BZ584" i="1"/>
  <c r="BK584" i="1"/>
  <c r="BI584" i="1"/>
  <c r="BZ583" i="1"/>
  <c r="BK583" i="1"/>
  <c r="BI583" i="1"/>
  <c r="BZ582" i="1"/>
  <c r="BK582" i="1"/>
  <c r="BI582" i="1"/>
  <c r="BZ581" i="1"/>
  <c r="BK581" i="1"/>
  <c r="BI581" i="1"/>
  <c r="BZ580" i="1"/>
  <c r="BK580" i="1"/>
  <c r="BI580" i="1"/>
  <c r="BZ579" i="1"/>
  <c r="BK579" i="1"/>
  <c r="BI579" i="1"/>
  <c r="BZ578" i="1"/>
  <c r="BK578" i="1"/>
  <c r="BI578" i="1"/>
  <c r="BZ577" i="1"/>
  <c r="BK577" i="1"/>
  <c r="BI577" i="1"/>
  <c r="BZ576" i="1"/>
  <c r="BK576" i="1"/>
  <c r="BI576" i="1"/>
  <c r="BZ575" i="1"/>
  <c r="BK575" i="1"/>
  <c r="BI575" i="1"/>
  <c r="BZ574" i="1"/>
  <c r="BK574" i="1"/>
  <c r="BI574" i="1"/>
  <c r="BZ573" i="1"/>
  <c r="BK573" i="1"/>
  <c r="BI573" i="1"/>
  <c r="BZ572" i="1"/>
  <c r="BK572" i="1"/>
  <c r="BI572" i="1"/>
  <c r="BZ571" i="1"/>
  <c r="BK571" i="1"/>
  <c r="BI571" i="1"/>
  <c r="BZ570" i="1"/>
  <c r="BK570" i="1"/>
  <c r="BI570" i="1"/>
  <c r="BZ569" i="1"/>
  <c r="BK569" i="1"/>
  <c r="BI569" i="1"/>
  <c r="BZ568" i="1"/>
  <c r="BK568" i="1"/>
  <c r="BI568" i="1"/>
  <c r="BZ567" i="1"/>
  <c r="BK567" i="1"/>
  <c r="BI567" i="1"/>
  <c r="BZ566" i="1"/>
  <c r="BK566" i="1"/>
  <c r="BI566" i="1"/>
  <c r="BZ565" i="1"/>
  <c r="BK565" i="1"/>
  <c r="BI565" i="1"/>
  <c r="BZ564" i="1"/>
  <c r="BK564" i="1"/>
  <c r="BI564" i="1"/>
  <c r="BZ563" i="1"/>
  <c r="BK563" i="1"/>
  <c r="BI563" i="1"/>
  <c r="BZ562" i="1"/>
  <c r="BK562" i="1"/>
  <c r="BI562" i="1"/>
  <c r="BZ561" i="1"/>
  <c r="BK561" i="1"/>
  <c r="BI561" i="1"/>
  <c r="BZ560" i="1"/>
  <c r="BK560" i="1"/>
  <c r="BI560" i="1"/>
  <c r="BZ559" i="1"/>
  <c r="BK559" i="1"/>
  <c r="BI559" i="1"/>
  <c r="CC207" i="1" s="1" a="1"/>
  <c r="BZ558" i="1"/>
  <c r="BK558" i="1"/>
  <c r="BB558" i="1"/>
  <c r="BI558" i="1" s="1"/>
  <c r="BZ557" i="1"/>
  <c r="BK557" i="1"/>
  <c r="BB557" i="1"/>
  <c r="BI557" i="1" s="1"/>
  <c r="BZ556" i="1"/>
  <c r="BK556" i="1"/>
  <c r="BB556" i="1"/>
  <c r="BI556" i="1" s="1"/>
  <c r="BZ555" i="1"/>
  <c r="BK555" i="1"/>
  <c r="BB555" i="1"/>
  <c r="BI555" i="1" s="1"/>
  <c r="BZ554" i="1"/>
  <c r="BK554" i="1"/>
  <c r="BB554" i="1"/>
  <c r="BI554" i="1" s="1"/>
  <c r="BZ553" i="1"/>
  <c r="BK553" i="1"/>
  <c r="BB553" i="1"/>
  <c r="BI553" i="1" s="1"/>
  <c r="BZ552" i="1"/>
  <c r="BK552" i="1"/>
  <c r="BB552" i="1"/>
  <c r="BI552" i="1" s="1"/>
  <c r="BZ551" i="1"/>
  <c r="BK551" i="1"/>
  <c r="BB551" i="1"/>
  <c r="BI551" i="1" s="1"/>
  <c r="BZ550" i="1"/>
  <c r="BK550" i="1"/>
  <c r="BB550" i="1"/>
  <c r="BI550" i="1" s="1"/>
  <c r="BZ549" i="1"/>
  <c r="BK549" i="1"/>
  <c r="BB549" i="1"/>
  <c r="BI549" i="1" s="1"/>
  <c r="BZ548" i="1"/>
  <c r="BK548" i="1"/>
  <c r="BB548" i="1"/>
  <c r="BI548" i="1" s="1"/>
  <c r="BZ547" i="1"/>
  <c r="BK547" i="1"/>
  <c r="BB547" i="1"/>
  <c r="BI547" i="1" s="1"/>
  <c r="BZ546" i="1"/>
  <c r="BK546" i="1"/>
  <c r="BB546" i="1"/>
  <c r="BI546" i="1" s="1"/>
  <c r="CC199" i="1" s="1" a="1"/>
  <c r="BZ545" i="1"/>
  <c r="BK545" i="1"/>
  <c r="BB545" i="1"/>
  <c r="BI545" i="1" s="1"/>
  <c r="BZ544" i="1"/>
  <c r="BK544" i="1"/>
  <c r="BB544" i="1"/>
  <c r="BI544" i="1" s="1"/>
  <c r="BZ543" i="1"/>
  <c r="BK543" i="1"/>
  <c r="BB543" i="1"/>
  <c r="BI543" i="1" s="1"/>
  <c r="BZ542" i="1"/>
  <c r="BK542" i="1"/>
  <c r="BB542" i="1"/>
  <c r="BI542" i="1" s="1"/>
  <c r="BZ541" i="1"/>
  <c r="BK541" i="1"/>
  <c r="BB541" i="1"/>
  <c r="BI541" i="1" s="1"/>
  <c r="BZ540" i="1"/>
  <c r="BK540" i="1"/>
  <c r="BB540" i="1"/>
  <c r="BI540" i="1" s="1"/>
  <c r="BZ539" i="1"/>
  <c r="BK539" i="1"/>
  <c r="BB539" i="1"/>
  <c r="BI539" i="1" s="1"/>
  <c r="BZ538" i="1"/>
  <c r="BK538" i="1"/>
  <c r="BB538" i="1"/>
  <c r="BI538" i="1" s="1"/>
  <c r="BZ537" i="1"/>
  <c r="BK537" i="1"/>
  <c r="BB537" i="1"/>
  <c r="BI537" i="1" s="1"/>
  <c r="BZ536" i="1"/>
  <c r="BK536" i="1"/>
  <c r="BB536" i="1"/>
  <c r="BI536" i="1" s="1"/>
  <c r="BZ535" i="1"/>
  <c r="BK535" i="1"/>
  <c r="BB535" i="1"/>
  <c r="BI535" i="1" s="1"/>
  <c r="BZ534" i="1"/>
  <c r="BK534" i="1"/>
  <c r="BB534" i="1"/>
  <c r="BI534" i="1" s="1"/>
  <c r="BZ533" i="1"/>
  <c r="BK533" i="1"/>
  <c r="BB533" i="1"/>
  <c r="BI533" i="1" s="1"/>
  <c r="BZ532" i="1"/>
  <c r="BK532" i="1"/>
  <c r="BB532" i="1"/>
  <c r="BI532" i="1" s="1"/>
  <c r="BZ531" i="1"/>
  <c r="BK531" i="1"/>
  <c r="BB531" i="1"/>
  <c r="BI531" i="1" s="1"/>
  <c r="BZ530" i="1"/>
  <c r="BK530" i="1"/>
  <c r="BB530" i="1"/>
  <c r="BI530" i="1" s="1"/>
  <c r="BZ529" i="1"/>
  <c r="BK529" i="1"/>
  <c r="BB529" i="1"/>
  <c r="BI529" i="1" s="1"/>
  <c r="BZ528" i="1"/>
  <c r="BK528" i="1"/>
  <c r="BB528" i="1"/>
  <c r="BI528" i="1" s="1"/>
  <c r="BZ527" i="1"/>
  <c r="BK527" i="1"/>
  <c r="BB527" i="1"/>
  <c r="BI527" i="1" s="1"/>
  <c r="BZ526" i="1"/>
  <c r="BK526" i="1"/>
  <c r="BB526" i="1"/>
  <c r="BI526" i="1" s="1"/>
  <c r="BZ525" i="1"/>
  <c r="BK525" i="1"/>
  <c r="BB525" i="1"/>
  <c r="BI525" i="1" s="1"/>
  <c r="BZ524" i="1"/>
  <c r="BK524" i="1"/>
  <c r="BB524" i="1"/>
  <c r="BI524" i="1" s="1"/>
  <c r="BZ523" i="1"/>
  <c r="BK523" i="1"/>
  <c r="BB523" i="1"/>
  <c r="BI523" i="1" s="1"/>
  <c r="BZ522" i="1"/>
  <c r="BK522" i="1"/>
  <c r="BB522" i="1"/>
  <c r="BI522" i="1" s="1"/>
  <c r="BZ521" i="1"/>
  <c r="BK521" i="1"/>
  <c r="BI521" i="1"/>
  <c r="BZ520" i="1"/>
  <c r="BK520" i="1"/>
  <c r="BB520" i="1"/>
  <c r="BI520" i="1" s="1"/>
  <c r="BZ519" i="1"/>
  <c r="BK519" i="1"/>
  <c r="BB519" i="1"/>
  <c r="BI519" i="1" s="1"/>
  <c r="BZ518" i="1"/>
  <c r="BK518" i="1"/>
  <c r="BB518" i="1"/>
  <c r="BI518" i="1" s="1"/>
  <c r="BZ517" i="1"/>
  <c r="BK517" i="1"/>
  <c r="BB517" i="1"/>
  <c r="BI517" i="1" s="1"/>
  <c r="BZ516" i="1"/>
  <c r="BK516" i="1"/>
  <c r="BB516" i="1"/>
  <c r="BI516" i="1" s="1"/>
  <c r="BZ515" i="1"/>
  <c r="BK515" i="1"/>
  <c r="BB515" i="1"/>
  <c r="BI515" i="1" s="1"/>
  <c r="BZ514" i="1"/>
  <c r="BK514" i="1"/>
  <c r="BB514" i="1"/>
  <c r="BI514" i="1" s="1"/>
  <c r="BZ513" i="1"/>
  <c r="BK513" i="1"/>
  <c r="BB513" i="1"/>
  <c r="BI513" i="1" s="1"/>
  <c r="BZ512" i="1"/>
  <c r="BK512" i="1"/>
  <c r="BB512" i="1"/>
  <c r="BI512" i="1" s="1"/>
  <c r="BZ511" i="1"/>
  <c r="BK511" i="1"/>
  <c r="BB511" i="1"/>
  <c r="BI511" i="1" s="1"/>
  <c r="BZ510" i="1"/>
  <c r="BK510" i="1"/>
  <c r="BB510" i="1"/>
  <c r="BI510" i="1" s="1"/>
  <c r="BZ509" i="1"/>
  <c r="BK509" i="1"/>
  <c r="BB509" i="1"/>
  <c r="BI509" i="1" s="1"/>
  <c r="BZ508" i="1"/>
  <c r="BK508" i="1"/>
  <c r="BB508" i="1"/>
  <c r="BI508" i="1" s="1"/>
  <c r="BZ507" i="1"/>
  <c r="BK507" i="1"/>
  <c r="BB507" i="1"/>
  <c r="BI507" i="1" s="1"/>
  <c r="BZ506" i="1"/>
  <c r="BK506" i="1"/>
  <c r="BB506" i="1"/>
  <c r="BI506" i="1" s="1"/>
  <c r="BJ506" i="1" s="1"/>
  <c r="BZ505" i="1"/>
  <c r="BK505" i="1"/>
  <c r="BB505" i="1"/>
  <c r="BI505" i="1" s="1"/>
  <c r="BJ505" i="1" s="1"/>
  <c r="BZ504" i="1"/>
  <c r="BK504" i="1"/>
  <c r="BB504" i="1"/>
  <c r="BI504" i="1" s="1"/>
  <c r="BJ504" i="1" s="1"/>
  <c r="BZ503" i="1"/>
  <c r="BK503" i="1"/>
  <c r="BB503" i="1"/>
  <c r="BI503" i="1" s="1"/>
  <c r="BJ503" i="1" s="1"/>
  <c r="BZ502" i="1"/>
  <c r="BK502" i="1"/>
  <c r="BB502" i="1"/>
  <c r="BI502" i="1" s="1"/>
  <c r="BJ502" i="1" s="1"/>
  <c r="BZ501" i="1"/>
  <c r="BK501" i="1"/>
  <c r="BB501" i="1"/>
  <c r="BI501" i="1" s="1"/>
  <c r="BZ500" i="1"/>
  <c r="BK500" i="1"/>
  <c r="BB500" i="1"/>
  <c r="BI500" i="1" s="1"/>
  <c r="BZ499" i="1"/>
  <c r="BK499" i="1"/>
  <c r="BI499" i="1"/>
  <c r="BJ499" i="1" s="1"/>
  <c r="BN499" i="1" s="1"/>
  <c r="BZ498" i="1"/>
  <c r="BK498" i="1"/>
  <c r="BI498" i="1"/>
  <c r="BJ498" i="1" s="1"/>
  <c r="BN498" i="1" s="1"/>
  <c r="BZ497" i="1"/>
  <c r="BK497" i="1"/>
  <c r="BI497" i="1"/>
  <c r="BJ497" i="1" s="1"/>
  <c r="BN497" i="1" s="1"/>
  <c r="BZ496" i="1"/>
  <c r="BK496" i="1"/>
  <c r="BI496" i="1"/>
  <c r="BZ495" i="1"/>
  <c r="BK495" i="1"/>
  <c r="BI495" i="1"/>
  <c r="BZ494" i="1"/>
  <c r="BK494" i="1"/>
  <c r="BI494" i="1"/>
  <c r="BZ493" i="1"/>
  <c r="BK493" i="1"/>
  <c r="BI493" i="1"/>
  <c r="BZ492" i="1"/>
  <c r="BK492" i="1"/>
  <c r="BI492" i="1"/>
  <c r="BZ491" i="1"/>
  <c r="BK491" i="1"/>
  <c r="BI491" i="1"/>
  <c r="CC165" i="1" s="1" a="1"/>
  <c r="BZ490" i="1"/>
  <c r="BK490" i="1"/>
  <c r="BB490" i="1"/>
  <c r="BI490" i="1" s="1"/>
  <c r="BZ489" i="1"/>
  <c r="BK489" i="1"/>
  <c r="BB489" i="1"/>
  <c r="BI489" i="1" s="1"/>
  <c r="BZ488" i="1"/>
  <c r="BK488" i="1"/>
  <c r="BB488" i="1"/>
  <c r="BI488" i="1" s="1"/>
  <c r="BZ487" i="1"/>
  <c r="BK487" i="1"/>
  <c r="BB487" i="1"/>
  <c r="BI487" i="1" s="1"/>
  <c r="BZ486" i="1"/>
  <c r="BK486" i="1"/>
  <c r="BB486" i="1"/>
  <c r="BI486" i="1" s="1"/>
  <c r="BZ485" i="1"/>
  <c r="BK485" i="1"/>
  <c r="BB485" i="1"/>
  <c r="BI485" i="1" s="1"/>
  <c r="BZ484" i="1"/>
  <c r="BK484" i="1"/>
  <c r="BB484" i="1"/>
  <c r="BI484" i="1" s="1"/>
  <c r="BZ483" i="1"/>
  <c r="BK483" i="1"/>
  <c r="BB483" i="1"/>
  <c r="BI483" i="1" s="1"/>
  <c r="BZ482" i="1"/>
  <c r="BK482" i="1"/>
  <c r="BB482" i="1"/>
  <c r="BI482" i="1" s="1"/>
  <c r="BZ481" i="1"/>
  <c r="BK481" i="1"/>
  <c r="BB481" i="1"/>
  <c r="BI481" i="1" s="1"/>
  <c r="BZ480" i="1"/>
  <c r="BK480" i="1"/>
  <c r="BB480" i="1"/>
  <c r="BI480" i="1" s="1"/>
  <c r="BZ479" i="1"/>
  <c r="BK479" i="1"/>
  <c r="BB479" i="1"/>
  <c r="BI479" i="1" s="1"/>
  <c r="BZ478" i="1"/>
  <c r="BK478" i="1"/>
  <c r="BB478" i="1"/>
  <c r="BI478" i="1" s="1"/>
  <c r="BZ477" i="1"/>
  <c r="BK477" i="1"/>
  <c r="BB477" i="1"/>
  <c r="BI477" i="1" s="1"/>
  <c r="BZ476" i="1"/>
  <c r="BK476" i="1"/>
  <c r="BB476" i="1"/>
  <c r="BI476" i="1" s="1"/>
  <c r="BZ475" i="1"/>
  <c r="BK475" i="1"/>
  <c r="BB475" i="1"/>
  <c r="BI475" i="1" s="1"/>
  <c r="BZ474" i="1"/>
  <c r="BK474" i="1"/>
  <c r="BB474" i="1"/>
  <c r="BI474" i="1" s="1"/>
  <c r="BZ473" i="1"/>
  <c r="BK473" i="1"/>
  <c r="BB473" i="1"/>
  <c r="BI473" i="1" s="1"/>
  <c r="BZ472" i="1"/>
  <c r="BK472" i="1"/>
  <c r="BB472" i="1"/>
  <c r="BI472" i="1" s="1"/>
  <c r="BZ471" i="1"/>
  <c r="BK471" i="1"/>
  <c r="BB471" i="1"/>
  <c r="BI471" i="1" s="1"/>
  <c r="BZ470" i="1"/>
  <c r="BK470" i="1"/>
  <c r="BB470" i="1"/>
  <c r="BI470" i="1" s="1"/>
  <c r="BZ469" i="1"/>
  <c r="BK469" i="1"/>
  <c r="BB469" i="1"/>
  <c r="BI469" i="1" s="1"/>
  <c r="BZ468" i="1"/>
  <c r="BK468" i="1"/>
  <c r="BB468" i="1"/>
  <c r="BI468" i="1" s="1"/>
  <c r="BZ467" i="1"/>
  <c r="BK467" i="1"/>
  <c r="BB467" i="1"/>
  <c r="BI467" i="1" s="1"/>
  <c r="BZ466" i="1"/>
  <c r="BK466" i="1"/>
  <c r="BI466" i="1"/>
  <c r="BZ465" i="1"/>
  <c r="BK465" i="1"/>
  <c r="BI465" i="1"/>
  <c r="BZ464" i="1"/>
  <c r="BK464" i="1"/>
  <c r="BI464" i="1"/>
  <c r="BZ463" i="1"/>
  <c r="BK463" i="1"/>
  <c r="BB463" i="1"/>
  <c r="BI463" i="1" s="1"/>
  <c r="BZ462" i="1"/>
  <c r="BK462" i="1"/>
  <c r="BI462" i="1"/>
  <c r="BZ461" i="1"/>
  <c r="BK461" i="1"/>
  <c r="BB461" i="1"/>
  <c r="BI461" i="1" s="1"/>
  <c r="BZ460" i="1"/>
  <c r="BK460" i="1"/>
  <c r="BB460" i="1"/>
  <c r="BI460" i="1" s="1"/>
  <c r="BZ459" i="1"/>
  <c r="BK459" i="1"/>
  <c r="BB459" i="1"/>
  <c r="BI459" i="1" s="1"/>
  <c r="BZ458" i="1"/>
  <c r="BK458" i="1"/>
  <c r="BB458" i="1"/>
  <c r="BI458" i="1" s="1"/>
  <c r="BZ457" i="1"/>
  <c r="BK457" i="1"/>
  <c r="BB457" i="1"/>
  <c r="BI457" i="1" s="1"/>
  <c r="BZ456" i="1"/>
  <c r="BK456" i="1"/>
  <c r="BB456" i="1"/>
  <c r="BI456" i="1" s="1"/>
  <c r="BZ455" i="1"/>
  <c r="BK455" i="1"/>
  <c r="BB455" i="1"/>
  <c r="BI455" i="1" s="1"/>
  <c r="BZ454" i="1"/>
  <c r="BK454" i="1"/>
  <c r="BB454" i="1"/>
  <c r="BI454" i="1" s="1"/>
  <c r="BZ453" i="1"/>
  <c r="BK453" i="1"/>
  <c r="BB453" i="1"/>
  <c r="BI453" i="1" s="1"/>
  <c r="BZ452" i="1"/>
  <c r="BK452" i="1"/>
  <c r="BB452" i="1"/>
  <c r="BI452" i="1" s="1"/>
  <c r="BZ451" i="1"/>
  <c r="BK451" i="1"/>
  <c r="BB451" i="1"/>
  <c r="BI451" i="1" s="1"/>
  <c r="BZ450" i="1"/>
  <c r="BK450" i="1"/>
  <c r="BB450" i="1"/>
  <c r="BI450" i="1" s="1"/>
  <c r="BZ449" i="1"/>
  <c r="BK449" i="1"/>
  <c r="BB449" i="1"/>
  <c r="BI449" i="1" s="1"/>
  <c r="BZ448" i="1"/>
  <c r="BK448" i="1"/>
  <c r="BB448" i="1"/>
  <c r="BI448" i="1" s="1"/>
  <c r="BZ447" i="1"/>
  <c r="BK447" i="1"/>
  <c r="BB447" i="1"/>
  <c r="BI447" i="1" s="1"/>
  <c r="BK446" i="1"/>
  <c r="BB446" i="1"/>
  <c r="BI446" i="1" s="1"/>
  <c r="BZ445" i="1"/>
  <c r="BK445" i="1"/>
  <c r="BB445" i="1"/>
  <c r="BI445" i="1" s="1"/>
  <c r="BZ444" i="1"/>
  <c r="BK444" i="1"/>
  <c r="BB444" i="1"/>
  <c r="BI444" i="1" s="1"/>
  <c r="BZ443" i="1"/>
  <c r="BK443" i="1"/>
  <c r="BB443" i="1"/>
  <c r="BI443" i="1" s="1"/>
  <c r="BZ442" i="1"/>
  <c r="BK442" i="1"/>
  <c r="BB442" i="1"/>
  <c r="BI442" i="1" s="1"/>
  <c r="BZ441" i="1"/>
  <c r="BK441" i="1"/>
  <c r="BB441" i="1"/>
  <c r="BI441" i="1" s="1"/>
  <c r="BZ440" i="1"/>
  <c r="BK440" i="1"/>
  <c r="BB440" i="1"/>
  <c r="BI440" i="1" s="1"/>
  <c r="BZ439" i="1"/>
  <c r="BK439" i="1"/>
  <c r="BB439" i="1"/>
  <c r="BI439" i="1" s="1"/>
  <c r="BZ438" i="1"/>
  <c r="BK438" i="1"/>
  <c r="BB438" i="1"/>
  <c r="BI438" i="1" s="1"/>
  <c r="BZ437" i="1"/>
  <c r="BK437" i="1"/>
  <c r="BB437" i="1"/>
  <c r="BI437" i="1" s="1"/>
  <c r="BZ436" i="1"/>
  <c r="BK436" i="1"/>
  <c r="BB436" i="1"/>
  <c r="BI436" i="1" s="1"/>
  <c r="BZ435" i="1"/>
  <c r="BK435" i="1"/>
  <c r="BB435" i="1"/>
  <c r="BI435" i="1" s="1"/>
  <c r="CC137" i="1" s="1" a="1"/>
  <c r="BZ434" i="1"/>
  <c r="BK434" i="1"/>
  <c r="BB434" i="1"/>
  <c r="BI434" i="1" s="1"/>
  <c r="BZ433" i="1"/>
  <c r="BK433" i="1"/>
  <c r="BB433" i="1"/>
  <c r="BI433" i="1" s="1"/>
  <c r="BZ432" i="1"/>
  <c r="BK432" i="1"/>
  <c r="BB432" i="1"/>
  <c r="BI432" i="1" s="1"/>
  <c r="BZ431" i="1"/>
  <c r="BK431" i="1"/>
  <c r="BB431" i="1"/>
  <c r="BI431" i="1" s="1"/>
  <c r="BZ430" i="1"/>
  <c r="BK430" i="1"/>
  <c r="BB430" i="1"/>
  <c r="BI430" i="1" s="1"/>
  <c r="BZ429" i="1"/>
  <c r="BK429" i="1"/>
  <c r="BB429" i="1"/>
  <c r="BI429" i="1" s="1"/>
  <c r="BZ428" i="1"/>
  <c r="BK428" i="1"/>
  <c r="BB428" i="1"/>
  <c r="BI428" i="1" s="1"/>
  <c r="BZ427" i="1"/>
  <c r="BK427" i="1"/>
  <c r="BB427" i="1"/>
  <c r="BI427" i="1" s="1"/>
  <c r="BZ426" i="1"/>
  <c r="BK426" i="1"/>
  <c r="BB426" i="1"/>
  <c r="BI426" i="1" s="1"/>
  <c r="BZ425" i="1"/>
  <c r="BK425" i="1"/>
  <c r="BB425" i="1"/>
  <c r="BI425" i="1" s="1"/>
  <c r="BZ424" i="1"/>
  <c r="BK424" i="1"/>
  <c r="BB424" i="1"/>
  <c r="BI424" i="1" s="1"/>
  <c r="BZ423" i="1"/>
  <c r="BK423" i="1"/>
  <c r="BB423" i="1"/>
  <c r="BI423" i="1" s="1"/>
  <c r="BZ422" i="1"/>
  <c r="BK422" i="1"/>
  <c r="BB422" i="1"/>
  <c r="BI422" i="1" s="1"/>
  <c r="BZ421" i="1"/>
  <c r="BK421" i="1"/>
  <c r="BB421" i="1"/>
  <c r="BI421" i="1" s="1"/>
  <c r="BZ420" i="1"/>
  <c r="BK420" i="1"/>
  <c r="BB420" i="1"/>
  <c r="BI420" i="1" s="1"/>
  <c r="BZ419" i="1"/>
  <c r="BK419" i="1"/>
  <c r="BB419" i="1"/>
  <c r="BI419" i="1" s="1"/>
  <c r="BZ418" i="1"/>
  <c r="BK418" i="1"/>
  <c r="BB418" i="1"/>
  <c r="BI418" i="1" s="1"/>
  <c r="BZ417" i="1"/>
  <c r="BK417" i="1"/>
  <c r="BB417" i="1"/>
  <c r="BI417" i="1" s="1"/>
  <c r="BZ416" i="1"/>
  <c r="BK416" i="1"/>
  <c r="BB416" i="1"/>
  <c r="BI416" i="1" s="1"/>
  <c r="BZ415" i="1"/>
  <c r="BK415" i="1"/>
  <c r="BB415" i="1"/>
  <c r="BI415" i="1" s="1"/>
  <c r="BZ414" i="1"/>
  <c r="BK414" i="1"/>
  <c r="BB414" i="1"/>
  <c r="BI414" i="1" s="1"/>
  <c r="BZ413" i="1"/>
  <c r="BK413" i="1"/>
  <c r="BB413" i="1"/>
  <c r="BI413" i="1" s="1"/>
  <c r="BZ412" i="1"/>
  <c r="BK412" i="1"/>
  <c r="BB412" i="1"/>
  <c r="BI412" i="1" s="1"/>
  <c r="BZ411" i="1"/>
  <c r="BK411" i="1"/>
  <c r="BB411" i="1"/>
  <c r="BI411" i="1" s="1"/>
  <c r="BZ410" i="1"/>
  <c r="BK410" i="1"/>
  <c r="BB410" i="1"/>
  <c r="BI410" i="1" s="1"/>
  <c r="BZ409" i="1"/>
  <c r="BK409" i="1"/>
  <c r="BB409" i="1"/>
  <c r="BI409" i="1" s="1"/>
  <c r="BZ408" i="1"/>
  <c r="BK408" i="1"/>
  <c r="BB408" i="1"/>
  <c r="BI408" i="1" s="1"/>
  <c r="BZ407" i="1"/>
  <c r="BK407" i="1"/>
  <c r="BB407" i="1"/>
  <c r="BI407" i="1" s="1"/>
  <c r="BZ406" i="1"/>
  <c r="BK406" i="1"/>
  <c r="BB406" i="1"/>
  <c r="BI406" i="1" s="1"/>
  <c r="BZ405" i="1"/>
  <c r="BK405" i="1"/>
  <c r="BB405" i="1"/>
  <c r="BI405" i="1" s="1"/>
  <c r="BZ404" i="1"/>
  <c r="BK404" i="1"/>
  <c r="BB404" i="1"/>
  <c r="BI404" i="1" s="1"/>
  <c r="BZ403" i="1"/>
  <c r="BK403" i="1"/>
  <c r="BB403" i="1"/>
  <c r="BI403" i="1" s="1"/>
  <c r="BZ402" i="1"/>
  <c r="BK402" i="1"/>
  <c r="BB402" i="1"/>
  <c r="BI402" i="1" s="1"/>
  <c r="BZ401" i="1"/>
  <c r="BK401" i="1"/>
  <c r="BB401" i="1"/>
  <c r="BI401" i="1" s="1"/>
  <c r="BZ400" i="1"/>
  <c r="BK400" i="1"/>
  <c r="BB400" i="1"/>
  <c r="BI400" i="1" s="1"/>
  <c r="BZ399" i="1"/>
  <c r="BK399" i="1"/>
  <c r="BB399" i="1"/>
  <c r="BI399" i="1" s="1"/>
  <c r="BZ398" i="1"/>
  <c r="BK398" i="1"/>
  <c r="BB398" i="1"/>
  <c r="BI398" i="1" s="1"/>
  <c r="BZ397" i="1"/>
  <c r="BK397" i="1"/>
  <c r="BB397" i="1"/>
  <c r="BI397" i="1" s="1"/>
  <c r="BZ396" i="1"/>
  <c r="BK396" i="1"/>
  <c r="BB396" i="1"/>
  <c r="BI396" i="1" s="1"/>
  <c r="BZ395" i="1"/>
  <c r="BK395" i="1"/>
  <c r="BB395" i="1"/>
  <c r="BI395" i="1" s="1"/>
  <c r="BZ394" i="1"/>
  <c r="BK394" i="1"/>
  <c r="BB394" i="1"/>
  <c r="BI394" i="1" s="1"/>
  <c r="BZ393" i="1"/>
  <c r="BK393" i="1"/>
  <c r="BB393" i="1"/>
  <c r="BI393" i="1" s="1"/>
  <c r="BZ392" i="1"/>
  <c r="BK392" i="1"/>
  <c r="BB392" i="1"/>
  <c r="BI392" i="1" s="1"/>
  <c r="BZ391" i="1"/>
  <c r="BK391" i="1"/>
  <c r="BB391" i="1"/>
  <c r="BI391" i="1" s="1"/>
  <c r="BZ390" i="1"/>
  <c r="BK390" i="1"/>
  <c r="BB390" i="1"/>
  <c r="BI390" i="1" s="1"/>
  <c r="BZ389" i="1"/>
  <c r="BK389" i="1"/>
  <c r="BB389" i="1"/>
  <c r="BI389" i="1" s="1"/>
  <c r="CC110" i="1" s="1" a="1"/>
  <c r="BZ388" i="1"/>
  <c r="BK388" i="1"/>
  <c r="BB388" i="1"/>
  <c r="BI388" i="1" s="1"/>
  <c r="BZ387" i="1"/>
  <c r="BK387" i="1"/>
  <c r="BB387" i="1"/>
  <c r="BI387" i="1" s="1"/>
  <c r="BZ386" i="1"/>
  <c r="BK386" i="1"/>
  <c r="BB386" i="1"/>
  <c r="BI386" i="1" s="1"/>
  <c r="BZ385" i="1"/>
  <c r="BK385" i="1"/>
  <c r="BB385" i="1"/>
  <c r="BI385" i="1" s="1"/>
  <c r="BZ384" i="1"/>
  <c r="BK384" i="1"/>
  <c r="BB384" i="1"/>
  <c r="BI384" i="1" s="1"/>
  <c r="BZ383" i="1"/>
  <c r="BK383" i="1"/>
  <c r="BB383" i="1"/>
  <c r="BI383" i="1" s="1"/>
  <c r="BZ382" i="1"/>
  <c r="BK382" i="1"/>
  <c r="BB382" i="1"/>
  <c r="BI382" i="1" s="1"/>
  <c r="BZ381" i="1"/>
  <c r="BK381" i="1"/>
  <c r="BB381" i="1"/>
  <c r="BI381" i="1" s="1"/>
  <c r="BZ380" i="1"/>
  <c r="BK380" i="1"/>
  <c r="BB380" i="1"/>
  <c r="BI380" i="1" s="1"/>
  <c r="BZ379" i="1"/>
  <c r="BK379" i="1"/>
  <c r="BB379" i="1"/>
  <c r="BI379" i="1" s="1"/>
  <c r="BZ378" i="1"/>
  <c r="BK378" i="1"/>
  <c r="BB378" i="1"/>
  <c r="BI378" i="1" s="1"/>
  <c r="BZ377" i="1"/>
  <c r="BK377" i="1"/>
  <c r="BB377" i="1"/>
  <c r="BI377" i="1" s="1"/>
  <c r="BZ376" i="1"/>
  <c r="BK376" i="1"/>
  <c r="BI376" i="1"/>
  <c r="BZ375" i="1"/>
  <c r="BK375" i="1"/>
  <c r="BB375" i="1"/>
  <c r="BI375" i="1" s="1"/>
  <c r="BZ374" i="1"/>
  <c r="BK374" i="1"/>
  <c r="BB374" i="1"/>
  <c r="BI374" i="1" s="1"/>
  <c r="BZ373" i="1"/>
  <c r="BK373" i="1"/>
  <c r="BB373" i="1"/>
  <c r="BI373" i="1" s="1"/>
  <c r="BZ372" i="1"/>
  <c r="BK372" i="1"/>
  <c r="BB372" i="1"/>
  <c r="BI372" i="1" s="1"/>
  <c r="BZ371" i="1"/>
  <c r="BK371" i="1"/>
  <c r="BB371" i="1"/>
  <c r="BI371" i="1" s="1"/>
  <c r="BZ370" i="1"/>
  <c r="BK370" i="1"/>
  <c r="BB370" i="1"/>
  <c r="BI370" i="1" s="1"/>
  <c r="BZ369" i="1"/>
  <c r="BK369" i="1"/>
  <c r="BB369" i="1"/>
  <c r="BI369" i="1" s="1"/>
  <c r="BZ368" i="1"/>
  <c r="BK368" i="1"/>
  <c r="BB368" i="1"/>
  <c r="BI368" i="1" s="1"/>
  <c r="BZ367" i="1"/>
  <c r="BK367" i="1"/>
  <c r="BB367" i="1"/>
  <c r="BI367" i="1" s="1"/>
  <c r="BZ366" i="1"/>
  <c r="BK366" i="1"/>
  <c r="BB366" i="1"/>
  <c r="BI366" i="1" s="1"/>
  <c r="BZ365" i="1"/>
  <c r="BK365" i="1"/>
  <c r="BB365" i="1"/>
  <c r="BI365" i="1" s="1"/>
  <c r="BZ364" i="1"/>
  <c r="BK364" i="1"/>
  <c r="BB364" i="1"/>
  <c r="BI364" i="1" s="1"/>
  <c r="BZ363" i="1"/>
  <c r="BK363" i="1"/>
  <c r="BB363" i="1"/>
  <c r="BI363" i="1" s="1"/>
  <c r="BZ362" i="1"/>
  <c r="BK362" i="1"/>
  <c r="BB362" i="1"/>
  <c r="BI362" i="1" s="1"/>
  <c r="BZ361" i="1"/>
  <c r="BK361" i="1"/>
  <c r="BB361" i="1"/>
  <c r="BI361" i="1" s="1"/>
  <c r="BZ360" i="1"/>
  <c r="BK360" i="1"/>
  <c r="BB360" i="1"/>
  <c r="BI360" i="1" s="1"/>
  <c r="BZ359" i="1"/>
  <c r="BK359" i="1"/>
  <c r="BB359" i="1"/>
  <c r="BI359" i="1" s="1"/>
  <c r="BZ358" i="1"/>
  <c r="BK358" i="1"/>
  <c r="BB358" i="1"/>
  <c r="BI358" i="1" s="1"/>
  <c r="BZ357" i="1"/>
  <c r="BK357" i="1"/>
  <c r="BB357" i="1"/>
  <c r="BI357" i="1" s="1"/>
  <c r="BZ356" i="1"/>
  <c r="BK356" i="1"/>
  <c r="BI356" i="1"/>
  <c r="BZ355" i="1"/>
  <c r="BK355" i="1"/>
  <c r="BB355" i="1"/>
  <c r="BI355" i="1" s="1"/>
  <c r="BZ354" i="1"/>
  <c r="BK354" i="1"/>
  <c r="BB354" i="1"/>
  <c r="BI354" i="1" s="1"/>
  <c r="BZ353" i="1"/>
  <c r="BK353" i="1"/>
  <c r="BB353" i="1"/>
  <c r="BI353" i="1" s="1"/>
  <c r="BZ352" i="1"/>
  <c r="BK352" i="1"/>
  <c r="BI352" i="1"/>
  <c r="BZ351" i="1"/>
  <c r="BK351" i="1"/>
  <c r="BB351" i="1"/>
  <c r="BI351" i="1" s="1"/>
  <c r="BZ350" i="1"/>
  <c r="BK350" i="1"/>
  <c r="BB350" i="1"/>
  <c r="BI350" i="1" s="1"/>
  <c r="CC92" i="1" s="1" a="1"/>
  <c r="BZ349" i="1"/>
  <c r="BK349" i="1"/>
  <c r="BB349" i="1"/>
  <c r="BI349" i="1" s="1"/>
  <c r="BZ348" i="1"/>
  <c r="BK348" i="1"/>
  <c r="BB348" i="1"/>
  <c r="BI348" i="1" s="1"/>
  <c r="BZ347" i="1"/>
  <c r="BK347" i="1"/>
  <c r="BB347" i="1"/>
  <c r="BI347" i="1" s="1"/>
  <c r="BZ346" i="1"/>
  <c r="BK346" i="1"/>
  <c r="BB346" i="1"/>
  <c r="BI346" i="1" s="1"/>
  <c r="BZ345" i="1"/>
  <c r="BK345" i="1"/>
  <c r="BB345" i="1"/>
  <c r="BI345" i="1" s="1"/>
  <c r="BZ344" i="1"/>
  <c r="BK344" i="1"/>
  <c r="BB344" i="1"/>
  <c r="BI344" i="1" s="1"/>
  <c r="CC85" i="1" s="1" a="1"/>
  <c r="BZ343" i="1"/>
  <c r="BK343" i="1"/>
  <c r="BB343" i="1"/>
  <c r="BI343" i="1" s="1"/>
  <c r="BZ342" i="1"/>
  <c r="BK342" i="1"/>
  <c r="BB342" i="1"/>
  <c r="BI342" i="1" s="1"/>
  <c r="BZ341" i="1"/>
  <c r="BK341" i="1"/>
  <c r="BB341" i="1"/>
  <c r="BI341" i="1" s="1"/>
  <c r="BZ340" i="1"/>
  <c r="BK340" i="1"/>
  <c r="BB340" i="1"/>
  <c r="BI340" i="1" s="1"/>
  <c r="BZ339" i="1"/>
  <c r="BK339" i="1"/>
  <c r="BB339" i="1"/>
  <c r="BI339" i="1" s="1"/>
  <c r="BZ338" i="1"/>
  <c r="BK338" i="1"/>
  <c r="BB338" i="1"/>
  <c r="BI338" i="1" s="1"/>
  <c r="BZ337" i="1"/>
  <c r="BK337" i="1"/>
  <c r="BB337" i="1"/>
  <c r="BI337" i="1" s="1"/>
  <c r="BZ336" i="1"/>
  <c r="BK336" i="1"/>
  <c r="BB336" i="1"/>
  <c r="BI336" i="1" s="1"/>
  <c r="BZ335" i="1"/>
  <c r="BK335" i="1"/>
  <c r="BB335" i="1"/>
  <c r="BI335" i="1" s="1"/>
  <c r="BZ334" i="1"/>
  <c r="BK334" i="1"/>
  <c r="BB334" i="1"/>
  <c r="BI334" i="1" s="1"/>
  <c r="BZ333" i="1"/>
  <c r="BK333" i="1"/>
  <c r="BB333" i="1"/>
  <c r="BI333" i="1" s="1"/>
  <c r="BZ332" i="1"/>
  <c r="BK332" i="1"/>
  <c r="BB332" i="1"/>
  <c r="BI332" i="1" s="1"/>
  <c r="BZ331" i="1"/>
  <c r="BK331" i="1"/>
  <c r="BB331" i="1"/>
  <c r="BI331" i="1" s="1"/>
  <c r="BZ330" i="1"/>
  <c r="BK330" i="1"/>
  <c r="BB330" i="1"/>
  <c r="BI330" i="1" s="1"/>
  <c r="BZ329" i="1"/>
  <c r="BK329" i="1"/>
  <c r="BB329" i="1"/>
  <c r="BI329" i="1" s="1"/>
  <c r="BZ328" i="1"/>
  <c r="BK328" i="1"/>
  <c r="BB328" i="1"/>
  <c r="BI328" i="1" s="1"/>
  <c r="BZ327" i="1"/>
  <c r="BK327" i="1"/>
  <c r="BI327" i="1"/>
  <c r="BZ326" i="1"/>
  <c r="BK326" i="1"/>
  <c r="BI326" i="1"/>
  <c r="BZ325" i="1"/>
  <c r="BK325" i="1"/>
  <c r="BI325" i="1"/>
  <c r="BZ324" i="1"/>
  <c r="BK324" i="1"/>
  <c r="BI324" i="1"/>
  <c r="BZ323" i="1"/>
  <c r="BK323" i="1"/>
  <c r="BI323" i="1"/>
  <c r="BZ322" i="1"/>
  <c r="BK322" i="1"/>
  <c r="BI322" i="1"/>
  <c r="BZ321" i="1"/>
  <c r="BK321" i="1"/>
  <c r="BB321" i="1"/>
  <c r="BI321" i="1" s="1"/>
  <c r="BZ320" i="1"/>
  <c r="BK320" i="1"/>
  <c r="BB320" i="1"/>
  <c r="BI320" i="1" s="1"/>
  <c r="BZ319" i="1"/>
  <c r="BK319" i="1"/>
  <c r="BB319" i="1"/>
  <c r="BI319" i="1" s="1"/>
  <c r="BZ318" i="1"/>
  <c r="BK318" i="1"/>
  <c r="BB318" i="1"/>
  <c r="BI318" i="1" s="1"/>
  <c r="BZ317" i="1"/>
  <c r="BK317" i="1"/>
  <c r="BB317" i="1"/>
  <c r="BI317" i="1" s="1"/>
  <c r="BZ316" i="1"/>
  <c r="BK316" i="1"/>
  <c r="BB316" i="1"/>
  <c r="BI316" i="1" s="1"/>
  <c r="BZ315" i="1"/>
  <c r="BK315" i="1"/>
  <c r="BB315" i="1"/>
  <c r="BI315" i="1" s="1"/>
  <c r="BZ314" i="1"/>
  <c r="BK314" i="1"/>
  <c r="BB314" i="1"/>
  <c r="BI314" i="1" s="1"/>
  <c r="BZ313" i="1"/>
  <c r="BK313" i="1"/>
  <c r="BB313" i="1"/>
  <c r="BI313" i="1" s="1"/>
  <c r="BZ312" i="1"/>
  <c r="BK312" i="1"/>
  <c r="BB312" i="1"/>
  <c r="BI312" i="1" s="1"/>
  <c r="BZ311" i="1"/>
  <c r="BK311" i="1"/>
  <c r="BB311" i="1"/>
  <c r="BI311" i="1" s="1"/>
  <c r="BZ310" i="1"/>
  <c r="BK310" i="1"/>
  <c r="BB310" i="1"/>
  <c r="BI310" i="1" s="1"/>
  <c r="BZ309" i="1"/>
  <c r="BK309" i="1"/>
  <c r="BB309" i="1"/>
  <c r="BI309" i="1" s="1"/>
  <c r="BZ308" i="1"/>
  <c r="BK308" i="1"/>
  <c r="BB308" i="1"/>
  <c r="BI308" i="1" s="1"/>
  <c r="BZ307" i="1"/>
  <c r="BK307" i="1"/>
  <c r="BB307" i="1"/>
  <c r="BI307" i="1" s="1"/>
  <c r="BZ306" i="1"/>
  <c r="BK306" i="1"/>
  <c r="BB306" i="1"/>
  <c r="BI306" i="1" s="1"/>
  <c r="BZ305" i="1"/>
  <c r="BK305" i="1"/>
  <c r="BI305" i="1"/>
  <c r="BZ304" i="1"/>
  <c r="BK304" i="1"/>
  <c r="BB304" i="1"/>
  <c r="BI304" i="1" s="1"/>
  <c r="BZ303" i="1"/>
  <c r="BK303" i="1"/>
  <c r="BB303" i="1"/>
  <c r="BI303" i="1" s="1"/>
  <c r="BZ302" i="1"/>
  <c r="BK302" i="1"/>
  <c r="BB302" i="1"/>
  <c r="BI302" i="1" s="1"/>
  <c r="BZ301" i="1"/>
  <c r="BK301" i="1"/>
  <c r="BB301" i="1"/>
  <c r="BI301" i="1" s="1"/>
  <c r="BZ300" i="1"/>
  <c r="BK300" i="1"/>
  <c r="BB300" i="1"/>
  <c r="BI300" i="1" s="1"/>
  <c r="BZ299" i="1"/>
  <c r="BK299" i="1"/>
  <c r="BB299" i="1"/>
  <c r="BI299" i="1" s="1"/>
  <c r="BZ298" i="1"/>
  <c r="BK298" i="1"/>
  <c r="BB298" i="1"/>
  <c r="BI298" i="1" s="1"/>
  <c r="BZ297" i="1"/>
  <c r="BK297" i="1"/>
  <c r="BB297" i="1"/>
  <c r="BI297" i="1" s="1"/>
  <c r="BZ296" i="1"/>
  <c r="BK296" i="1"/>
  <c r="BB296" i="1"/>
  <c r="BI296" i="1" s="1"/>
  <c r="BZ295" i="1"/>
  <c r="BK295" i="1"/>
  <c r="BB295" i="1"/>
  <c r="BI295" i="1" s="1"/>
  <c r="BZ294" i="1"/>
  <c r="BK294" i="1"/>
  <c r="BB294" i="1"/>
  <c r="BI294" i="1" s="1"/>
  <c r="BZ293" i="1"/>
  <c r="BK293" i="1"/>
  <c r="BB293" i="1"/>
  <c r="BI293" i="1" s="1"/>
  <c r="BZ292" i="1"/>
  <c r="BK292" i="1"/>
  <c r="BB292" i="1"/>
  <c r="BI292" i="1" s="1"/>
  <c r="BZ291" i="1"/>
  <c r="BK291" i="1"/>
  <c r="BB291" i="1"/>
  <c r="BI291" i="1" s="1"/>
  <c r="BZ290" i="1"/>
  <c r="BK290" i="1"/>
  <c r="BB290" i="1"/>
  <c r="BI290" i="1" s="1"/>
  <c r="BZ289" i="1"/>
  <c r="BK289" i="1"/>
  <c r="BB289" i="1"/>
  <c r="BI289" i="1" s="1"/>
  <c r="BZ288" i="1"/>
  <c r="BK288" i="1"/>
  <c r="BB288" i="1"/>
  <c r="BI288" i="1" s="1"/>
  <c r="BZ287" i="1"/>
  <c r="BK287" i="1"/>
  <c r="BB287" i="1"/>
  <c r="BI287" i="1" s="1"/>
  <c r="BZ286" i="1"/>
  <c r="BK286" i="1"/>
  <c r="BB286" i="1"/>
  <c r="BI286" i="1" s="1"/>
  <c r="BZ285" i="1"/>
  <c r="BK285" i="1"/>
  <c r="BB285" i="1"/>
  <c r="BI285" i="1" s="1"/>
  <c r="BZ284" i="1"/>
  <c r="BK284" i="1"/>
  <c r="BB284" i="1"/>
  <c r="BI284" i="1" s="1"/>
  <c r="BZ283" i="1"/>
  <c r="BK283" i="1"/>
  <c r="BB283" i="1"/>
  <c r="BI283" i="1" s="1"/>
  <c r="BZ282" i="1"/>
  <c r="BK282" i="1"/>
  <c r="BB282" i="1"/>
  <c r="BI282" i="1" s="1"/>
  <c r="BZ281" i="1"/>
  <c r="BK281" i="1"/>
  <c r="BB281" i="1"/>
  <c r="BI281" i="1" s="1"/>
  <c r="BZ280" i="1"/>
  <c r="BK280" i="1"/>
  <c r="BI280" i="1"/>
  <c r="BZ279" i="1"/>
  <c r="BK279" i="1"/>
  <c r="BB279" i="1"/>
  <c r="BI279" i="1" s="1"/>
  <c r="BZ278" i="1"/>
  <c r="BK278" i="1"/>
  <c r="BB278" i="1"/>
  <c r="BI278" i="1" s="1"/>
  <c r="BZ277" i="1"/>
  <c r="BK277" i="1"/>
  <c r="BB277" i="1"/>
  <c r="BI277" i="1" s="1"/>
  <c r="BZ276" i="1"/>
  <c r="BK276" i="1"/>
  <c r="BB276" i="1"/>
  <c r="BI276" i="1" s="1"/>
  <c r="BZ275" i="1"/>
  <c r="BK275" i="1"/>
  <c r="BB275" i="1"/>
  <c r="BI275" i="1" s="1"/>
  <c r="BZ274" i="1"/>
  <c r="BK274" i="1"/>
  <c r="BB274" i="1"/>
  <c r="BI274" i="1" s="1"/>
  <c r="BZ273" i="1"/>
  <c r="BK273" i="1"/>
  <c r="BB273" i="1"/>
  <c r="BI273" i="1" s="1"/>
  <c r="BZ272" i="1"/>
  <c r="BK272" i="1"/>
  <c r="BB272" i="1"/>
  <c r="BI272" i="1" s="1"/>
  <c r="BZ271" i="1"/>
  <c r="BK271" i="1"/>
  <c r="BB271" i="1"/>
  <c r="BI271" i="1" s="1"/>
  <c r="BZ270" i="1"/>
  <c r="BK270" i="1"/>
  <c r="BB270" i="1"/>
  <c r="BI270" i="1" s="1"/>
  <c r="BZ269" i="1"/>
  <c r="BK269" i="1"/>
  <c r="BB269" i="1"/>
  <c r="BI269" i="1" s="1"/>
  <c r="BZ268" i="1"/>
  <c r="BK268" i="1"/>
  <c r="BB268" i="1"/>
  <c r="BI268" i="1" s="1"/>
  <c r="BZ267" i="1"/>
  <c r="BK267" i="1"/>
  <c r="BB267" i="1"/>
  <c r="BI267" i="1" s="1"/>
  <c r="BZ266" i="1"/>
  <c r="BK266" i="1"/>
  <c r="BB266" i="1"/>
  <c r="BI266" i="1" s="1"/>
  <c r="BZ265" i="1"/>
  <c r="BK265" i="1"/>
  <c r="BB265" i="1"/>
  <c r="BI265" i="1" s="1"/>
  <c r="BZ264" i="1"/>
  <c r="BK264" i="1"/>
  <c r="BB264" i="1"/>
  <c r="BI264" i="1" s="1"/>
  <c r="BZ263" i="1"/>
  <c r="BK263" i="1"/>
  <c r="BB263" i="1"/>
  <c r="BI263" i="1" s="1"/>
  <c r="BZ262" i="1"/>
  <c r="BK262" i="1"/>
  <c r="BB262" i="1"/>
  <c r="BI262" i="1" s="1"/>
  <c r="BZ261" i="1"/>
  <c r="BK261" i="1"/>
  <c r="BB261" i="1"/>
  <c r="BI261" i="1" s="1"/>
  <c r="BZ260" i="1"/>
  <c r="BK260" i="1"/>
  <c r="BB260" i="1"/>
  <c r="BI260" i="1" s="1"/>
  <c r="BZ259" i="1"/>
  <c r="BK259" i="1"/>
  <c r="BB259" i="1"/>
  <c r="BI259" i="1" s="1"/>
  <c r="BZ258" i="1"/>
  <c r="BK258" i="1"/>
  <c r="BB258" i="1"/>
  <c r="BI258" i="1" s="1"/>
  <c r="BZ257" i="1"/>
  <c r="BK257" i="1"/>
  <c r="BB257" i="1"/>
  <c r="BI257" i="1" s="1"/>
  <c r="BZ256" i="1"/>
  <c r="BK256" i="1"/>
  <c r="BB256" i="1"/>
  <c r="BI256" i="1" s="1"/>
  <c r="BZ255" i="1"/>
  <c r="BK255" i="1"/>
  <c r="BB255" i="1"/>
  <c r="BI255" i="1" s="1"/>
  <c r="BZ254" i="1"/>
  <c r="BK254" i="1"/>
  <c r="BB254" i="1"/>
  <c r="BI254" i="1" s="1"/>
  <c r="BZ253" i="1"/>
  <c r="BK253" i="1"/>
  <c r="BB253" i="1"/>
  <c r="BI253" i="1" s="1"/>
  <c r="BZ252" i="1"/>
  <c r="BK252" i="1"/>
  <c r="BB252" i="1"/>
  <c r="BI252" i="1" s="1"/>
  <c r="BZ251" i="1"/>
  <c r="BK251" i="1"/>
  <c r="BB251" i="1"/>
  <c r="BI251" i="1" s="1"/>
  <c r="BZ250" i="1"/>
  <c r="BK250" i="1"/>
  <c r="BB250" i="1"/>
  <c r="BI250" i="1" s="1"/>
  <c r="BZ249" i="1"/>
  <c r="BK249" i="1"/>
  <c r="BB249" i="1"/>
  <c r="BI249" i="1" s="1"/>
  <c r="BZ248" i="1"/>
  <c r="BK248" i="1"/>
  <c r="BB248" i="1"/>
  <c r="BI248" i="1" s="1"/>
  <c r="BZ247" i="1"/>
  <c r="BK247" i="1"/>
  <c r="BB247" i="1"/>
  <c r="BI247" i="1" s="1"/>
  <c r="BZ246" i="1"/>
  <c r="BK246" i="1"/>
  <c r="BB246" i="1"/>
  <c r="BI246" i="1" s="1"/>
  <c r="BZ245" i="1"/>
  <c r="BK245" i="1"/>
  <c r="BB245" i="1"/>
  <c r="BI245" i="1" s="1"/>
  <c r="BZ244" i="1"/>
  <c r="BK244" i="1"/>
  <c r="BI244" i="1"/>
  <c r="BZ243" i="1"/>
  <c r="BK243" i="1"/>
  <c r="BB243" i="1"/>
  <c r="BI243" i="1" s="1"/>
  <c r="BZ242" i="1"/>
  <c r="BK242" i="1"/>
  <c r="BB242" i="1"/>
  <c r="BI242" i="1" s="1"/>
  <c r="BZ241" i="1"/>
  <c r="BK241" i="1"/>
  <c r="BB241" i="1"/>
  <c r="BI241" i="1" s="1"/>
  <c r="BZ240" i="1"/>
  <c r="BK240" i="1"/>
  <c r="BB240" i="1"/>
  <c r="BI240" i="1" s="1"/>
  <c r="BZ239" i="1"/>
  <c r="BK239" i="1"/>
  <c r="BB239" i="1"/>
  <c r="BI239" i="1" s="1"/>
  <c r="BZ238" i="1"/>
  <c r="BK238" i="1"/>
  <c r="BI238" i="1"/>
  <c r="BZ237" i="1"/>
  <c r="BK237" i="1"/>
  <c r="BB237" i="1"/>
  <c r="BI237" i="1" s="1"/>
  <c r="BZ236" i="1"/>
  <c r="BK236" i="1"/>
  <c r="BB236" i="1"/>
  <c r="BI236" i="1" s="1"/>
  <c r="BZ235" i="1"/>
  <c r="BK235" i="1"/>
  <c r="BB235" i="1"/>
  <c r="BI235" i="1" s="1"/>
  <c r="BZ234" i="1"/>
  <c r="BK234" i="1"/>
  <c r="BZ233" i="1"/>
  <c r="BK233" i="1"/>
  <c r="BZ232" i="1"/>
  <c r="BK232" i="1"/>
  <c r="BZ231" i="1"/>
  <c r="BK231" i="1"/>
  <c r="BZ230" i="1"/>
  <c r="BK230" i="1"/>
  <c r="BZ229" i="1"/>
  <c r="BK229" i="1"/>
  <c r="BZ228" i="1"/>
  <c r="BK228" i="1"/>
  <c r="BI228" i="1"/>
  <c r="BZ227" i="1"/>
  <c r="BK227" i="1"/>
  <c r="BI227" i="1"/>
  <c r="BZ226" i="1"/>
  <c r="BK226" i="1"/>
  <c r="BI226" i="1"/>
  <c r="BZ225" i="1"/>
  <c r="BK225" i="1"/>
  <c r="BI225" i="1"/>
  <c r="BZ224" i="1"/>
  <c r="BK224" i="1"/>
  <c r="BI224" i="1"/>
  <c r="BZ223" i="1"/>
  <c r="BK223" i="1"/>
  <c r="BI223" i="1"/>
  <c r="BZ222" i="1"/>
  <c r="BK222" i="1"/>
  <c r="BI222" i="1"/>
  <c r="BZ221" i="1"/>
  <c r="BK221" i="1"/>
  <c r="BI221" i="1"/>
  <c r="BZ220" i="1"/>
  <c r="BK220" i="1"/>
  <c r="BI220" i="1"/>
  <c r="BZ219" i="1"/>
  <c r="BK219" i="1"/>
  <c r="BI219" i="1"/>
  <c r="BZ218" i="1"/>
  <c r="BK218" i="1"/>
  <c r="BI218" i="1"/>
  <c r="BZ217" i="1"/>
  <c r="BK217" i="1"/>
  <c r="BI217" i="1"/>
  <c r="BZ216" i="1"/>
  <c r="BK216" i="1"/>
  <c r="BI216" i="1"/>
  <c r="BZ215" i="1"/>
  <c r="BK215" i="1"/>
  <c r="BI215" i="1"/>
  <c r="BZ214" i="1"/>
  <c r="BK214" i="1"/>
  <c r="BI214" i="1"/>
  <c r="BZ213" i="1"/>
  <c r="BK213" i="1"/>
  <c r="BI213" i="1"/>
  <c r="BZ212" i="1"/>
  <c r="BK212" i="1"/>
  <c r="BI212" i="1"/>
  <c r="BZ211" i="1"/>
  <c r="BK211" i="1"/>
  <c r="BB211" i="1"/>
  <c r="BI211" i="1" s="1"/>
  <c r="BZ210" i="1"/>
  <c r="BK210" i="1"/>
  <c r="BB210" i="1"/>
  <c r="BI210" i="1" s="1"/>
  <c r="BZ209" i="1"/>
  <c r="BK209" i="1"/>
  <c r="BB209" i="1"/>
  <c r="BI209" i="1" s="1"/>
  <c r="BZ208" i="1"/>
  <c r="BK208" i="1"/>
  <c r="BB208" i="1"/>
  <c r="BI208" i="1" s="1"/>
  <c r="BZ207" i="1"/>
  <c r="BK207" i="1"/>
  <c r="BB207" i="1"/>
  <c r="BI207" i="1" s="1"/>
  <c r="BZ206" i="1"/>
  <c r="BK206" i="1"/>
  <c r="BB206" i="1"/>
  <c r="BI206" i="1" s="1"/>
  <c r="BZ205" i="1"/>
  <c r="BK205" i="1"/>
  <c r="BB205" i="1"/>
  <c r="BI205" i="1" s="1"/>
  <c r="BZ204" i="1"/>
  <c r="BK204" i="1"/>
  <c r="BB204" i="1"/>
  <c r="BI204" i="1" s="1"/>
  <c r="BZ203" i="1"/>
  <c r="BK203" i="1"/>
  <c r="BB203" i="1"/>
  <c r="BI203" i="1" s="1"/>
  <c r="BZ202" i="1"/>
  <c r="BK202" i="1"/>
  <c r="BB202" i="1"/>
  <c r="BI202" i="1" s="1"/>
  <c r="BZ201" i="1"/>
  <c r="BK201" i="1"/>
  <c r="BB201" i="1"/>
  <c r="BI201" i="1" s="1"/>
  <c r="BZ200" i="1"/>
  <c r="BK200" i="1"/>
  <c r="BB200" i="1"/>
  <c r="BI200" i="1" s="1"/>
  <c r="BZ199" i="1"/>
  <c r="BK199" i="1"/>
  <c r="BB199" i="1"/>
  <c r="BI199" i="1" s="1"/>
  <c r="BZ198" i="1"/>
  <c r="BK198" i="1"/>
  <c r="BB198" i="1"/>
  <c r="BI198" i="1" s="1"/>
  <c r="BZ197" i="1"/>
  <c r="BK197" i="1"/>
  <c r="BB197" i="1"/>
  <c r="BI197" i="1" s="1"/>
  <c r="BZ196" i="1"/>
  <c r="BK196" i="1"/>
  <c r="BB196" i="1"/>
  <c r="BI196" i="1" s="1"/>
  <c r="BZ195" i="1"/>
  <c r="BK195" i="1"/>
  <c r="BB195" i="1"/>
  <c r="BI195" i="1" s="1"/>
  <c r="BZ194" i="1"/>
  <c r="BK194" i="1"/>
  <c r="BB194" i="1"/>
  <c r="BI194" i="1" s="1"/>
  <c r="BZ193" i="1"/>
  <c r="BK193" i="1"/>
  <c r="BB193" i="1"/>
  <c r="BI193" i="1" s="1"/>
  <c r="BZ192" i="1"/>
  <c r="BK192" i="1"/>
  <c r="BB192" i="1"/>
  <c r="BI192" i="1" s="1"/>
  <c r="BZ191" i="1"/>
  <c r="BK191" i="1"/>
  <c r="BB191" i="1"/>
  <c r="BI191" i="1" s="1"/>
  <c r="BZ190" i="1"/>
  <c r="BK190" i="1"/>
  <c r="BB190" i="1"/>
  <c r="BI190" i="1" s="1"/>
  <c r="BZ189" i="1"/>
  <c r="BK189" i="1"/>
  <c r="BB189" i="1"/>
  <c r="BI189" i="1" s="1"/>
  <c r="BZ188" i="1"/>
  <c r="BK188" i="1"/>
  <c r="BB188" i="1"/>
  <c r="BI188" i="1" s="1"/>
  <c r="AJ188" i="1"/>
  <c r="AY188" i="1" s="1"/>
  <c r="BZ187" i="1"/>
  <c r="BK187" i="1"/>
  <c r="BB187" i="1"/>
  <c r="BI187" i="1" s="1"/>
  <c r="AJ187" i="1"/>
  <c r="AY187" i="1" s="1"/>
  <c r="BZ186" i="1"/>
  <c r="BK186" i="1"/>
  <c r="BB186" i="1"/>
  <c r="BI186" i="1" s="1"/>
  <c r="AJ186" i="1"/>
  <c r="AY186" i="1" s="1"/>
  <c r="BZ185" i="1"/>
  <c r="BK185" i="1"/>
  <c r="BB185" i="1"/>
  <c r="BI185" i="1" s="1"/>
  <c r="BK184" i="1"/>
  <c r="BB184" i="1"/>
  <c r="BI184" i="1" s="1"/>
  <c r="BK183" i="1"/>
  <c r="BI183" i="1"/>
  <c r="BK182" i="1"/>
  <c r="BI182" i="1"/>
  <c r="BK181" i="1"/>
  <c r="BI181" i="1"/>
  <c r="BK180" i="1"/>
  <c r="BI180" i="1"/>
  <c r="BK179" i="1"/>
  <c r="BI179" i="1"/>
  <c r="BK178" i="1"/>
  <c r="BI178" i="1"/>
  <c r="BK177" i="1"/>
  <c r="BI177" i="1"/>
  <c r="BK176" i="1"/>
  <c r="BI176" i="1"/>
  <c r="BK175" i="1"/>
  <c r="BI175" i="1"/>
  <c r="BZ174" i="1"/>
  <c r="BK174" i="1"/>
  <c r="BB174" i="1"/>
  <c r="BI174" i="1" s="1"/>
  <c r="BZ173" i="1"/>
  <c r="BK173" i="1"/>
  <c r="BB173" i="1"/>
  <c r="BI173" i="1" s="1"/>
  <c r="BZ172" i="1"/>
  <c r="BK172" i="1"/>
  <c r="BB172" i="1"/>
  <c r="BI172" i="1" s="1"/>
  <c r="BZ171" i="1"/>
  <c r="BK171" i="1"/>
  <c r="BB171" i="1"/>
  <c r="BI171" i="1" s="1"/>
  <c r="BZ170" i="1"/>
  <c r="BK170" i="1"/>
  <c r="BB170" i="1"/>
  <c r="BI170" i="1" s="1"/>
  <c r="BZ169" i="1"/>
  <c r="BK169" i="1"/>
  <c r="BB169" i="1"/>
  <c r="BI169" i="1" s="1"/>
  <c r="BZ168" i="1"/>
  <c r="BK168" i="1"/>
  <c r="BB168" i="1"/>
  <c r="BI168" i="1" s="1"/>
  <c r="BZ167" i="1"/>
  <c r="BK167" i="1"/>
  <c r="BB167" i="1"/>
  <c r="BI167" i="1" s="1"/>
  <c r="BZ166" i="1"/>
  <c r="BK166" i="1"/>
  <c r="BB166" i="1"/>
  <c r="BI166" i="1" s="1"/>
  <c r="BZ165" i="1"/>
  <c r="BK165" i="1"/>
  <c r="BB165" i="1"/>
  <c r="BI165" i="1" s="1"/>
  <c r="BZ164" i="1"/>
  <c r="BK164" i="1"/>
  <c r="BI164" i="1"/>
  <c r="BZ163" i="1"/>
  <c r="BK163" i="1"/>
  <c r="BI163" i="1"/>
  <c r="BZ162" i="1"/>
  <c r="BK162" i="1"/>
  <c r="BI162" i="1"/>
  <c r="BZ161" i="1"/>
  <c r="BK161" i="1"/>
  <c r="BI161" i="1"/>
  <c r="BZ160" i="1"/>
  <c r="BK160" i="1"/>
  <c r="BB160" i="1"/>
  <c r="BI160" i="1" s="1"/>
  <c r="BZ159" i="1"/>
  <c r="BK159" i="1"/>
  <c r="BB159" i="1"/>
  <c r="BI159" i="1" s="1"/>
  <c r="BZ158" i="1"/>
  <c r="BK158" i="1"/>
  <c r="BB158" i="1"/>
  <c r="BI158" i="1" s="1"/>
  <c r="BZ157" i="1"/>
  <c r="BK157" i="1"/>
  <c r="BB157" i="1"/>
  <c r="BI157" i="1" s="1"/>
  <c r="BZ156" i="1"/>
  <c r="BK156" i="1"/>
  <c r="BB156" i="1"/>
  <c r="BI156" i="1" s="1"/>
  <c r="BZ155" i="1"/>
  <c r="BK155" i="1"/>
  <c r="BB155" i="1"/>
  <c r="BI155" i="1" s="1"/>
  <c r="AI155" i="1"/>
  <c r="AY155" i="1" s="1"/>
  <c r="BZ154" i="1"/>
  <c r="BK154" i="1"/>
  <c r="BB154" i="1"/>
  <c r="BI154" i="1" s="1"/>
  <c r="BZ153" i="1"/>
  <c r="BK153" i="1"/>
  <c r="BB153" i="1"/>
  <c r="BI153" i="1" s="1"/>
  <c r="BZ152" i="1"/>
  <c r="BK152" i="1"/>
  <c r="BB152" i="1"/>
  <c r="BI152" i="1" s="1"/>
  <c r="BZ151" i="1"/>
  <c r="BK151" i="1"/>
  <c r="BB151" i="1"/>
  <c r="BI151" i="1" s="1"/>
  <c r="BK150" i="1"/>
  <c r="BI150" i="1"/>
  <c r="BK149" i="1"/>
  <c r="BI149" i="1"/>
  <c r="BK148" i="1"/>
  <c r="BI148" i="1"/>
  <c r="BK147" i="1"/>
  <c r="BI147" i="1"/>
  <c r="BK146" i="1"/>
  <c r="BI146" i="1"/>
  <c r="BK145" i="1"/>
  <c r="BI145" i="1"/>
  <c r="BK144" i="1"/>
  <c r="BI144" i="1"/>
  <c r="BZ143" i="1"/>
  <c r="BK143" i="1"/>
  <c r="BB143" i="1"/>
  <c r="BI143" i="1" s="1"/>
  <c r="BZ142" i="1"/>
  <c r="BK142" i="1"/>
  <c r="BB142" i="1"/>
  <c r="BI142" i="1" s="1"/>
  <c r="BZ141" i="1"/>
  <c r="BK141" i="1"/>
  <c r="BB141" i="1"/>
  <c r="BI141" i="1" s="1"/>
  <c r="BZ140" i="1"/>
  <c r="BK140" i="1"/>
  <c r="BB140" i="1"/>
  <c r="BI140" i="1" s="1"/>
  <c r="BZ139" i="1"/>
  <c r="BK139" i="1"/>
  <c r="BB139" i="1"/>
  <c r="BI139" i="1" s="1"/>
  <c r="BZ138" i="1"/>
  <c r="BK138" i="1"/>
  <c r="BB138" i="1"/>
  <c r="BI138" i="1" s="1"/>
  <c r="BZ137" i="1"/>
  <c r="BK137" i="1"/>
  <c r="BB137" i="1"/>
  <c r="BI137" i="1" s="1"/>
  <c r="BZ136" i="1"/>
  <c r="BK136" i="1"/>
  <c r="BB136" i="1"/>
  <c r="BI136" i="1" s="1"/>
  <c r="BZ135" i="1"/>
  <c r="BK135" i="1"/>
  <c r="BB135" i="1"/>
  <c r="BI135" i="1" s="1"/>
  <c r="BZ134" i="1"/>
  <c r="BK134" i="1"/>
  <c r="BB134" i="1"/>
  <c r="BI134" i="1" s="1"/>
  <c r="BZ133" i="1"/>
  <c r="BK133" i="1"/>
  <c r="BB133" i="1"/>
  <c r="BI133" i="1" s="1"/>
  <c r="BZ132" i="1"/>
  <c r="BK132" i="1"/>
  <c r="BB132" i="1"/>
  <c r="BI132" i="1" s="1"/>
  <c r="BZ131" i="1"/>
  <c r="BK131" i="1"/>
  <c r="BB131" i="1"/>
  <c r="BI131" i="1" s="1"/>
  <c r="BZ130" i="1"/>
  <c r="BK130" i="1"/>
  <c r="BB130" i="1"/>
  <c r="BI130" i="1" s="1"/>
  <c r="BZ129" i="1"/>
  <c r="BK129" i="1"/>
  <c r="BB129" i="1"/>
  <c r="BI129" i="1" s="1"/>
  <c r="BZ128" i="1"/>
  <c r="BK128" i="1"/>
  <c r="BI128" i="1"/>
  <c r="BZ127" i="1"/>
  <c r="BK127" i="1"/>
  <c r="BB127" i="1"/>
  <c r="BI127" i="1" s="1"/>
  <c r="BZ126" i="1"/>
  <c r="BK126" i="1"/>
  <c r="BB126" i="1"/>
  <c r="BI126" i="1" s="1"/>
  <c r="BZ125" i="1"/>
  <c r="BK125" i="1"/>
  <c r="BB125" i="1"/>
  <c r="BI125" i="1" s="1"/>
  <c r="BZ124" i="1"/>
  <c r="BK124" i="1"/>
  <c r="BB124" i="1"/>
  <c r="BI124" i="1" s="1"/>
  <c r="BZ123" i="1"/>
  <c r="BK123" i="1"/>
  <c r="BI123" i="1"/>
  <c r="BZ122" i="1"/>
  <c r="BK122" i="1"/>
  <c r="BI122" i="1"/>
  <c r="BZ121" i="1"/>
  <c r="BK121" i="1"/>
  <c r="BB121" i="1"/>
  <c r="BI121" i="1" s="1"/>
  <c r="BZ120" i="1"/>
  <c r="BK120" i="1"/>
  <c r="BB120" i="1"/>
  <c r="BI120" i="1" s="1"/>
  <c r="BZ119" i="1"/>
  <c r="BK119" i="1"/>
  <c r="BB119" i="1"/>
  <c r="BI119" i="1" s="1"/>
  <c r="BZ118" i="1"/>
  <c r="BK118" i="1"/>
  <c r="BB118" i="1"/>
  <c r="BI118" i="1" s="1"/>
  <c r="BZ117" i="1"/>
  <c r="BK117" i="1"/>
  <c r="BB117" i="1"/>
  <c r="BI117" i="1" s="1"/>
  <c r="BZ116" i="1"/>
  <c r="BK116" i="1"/>
  <c r="BB116" i="1"/>
  <c r="BI116" i="1" s="1"/>
  <c r="BZ115" i="1"/>
  <c r="BK115" i="1"/>
  <c r="BB115" i="1"/>
  <c r="BI115" i="1" s="1"/>
  <c r="BZ114" i="1"/>
  <c r="BK114" i="1"/>
  <c r="BB114" i="1"/>
  <c r="BI114" i="1" s="1"/>
  <c r="BZ113" i="1"/>
  <c r="BK113" i="1"/>
  <c r="BB113" i="1"/>
  <c r="BI113" i="1" s="1"/>
  <c r="BZ112" i="1"/>
  <c r="BK112" i="1"/>
  <c r="BB112" i="1"/>
  <c r="BI112" i="1" s="1"/>
  <c r="BZ111" i="1"/>
  <c r="BK111" i="1"/>
  <c r="BB111" i="1"/>
  <c r="BI111" i="1" s="1"/>
  <c r="BZ110" i="1"/>
  <c r="BK110" i="1"/>
  <c r="BI110" i="1"/>
  <c r="BZ109" i="1"/>
  <c r="BK109" i="1"/>
  <c r="BB109" i="1"/>
  <c r="BI109" i="1" s="1"/>
  <c r="BZ108" i="1"/>
  <c r="BK108" i="1"/>
  <c r="BB108" i="1"/>
  <c r="BI108" i="1" s="1"/>
  <c r="BK107" i="1"/>
  <c r="BI107" i="1"/>
  <c r="BK106" i="1"/>
  <c r="BI106" i="1"/>
  <c r="BK105" i="1"/>
  <c r="BI105" i="1"/>
  <c r="BK104" i="1"/>
  <c r="BI104" i="1"/>
  <c r="BK103" i="1"/>
  <c r="BI103" i="1"/>
  <c r="BK102" i="1"/>
  <c r="BI102" i="1"/>
  <c r="BZ101" i="1"/>
  <c r="BK101" i="1"/>
  <c r="BB101" i="1"/>
  <c r="BI101" i="1" s="1"/>
  <c r="BZ100" i="1"/>
  <c r="BK100" i="1"/>
  <c r="BB100" i="1"/>
  <c r="BI100" i="1" s="1"/>
  <c r="BZ99" i="1"/>
  <c r="BK99" i="1"/>
  <c r="BB99" i="1"/>
  <c r="BI99" i="1" s="1"/>
  <c r="BZ98" i="1"/>
  <c r="BK98" i="1"/>
  <c r="BB98" i="1"/>
  <c r="BI98" i="1" s="1"/>
  <c r="BZ97" i="1"/>
  <c r="BK97" i="1"/>
  <c r="BB97" i="1"/>
  <c r="BI97" i="1" s="1"/>
  <c r="BZ96" i="1"/>
  <c r="BK96" i="1"/>
  <c r="BB96" i="1"/>
  <c r="BI96" i="1" s="1"/>
  <c r="BZ95" i="1"/>
  <c r="BK95" i="1"/>
  <c r="BB95" i="1"/>
  <c r="BI95" i="1" s="1"/>
  <c r="BZ94" i="1"/>
  <c r="BK94" i="1"/>
  <c r="BB94" i="1"/>
  <c r="BI94" i="1" s="1"/>
  <c r="BZ93" i="1"/>
  <c r="BK93" i="1"/>
  <c r="BB93" i="1"/>
  <c r="BI93" i="1" s="1"/>
  <c r="BZ92" i="1"/>
  <c r="BK92" i="1"/>
  <c r="BB92" i="1"/>
  <c r="BI92" i="1" s="1"/>
  <c r="BZ91" i="1"/>
  <c r="BK91" i="1"/>
  <c r="BB91" i="1"/>
  <c r="BI91" i="1" s="1"/>
  <c r="BZ90" i="1"/>
  <c r="BK90" i="1"/>
  <c r="BB90" i="1"/>
  <c r="BI90" i="1" s="1"/>
  <c r="BZ89" i="1"/>
  <c r="BK89" i="1"/>
  <c r="BI89" i="1"/>
  <c r="BZ88" i="1"/>
  <c r="BK88" i="1"/>
  <c r="BI88" i="1"/>
  <c r="BZ87" i="1"/>
  <c r="BK87" i="1"/>
  <c r="BB87" i="1"/>
  <c r="BI87" i="1" s="1"/>
  <c r="BZ86" i="1"/>
  <c r="BK86" i="1"/>
  <c r="BB86" i="1"/>
  <c r="BI86" i="1" s="1"/>
  <c r="BZ85" i="1"/>
  <c r="BK85" i="1"/>
  <c r="BB85" i="1"/>
  <c r="BI85" i="1" s="1"/>
  <c r="BZ84" i="1"/>
  <c r="BK84" i="1"/>
  <c r="BB84" i="1"/>
  <c r="BI84" i="1" s="1"/>
  <c r="BZ83" i="1"/>
  <c r="BK83" i="1"/>
  <c r="BB83" i="1"/>
  <c r="BI83" i="1" s="1"/>
  <c r="BZ82" i="1"/>
  <c r="BK82" i="1"/>
  <c r="BB82" i="1"/>
  <c r="BI82" i="1" s="1"/>
  <c r="BZ81" i="1"/>
  <c r="BK81" i="1"/>
  <c r="BB81" i="1"/>
  <c r="BI81" i="1" s="1"/>
  <c r="BZ80" i="1"/>
  <c r="BK80" i="1"/>
  <c r="BB80" i="1"/>
  <c r="BI80" i="1" s="1"/>
  <c r="BZ79" i="1"/>
  <c r="BK79" i="1"/>
  <c r="BB79" i="1"/>
  <c r="BI79" i="1" s="1"/>
  <c r="BZ78" i="1"/>
  <c r="BK78" i="1"/>
  <c r="BB78" i="1"/>
  <c r="BI78" i="1" s="1"/>
  <c r="BZ77" i="1"/>
  <c r="BK77" i="1"/>
  <c r="BB77" i="1"/>
  <c r="BI77" i="1" s="1"/>
  <c r="BZ76" i="1"/>
  <c r="BK76" i="1"/>
  <c r="BB76" i="1"/>
  <c r="BI76" i="1" s="1"/>
  <c r="BZ75" i="1"/>
  <c r="BK75" i="1"/>
  <c r="BB75" i="1"/>
  <c r="BI75" i="1" s="1"/>
  <c r="BZ74" i="1"/>
  <c r="BK74" i="1"/>
  <c r="BB74" i="1"/>
  <c r="BI74" i="1" s="1"/>
  <c r="BZ73" i="1"/>
  <c r="BK73" i="1"/>
  <c r="BI73" i="1"/>
  <c r="BZ72" i="1"/>
  <c r="BK72" i="1"/>
  <c r="BB72" i="1"/>
  <c r="BI72" i="1" s="1"/>
  <c r="BZ71" i="1"/>
  <c r="BK71" i="1"/>
  <c r="BB71" i="1"/>
  <c r="BI71" i="1" s="1"/>
  <c r="BZ70" i="1"/>
  <c r="BK70" i="1"/>
  <c r="BI70" i="1"/>
  <c r="BZ69" i="1"/>
  <c r="BK69" i="1"/>
  <c r="BI69" i="1"/>
  <c r="BZ68" i="1"/>
  <c r="BK68" i="1"/>
  <c r="BI68" i="1"/>
  <c r="BZ67" i="1"/>
  <c r="BK67" i="1"/>
  <c r="BI67" i="1"/>
  <c r="BZ66" i="1"/>
  <c r="BK66" i="1"/>
  <c r="BI66" i="1"/>
  <c r="BZ65" i="1"/>
  <c r="BK65" i="1"/>
  <c r="BI65" i="1"/>
  <c r="BZ64" i="1"/>
  <c r="BK64" i="1"/>
  <c r="BI64" i="1"/>
  <c r="BZ63" i="1"/>
  <c r="BK63" i="1"/>
  <c r="BI63" i="1"/>
  <c r="BZ62" i="1"/>
  <c r="BK62" i="1"/>
  <c r="BI62" i="1"/>
  <c r="BZ61" i="1"/>
  <c r="BK61" i="1"/>
  <c r="BI61" i="1"/>
  <c r="BZ60" i="1"/>
  <c r="BK60" i="1"/>
  <c r="BI60" i="1"/>
  <c r="BZ59" i="1"/>
  <c r="BK59" i="1"/>
  <c r="BI59" i="1"/>
  <c r="BZ58" i="1"/>
  <c r="BK58" i="1"/>
  <c r="BI58" i="1"/>
  <c r="BZ57" i="1"/>
  <c r="BK57" i="1"/>
  <c r="BI57" i="1"/>
  <c r="BZ56" i="1"/>
  <c r="BK56" i="1"/>
  <c r="BI56" i="1"/>
  <c r="BZ55" i="1"/>
  <c r="BK55" i="1"/>
  <c r="BI55" i="1"/>
  <c r="BZ54" i="1"/>
  <c r="BK54" i="1"/>
  <c r="BI54" i="1"/>
  <c r="BZ53" i="1"/>
  <c r="BK53" i="1"/>
  <c r="BI53" i="1"/>
  <c r="BZ52" i="1"/>
  <c r="BK52" i="1"/>
  <c r="BI52" i="1"/>
  <c r="BZ51" i="1"/>
  <c r="BK51" i="1"/>
  <c r="BB51" i="1"/>
  <c r="BI51" i="1" s="1"/>
  <c r="BZ50" i="1"/>
  <c r="BK50" i="1"/>
  <c r="BB50" i="1"/>
  <c r="BI50" i="1" s="1"/>
  <c r="BZ49" i="1"/>
  <c r="BK49" i="1"/>
  <c r="BB49" i="1"/>
  <c r="BI49" i="1" s="1"/>
  <c r="BZ48" i="1"/>
  <c r="BK48" i="1"/>
  <c r="BB48" i="1"/>
  <c r="BI48" i="1" s="1"/>
  <c r="BZ47" i="1"/>
  <c r="BK47" i="1"/>
  <c r="BB47" i="1"/>
  <c r="BI47" i="1" s="1"/>
  <c r="BZ46" i="1"/>
  <c r="BK46" i="1"/>
  <c r="BB46" i="1"/>
  <c r="BI46" i="1" s="1"/>
  <c r="BZ45" i="1"/>
  <c r="BK45" i="1"/>
  <c r="BB45" i="1"/>
  <c r="BI45" i="1" s="1"/>
  <c r="BZ44" i="1"/>
  <c r="BK44" i="1"/>
  <c r="BB44" i="1"/>
  <c r="BI44" i="1" s="1"/>
  <c r="BK43" i="1"/>
  <c r="BI43" i="1"/>
  <c r="BZ42" i="1"/>
  <c r="BK42" i="1"/>
  <c r="BB42" i="1"/>
  <c r="BI42" i="1" s="1"/>
  <c r="BZ41" i="1"/>
  <c r="BK41" i="1"/>
  <c r="BB41" i="1"/>
  <c r="BI41" i="1" s="1"/>
  <c r="BZ40" i="1"/>
  <c r="BK40" i="1"/>
  <c r="BB40" i="1"/>
  <c r="BI40" i="1" s="1"/>
  <c r="BZ39" i="1"/>
  <c r="BK39" i="1"/>
  <c r="BB39" i="1"/>
  <c r="BI39" i="1" s="1"/>
  <c r="BZ38" i="1"/>
  <c r="BK38" i="1"/>
  <c r="BB38" i="1"/>
  <c r="BI38" i="1" s="1"/>
  <c r="BZ37" i="1"/>
  <c r="BK37" i="1"/>
  <c r="BB37" i="1"/>
  <c r="BI37" i="1" s="1"/>
  <c r="BZ36" i="1"/>
  <c r="BK36" i="1"/>
  <c r="BB36" i="1"/>
  <c r="BI36" i="1" s="1"/>
  <c r="BZ35" i="1"/>
  <c r="BK35" i="1"/>
  <c r="BB35" i="1"/>
  <c r="BI35" i="1" s="1"/>
  <c r="BZ34" i="1"/>
  <c r="BK34" i="1"/>
  <c r="BB34" i="1"/>
  <c r="BI34" i="1" s="1"/>
  <c r="BZ33" i="1"/>
  <c r="BK33" i="1"/>
  <c r="BB33" i="1"/>
  <c r="BI33" i="1" s="1"/>
  <c r="BZ32" i="1"/>
  <c r="BK32" i="1"/>
  <c r="BB32" i="1"/>
  <c r="BI32" i="1" s="1"/>
  <c r="BZ31" i="1"/>
  <c r="BK31" i="1"/>
  <c r="BB31" i="1"/>
  <c r="BI31" i="1" s="1"/>
  <c r="BZ30" i="1"/>
  <c r="BK30" i="1"/>
  <c r="BB30" i="1"/>
  <c r="BI30" i="1" s="1"/>
  <c r="BZ29" i="1"/>
  <c r="BK29" i="1"/>
  <c r="BI29" i="1"/>
  <c r="BZ28" i="1"/>
  <c r="BK28" i="1"/>
  <c r="BB28" i="1"/>
  <c r="BI28" i="1" s="1"/>
  <c r="BZ27" i="1"/>
  <c r="BK27" i="1"/>
  <c r="BB27" i="1"/>
  <c r="BI27" i="1" s="1"/>
  <c r="BZ26" i="1"/>
  <c r="BK26" i="1"/>
  <c r="BB26" i="1"/>
  <c r="BI26" i="1" s="1"/>
  <c r="BZ25" i="1"/>
  <c r="BK25" i="1"/>
  <c r="BI25" i="1"/>
  <c r="BZ24" i="1"/>
  <c r="BK24" i="1"/>
  <c r="BB24" i="1"/>
  <c r="BI24" i="1" s="1"/>
  <c r="BZ23" i="1"/>
  <c r="BK23" i="1"/>
  <c r="BB23" i="1"/>
  <c r="BI23" i="1" s="1"/>
  <c r="BZ22" i="1"/>
  <c r="BK22" i="1"/>
  <c r="BB22" i="1"/>
  <c r="BI22" i="1" s="1"/>
  <c r="BZ21" i="1"/>
  <c r="BK21" i="1"/>
  <c r="BB21" i="1"/>
  <c r="BI21" i="1" s="1"/>
  <c r="BZ20" i="1"/>
  <c r="BK20" i="1"/>
  <c r="BB20" i="1"/>
  <c r="BI20" i="1" s="1"/>
  <c r="BZ19" i="1"/>
  <c r="BK19" i="1"/>
  <c r="BB19" i="1"/>
  <c r="BI19" i="1" s="1"/>
  <c r="BZ18" i="1"/>
  <c r="BK18" i="1"/>
  <c r="BB18" i="1"/>
  <c r="BI18" i="1" s="1"/>
  <c r="BZ17" i="1"/>
  <c r="BK17" i="1"/>
  <c r="BB17" i="1"/>
  <c r="BI17" i="1" s="1"/>
  <c r="BZ16" i="1"/>
  <c r="BK16" i="1"/>
  <c r="BB16" i="1"/>
  <c r="BI16" i="1" s="1"/>
  <c r="BJ16" i="1" s="1"/>
  <c r="BZ15" i="1"/>
  <c r="BK15" i="1"/>
  <c r="BB15" i="1"/>
  <c r="BI15" i="1" s="1"/>
  <c r="BJ15" i="1" s="1"/>
  <c r="BN15" i="1" s="1"/>
  <c r="BZ14" i="1"/>
  <c r="BK14" i="1"/>
  <c r="BB14" i="1"/>
  <c r="BI14" i="1" s="1"/>
  <c r="BJ14" i="1" s="1"/>
  <c r="BN14" i="1" s="1"/>
  <c r="BZ13" i="1"/>
  <c r="BK13" i="1"/>
  <c r="BB13" i="1"/>
  <c r="BI13" i="1" s="1"/>
  <c r="BJ13" i="1" s="1"/>
  <c r="BZ12" i="1"/>
  <c r="BK12" i="1"/>
  <c r="BB12" i="1"/>
  <c r="BI12" i="1" s="1"/>
  <c r="BJ12" i="1" s="1"/>
  <c r="BZ11" i="1"/>
  <c r="BK11" i="1"/>
  <c r="BI11" i="1"/>
  <c r="BJ11" i="1" s="1"/>
  <c r="BZ10" i="1"/>
  <c r="BK10" i="1"/>
  <c r="BB10" i="1"/>
  <c r="BI10" i="1" s="1"/>
  <c r="BJ10" i="1" s="1"/>
  <c r="BZ9" i="1"/>
  <c r="BK9" i="1"/>
  <c r="BB9" i="1"/>
  <c r="BI9" i="1" s="1"/>
  <c r="BJ9" i="1" s="1"/>
  <c r="BZ8" i="1"/>
  <c r="BK8" i="1"/>
  <c r="BB8" i="1"/>
  <c r="BI8" i="1" s="1"/>
  <c r="BZ7" i="1"/>
  <c r="BK7" i="1"/>
  <c r="BI7" i="1"/>
  <c r="BJ7" i="1" s="1"/>
  <c r="BZ6" i="1"/>
  <c r="BK6" i="1"/>
  <c r="BB6" i="1"/>
  <c r="BI6" i="1" s="1"/>
  <c r="BJ6" i="1" s="1"/>
  <c r="BN6" i="1" s="1"/>
  <c r="BZ5" i="1"/>
  <c r="BK5" i="1"/>
  <c r="BB5" i="1"/>
  <c r="CC148" i="1" l="1" a="1"/>
  <c r="BN503" i="1"/>
  <c r="CC154" i="1" a="1"/>
  <c r="BJ8" i="1"/>
  <c r="BN8" i="1" s="1"/>
  <c r="BK606" i="1"/>
  <c r="BJ491" i="1"/>
  <c r="BN491" i="1" s="1"/>
  <c r="BJ492" i="1"/>
  <c r="BN492" i="1" s="1"/>
  <c r="BJ493" i="1"/>
  <c r="BN493" i="1" s="1"/>
  <c r="BJ494" i="1"/>
  <c r="BN494" i="1" s="1"/>
  <c r="BJ495" i="1"/>
  <c r="BN495" i="1" s="1"/>
  <c r="BJ496" i="1"/>
  <c r="BN496" i="1" s="1"/>
  <c r="BJ473" i="1"/>
  <c r="BN473" i="1" s="1"/>
  <c r="BJ474" i="1"/>
  <c r="BN474" i="1" s="1"/>
  <c r="BJ475" i="1"/>
  <c r="BN475" i="1" s="1"/>
  <c r="BJ476" i="1"/>
  <c r="BN476" i="1" s="1"/>
  <c r="BJ477" i="1"/>
  <c r="BN477" i="1" s="1"/>
  <c r="BJ478" i="1"/>
  <c r="BN478" i="1" s="1"/>
  <c r="BJ479" i="1"/>
  <c r="BN479" i="1" s="1"/>
  <c r="BJ488" i="1"/>
  <c r="BN488" i="1" s="1"/>
  <c r="BJ490" i="1"/>
  <c r="BN490" i="1" s="1"/>
  <c r="BJ480" i="1"/>
  <c r="BN480" i="1" s="1"/>
  <c r="BJ481" i="1"/>
  <c r="BN481" i="1" s="1"/>
  <c r="BJ482" i="1"/>
  <c r="BN482" i="1" s="1"/>
  <c r="BJ483" i="1"/>
  <c r="BN483" i="1" s="1"/>
  <c r="BJ484" i="1"/>
  <c r="BN484" i="1" s="1"/>
  <c r="BJ485" i="1"/>
  <c r="BN485" i="1" s="1"/>
  <c r="BJ486" i="1"/>
  <c r="BN486" i="1" s="1"/>
  <c r="BJ487" i="1"/>
  <c r="BN487" i="1" s="1"/>
  <c r="BJ489" i="1"/>
  <c r="BN489" i="1" s="1"/>
  <c r="CC54" i="1" a="1"/>
  <c r="CC16" i="1" a="1"/>
  <c r="BJ373" i="1"/>
  <c r="BN373" i="1" s="1"/>
  <c r="BJ376" i="1"/>
  <c r="BN376" i="1" s="1"/>
  <c r="BJ377" i="1"/>
  <c r="BN377" i="1" s="1"/>
  <c r="BJ378" i="1"/>
  <c r="BN378" i="1" s="1"/>
  <c r="CC118" i="1" a="1"/>
  <c r="CC63" i="1" a="1"/>
  <c r="BJ374" i="1"/>
  <c r="BN374" i="1" s="1"/>
  <c r="BJ375" i="1"/>
  <c r="BN375" i="1" s="1"/>
  <c r="AR606" i="1"/>
  <c r="AY153" i="1"/>
  <c r="BJ153" i="1" s="1"/>
  <c r="BN153" i="1" s="1"/>
  <c r="BJ17" i="1"/>
  <c r="BN17" i="1" s="1"/>
  <c r="BJ18" i="1"/>
  <c r="BN18" i="1" s="1"/>
  <c r="BJ20" i="1"/>
  <c r="BN20" i="1" s="1"/>
  <c r="BJ21" i="1"/>
  <c r="BN21" i="1" s="1"/>
  <c r="BJ23" i="1"/>
  <c r="BN23" i="1" s="1"/>
  <c r="BJ24" i="1"/>
  <c r="BN24" i="1" s="1"/>
  <c r="BJ25" i="1"/>
  <c r="BN25" i="1" s="1"/>
  <c r="BJ26" i="1"/>
  <c r="BN26" i="1" s="1"/>
  <c r="BJ27" i="1"/>
  <c r="BN27" i="1" s="1"/>
  <c r="BJ28" i="1"/>
  <c r="BN28" i="1" s="1"/>
  <c r="BJ29" i="1"/>
  <c r="BN29" i="1" s="1"/>
  <c r="BJ30" i="1"/>
  <c r="BN30" i="1" s="1"/>
  <c r="BJ31" i="1"/>
  <c r="BN31" i="1" s="1"/>
  <c r="BJ32" i="1"/>
  <c r="BN32" i="1" s="1"/>
  <c r="BJ33" i="1"/>
  <c r="BN33" i="1" s="1"/>
  <c r="BJ34" i="1"/>
  <c r="BN34" i="1" s="1"/>
  <c r="BJ35" i="1"/>
  <c r="BN35" i="1" s="1"/>
  <c r="BJ36" i="1"/>
  <c r="BN36" i="1" s="1"/>
  <c r="BJ37" i="1"/>
  <c r="BN37" i="1" s="1"/>
  <c r="BJ38" i="1"/>
  <c r="BN38" i="1" s="1"/>
  <c r="BJ39" i="1"/>
  <c r="BN39" i="1" s="1"/>
  <c r="BJ40" i="1"/>
  <c r="BN40" i="1" s="1"/>
  <c r="BJ41" i="1"/>
  <c r="BN41" i="1" s="1"/>
  <c r="BJ43" i="1"/>
  <c r="BJ45" i="1"/>
  <c r="BN45" i="1" s="1"/>
  <c r="BJ46" i="1"/>
  <c r="BN46" i="1" s="1"/>
  <c r="BJ47" i="1"/>
  <c r="BN47" i="1" s="1"/>
  <c r="BJ48" i="1"/>
  <c r="BN48" i="1" s="1"/>
  <c r="BJ49" i="1"/>
  <c r="BN49" i="1" s="1"/>
  <c r="BJ50" i="1"/>
  <c r="BN50" i="1" s="1"/>
  <c r="BJ51" i="1"/>
  <c r="BN51" i="1" s="1"/>
  <c r="BJ52" i="1"/>
  <c r="BN52" i="1" s="1"/>
  <c r="BJ53" i="1"/>
  <c r="BN53" i="1" s="1"/>
  <c r="BJ54" i="1"/>
  <c r="BN54" i="1" s="1"/>
  <c r="BJ55" i="1"/>
  <c r="BN55" i="1" s="1"/>
  <c r="BJ56" i="1"/>
  <c r="BN56" i="1" s="1"/>
  <c r="BJ57" i="1"/>
  <c r="BN57" i="1" s="1"/>
  <c r="BJ58" i="1"/>
  <c r="BN58" i="1" s="1"/>
  <c r="BJ59" i="1"/>
  <c r="BN59" i="1" s="1"/>
  <c r="BJ60" i="1"/>
  <c r="BN60" i="1" s="1"/>
  <c r="BJ61" i="1"/>
  <c r="BN61" i="1" s="1"/>
  <c r="BJ62" i="1"/>
  <c r="BN62" i="1" s="1"/>
  <c r="BJ63" i="1"/>
  <c r="BN63" i="1" s="1"/>
  <c r="BJ64" i="1"/>
  <c r="BN64" i="1" s="1"/>
  <c r="BJ65" i="1"/>
  <c r="BN65" i="1" s="1"/>
  <c r="BJ66" i="1"/>
  <c r="BN66" i="1" s="1"/>
  <c r="BJ67" i="1"/>
  <c r="BN67" i="1" s="1"/>
  <c r="BJ68" i="1"/>
  <c r="BN68" i="1" s="1"/>
  <c r="BJ69" i="1"/>
  <c r="BN69" i="1" s="1"/>
  <c r="BJ70" i="1"/>
  <c r="BN70" i="1" s="1"/>
  <c r="BJ71" i="1"/>
  <c r="BN71" i="1" s="1"/>
  <c r="BJ72" i="1"/>
  <c r="BN72" i="1" s="1"/>
  <c r="BJ73" i="1"/>
  <c r="BN73" i="1" s="1"/>
  <c r="BJ74" i="1"/>
  <c r="BN74" i="1" s="1"/>
  <c r="BJ76" i="1"/>
  <c r="BN76" i="1" s="1"/>
  <c r="BJ78" i="1"/>
  <c r="BN78" i="1" s="1"/>
  <c r="BJ80" i="1"/>
  <c r="BN80" i="1" s="1"/>
  <c r="BJ81" i="1"/>
  <c r="BN81" i="1" s="1"/>
  <c r="BJ82" i="1"/>
  <c r="BN82" i="1" s="1"/>
  <c r="BJ83" i="1"/>
  <c r="BN83" i="1" s="1"/>
  <c r="BJ86" i="1"/>
  <c r="BN86" i="1" s="1"/>
  <c r="BJ87" i="1"/>
  <c r="BN87" i="1" s="1"/>
  <c r="BJ88" i="1"/>
  <c r="BN88" i="1" s="1"/>
  <c r="BJ89" i="1"/>
  <c r="BN89" i="1" s="1"/>
  <c r="BJ90" i="1"/>
  <c r="BN90" i="1" s="1"/>
  <c r="BJ91" i="1"/>
  <c r="BN91" i="1" s="1"/>
  <c r="BJ92" i="1"/>
  <c r="BN92" i="1" s="1"/>
  <c r="BJ93" i="1"/>
  <c r="BN93" i="1" s="1"/>
  <c r="BJ94" i="1"/>
  <c r="BN94" i="1" s="1"/>
  <c r="BJ96" i="1"/>
  <c r="BN96" i="1" s="1"/>
  <c r="BJ97" i="1"/>
  <c r="BN97" i="1" s="1"/>
  <c r="BJ99" i="1"/>
  <c r="BN99" i="1" s="1"/>
  <c r="BJ100" i="1"/>
  <c r="BN100" i="1" s="1"/>
  <c r="BJ101" i="1"/>
  <c r="BN101" i="1" s="1"/>
  <c r="BJ102" i="1"/>
  <c r="BN102" i="1" s="1"/>
  <c r="BJ103" i="1"/>
  <c r="BN103" i="1" s="1"/>
  <c r="BJ104" i="1"/>
  <c r="BN104" i="1" s="1"/>
  <c r="BJ105" i="1"/>
  <c r="BN105" i="1" s="1"/>
  <c r="BJ106" i="1"/>
  <c r="BN106" i="1" s="1"/>
  <c r="BJ107" i="1"/>
  <c r="BN107" i="1" s="1"/>
  <c r="BJ108" i="1"/>
  <c r="BN108" i="1" s="1"/>
  <c r="BJ111" i="1"/>
  <c r="BN111" i="1" s="1"/>
  <c r="BJ113" i="1"/>
  <c r="BN113" i="1" s="1"/>
  <c r="BJ115" i="1"/>
  <c r="BN115" i="1" s="1"/>
  <c r="BJ116" i="1"/>
  <c r="BN116" i="1" s="1"/>
  <c r="BJ117" i="1"/>
  <c r="BN117" i="1" s="1"/>
  <c r="BJ118" i="1"/>
  <c r="BN118" i="1" s="1"/>
  <c r="BJ119" i="1"/>
  <c r="BN119" i="1" s="1"/>
  <c r="BJ120" i="1"/>
  <c r="BN120" i="1" s="1"/>
  <c r="BJ121" i="1"/>
  <c r="BN121" i="1" s="1"/>
  <c r="BJ122" i="1"/>
  <c r="BN122" i="1" s="1"/>
  <c r="BJ123" i="1"/>
  <c r="BN123" i="1" s="1"/>
  <c r="BJ125" i="1"/>
  <c r="BN125" i="1" s="1"/>
  <c r="BJ127" i="1"/>
  <c r="BN127" i="1" s="1"/>
  <c r="BJ128" i="1"/>
  <c r="BN128" i="1" s="1"/>
  <c r="BJ129" i="1"/>
  <c r="BN129" i="1" s="1"/>
  <c r="BJ132" i="1"/>
  <c r="BN132" i="1" s="1"/>
  <c r="BJ133" i="1"/>
  <c r="BN133" i="1" s="1"/>
  <c r="BJ134" i="1"/>
  <c r="BN134" i="1" s="1"/>
  <c r="BJ135" i="1"/>
  <c r="BN135" i="1" s="1"/>
  <c r="BJ136" i="1"/>
  <c r="BN136" i="1" s="1"/>
  <c r="BJ137" i="1"/>
  <c r="BN137" i="1" s="1"/>
  <c r="BJ138" i="1"/>
  <c r="BN138" i="1" s="1"/>
  <c r="BJ139" i="1"/>
  <c r="BN139" i="1" s="1"/>
  <c r="BJ140" i="1"/>
  <c r="BN140" i="1" s="1"/>
  <c r="BJ141" i="1"/>
  <c r="BJ142" i="1"/>
  <c r="BN142" i="1" s="1"/>
  <c r="BJ144" i="1"/>
  <c r="BJ145" i="1"/>
  <c r="BJ146" i="1"/>
  <c r="BJ147" i="1"/>
  <c r="BJ148" i="1"/>
  <c r="BJ149" i="1"/>
  <c r="BJ150" i="1"/>
  <c r="BJ151" i="1"/>
  <c r="BN151" i="1" s="1"/>
  <c r="BJ152" i="1"/>
  <c r="BN152" i="1" s="1"/>
  <c r="BJ154" i="1"/>
  <c r="BN154" i="1" s="1"/>
  <c r="BJ156" i="1"/>
  <c r="BN156" i="1" s="1"/>
  <c r="BJ157" i="1"/>
  <c r="BN157" i="1" s="1"/>
  <c r="BJ158" i="1"/>
  <c r="BN158" i="1" s="1"/>
  <c r="BJ159" i="1"/>
  <c r="BN159" i="1" s="1"/>
  <c r="BJ160" i="1"/>
  <c r="BN160" i="1" s="1"/>
  <c r="BJ161" i="1"/>
  <c r="BN161" i="1" s="1"/>
  <c r="BJ162" i="1"/>
  <c r="BN162" i="1" s="1"/>
  <c r="BJ163" i="1"/>
  <c r="BN163" i="1" s="1"/>
  <c r="BJ164" i="1"/>
  <c r="BN164" i="1" s="1"/>
  <c r="BJ165" i="1"/>
  <c r="BN165" i="1" s="1"/>
  <c r="BJ166" i="1"/>
  <c r="BN166" i="1" s="1"/>
  <c r="BJ167" i="1"/>
  <c r="BN167" i="1" s="1"/>
  <c r="BJ168" i="1"/>
  <c r="BN168" i="1" s="1"/>
  <c r="BJ171" i="1"/>
  <c r="BJ172" i="1"/>
  <c r="BN172" i="1" s="1"/>
  <c r="BJ173" i="1"/>
  <c r="BN173" i="1" s="1"/>
  <c r="BJ174" i="1"/>
  <c r="BN174" i="1" s="1"/>
  <c r="BJ175" i="1"/>
  <c r="BJ176" i="1"/>
  <c r="BJ177" i="1"/>
  <c r="BJ178" i="1"/>
  <c r="BJ179" i="1"/>
  <c r="BJ180" i="1"/>
  <c r="BJ181" i="1"/>
  <c r="BJ182" i="1"/>
  <c r="BJ183" i="1"/>
  <c r="BN183" i="1" s="1"/>
  <c r="BJ184" i="1"/>
  <c r="BN184" i="1" s="1"/>
  <c r="BJ189" i="1"/>
  <c r="BN189" i="1" s="1"/>
  <c r="BJ198" i="1"/>
  <c r="BN198" i="1" s="1"/>
  <c r="BJ200" i="1"/>
  <c r="BN200" i="1" s="1"/>
  <c r="BJ202" i="1"/>
  <c r="BN202" i="1" s="1"/>
  <c r="BJ203" i="1"/>
  <c r="BN203" i="1" s="1"/>
  <c r="BJ204" i="1"/>
  <c r="BN204" i="1" s="1"/>
  <c r="BJ205" i="1"/>
  <c r="BN205" i="1" s="1"/>
  <c r="BJ206" i="1"/>
  <c r="BN206" i="1" s="1"/>
  <c r="BJ208" i="1"/>
  <c r="BN208" i="1" s="1"/>
  <c r="BJ209" i="1"/>
  <c r="BN209" i="1" s="1"/>
  <c r="BJ210" i="1"/>
  <c r="BN210" i="1" s="1"/>
  <c r="BJ212" i="1"/>
  <c r="BN212" i="1" s="1"/>
  <c r="BJ213" i="1"/>
  <c r="BN213" i="1" s="1"/>
  <c r="BJ214" i="1"/>
  <c r="BN214" i="1" s="1"/>
  <c r="BJ215" i="1"/>
  <c r="BN215" i="1" s="1"/>
  <c r="BJ216" i="1"/>
  <c r="BJ217" i="1"/>
  <c r="BJ218" i="1"/>
  <c r="BN218" i="1" s="1"/>
  <c r="BJ219" i="1"/>
  <c r="BN219" i="1" s="1"/>
  <c r="BJ220" i="1"/>
  <c r="BN220" i="1" s="1"/>
  <c r="BJ221" i="1"/>
  <c r="BN221" i="1" s="1"/>
  <c r="BJ222" i="1"/>
  <c r="BN222" i="1" s="1"/>
  <c r="BJ223" i="1"/>
  <c r="BN223" i="1" s="1"/>
  <c r="BJ224" i="1"/>
  <c r="BN224" i="1" s="1"/>
  <c r="BJ225" i="1"/>
  <c r="BN225" i="1" s="1"/>
  <c r="BJ226" i="1"/>
  <c r="BN226" i="1" s="1"/>
  <c r="BJ227" i="1"/>
  <c r="BN227" i="1" s="1"/>
  <c r="BJ228" i="1"/>
  <c r="BN228" i="1" s="1"/>
  <c r="BJ229" i="1"/>
  <c r="BN229" i="1" s="1"/>
  <c r="BJ230" i="1"/>
  <c r="BN230" i="1" s="1"/>
  <c r="BJ231" i="1"/>
  <c r="BN231" i="1" s="1"/>
  <c r="BJ232" i="1"/>
  <c r="BN232" i="1" s="1"/>
  <c r="BJ233" i="1"/>
  <c r="BN233" i="1" s="1"/>
  <c r="BJ234" i="1"/>
  <c r="BN234" i="1" s="1"/>
  <c r="BJ235" i="1"/>
  <c r="BN235" i="1" s="1"/>
  <c r="BJ236" i="1"/>
  <c r="BN236" i="1" s="1"/>
  <c r="BJ237" i="1"/>
  <c r="BN237" i="1" s="1"/>
  <c r="BJ238" i="1"/>
  <c r="BN238" i="1" s="1"/>
  <c r="BJ239" i="1"/>
  <c r="BN239" i="1" s="1"/>
  <c r="BJ240" i="1"/>
  <c r="BN240" i="1" s="1"/>
  <c r="BJ241" i="1"/>
  <c r="BN241" i="1" s="1"/>
  <c r="BJ242" i="1"/>
  <c r="BN242" i="1" s="1"/>
  <c r="BJ243" i="1"/>
  <c r="BN243" i="1" s="1"/>
  <c r="BJ244" i="1"/>
  <c r="BN244" i="1" s="1"/>
  <c r="BJ245" i="1"/>
  <c r="BN245" i="1" s="1"/>
  <c r="BJ246" i="1"/>
  <c r="BN246" i="1" s="1"/>
  <c r="BJ247" i="1"/>
  <c r="BN247" i="1" s="1"/>
  <c r="BJ248" i="1"/>
  <c r="BN248" i="1" s="1"/>
  <c r="BJ249" i="1"/>
  <c r="BN249" i="1" s="1"/>
  <c r="BJ250" i="1"/>
  <c r="BN250" i="1" s="1"/>
  <c r="BJ251" i="1"/>
  <c r="BN251" i="1" s="1"/>
  <c r="BJ252" i="1"/>
  <c r="BN252" i="1" s="1"/>
  <c r="BJ253" i="1"/>
  <c r="BN253" i="1" s="1"/>
  <c r="BJ255" i="1"/>
  <c r="BN255" i="1" s="1"/>
  <c r="BJ256" i="1"/>
  <c r="BN256" i="1" s="1"/>
  <c r="BJ257" i="1"/>
  <c r="BN257" i="1" s="1"/>
  <c r="BJ258" i="1"/>
  <c r="BN258" i="1" s="1"/>
  <c r="BJ259" i="1"/>
  <c r="BN259" i="1" s="1"/>
  <c r="BJ260" i="1"/>
  <c r="BN260" i="1" s="1"/>
  <c r="BJ261" i="1"/>
  <c r="BN261" i="1" s="1"/>
  <c r="BJ262" i="1"/>
  <c r="BN262" i="1" s="1"/>
  <c r="BJ263" i="1"/>
  <c r="BN263" i="1" s="1"/>
  <c r="BJ264" i="1"/>
  <c r="BN264" i="1" s="1"/>
  <c r="BJ265" i="1"/>
  <c r="BN265" i="1" s="1"/>
  <c r="BJ266" i="1"/>
  <c r="BN266" i="1" s="1"/>
  <c r="BJ268" i="1"/>
  <c r="BN268" i="1" s="1"/>
  <c r="BJ270" i="1"/>
  <c r="BN270" i="1" s="1"/>
  <c r="BJ271" i="1"/>
  <c r="BN271" i="1" s="1"/>
  <c r="BJ275" i="1"/>
  <c r="BN275" i="1" s="1"/>
  <c r="BJ276" i="1"/>
  <c r="BN276" i="1" s="1"/>
  <c r="BJ277" i="1"/>
  <c r="BN277" i="1" s="1"/>
  <c r="BJ278" i="1"/>
  <c r="BN278" i="1" s="1"/>
  <c r="BJ280" i="1"/>
  <c r="BN280" i="1" s="1"/>
  <c r="BJ282" i="1"/>
  <c r="BN282" i="1" s="1"/>
  <c r="BJ283" i="1"/>
  <c r="BN283" i="1" s="1"/>
  <c r="BJ284" i="1"/>
  <c r="BN284" i="1" s="1"/>
  <c r="BJ285" i="1"/>
  <c r="BN285" i="1" s="1"/>
  <c r="BJ286" i="1"/>
  <c r="BN286" i="1" s="1"/>
  <c r="BJ287" i="1"/>
  <c r="BN287" i="1" s="1"/>
  <c r="BJ288" i="1"/>
  <c r="BN288" i="1" s="1"/>
  <c r="BJ289" i="1"/>
  <c r="BN289" i="1" s="1"/>
  <c r="BJ292" i="1"/>
  <c r="BN292" i="1" s="1"/>
  <c r="BJ293" i="1"/>
  <c r="BN293" i="1" s="1"/>
  <c r="BJ296" i="1"/>
  <c r="BN296" i="1" s="1"/>
  <c r="BJ297" i="1"/>
  <c r="BN297" i="1" s="1"/>
  <c r="BJ299" i="1"/>
  <c r="BN299" i="1" s="1"/>
  <c r="BJ302" i="1"/>
  <c r="BN302" i="1" s="1"/>
  <c r="BJ303" i="1"/>
  <c r="BN303" i="1" s="1"/>
  <c r="BJ305" i="1"/>
  <c r="BN305" i="1" s="1"/>
  <c r="BJ306" i="1"/>
  <c r="BN306" i="1" s="1"/>
  <c r="BJ309" i="1"/>
  <c r="BN309" i="1" s="1"/>
  <c r="BJ310" i="1"/>
  <c r="BN310" i="1" s="1"/>
  <c r="BJ311" i="1"/>
  <c r="BN311" i="1" s="1"/>
  <c r="BJ313" i="1"/>
  <c r="BN313" i="1" s="1"/>
  <c r="BJ315" i="1"/>
  <c r="BN315" i="1" s="1"/>
  <c r="BJ316" i="1"/>
  <c r="BN316" i="1" s="1"/>
  <c r="BJ317" i="1"/>
  <c r="BN317" i="1" s="1"/>
  <c r="BJ318" i="1"/>
  <c r="BN318" i="1" s="1"/>
  <c r="BJ319" i="1"/>
  <c r="BN319" i="1" s="1"/>
  <c r="BJ320" i="1"/>
  <c r="BN320" i="1" s="1"/>
  <c r="BJ322" i="1"/>
  <c r="BN322" i="1" s="1"/>
  <c r="BJ323" i="1"/>
  <c r="BN323" i="1" s="1"/>
  <c r="BJ324" i="1"/>
  <c r="BN324" i="1" s="1"/>
  <c r="BJ325" i="1"/>
  <c r="BJ326" i="1"/>
  <c r="BN326" i="1" s="1"/>
  <c r="BJ327" i="1"/>
  <c r="BN327" i="1" s="1"/>
  <c r="BJ328" i="1"/>
  <c r="BN328" i="1" s="1"/>
  <c r="BJ329" i="1"/>
  <c r="BN329" i="1" s="1"/>
  <c r="BJ331" i="1"/>
  <c r="BN331" i="1" s="1"/>
  <c r="BJ333" i="1"/>
  <c r="BN333" i="1" s="1"/>
  <c r="BJ336" i="1"/>
  <c r="BN336" i="1" s="1"/>
  <c r="BJ337" i="1"/>
  <c r="BN337" i="1" s="1"/>
  <c r="BJ338" i="1"/>
  <c r="BN338" i="1" s="1"/>
  <c r="BJ339" i="1"/>
  <c r="BN339" i="1" s="1"/>
  <c r="BJ340" i="1"/>
  <c r="BN340" i="1" s="1"/>
  <c r="BJ341" i="1"/>
  <c r="BN341" i="1" s="1"/>
  <c r="BJ342" i="1"/>
  <c r="BN342" i="1" s="1"/>
  <c r="BJ343" i="1"/>
  <c r="BN343" i="1" s="1"/>
  <c r="BJ344" i="1"/>
  <c r="BN344" i="1" s="1"/>
  <c r="BJ345" i="1"/>
  <c r="BN345" i="1" s="1"/>
  <c r="BJ346" i="1"/>
  <c r="BN346" i="1" s="1"/>
  <c r="BJ347" i="1"/>
  <c r="BN347" i="1" s="1"/>
  <c r="BJ348" i="1"/>
  <c r="BN348" i="1" s="1"/>
  <c r="BJ349" i="1"/>
  <c r="BN349" i="1" s="1"/>
  <c r="BJ350" i="1"/>
  <c r="BN350" i="1" s="1"/>
  <c r="BJ351" i="1"/>
  <c r="BN351" i="1" s="1"/>
  <c r="BJ352" i="1"/>
  <c r="BN352" i="1" s="1"/>
  <c r="BJ353" i="1"/>
  <c r="BN353" i="1" s="1"/>
  <c r="BJ354" i="1"/>
  <c r="BN354" i="1" s="1"/>
  <c r="BJ355" i="1"/>
  <c r="BN355" i="1" s="1"/>
  <c r="BJ356" i="1"/>
  <c r="BN356" i="1" s="1"/>
  <c r="BJ357" i="1"/>
  <c r="BN357" i="1" s="1"/>
  <c r="BJ358" i="1"/>
  <c r="BN358" i="1" s="1"/>
  <c r="BJ359" i="1"/>
  <c r="BN359" i="1" s="1"/>
  <c r="BJ360" i="1"/>
  <c r="BN360" i="1" s="1"/>
  <c r="BJ361" i="1"/>
  <c r="BN361" i="1" s="1"/>
  <c r="BJ362" i="1"/>
  <c r="BN362" i="1" s="1"/>
  <c r="BJ363" i="1"/>
  <c r="BN363" i="1" s="1"/>
  <c r="BJ364" i="1"/>
  <c r="BN364" i="1" s="1"/>
  <c r="BJ365" i="1"/>
  <c r="BN365" i="1" s="1"/>
  <c r="BJ366" i="1"/>
  <c r="BN366" i="1" s="1"/>
  <c r="BJ367" i="1"/>
  <c r="BN367" i="1" s="1"/>
  <c r="BJ368" i="1"/>
  <c r="BN368" i="1" s="1"/>
  <c r="BJ369" i="1"/>
  <c r="BN369" i="1" s="1"/>
  <c r="BJ370" i="1"/>
  <c r="BN370" i="1" s="1"/>
  <c r="BJ371" i="1"/>
  <c r="BN371" i="1" s="1"/>
  <c r="BJ372" i="1"/>
  <c r="BN372" i="1" s="1"/>
  <c r="BJ379" i="1"/>
  <c r="BN379" i="1" s="1"/>
  <c r="BJ380" i="1"/>
  <c r="BN380" i="1" s="1"/>
  <c r="BJ381" i="1"/>
  <c r="BJ382" i="1"/>
  <c r="BJ383" i="1"/>
  <c r="BJ384" i="1"/>
  <c r="BJ385" i="1"/>
  <c r="BN385" i="1" s="1"/>
  <c r="BJ386" i="1"/>
  <c r="BN386" i="1" s="1"/>
  <c r="BJ387" i="1"/>
  <c r="BN387" i="1" s="1"/>
  <c r="BJ388" i="1"/>
  <c r="BJ389" i="1"/>
  <c r="BN389" i="1" s="1"/>
  <c r="BJ390" i="1"/>
  <c r="BN390" i="1" s="1"/>
  <c r="BJ391" i="1"/>
  <c r="BN391" i="1" s="1"/>
  <c r="BJ392" i="1"/>
  <c r="BN392" i="1" s="1"/>
  <c r="BJ393" i="1"/>
  <c r="BN393" i="1" s="1"/>
  <c r="BJ394" i="1"/>
  <c r="BN394" i="1" s="1"/>
  <c r="BJ395" i="1"/>
  <c r="BN395" i="1" s="1"/>
  <c r="BJ396" i="1"/>
  <c r="BJ397" i="1"/>
  <c r="BN397" i="1" s="1"/>
  <c r="BJ398" i="1"/>
  <c r="BN398" i="1" s="1"/>
  <c r="BJ399" i="1"/>
  <c r="BN399" i="1" s="1"/>
  <c r="BJ400" i="1"/>
  <c r="BN400" i="1" s="1"/>
  <c r="BJ401" i="1"/>
  <c r="BN401" i="1" s="1"/>
  <c r="BJ402" i="1"/>
  <c r="BN402" i="1" s="1"/>
  <c r="BJ403" i="1"/>
  <c r="BN403" i="1" s="1"/>
  <c r="BJ404" i="1"/>
  <c r="BN404" i="1" s="1"/>
  <c r="BJ405" i="1"/>
  <c r="BN405" i="1" s="1"/>
  <c r="BJ406" i="1"/>
  <c r="BN406" i="1" s="1"/>
  <c r="BJ407" i="1"/>
  <c r="BJ408" i="1"/>
  <c r="BN408" i="1" s="1"/>
  <c r="BJ409" i="1"/>
  <c r="BN409" i="1" s="1"/>
  <c r="BJ410" i="1"/>
  <c r="BN410" i="1" s="1"/>
  <c r="BJ411" i="1"/>
  <c r="BN411" i="1" s="1"/>
  <c r="BJ412" i="1"/>
  <c r="BN412" i="1" s="1"/>
  <c r="BJ413" i="1"/>
  <c r="BN413" i="1" s="1"/>
  <c r="BJ414" i="1"/>
  <c r="BN414" i="1" s="1"/>
  <c r="BJ415" i="1"/>
  <c r="BN415" i="1" s="1"/>
  <c r="BJ416" i="1"/>
  <c r="BN416" i="1" s="1"/>
  <c r="BJ417" i="1"/>
  <c r="BN417" i="1" s="1"/>
  <c r="BJ418" i="1"/>
  <c r="BN418" i="1" s="1"/>
  <c r="BJ419" i="1"/>
  <c r="BN419" i="1" s="1"/>
  <c r="BJ420" i="1"/>
  <c r="BN420" i="1" s="1"/>
  <c r="BJ421" i="1"/>
  <c r="BN421" i="1" s="1"/>
  <c r="BJ422" i="1"/>
  <c r="BN422" i="1" s="1"/>
  <c r="BJ423" i="1"/>
  <c r="BN423" i="1" s="1"/>
  <c r="BJ424" i="1"/>
  <c r="BN424" i="1" s="1"/>
  <c r="BJ425" i="1"/>
  <c r="BN425" i="1" s="1"/>
  <c r="BJ426" i="1"/>
  <c r="BJ427" i="1"/>
  <c r="BN427" i="1" s="1"/>
  <c r="BJ428" i="1"/>
  <c r="BN428" i="1" s="1"/>
  <c r="BJ429" i="1"/>
  <c r="BN429" i="1" s="1"/>
  <c r="BJ430" i="1"/>
  <c r="BN430" i="1" s="1"/>
  <c r="BJ431" i="1"/>
  <c r="BN431" i="1" s="1"/>
  <c r="BJ432" i="1"/>
  <c r="BN432" i="1" s="1"/>
  <c r="BJ433" i="1"/>
  <c r="BN433" i="1" s="1"/>
  <c r="BJ434" i="1"/>
  <c r="BN434" i="1" s="1"/>
  <c r="BJ435" i="1"/>
  <c r="BN435" i="1" s="1"/>
  <c r="BJ436" i="1"/>
  <c r="BN436" i="1" s="1"/>
  <c r="BJ437" i="1"/>
  <c r="BN437" i="1" s="1"/>
  <c r="BJ438" i="1"/>
  <c r="BN438" i="1" s="1"/>
  <c r="BJ439" i="1"/>
  <c r="BN439" i="1" s="1"/>
  <c r="BJ440" i="1"/>
  <c r="BN440" i="1" s="1"/>
  <c r="BJ441" i="1"/>
  <c r="BN441" i="1" s="1"/>
  <c r="BJ442" i="1"/>
  <c r="BN442" i="1" s="1"/>
  <c r="BJ443" i="1"/>
  <c r="BN443" i="1" s="1"/>
  <c r="BJ444" i="1"/>
  <c r="BN444" i="1" s="1"/>
  <c r="BJ445" i="1"/>
  <c r="BN445" i="1" s="1"/>
  <c r="BJ446" i="1"/>
  <c r="BN446" i="1" s="1"/>
  <c r="BJ447" i="1"/>
  <c r="BJ448" i="1"/>
  <c r="BN448" i="1" s="1"/>
  <c r="BJ449" i="1"/>
  <c r="BN449" i="1" s="1"/>
  <c r="BJ450" i="1"/>
  <c r="BN450" i="1" s="1"/>
  <c r="BJ451" i="1"/>
  <c r="BN451" i="1" s="1"/>
  <c r="BJ452" i="1"/>
  <c r="BN452" i="1" s="1"/>
  <c r="BJ453" i="1"/>
  <c r="BN453" i="1" s="1"/>
  <c r="BJ454" i="1"/>
  <c r="BN454" i="1" s="1"/>
  <c r="BJ455" i="1"/>
  <c r="BN455" i="1" s="1"/>
  <c r="BJ456" i="1"/>
  <c r="BN456" i="1" s="1"/>
  <c r="BJ457" i="1"/>
  <c r="BN457" i="1" s="1"/>
  <c r="BJ458" i="1"/>
  <c r="BN458" i="1" s="1"/>
  <c r="BJ459" i="1"/>
  <c r="BN459" i="1" s="1"/>
  <c r="BJ460" i="1"/>
  <c r="BN460" i="1" s="1"/>
  <c r="BJ461" i="1"/>
  <c r="BN461" i="1" s="1"/>
  <c r="BJ462" i="1"/>
  <c r="BN462" i="1" s="1"/>
  <c r="BJ463" i="1"/>
  <c r="BN463" i="1" s="1"/>
  <c r="BJ464" i="1"/>
  <c r="BN464" i="1" s="1"/>
  <c r="BJ465" i="1"/>
  <c r="BN465" i="1" s="1"/>
  <c r="BJ466" i="1"/>
  <c r="BN466" i="1" s="1"/>
  <c r="BJ467" i="1"/>
  <c r="BN467" i="1" s="1"/>
  <c r="BJ468" i="1"/>
  <c r="BN468" i="1" s="1"/>
  <c r="BJ469" i="1"/>
  <c r="BN469" i="1" s="1"/>
  <c r="BJ470" i="1"/>
  <c r="BN470" i="1" s="1"/>
  <c r="BJ471" i="1"/>
  <c r="BN471" i="1" s="1"/>
  <c r="BJ472" i="1"/>
  <c r="BN472" i="1" s="1"/>
  <c r="BJ507" i="1"/>
  <c r="BJ508" i="1"/>
  <c r="BN508" i="1" s="1"/>
  <c r="BJ509" i="1"/>
  <c r="BN509" i="1" s="1"/>
  <c r="BJ510" i="1"/>
  <c r="BN510" i="1" s="1"/>
  <c r="BJ512" i="1"/>
  <c r="BN512" i="1" s="1"/>
  <c r="BJ514" i="1"/>
  <c r="BN514" i="1" s="1"/>
  <c r="BJ515" i="1"/>
  <c r="BN515" i="1" s="1"/>
  <c r="BJ517" i="1"/>
  <c r="BN517" i="1" s="1"/>
  <c r="BJ518" i="1"/>
  <c r="BN518" i="1" s="1"/>
  <c r="BJ519" i="1"/>
  <c r="BN519" i="1" s="1"/>
  <c r="BJ521" i="1"/>
  <c r="BN521" i="1" s="1"/>
  <c r="BJ522" i="1"/>
  <c r="BN522" i="1" s="1"/>
  <c r="BJ523" i="1"/>
  <c r="BN523" i="1" s="1"/>
  <c r="BJ524" i="1"/>
  <c r="BN524" i="1" s="1"/>
  <c r="BJ525" i="1"/>
  <c r="BN525" i="1" s="1"/>
  <c r="BJ526" i="1"/>
  <c r="BN526" i="1" s="1"/>
  <c r="BJ527" i="1"/>
  <c r="BN527" i="1" s="1"/>
  <c r="BJ528" i="1"/>
  <c r="BN528" i="1" s="1"/>
  <c r="BJ529" i="1"/>
  <c r="BN529" i="1" s="1"/>
  <c r="BJ530" i="1"/>
  <c r="BN530" i="1" s="1"/>
  <c r="BJ531" i="1"/>
  <c r="BN531" i="1" s="1"/>
  <c r="BJ532" i="1"/>
  <c r="BN532" i="1" s="1"/>
  <c r="BJ533" i="1"/>
  <c r="BN533" i="1" s="1"/>
  <c r="BJ534" i="1"/>
  <c r="BN534" i="1" s="1"/>
  <c r="BJ535" i="1"/>
  <c r="BN535" i="1" s="1"/>
  <c r="BJ536" i="1"/>
  <c r="BN536" i="1" s="1"/>
  <c r="BJ537" i="1"/>
  <c r="BN537" i="1" s="1"/>
  <c r="BJ538" i="1"/>
  <c r="BN538" i="1" s="1"/>
  <c r="BJ539" i="1"/>
  <c r="BN539" i="1" s="1"/>
  <c r="BJ540" i="1"/>
  <c r="BN540" i="1" s="1"/>
  <c r="BJ541" i="1"/>
  <c r="BN541" i="1" s="1"/>
  <c r="BJ542" i="1"/>
  <c r="BN542" i="1" s="1"/>
  <c r="BJ543" i="1"/>
  <c r="BN543" i="1" s="1"/>
  <c r="BJ544" i="1"/>
  <c r="BN544" i="1" s="1"/>
  <c r="BJ545" i="1"/>
  <c r="BN545" i="1" s="1"/>
  <c r="BJ546" i="1"/>
  <c r="BN546" i="1" s="1"/>
  <c r="BJ547" i="1"/>
  <c r="BJ548" i="1"/>
  <c r="BN548" i="1" s="1"/>
  <c r="BJ549" i="1"/>
  <c r="BJ550" i="1"/>
  <c r="BJ551" i="1"/>
  <c r="BJ552" i="1"/>
  <c r="BN552" i="1" s="1"/>
  <c r="BJ553" i="1"/>
  <c r="BN553" i="1" s="1"/>
  <c r="BJ554" i="1"/>
  <c r="BJ555" i="1"/>
  <c r="BJ556" i="1"/>
  <c r="BJ557" i="1"/>
  <c r="BJ558" i="1"/>
  <c r="BN558" i="1" s="1"/>
  <c r="BJ559" i="1"/>
  <c r="BN559" i="1" s="1"/>
  <c r="BJ560" i="1"/>
  <c r="BN560" i="1" s="1"/>
  <c r="BJ561" i="1"/>
  <c r="BN561" i="1" s="1"/>
  <c r="BJ562" i="1"/>
  <c r="BN562" i="1" s="1"/>
  <c r="BJ563" i="1"/>
  <c r="BN563" i="1" s="1"/>
  <c r="BJ564" i="1"/>
  <c r="BN564" i="1" s="1"/>
  <c r="BJ565" i="1"/>
  <c r="BN565" i="1" s="1"/>
  <c r="BJ566" i="1"/>
  <c r="BN566" i="1" s="1"/>
  <c r="BJ567" i="1"/>
  <c r="BN567" i="1" s="1"/>
  <c r="BJ568" i="1"/>
  <c r="BN568" i="1" s="1"/>
  <c r="BJ569" i="1"/>
  <c r="BN569" i="1" s="1"/>
  <c r="BJ570" i="1"/>
  <c r="BN570" i="1" s="1"/>
  <c r="BJ571" i="1"/>
  <c r="BN571" i="1" s="1"/>
  <c r="BJ572" i="1"/>
  <c r="BN572" i="1" s="1"/>
  <c r="BJ573" i="1"/>
  <c r="BN573" i="1" s="1"/>
  <c r="BJ574" i="1"/>
  <c r="BN574" i="1" s="1"/>
  <c r="BJ575" i="1"/>
  <c r="BN575" i="1" s="1"/>
  <c r="BJ576" i="1"/>
  <c r="BN576" i="1" s="1"/>
  <c r="BJ577" i="1"/>
  <c r="BN577" i="1" s="1"/>
  <c r="BJ578" i="1"/>
  <c r="BN578" i="1" s="1"/>
  <c r="BJ579" i="1"/>
  <c r="BN579" i="1" s="1"/>
  <c r="BJ580" i="1"/>
  <c r="BN580" i="1" s="1"/>
  <c r="BJ581" i="1"/>
  <c r="BN581" i="1" s="1"/>
  <c r="BJ582" i="1"/>
  <c r="BN582" i="1" s="1"/>
  <c r="BJ583" i="1"/>
  <c r="BN583" i="1" s="1"/>
  <c r="BJ584" i="1"/>
  <c r="BN584" i="1" s="1"/>
  <c r="BJ585" i="1"/>
  <c r="BN585" i="1" s="1"/>
  <c r="BJ586" i="1"/>
  <c r="BN586" i="1" s="1"/>
  <c r="BJ587" i="1"/>
  <c r="BN587" i="1" s="1"/>
  <c r="BJ588" i="1"/>
  <c r="BN588" i="1" s="1"/>
  <c r="CC101" i="1" a="1"/>
  <c r="BJ188" i="1"/>
  <c r="BN188" i="1" s="1"/>
  <c r="BJ187" i="1"/>
  <c r="BN187" i="1" s="1"/>
  <c r="BJ267" i="1"/>
  <c r="BN267" i="1" s="1"/>
  <c r="BJ254" i="1"/>
  <c r="BN254" i="1" s="1"/>
  <c r="BJ44" i="1"/>
  <c r="BN44" i="1" s="1"/>
  <c r="BJ42" i="1"/>
  <c r="BN42" i="1" s="1"/>
  <c r="BJ22" i="1"/>
  <c r="BN22" i="1" s="1"/>
  <c r="BJ19" i="1"/>
  <c r="BN19" i="1" s="1"/>
  <c r="BJ334" i="1"/>
  <c r="BN334" i="1" s="1"/>
  <c r="BJ308" i="1"/>
  <c r="BN308" i="1" s="1"/>
  <c r="BJ307" i="1"/>
  <c r="BN307" i="1" s="1"/>
  <c r="CC189" i="1" a="1"/>
  <c r="BJ295" i="1"/>
  <c r="BN295" i="1" s="1"/>
  <c r="BJ294" i="1"/>
  <c r="BN294" i="1" s="1"/>
  <c r="BJ291" i="1"/>
  <c r="BN291" i="1" s="1"/>
  <c r="BJ279" i="1"/>
  <c r="BN279" i="1" s="1"/>
  <c r="BJ274" i="1"/>
  <c r="BN274" i="1" s="1"/>
  <c r="BJ273" i="1"/>
  <c r="BN273" i="1" s="1"/>
  <c r="BJ269" i="1"/>
  <c r="BN269" i="1" s="1"/>
  <c r="BJ114" i="1"/>
  <c r="BN114" i="1" s="1"/>
  <c r="BJ98" i="1"/>
  <c r="BN98" i="1" s="1"/>
  <c r="BJ95" i="1"/>
  <c r="BN95" i="1" s="1"/>
  <c r="BJ85" i="1"/>
  <c r="BN85" i="1" s="1"/>
  <c r="BJ79" i="1"/>
  <c r="BN79" i="1" s="1"/>
  <c r="BJ75" i="1"/>
  <c r="BN75" i="1" s="1"/>
  <c r="BJ520" i="1"/>
  <c r="BJ516" i="1"/>
  <c r="CC175" i="1" a="1"/>
  <c r="BN325" i="1"/>
  <c r="BJ304" i="1"/>
  <c r="BN304" i="1" s="1"/>
  <c r="BJ301" i="1"/>
  <c r="BN301" i="1" s="1"/>
  <c r="BJ300" i="1"/>
  <c r="BN300" i="1" s="1"/>
  <c r="BJ298" i="1"/>
  <c r="BN298" i="1" s="1"/>
  <c r="BJ290" i="1"/>
  <c r="BN290" i="1" s="1"/>
  <c r="BJ281" i="1"/>
  <c r="BN281" i="1" s="1"/>
  <c r="BJ272" i="1"/>
  <c r="BN272" i="1" s="1"/>
  <c r="BJ211" i="1"/>
  <c r="BN211" i="1" s="1"/>
  <c r="BJ207" i="1"/>
  <c r="BN207" i="1" s="1"/>
  <c r="BJ201" i="1"/>
  <c r="BN201" i="1" s="1"/>
  <c r="BJ197" i="1"/>
  <c r="BN197" i="1" s="1"/>
  <c r="BJ193" i="1"/>
  <c r="BN193" i="1" s="1"/>
  <c r="BJ192" i="1"/>
  <c r="BN192" i="1" s="1"/>
  <c r="BJ190" i="1"/>
  <c r="BN190" i="1" s="1"/>
  <c r="BJ185" i="1"/>
  <c r="BN185" i="1" s="1"/>
  <c r="BJ170" i="1"/>
  <c r="BN170" i="1" s="1"/>
  <c r="BJ169" i="1"/>
  <c r="BN169" i="1" s="1"/>
  <c r="BJ130" i="1"/>
  <c r="BN130" i="1" s="1"/>
  <c r="BJ124" i="1"/>
  <c r="BN124" i="1" s="1"/>
  <c r="BJ112" i="1"/>
  <c r="BN112" i="1" s="1"/>
  <c r="BJ110" i="1"/>
  <c r="BN110" i="1" s="1"/>
  <c r="CC24" i="1" a="1"/>
  <c r="CC129" i="1" a="1"/>
  <c r="BJ335" i="1"/>
  <c r="BN335" i="1" s="1"/>
  <c r="BJ332" i="1"/>
  <c r="BN332" i="1" s="1"/>
  <c r="BJ330" i="1"/>
  <c r="BN330" i="1" s="1"/>
  <c r="BJ321" i="1"/>
  <c r="BN321" i="1" s="1"/>
  <c r="BJ314" i="1"/>
  <c r="BN314" i="1" s="1"/>
  <c r="BJ312" i="1"/>
  <c r="BN312" i="1" s="1"/>
  <c r="BJ199" i="1"/>
  <c r="BN199" i="1" s="1"/>
  <c r="BJ196" i="1"/>
  <c r="BN196" i="1" s="1"/>
  <c r="BJ195" i="1"/>
  <c r="BN195" i="1" s="1"/>
  <c r="BJ194" i="1"/>
  <c r="BN194" i="1" s="1"/>
  <c r="BJ191" i="1"/>
  <c r="BN191" i="1" s="1"/>
  <c r="CC43" i="1" a="1"/>
  <c r="BJ131" i="1"/>
  <c r="BN131" i="1" s="1"/>
  <c r="BJ126" i="1"/>
  <c r="BN126" i="1" s="1"/>
  <c r="BJ109" i="1"/>
  <c r="BN109" i="1" s="1"/>
  <c r="BJ84" i="1"/>
  <c r="BN84" i="1" s="1"/>
  <c r="BJ77" i="1"/>
  <c r="BN77" i="1" s="1"/>
  <c r="BN557" i="1"/>
  <c r="BN556" i="1"/>
  <c r="BN555" i="1"/>
  <c r="BN554" i="1"/>
  <c r="BN551" i="1"/>
  <c r="BN550" i="1"/>
  <c r="BN549" i="1"/>
  <c r="BN547" i="1"/>
  <c r="BN520" i="1"/>
  <c r="BN516" i="1"/>
  <c r="BN171" i="1"/>
  <c r="BN506" i="1"/>
  <c r="BN504" i="1"/>
  <c r="BN502" i="1"/>
  <c r="BN16" i="1"/>
  <c r="BN13" i="1"/>
  <c r="BN12" i="1"/>
  <c r="BN11" i="1"/>
  <c r="BN10" i="1"/>
  <c r="BN9" i="1"/>
  <c r="BN7" i="1"/>
  <c r="CE207" i="1"/>
  <c r="CE208" i="1"/>
  <c r="CE209" i="1"/>
  <c r="CE210" i="1"/>
  <c r="CE211" i="1"/>
  <c r="CE212" i="1"/>
  <c r="CE213" i="1"/>
  <c r="CE214" i="1"/>
  <c r="CE199" i="1"/>
  <c r="CE200" i="1"/>
  <c r="CE201" i="1"/>
  <c r="CE202" i="1"/>
  <c r="CE203" i="1"/>
  <c r="CE204" i="1"/>
  <c r="CE205" i="1"/>
  <c r="CE148" i="1"/>
  <c r="CE149" i="1"/>
  <c r="CE150" i="1"/>
  <c r="CE151" i="1"/>
  <c r="CE152" i="1"/>
  <c r="CE137" i="1"/>
  <c r="CE138" i="1"/>
  <c r="CE139" i="1"/>
  <c r="CE140" i="1"/>
  <c r="CE141" i="1"/>
  <c r="CE142" i="1"/>
  <c r="CE143" i="1"/>
  <c r="CE144" i="1"/>
  <c r="CE145" i="1"/>
  <c r="CE146" i="1"/>
  <c r="CE110" i="1"/>
  <c r="CE111" i="1"/>
  <c r="CE112" i="1"/>
  <c r="CE113" i="1"/>
  <c r="CE114" i="1"/>
  <c r="CE115" i="1"/>
  <c r="CE116" i="1"/>
  <c r="CE92" i="1"/>
  <c r="CE93" i="1"/>
  <c r="CE94" i="1"/>
  <c r="CE95" i="1"/>
  <c r="CE96" i="1"/>
  <c r="CE97" i="1"/>
  <c r="CE98" i="1"/>
  <c r="CE99" i="1"/>
  <c r="CE85" i="1"/>
  <c r="CE86" i="1"/>
  <c r="CE87" i="1"/>
  <c r="CE88" i="1"/>
  <c r="CE89" i="1"/>
  <c r="CE90" i="1"/>
  <c r="CE74" i="1"/>
  <c r="AJ606" i="1"/>
  <c r="CE170" i="1"/>
  <c r="CE168" i="1"/>
  <c r="CE165" i="1"/>
  <c r="CE167" i="1"/>
  <c r="CE173" i="1"/>
  <c r="CE172" i="1"/>
  <c r="CE171" i="1"/>
  <c r="CE169" i="1"/>
  <c r="CE166" i="1"/>
  <c r="AI606" i="1"/>
  <c r="BJ155" i="1"/>
  <c r="BN155" i="1" s="1"/>
  <c r="BB606" i="1"/>
  <c r="BH608" i="1" s="1"/>
  <c r="BI5" i="1"/>
  <c r="BJ5" i="1" s="1"/>
  <c r="CC76" i="1" a="1"/>
  <c r="BJ143" i="1"/>
  <c r="BN143" i="1" s="1"/>
  <c r="CC35" i="1" a="1"/>
  <c r="BJ513" i="1"/>
  <c r="BN513" i="1" s="1"/>
  <c r="BJ501" i="1"/>
  <c r="BN501" i="1" s="1"/>
  <c r="BJ511" i="1"/>
  <c r="BN511" i="1" s="1"/>
  <c r="BJ500" i="1"/>
  <c r="BN500" i="1" s="1"/>
  <c r="BN507" i="1"/>
  <c r="BN505" i="1"/>
  <c r="BN447" i="1"/>
  <c r="BN396" i="1"/>
  <c r="BN388" i="1"/>
  <c r="BN381" i="1"/>
  <c r="BN384" i="1"/>
  <c r="BN383" i="1"/>
  <c r="BN382" i="1"/>
  <c r="BN426" i="1"/>
  <c r="BN407" i="1"/>
  <c r="BZ606" i="1"/>
  <c r="CE154" i="1" l="1"/>
  <c r="CE155" i="1"/>
  <c r="CE157" i="1"/>
  <c r="CE158" i="1"/>
  <c r="CE159" i="1"/>
  <c r="CE160" i="1"/>
  <c r="CE161" i="1"/>
  <c r="CE162" i="1"/>
  <c r="CE163" i="1"/>
  <c r="CE156" i="1"/>
  <c r="CE174" i="1"/>
  <c r="CE54" i="1"/>
  <c r="CE56" i="1"/>
  <c r="CE57" i="1"/>
  <c r="CE58" i="1"/>
  <c r="CE59" i="1"/>
  <c r="CE60" i="1"/>
  <c r="CE55" i="1"/>
  <c r="CE61" i="1"/>
  <c r="CE16" i="1"/>
  <c r="CE17" i="1"/>
  <c r="CE18" i="1"/>
  <c r="CE19" i="1"/>
  <c r="CE20" i="1"/>
  <c r="CE21" i="1"/>
  <c r="CE22" i="1"/>
  <c r="CE118" i="1"/>
  <c r="CE119" i="1"/>
  <c r="CE121" i="1"/>
  <c r="CE120" i="1"/>
  <c r="CE122" i="1"/>
  <c r="CE123" i="1"/>
  <c r="CE124" i="1"/>
  <c r="CE125" i="1"/>
  <c r="CE126" i="1"/>
  <c r="CE127" i="1"/>
  <c r="CE70" i="1"/>
  <c r="CE71" i="1"/>
  <c r="CE75" i="1" s="1"/>
  <c r="CE72" i="1"/>
  <c r="CE73" i="1"/>
  <c r="CE63" i="1"/>
  <c r="CE64" i="1"/>
  <c r="CE69" i="1"/>
  <c r="CE66" i="1"/>
  <c r="CE65" i="1"/>
  <c r="CE67" i="1"/>
  <c r="CE68" i="1"/>
  <c r="CE101" i="1"/>
  <c r="CE102" i="1"/>
  <c r="CE103" i="1"/>
  <c r="CE104" i="1"/>
  <c r="CE105" i="1"/>
  <c r="CE107" i="1"/>
  <c r="CE108" i="1"/>
  <c r="CE106" i="1"/>
  <c r="BJ186" i="1"/>
  <c r="BN186" i="1" s="1"/>
  <c r="AY606" i="1"/>
  <c r="CE117" i="1"/>
  <c r="CE194" i="1"/>
  <c r="CE197" i="1"/>
  <c r="CE195" i="1"/>
  <c r="CE196" i="1"/>
  <c r="CE189" i="1"/>
  <c r="CE190" i="1"/>
  <c r="CE192" i="1"/>
  <c r="CE193" i="1"/>
  <c r="CE191" i="1"/>
  <c r="CE184" i="1"/>
  <c r="CE185" i="1"/>
  <c r="CE186" i="1"/>
  <c r="CE187" i="1"/>
  <c r="CE175" i="1"/>
  <c r="CE176" i="1"/>
  <c r="CE177" i="1"/>
  <c r="CE178" i="1"/>
  <c r="CE179" i="1"/>
  <c r="CE180" i="1"/>
  <c r="CE181" i="1"/>
  <c r="CE182" i="1"/>
  <c r="CE183" i="1"/>
  <c r="CE26" i="1"/>
  <c r="CE24" i="1"/>
  <c r="CE25" i="1"/>
  <c r="CE33" i="1"/>
  <c r="CE27" i="1"/>
  <c r="CE28" i="1"/>
  <c r="CE29" i="1"/>
  <c r="CE30" i="1"/>
  <c r="CE31" i="1"/>
  <c r="CE32" i="1"/>
  <c r="CE129" i="1"/>
  <c r="CE130" i="1"/>
  <c r="CE131" i="1"/>
  <c r="CE132" i="1"/>
  <c r="CE133" i="1"/>
  <c r="CE134" i="1"/>
  <c r="CE135" i="1"/>
  <c r="CE52" i="1"/>
  <c r="CE49" i="1"/>
  <c r="CE43" i="1"/>
  <c r="CE46" i="1"/>
  <c r="CE47" i="1"/>
  <c r="CE44" i="1"/>
  <c r="CE50" i="1"/>
  <c r="CE45" i="1"/>
  <c r="CE48" i="1"/>
  <c r="CE51" i="1"/>
  <c r="BI606" i="1"/>
  <c r="CC4" i="1" a="1"/>
  <c r="BN5" i="1"/>
  <c r="BJ606" i="1"/>
  <c r="CE83" i="1"/>
  <c r="CE82" i="1"/>
  <c r="CE79" i="1"/>
  <c r="CE78" i="1"/>
  <c r="CE77" i="1"/>
  <c r="CE81" i="1"/>
  <c r="CE80" i="1"/>
  <c r="CE76" i="1"/>
  <c r="CE41" i="1"/>
  <c r="CE40" i="1"/>
  <c r="CE39" i="1"/>
  <c r="CE38" i="1"/>
  <c r="CE37" i="1"/>
  <c r="CE36" i="1"/>
  <c r="CE35" i="1"/>
  <c r="CE206" i="1"/>
  <c r="CE91" i="1"/>
  <c r="CE215" i="1"/>
  <c r="CE147" i="1"/>
  <c r="CE164" i="1"/>
  <c r="CE153" i="1"/>
  <c r="CE100" i="1"/>
  <c r="BN606" i="1" l="1"/>
  <c r="CE188" i="1"/>
  <c r="CE128" i="1"/>
  <c r="CE109" i="1"/>
  <c r="CE62" i="1"/>
  <c r="CE53" i="1"/>
  <c r="CE23" i="1"/>
  <c r="CE34" i="1"/>
  <c r="CE198" i="1"/>
  <c r="CE136" i="1"/>
  <c r="CE84" i="1"/>
  <c r="CD216" i="1"/>
  <c r="CE4" i="1"/>
  <c r="CE5" i="1"/>
  <c r="CE6" i="1"/>
  <c r="CE7" i="1"/>
  <c r="CE8" i="1"/>
  <c r="CE9" i="1"/>
  <c r="CE10" i="1"/>
  <c r="CE11" i="1"/>
  <c r="CE12" i="1"/>
  <c r="CE13" i="1"/>
  <c r="CE14" i="1"/>
  <c r="CE42" i="1"/>
  <c r="CE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<sst xmlns="http://schemas.openxmlformats.org/spreadsheetml/2006/main" count="753" uniqueCount="173">
  <si>
    <t>No.</t>
  </si>
  <si>
    <t>ITMES</t>
  </si>
  <si>
    <t>Size</t>
  </si>
  <si>
    <t>Import</t>
  </si>
  <si>
    <t>Import Total</t>
  </si>
  <si>
    <t xml:space="preserve">SALES </t>
  </si>
  <si>
    <t>Sales ToTal</t>
  </si>
  <si>
    <t>Balance</t>
  </si>
  <si>
    <t>Order Import</t>
  </si>
  <si>
    <t>Stock</t>
  </si>
  <si>
    <t>Itmes</t>
  </si>
  <si>
    <t>Sales Total</t>
  </si>
  <si>
    <t>%</t>
  </si>
  <si>
    <t>IV2304001</t>
  </si>
  <si>
    <t>IV2306003</t>
  </si>
  <si>
    <t>IV2307002</t>
  </si>
  <si>
    <t>Defect</t>
  </si>
  <si>
    <t>IV2306001</t>
  </si>
  <si>
    <t>IV2306002</t>
  </si>
  <si>
    <t>IV2307001</t>
  </si>
  <si>
    <t>IV2308001</t>
  </si>
  <si>
    <t>IV2310001</t>
  </si>
  <si>
    <t>IV2402001</t>
  </si>
  <si>
    <t>IV2402002</t>
  </si>
  <si>
    <t>IV2402003</t>
  </si>
  <si>
    <t>IV2406001</t>
  </si>
  <si>
    <t>IV2408001</t>
  </si>
  <si>
    <t>IV2408002</t>
  </si>
  <si>
    <t>IV2408003</t>
  </si>
  <si>
    <t>IV2408004</t>
  </si>
  <si>
    <t>IV2501001</t>
  </si>
  <si>
    <t>IV2501002</t>
  </si>
  <si>
    <t>IV2501003</t>
  </si>
  <si>
    <t>IV2505002</t>
  </si>
  <si>
    <t>IV2505003</t>
  </si>
  <si>
    <t>IV2508001</t>
  </si>
  <si>
    <t>IV2508002</t>
  </si>
  <si>
    <t>Influ</t>
  </si>
  <si>
    <t>IV2511001</t>
  </si>
  <si>
    <t>IV2511002</t>
  </si>
  <si>
    <t>IV2601001</t>
  </si>
  <si>
    <t>IV2601002</t>
  </si>
  <si>
    <t>IV2603001</t>
  </si>
  <si>
    <t>IV2603002</t>
  </si>
  <si>
    <t>IV2603003</t>
  </si>
  <si>
    <t>2023</t>
  </si>
  <si>
    <t>2024</t>
  </si>
  <si>
    <t>2025</t>
  </si>
  <si>
    <t>Office</t>
  </si>
  <si>
    <t>K Village</t>
  </si>
  <si>
    <t>Central LP</t>
  </si>
  <si>
    <t>Paradise Park</t>
  </si>
  <si>
    <t>Central CL (DP)</t>
  </si>
  <si>
    <t>Siam dis</t>
  </si>
  <si>
    <t>Caveman</t>
  </si>
  <si>
    <t>Pathwild</t>
  </si>
  <si>
    <t>Highlandner</t>
  </si>
  <si>
    <t>Run2Paradise</t>
  </si>
  <si>
    <t>Vibram</t>
  </si>
  <si>
    <t>V-Run</t>
  </si>
  <si>
    <t>V-Run M
(Black/Yellow)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</si>
  <si>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</si>
  <si>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</si>
  <si>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</si>
  <si>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</si>
  <si>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</si>
  <si>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</si>
  <si>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</si>
  <si>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</si>
  <si>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</si>
  <si>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</si>
  <si>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V-Run M
(Black/Blue)</t>
  </si>
  <si>
    <t>V-Train</t>
  </si>
  <si>
    <t>V-Run M
(Fig/Ivory/A. Green)</t>
  </si>
  <si>
    <t>V-Run M
(Total Black)</t>
  </si>
  <si>
    <t>V-Run M
(Total Ivory)</t>
  </si>
  <si>
    <t>V-Soul</t>
  </si>
  <si>
    <t>V-Run M
(Brown Ivory/Black)</t>
  </si>
  <si>
    <t>KSO</t>
  </si>
  <si>
    <t>V-Run M
(Black Lime/Black)</t>
  </si>
  <si>
    <t>M38</t>
  </si>
  <si>
    <t>KSO EVO</t>
  </si>
  <si>
    <t>W36</t>
  </si>
  <si>
    <t>W37</t>
  </si>
  <si>
    <t>W38</t>
  </si>
  <si>
    <t>W39</t>
  </si>
  <si>
    <t>W40</t>
  </si>
  <si>
    <t>W41</t>
  </si>
  <si>
    <t>W42</t>
  </si>
  <si>
    <t>V-Run W
(Blue/Blue)</t>
  </si>
  <si>
    <t>V-Trek</t>
  </si>
  <si>
    <t>V-Run W
(Lime/Blue)</t>
  </si>
  <si>
    <t>V-Run W
(Deep Lake/Ivory)</t>
  </si>
  <si>
    <t>V-Run W
(Black/Fig)</t>
  </si>
  <si>
    <t>KMD Evo</t>
  </si>
  <si>
    <t>V-Run W
(Total Ivory)</t>
  </si>
  <si>
    <t>Graspifier</t>
  </si>
  <si>
    <t>V-Run W
(Dusty Pink)</t>
  </si>
  <si>
    <t>V-Train 2.0 M
(Black/Black)</t>
  </si>
  <si>
    <t>V-Train 2.0 M
(Gray Camo)</t>
  </si>
  <si>
    <t>Breezandal</t>
  </si>
  <si>
    <t>V-Train 2.0 M
(Lime Green/Gray )</t>
  </si>
  <si>
    <t>V-Train 2.0 W
(Black/Pink)</t>
  </si>
  <si>
    <t>V-Alpha</t>
  </si>
  <si>
    <t>V-Train 2.0 W
(Black/Black)</t>
  </si>
  <si>
    <t>V-Soul W
(Black)</t>
  </si>
  <si>
    <t>W35</t>
  </si>
  <si>
    <t>Trailope</t>
  </si>
  <si>
    <t>W43</t>
  </si>
  <si>
    <t>V-Soul W
(Dusty Pink/Coral Orange)</t>
  </si>
  <si>
    <t>Trailope WP</t>
  </si>
  <si>
    <t>V-Soul W
(Ivory/Dusty Pink)</t>
  </si>
  <si>
    <t>V-Soul W
(Nude)</t>
  </si>
  <si>
    <t>Scramkey</t>
  </si>
  <si>
    <t>V-Soul W
(Silver)</t>
  </si>
  <si>
    <t>Spidrwalk</t>
  </si>
  <si>
    <t>V-Soul W
(Fig/A. Green)</t>
  </si>
  <si>
    <t>V-Soul W
(Lime Green)</t>
  </si>
  <si>
    <t>V-Soul W
(Fuchsia)</t>
  </si>
  <si>
    <t>Groundsplay</t>
  </si>
  <si>
    <t>V-Soul W
(Brown)</t>
  </si>
  <si>
    <t>V-Soul W
(Baby Blue)</t>
  </si>
  <si>
    <t>V-Soul W
(Purple)</t>
  </si>
  <si>
    <t>KSO M
(Black/Black)</t>
  </si>
  <si>
    <t>KSO EVO M
(Black)</t>
  </si>
  <si>
    <t>KSO EVO M
(Black/Red)</t>
  </si>
  <si>
    <t>KSO EVO M
(Black/Yellow)</t>
  </si>
  <si>
    <t>KSO EVO M
(Gray/Orange)</t>
  </si>
  <si>
    <t>KSO EVO M
(Yellow/White)</t>
  </si>
  <si>
    <t>KSO EVO M
(Deep Lake/Black)</t>
  </si>
  <si>
    <t>KSO EVO M
(Fig/A. Green)</t>
  </si>
  <si>
    <t>KSO EVO W
(Yellow/White)</t>
  </si>
  <si>
    <t>KSO EVO W
(Black)</t>
  </si>
  <si>
    <t>KSO EVO W
(Deep Lake/Black)</t>
  </si>
  <si>
    <t>KSO EVO W
(Fig/A Green)</t>
  </si>
  <si>
    <t>V-Trek M
(Black/Black)</t>
  </si>
  <si>
    <t>V-Trek M
(Military/Dark Gray)</t>
  </si>
  <si>
    <t>V-Trek W
(Black/Black)</t>
  </si>
  <si>
    <t>KMD Evo M
(Black)</t>
  </si>
  <si>
    <t>KMD Evo M
(Black/Yellow)</t>
  </si>
  <si>
    <t>KMD Evo M
(Yellow/Blue/Red)</t>
  </si>
  <si>
    <t>Graspifier M
(Black)</t>
  </si>
  <si>
    <t>Graspifier M
(Total Black)</t>
  </si>
  <si>
    <t>Graspifier W
(Ivory/Fuchsia)</t>
  </si>
  <si>
    <t>Breezandal M
(Black)</t>
  </si>
  <si>
    <t>Breezandal M
(Mustard/Black)</t>
  </si>
  <si>
    <t>Breezandal M
(Ivory/Green)</t>
  </si>
  <si>
    <t>Breezandal W
(Black)</t>
  </si>
  <si>
    <t>Breezandal W
(Ivory/Green)</t>
  </si>
  <si>
    <t>V-Alpha M
(Black)</t>
  </si>
  <si>
    <t>V-Alpha M
(Lime Green/Black)</t>
  </si>
  <si>
    <t>V-Alpha M
(Deep Lake)</t>
  </si>
  <si>
    <t>V-Alpha W
(Black)</t>
  </si>
  <si>
    <t>V-Alpha W
(Deep Lake)</t>
  </si>
  <si>
    <t>Trailope M
(Black)</t>
  </si>
  <si>
    <t>Trailope M
(Deep Lake)</t>
  </si>
  <si>
    <t>Trailope WP M
(Brown/Black)</t>
  </si>
  <si>
    <t>Scramkey U
(Black)</t>
  </si>
  <si>
    <t>Scramkey U
(Deep Lake/Balck)</t>
  </si>
  <si>
    <t>Spidrwalk M
(Total Black)</t>
  </si>
  <si>
    <t>Spidrwalk M
(Lime Green)</t>
  </si>
  <si>
    <t>Spidrwalk M
(Brown/Black)</t>
  </si>
  <si>
    <t>Spidrwalk W
(Total Black)</t>
  </si>
  <si>
    <t>Spidrwalk W
(Fuchsia)</t>
  </si>
  <si>
    <t>Groundsplay
(Black)</t>
  </si>
  <si>
    <t>Groundsplay LS
(Total Black)</t>
  </si>
  <si>
    <t>Groundsplay LS
(Ivory Deep Lake)</t>
  </si>
  <si>
    <t>Groundsplay LS
(Black Lime)</t>
  </si>
  <si>
    <t>TOTAL</t>
  </si>
  <si>
    <t>IV2605001</t>
  </si>
  <si>
    <t>IV2607001</t>
  </si>
  <si>
    <t>East West</t>
  </si>
  <si>
    <t>IV2609001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</si>
</sst>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#;[Red]\-#,###"/>
    <numFmt numFmtId="166" formatCode="_(* #,##0_);_(* \(#,##0\);_(* &quot;-&quot;??_);_(@_)"/>
    <numFmt numFmtId="167" formatCode="[$-409]d\-mmm;@"/>
    <numFmt numFmtId="168" formatCode="#,###_ ;[Red]\-#,###"/>
    <numFmt numFmtId="169" formatCode="B1d\-mmm"/>
  </numFmts>
  <fonts count="15" x14ac:knownFonts="1">
    <font>
      <sz val="11"/>
      <color theme="1"/>
      <name val="Aptos Narrow"/>
      <charset val="22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color rgb="FFFF0000"/>
      <name val="Calibri"/>
      <family val="2"/>
    </font>
    <font>
      <b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indexed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1FFFF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67955565050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164" fontId="12" fillId="0" borderId="0" applyFont="0" applyFill="0" applyBorder="0" applyAlignment="0" applyProtection="0"/>
    <xf numFmtId="0" fontId="11" fillId="0" borderId="0"/>
    <xf numFmtId="0" fontId="14" fillId="0" borderId="0"/>
  </cellStyleXfs>
  <cellXfs count="1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165" fontId="6" fillId="2" borderId="6" xfId="2" applyNumberFormat="1" applyFont="1" applyFill="1" applyBorder="1" applyAlignment="1">
      <alignment horizontal="center" vertical="center"/>
    </xf>
    <xf numFmtId="0" fontId="7" fillId="0" borderId="7" xfId="0" applyFont="1" applyBorder="1"/>
    <xf numFmtId="0" fontId="8" fillId="0" borderId="8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165" fontId="3" fillId="2" borderId="5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2" fillId="2" borderId="9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165" fontId="2" fillId="2" borderId="11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165" fontId="2" fillId="2" borderId="14" xfId="0" applyNumberFormat="1" applyFont="1" applyFill="1" applyBorder="1" applyAlignment="1">
      <alignment horizontal="center" vertical="center"/>
    </xf>
    <xf numFmtId="165" fontId="9" fillId="2" borderId="6" xfId="2" applyNumberFormat="1" applyFont="1" applyFill="1" applyBorder="1" applyAlignment="1">
      <alignment horizontal="center" vertical="center"/>
    </xf>
    <xf numFmtId="165" fontId="6" fillId="0" borderId="6" xfId="2" applyNumberFormat="1" applyFont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5" fillId="2" borderId="11" xfId="0" applyNumberFormat="1" applyFont="1" applyFill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5" fillId="2" borderId="14" xfId="0" applyNumberFormat="1" applyFont="1" applyFill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165" fontId="9" fillId="0" borderId="6" xfId="2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165" fontId="6" fillId="3" borderId="6" xfId="2" applyNumberFormat="1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165" fontId="6" fillId="4" borderId="6" xfId="2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/>
    </xf>
    <xf numFmtId="168" fontId="3" fillId="0" borderId="8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8" fontId="2" fillId="5" borderId="9" xfId="0" applyNumberFormat="1" applyFont="1" applyFill="1" applyBorder="1" applyAlignment="1">
      <alignment horizontal="center" vertical="center"/>
    </xf>
    <xf numFmtId="168" fontId="2" fillId="0" borderId="23" xfId="0" applyNumberFormat="1" applyFon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 vertical="center"/>
    </xf>
    <xf numFmtId="168" fontId="2" fillId="5" borderId="11" xfId="0" applyNumberFormat="1" applyFont="1" applyFill="1" applyBorder="1" applyAlignment="1">
      <alignment horizontal="center" vertical="center"/>
    </xf>
    <xf numFmtId="168" fontId="2" fillId="0" borderId="24" xfId="0" applyNumberFormat="1" applyFont="1" applyBorder="1" applyAlignment="1">
      <alignment horizontal="center" vertical="center"/>
    </xf>
    <xf numFmtId="168" fontId="2" fillId="0" borderId="11" xfId="0" applyNumberFormat="1" applyFont="1" applyBorder="1" applyAlignment="1">
      <alignment horizontal="center" vertical="center"/>
    </xf>
    <xf numFmtId="168" fontId="2" fillId="5" borderId="12" xfId="0" applyNumberFormat="1" applyFont="1" applyFill="1" applyBorder="1" applyAlignment="1">
      <alignment horizontal="center" vertical="center"/>
    </xf>
    <xf numFmtId="168" fontId="2" fillId="0" borderId="25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center" vertical="center"/>
    </xf>
    <xf numFmtId="168" fontId="2" fillId="0" borderId="26" xfId="0" applyNumberFormat="1" applyFont="1" applyBorder="1" applyAlignment="1">
      <alignment horizontal="center" vertical="center"/>
    </xf>
    <xf numFmtId="168" fontId="2" fillId="0" borderId="14" xfId="0" applyNumberFormat="1" applyFont="1" applyBorder="1" applyAlignment="1">
      <alignment horizontal="center" vertical="center"/>
    </xf>
    <xf numFmtId="16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 wrapText="1"/>
    </xf>
    <xf numFmtId="168" fontId="3" fillId="7" borderId="2" xfId="0" applyNumberFormat="1" applyFont="1" applyFill="1" applyBorder="1" applyAlignment="1">
      <alignment horizontal="center" vertical="center"/>
    </xf>
    <xf numFmtId="165" fontId="2" fillId="7" borderId="9" xfId="0" applyNumberFormat="1" applyFont="1" applyFill="1" applyBorder="1" applyAlignment="1">
      <alignment horizontal="center" vertical="center"/>
    </xf>
    <xf numFmtId="165" fontId="2" fillId="7" borderId="11" xfId="0" applyNumberFormat="1" applyFont="1" applyFill="1" applyBorder="1" applyAlignment="1">
      <alignment horizontal="center" vertical="center"/>
    </xf>
    <xf numFmtId="165" fontId="2" fillId="7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8" fontId="2" fillId="0" borderId="27" xfId="0" applyNumberFormat="1" applyFont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166" fontId="1" fillId="0" borderId="0" xfId="1" applyNumberFormat="1" applyFont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4" fontId="2" fillId="0" borderId="34" xfId="0" applyNumberFormat="1" applyFont="1" applyBorder="1" applyAlignment="1">
      <alignment horizontal="center" vertical="center"/>
    </xf>
    <xf numFmtId="4" fontId="3" fillId="0" borderId="35" xfId="0" applyNumberFormat="1" applyFont="1" applyBorder="1" applyAlignment="1">
      <alignment horizontal="center" vertical="center"/>
    </xf>
    <xf numFmtId="4" fontId="2" fillId="0" borderId="39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4" fillId="0" borderId="40" xfId="0" applyFont="1" applyBorder="1" applyAlignment="1">
      <alignment horizontal="center"/>
    </xf>
    <xf numFmtId="165" fontId="2" fillId="2" borderId="40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 vertical="center"/>
    </xf>
    <xf numFmtId="165" fontId="5" fillId="2" borderId="40" xfId="0" applyNumberFormat="1" applyFont="1" applyFill="1" applyBorder="1" applyAlignment="1">
      <alignment horizontal="center" vertical="center"/>
    </xf>
    <xf numFmtId="165" fontId="2" fillId="0" borderId="40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165" fontId="5" fillId="0" borderId="40" xfId="0" applyNumberFormat="1" applyFont="1" applyBorder="1" applyAlignment="1">
      <alignment horizontal="center" vertical="center"/>
    </xf>
    <xf numFmtId="165" fontId="2" fillId="0" borderId="41" xfId="0" applyNumberFormat="1" applyFont="1" applyBorder="1" applyAlignment="1">
      <alignment horizontal="center" vertical="center"/>
    </xf>
    <xf numFmtId="168" fontId="2" fillId="0" borderId="42" xfId="0" applyNumberFormat="1" applyFont="1" applyBorder="1" applyAlignment="1">
      <alignment horizontal="center" vertical="center"/>
    </xf>
    <xf numFmtId="168" fontId="2" fillId="0" borderId="40" xfId="0" applyNumberFormat="1" applyFont="1" applyBorder="1" applyAlignment="1">
      <alignment horizontal="center" vertical="center"/>
    </xf>
    <xf numFmtId="165" fontId="3" fillId="5" borderId="10" xfId="0" applyNumberFormat="1" applyFont="1" applyFill="1" applyBorder="1" applyAlignment="1">
      <alignment horizontal="center" vertical="center"/>
    </xf>
    <xf numFmtId="165" fontId="3" fillId="0" borderId="43" xfId="0" applyNumberFormat="1" applyFont="1" applyBorder="1" applyAlignment="1">
      <alignment horizontal="center" vertical="center"/>
    </xf>
    <xf numFmtId="168" fontId="2" fillId="5" borderId="14" xfId="0" applyNumberFormat="1" applyFont="1" applyFill="1" applyBorder="1" applyAlignment="1">
      <alignment horizontal="center" vertical="center"/>
    </xf>
    <xf numFmtId="165" fontId="2" fillId="7" borderId="14" xfId="0" applyNumberFormat="1" applyFont="1" applyFill="1" applyBorder="1" applyAlignment="1">
      <alignment horizontal="center" vertical="center"/>
    </xf>
    <xf numFmtId="165" fontId="3" fillId="7" borderId="10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0" fontId="2" fillId="8" borderId="44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67" fontId="6" fillId="6" borderId="16" xfId="0" quotePrefix="1" applyNumberFormat="1" applyFont="1" applyFill="1" applyBorder="1" applyAlignment="1">
      <alignment horizontal="center" vertical="center"/>
    </xf>
    <xf numFmtId="167" fontId="6" fillId="6" borderId="3" xfId="0" quotePrefix="1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65" fontId="6" fillId="0" borderId="3" xfId="2" applyNumberFormat="1" applyFont="1" applyBorder="1" applyAlignment="1">
      <alignment horizontal="center" vertical="center"/>
    </xf>
    <xf numFmtId="165" fontId="6" fillId="0" borderId="16" xfId="2" applyNumberFormat="1" applyFont="1" applyBorder="1" applyAlignment="1">
      <alignment horizontal="center" vertical="center"/>
    </xf>
    <xf numFmtId="165" fontId="6" fillId="0" borderId="21" xfId="2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4" fontId="6" fillId="0" borderId="29" xfId="0" applyNumberFormat="1" applyFont="1" applyBorder="1" applyAlignment="1">
      <alignment horizontal="center" vertical="center"/>
    </xf>
    <xf numFmtId="4" fontId="6" fillId="0" borderId="30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00000000-0005-0000-0000-000031000000}"/>
    <cellStyle name="Normal 3" xfId="3" xr:uid="{02186E8B-C001-4901-B957-6BD44B8BD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www.wps.cn/officeDocument/2021/sharedlinks" Target="NUL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VFF%20Stock%2031-12-25.xlsx" TargetMode="External"/><Relationship Id="rId1" Type="http://schemas.openxmlformats.org/officeDocument/2006/relationships/externalLinkPath" Target="/Users/hp/Dropbox/BFI/VFF%20Stock%2031-1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t"/>
      <sheetName val="23"/>
      <sheetName val="24"/>
      <sheetName val="25"/>
      <sheetName val="26"/>
      <sheetName val="Net (2)"/>
    </sheetNames>
    <sheetDataSet>
      <sheetData sheetId="0" refreshError="1"/>
      <sheetData sheetId="1" refreshError="1"/>
      <sheetData sheetId="2" refreshError="1"/>
      <sheetData sheetId="3">
        <row r="34">
          <cell r="R34">
            <v>10</v>
          </cell>
        </row>
        <row r="35">
          <cell r="R35">
            <v>33</v>
          </cell>
        </row>
        <row r="37">
          <cell r="R37">
            <v>58</v>
          </cell>
        </row>
        <row r="38">
          <cell r="R38">
            <v>50</v>
          </cell>
        </row>
        <row r="39">
          <cell r="R39">
            <v>43</v>
          </cell>
        </row>
        <row r="41">
          <cell r="R41">
            <v>16</v>
          </cell>
        </row>
        <row r="42">
          <cell r="R42">
            <v>6</v>
          </cell>
        </row>
        <row r="43">
          <cell r="R43">
            <v>1</v>
          </cell>
        </row>
        <row r="69">
          <cell r="R69">
            <v>12</v>
          </cell>
        </row>
        <row r="70">
          <cell r="R70">
            <v>30</v>
          </cell>
        </row>
        <row r="71">
          <cell r="R71">
            <v>46</v>
          </cell>
        </row>
        <row r="72">
          <cell r="R72">
            <v>68</v>
          </cell>
        </row>
        <row r="73">
          <cell r="R73">
            <v>53</v>
          </cell>
        </row>
        <row r="74">
          <cell r="R74">
            <v>56</v>
          </cell>
        </row>
        <row r="75">
          <cell r="R75">
            <v>22</v>
          </cell>
        </row>
        <row r="76">
          <cell r="R76">
            <v>7</v>
          </cell>
        </row>
        <row r="77">
          <cell r="R77">
            <v>5</v>
          </cell>
        </row>
        <row r="78">
          <cell r="R78">
            <v>4</v>
          </cell>
        </row>
        <row r="80">
          <cell r="R80">
            <v>18</v>
          </cell>
        </row>
        <row r="81">
          <cell r="R81">
            <v>24</v>
          </cell>
        </row>
        <row r="82">
          <cell r="R82">
            <v>21</v>
          </cell>
        </row>
        <row r="84">
          <cell r="R84">
            <v>6</v>
          </cell>
        </row>
        <row r="85">
          <cell r="R85">
            <v>2</v>
          </cell>
        </row>
        <row r="86">
          <cell r="R86">
            <v>1</v>
          </cell>
        </row>
        <row r="87">
          <cell r="R87">
            <v>2</v>
          </cell>
        </row>
        <row r="88">
          <cell r="R88">
            <v>4</v>
          </cell>
        </row>
        <row r="89">
          <cell r="R89">
            <v>2</v>
          </cell>
        </row>
        <row r="90">
          <cell r="R90">
            <v>4</v>
          </cell>
        </row>
        <row r="91">
          <cell r="R91">
            <v>4</v>
          </cell>
        </row>
        <row r="92">
          <cell r="R92">
            <v>6</v>
          </cell>
        </row>
        <row r="93">
          <cell r="R93">
            <v>3</v>
          </cell>
        </row>
        <row r="94">
          <cell r="R94">
            <v>3</v>
          </cell>
        </row>
        <row r="95">
          <cell r="R95">
            <v>1</v>
          </cell>
        </row>
        <row r="96">
          <cell r="R96">
            <v>0</v>
          </cell>
        </row>
        <row r="97">
          <cell r="R97">
            <v>3</v>
          </cell>
        </row>
        <row r="98">
          <cell r="R98">
            <v>2</v>
          </cell>
        </row>
        <row r="99">
          <cell r="R99">
            <v>5</v>
          </cell>
        </row>
        <row r="100">
          <cell r="R100">
            <v>3</v>
          </cell>
        </row>
        <row r="101">
          <cell r="R101">
            <v>4</v>
          </cell>
        </row>
        <row r="102">
          <cell r="R102">
            <v>1</v>
          </cell>
        </row>
        <row r="103">
          <cell r="R103">
            <v>0</v>
          </cell>
        </row>
        <row r="104">
          <cell r="R104">
            <v>0</v>
          </cell>
        </row>
        <row r="112">
          <cell r="R112">
            <v>2</v>
          </cell>
        </row>
        <row r="113">
          <cell r="R113">
            <v>8</v>
          </cell>
        </row>
        <row r="115">
          <cell r="R115">
            <v>15</v>
          </cell>
        </row>
        <row r="116">
          <cell r="R116">
            <v>9</v>
          </cell>
        </row>
        <row r="117">
          <cell r="R117">
            <v>0</v>
          </cell>
        </row>
        <row r="118">
          <cell r="R118">
            <v>1</v>
          </cell>
        </row>
        <row r="119">
          <cell r="R119">
            <v>14</v>
          </cell>
        </row>
        <row r="120">
          <cell r="R120">
            <v>13</v>
          </cell>
        </row>
        <row r="121">
          <cell r="R121">
            <v>14</v>
          </cell>
        </row>
        <row r="122">
          <cell r="R122">
            <v>6</v>
          </cell>
        </row>
        <row r="123">
          <cell r="R123">
            <v>0</v>
          </cell>
        </row>
        <row r="124">
          <cell r="R124">
            <v>1</v>
          </cell>
        </row>
        <row r="125">
          <cell r="R125">
            <v>5</v>
          </cell>
        </row>
        <row r="126">
          <cell r="R126">
            <v>16</v>
          </cell>
        </row>
        <row r="127">
          <cell r="R127">
            <v>28</v>
          </cell>
        </row>
        <row r="128">
          <cell r="R128">
            <v>23</v>
          </cell>
        </row>
        <row r="131">
          <cell r="R131">
            <v>1</v>
          </cell>
        </row>
        <row r="132">
          <cell r="R132">
            <v>5</v>
          </cell>
        </row>
        <row r="133">
          <cell r="R133">
            <v>5</v>
          </cell>
        </row>
        <row r="134">
          <cell r="R134">
            <v>1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0</v>
          </cell>
        </row>
        <row r="138">
          <cell r="R138">
            <v>0</v>
          </cell>
        </row>
        <row r="139">
          <cell r="R139">
            <v>0</v>
          </cell>
        </row>
        <row r="140">
          <cell r="R140">
            <v>0</v>
          </cell>
        </row>
        <row r="141">
          <cell r="R141">
            <v>0</v>
          </cell>
        </row>
        <row r="142">
          <cell r="R142">
            <v>0</v>
          </cell>
        </row>
        <row r="176">
          <cell r="R176">
            <v>16</v>
          </cell>
        </row>
        <row r="177">
          <cell r="R177">
            <v>23</v>
          </cell>
        </row>
        <row r="179">
          <cell r="R179">
            <v>55</v>
          </cell>
        </row>
        <row r="180">
          <cell r="R180">
            <v>50</v>
          </cell>
        </row>
        <row r="181">
          <cell r="R181">
            <v>33</v>
          </cell>
        </row>
        <row r="182">
          <cell r="R182">
            <v>27</v>
          </cell>
        </row>
        <row r="183">
          <cell r="R183">
            <v>10</v>
          </cell>
        </row>
        <row r="184">
          <cell r="R184">
            <v>12</v>
          </cell>
        </row>
        <row r="185">
          <cell r="R185">
            <v>7</v>
          </cell>
        </row>
        <row r="195">
          <cell r="R195">
            <v>1</v>
          </cell>
        </row>
        <row r="196">
          <cell r="R196">
            <v>11</v>
          </cell>
        </row>
        <row r="197">
          <cell r="R197">
            <v>21</v>
          </cell>
        </row>
        <row r="198">
          <cell r="R198">
            <v>16</v>
          </cell>
        </row>
        <row r="201">
          <cell r="R201">
            <v>3</v>
          </cell>
        </row>
        <row r="202">
          <cell r="R202">
            <v>4</v>
          </cell>
        </row>
        <row r="203">
          <cell r="R203">
            <v>1</v>
          </cell>
        </row>
        <row r="204">
          <cell r="R204">
            <v>0</v>
          </cell>
        </row>
        <row r="206">
          <cell r="R206">
            <v>8</v>
          </cell>
        </row>
        <row r="207">
          <cell r="R207">
            <v>8</v>
          </cell>
        </row>
        <row r="208">
          <cell r="R208">
            <v>8</v>
          </cell>
        </row>
        <row r="209">
          <cell r="R209">
            <v>14</v>
          </cell>
        </row>
        <row r="210">
          <cell r="R210">
            <v>10</v>
          </cell>
        </row>
        <row r="211">
          <cell r="R211">
            <v>4</v>
          </cell>
        </row>
        <row r="212">
          <cell r="R212">
            <v>0</v>
          </cell>
        </row>
        <row r="213">
          <cell r="R213">
            <v>1</v>
          </cell>
        </row>
        <row r="214">
          <cell r="R214">
            <v>5</v>
          </cell>
        </row>
        <row r="215">
          <cell r="R215">
            <v>26</v>
          </cell>
        </row>
        <row r="216">
          <cell r="R216">
            <v>37</v>
          </cell>
        </row>
        <row r="217">
          <cell r="R217">
            <v>41</v>
          </cell>
        </row>
        <row r="218">
          <cell r="R218">
            <v>20</v>
          </cell>
        </row>
        <row r="219">
          <cell r="R219">
            <v>9</v>
          </cell>
        </row>
        <row r="220">
          <cell r="R220">
            <v>5</v>
          </cell>
        </row>
        <row r="252">
          <cell r="R252">
            <v>20</v>
          </cell>
        </row>
        <row r="253">
          <cell r="R253">
            <v>60</v>
          </cell>
        </row>
        <row r="254">
          <cell r="R254">
            <v>117</v>
          </cell>
        </row>
        <row r="255">
          <cell r="R255">
            <v>210</v>
          </cell>
        </row>
        <row r="256">
          <cell r="R256">
            <v>152</v>
          </cell>
        </row>
        <row r="257">
          <cell r="R257">
            <v>106</v>
          </cell>
        </row>
        <row r="258">
          <cell r="R258">
            <v>86</v>
          </cell>
        </row>
        <row r="259">
          <cell r="R259">
            <v>25</v>
          </cell>
        </row>
        <row r="260">
          <cell r="R260">
            <v>0</v>
          </cell>
        </row>
        <row r="261">
          <cell r="R261">
            <v>12</v>
          </cell>
        </row>
        <row r="266">
          <cell r="R266">
            <v>39</v>
          </cell>
        </row>
        <row r="267">
          <cell r="R267">
            <v>15</v>
          </cell>
        </row>
        <row r="268">
          <cell r="R268">
            <v>17</v>
          </cell>
        </row>
        <row r="269">
          <cell r="R269">
            <v>36</v>
          </cell>
        </row>
        <row r="270">
          <cell r="R270">
            <v>63</v>
          </cell>
        </row>
        <row r="271">
          <cell r="R271">
            <v>64</v>
          </cell>
        </row>
        <row r="272">
          <cell r="R272">
            <v>65</v>
          </cell>
        </row>
        <row r="273">
          <cell r="R273">
            <v>43</v>
          </cell>
        </row>
        <row r="274">
          <cell r="R274">
            <v>22</v>
          </cell>
        </row>
        <row r="275">
          <cell r="R275">
            <v>6</v>
          </cell>
        </row>
        <row r="288">
          <cell r="R288">
            <v>14</v>
          </cell>
        </row>
        <row r="289">
          <cell r="R289">
            <v>18</v>
          </cell>
        </row>
        <row r="290">
          <cell r="R290">
            <v>36</v>
          </cell>
        </row>
        <row r="291">
          <cell r="R291">
            <v>34</v>
          </cell>
        </row>
        <row r="292">
          <cell r="R292">
            <v>36</v>
          </cell>
        </row>
        <row r="293">
          <cell r="R293">
            <v>48</v>
          </cell>
        </row>
        <row r="294">
          <cell r="R294">
            <v>14</v>
          </cell>
        </row>
        <row r="295">
          <cell r="R295">
            <v>3</v>
          </cell>
        </row>
        <row r="296">
          <cell r="R296">
            <v>6</v>
          </cell>
        </row>
        <row r="297">
          <cell r="R297">
            <v>21</v>
          </cell>
        </row>
        <row r="298">
          <cell r="R298">
            <v>27</v>
          </cell>
        </row>
        <row r="299">
          <cell r="R299">
            <v>27</v>
          </cell>
        </row>
        <row r="300">
          <cell r="R300">
            <v>17</v>
          </cell>
        </row>
        <row r="301">
          <cell r="R301">
            <v>6</v>
          </cell>
        </row>
        <row r="302">
          <cell r="R302">
            <v>4</v>
          </cell>
        </row>
        <row r="303">
          <cell r="R303">
            <v>3</v>
          </cell>
        </row>
        <row r="304">
          <cell r="R304">
            <v>3</v>
          </cell>
        </row>
        <row r="305">
          <cell r="R305">
            <v>9</v>
          </cell>
        </row>
        <row r="306">
          <cell r="R306">
            <v>4</v>
          </cell>
        </row>
        <row r="307">
          <cell r="R307">
            <v>3</v>
          </cell>
        </row>
        <row r="308">
          <cell r="R308">
            <v>0</v>
          </cell>
        </row>
        <row r="309">
          <cell r="R309">
            <v>7</v>
          </cell>
        </row>
        <row r="310">
          <cell r="R310">
            <v>5</v>
          </cell>
        </row>
        <row r="311">
          <cell r="R311">
            <v>12</v>
          </cell>
        </row>
        <row r="312">
          <cell r="R312">
            <v>2</v>
          </cell>
        </row>
        <row r="313">
          <cell r="R313">
            <v>4</v>
          </cell>
        </row>
        <row r="314">
          <cell r="R314">
            <v>6</v>
          </cell>
        </row>
        <row r="315">
          <cell r="R315">
            <v>0</v>
          </cell>
        </row>
        <row r="316">
          <cell r="R316">
            <v>5</v>
          </cell>
        </row>
        <row r="317">
          <cell r="R317">
            <v>10</v>
          </cell>
        </row>
        <row r="318">
          <cell r="R318">
            <v>20</v>
          </cell>
        </row>
        <row r="320">
          <cell r="R320">
            <v>12</v>
          </cell>
        </row>
        <row r="321">
          <cell r="R321">
            <v>7</v>
          </cell>
        </row>
        <row r="322">
          <cell r="R322">
            <v>3</v>
          </cell>
        </row>
        <row r="323">
          <cell r="R323">
            <v>3</v>
          </cell>
        </row>
        <row r="324">
          <cell r="R324">
            <v>0</v>
          </cell>
        </row>
        <row r="326">
          <cell r="R326">
            <v>26</v>
          </cell>
        </row>
        <row r="327">
          <cell r="R327">
            <v>44</v>
          </cell>
        </row>
        <row r="328">
          <cell r="R328">
            <v>68</v>
          </cell>
        </row>
        <row r="329">
          <cell r="R329">
            <v>50</v>
          </cell>
        </row>
        <row r="330">
          <cell r="R330">
            <v>30</v>
          </cell>
        </row>
        <row r="331">
          <cell r="R331">
            <v>19</v>
          </cell>
        </row>
        <row r="332">
          <cell r="R332">
            <v>9</v>
          </cell>
        </row>
        <row r="333">
          <cell r="R333">
            <v>5</v>
          </cell>
        </row>
        <row r="334">
          <cell r="R334">
            <v>6</v>
          </cell>
        </row>
        <row r="335">
          <cell r="R335">
            <v>10</v>
          </cell>
        </row>
        <row r="336">
          <cell r="R336">
            <v>13</v>
          </cell>
        </row>
        <row r="337">
          <cell r="R337">
            <v>7</v>
          </cell>
        </row>
        <row r="338">
          <cell r="R338">
            <v>5</v>
          </cell>
        </row>
        <row r="339">
          <cell r="R339">
            <v>4</v>
          </cell>
        </row>
        <row r="340">
          <cell r="R340">
            <v>2</v>
          </cell>
        </row>
        <row r="341">
          <cell r="R341">
            <v>5</v>
          </cell>
        </row>
        <row r="342">
          <cell r="R342">
            <v>11</v>
          </cell>
        </row>
        <row r="343">
          <cell r="R343">
            <v>20</v>
          </cell>
        </row>
        <row r="344">
          <cell r="R344">
            <v>23</v>
          </cell>
        </row>
        <row r="345">
          <cell r="R345">
            <v>18</v>
          </cell>
        </row>
        <row r="346">
          <cell r="R346">
            <v>14</v>
          </cell>
        </row>
        <row r="347">
          <cell r="R347">
            <v>6</v>
          </cell>
        </row>
        <row r="348">
          <cell r="R348">
            <v>3</v>
          </cell>
        </row>
        <row r="349">
          <cell r="R349">
            <v>0</v>
          </cell>
        </row>
        <row r="350">
          <cell r="R350">
            <v>1</v>
          </cell>
        </row>
        <row r="351">
          <cell r="R351">
            <v>0</v>
          </cell>
        </row>
        <row r="352">
          <cell r="R352">
            <v>3</v>
          </cell>
        </row>
        <row r="353">
          <cell r="R353">
            <v>3</v>
          </cell>
        </row>
        <row r="354">
          <cell r="R354">
            <v>0</v>
          </cell>
        </row>
        <row r="355">
          <cell r="R355">
            <v>3</v>
          </cell>
        </row>
        <row r="356">
          <cell r="R356">
            <v>0</v>
          </cell>
        </row>
        <row r="357">
          <cell r="R357">
            <v>5</v>
          </cell>
        </row>
        <row r="358">
          <cell r="R358">
            <v>11</v>
          </cell>
        </row>
        <row r="359">
          <cell r="R359">
            <v>17</v>
          </cell>
        </row>
        <row r="360">
          <cell r="R360">
            <v>12</v>
          </cell>
        </row>
        <row r="362">
          <cell r="R362">
            <v>1</v>
          </cell>
        </row>
        <row r="363">
          <cell r="R363">
            <v>3</v>
          </cell>
        </row>
        <row r="364">
          <cell r="R364">
            <v>1</v>
          </cell>
        </row>
        <row r="365">
          <cell r="R365">
            <v>0</v>
          </cell>
        </row>
        <row r="366">
          <cell r="R366">
            <v>0</v>
          </cell>
        </row>
        <row r="367">
          <cell r="R367">
            <v>0</v>
          </cell>
        </row>
        <row r="368">
          <cell r="R368">
            <v>0</v>
          </cell>
        </row>
        <row r="369">
          <cell r="R369">
            <v>0</v>
          </cell>
        </row>
        <row r="370">
          <cell r="R370">
            <v>0</v>
          </cell>
        </row>
        <row r="371">
          <cell r="R371">
            <v>0</v>
          </cell>
        </row>
        <row r="372">
          <cell r="R372">
            <v>0</v>
          </cell>
        </row>
        <row r="373">
          <cell r="R373">
            <v>0</v>
          </cell>
        </row>
        <row r="374">
          <cell r="R374">
            <v>0</v>
          </cell>
        </row>
        <row r="375">
          <cell r="R375">
            <v>0</v>
          </cell>
        </row>
        <row r="376">
          <cell r="R376">
            <v>0</v>
          </cell>
        </row>
        <row r="377">
          <cell r="R377">
            <v>0</v>
          </cell>
        </row>
        <row r="378">
          <cell r="R378">
            <v>0</v>
          </cell>
        </row>
        <row r="379">
          <cell r="R379">
            <v>0</v>
          </cell>
        </row>
        <row r="380">
          <cell r="R380">
            <v>0</v>
          </cell>
        </row>
        <row r="381">
          <cell r="R381">
            <v>0</v>
          </cell>
        </row>
        <row r="403">
          <cell r="R403">
            <v>3</v>
          </cell>
        </row>
        <row r="404">
          <cell r="R404">
            <v>9</v>
          </cell>
        </row>
        <row r="405">
          <cell r="R405">
            <v>19</v>
          </cell>
        </row>
        <row r="406">
          <cell r="R406">
            <v>21</v>
          </cell>
        </row>
        <row r="408">
          <cell r="R408">
            <v>11</v>
          </cell>
        </row>
        <row r="409">
          <cell r="R409">
            <v>2</v>
          </cell>
        </row>
        <row r="410">
          <cell r="R410">
            <v>0</v>
          </cell>
        </row>
        <row r="411">
          <cell r="R411">
            <v>0</v>
          </cell>
        </row>
        <row r="412">
          <cell r="R412">
            <v>0</v>
          </cell>
        </row>
        <row r="413">
          <cell r="R413">
            <v>0</v>
          </cell>
        </row>
        <row r="414">
          <cell r="R414">
            <v>0</v>
          </cell>
        </row>
        <row r="415">
          <cell r="R415">
            <v>0</v>
          </cell>
        </row>
        <row r="416">
          <cell r="R416">
            <v>0</v>
          </cell>
        </row>
        <row r="417">
          <cell r="R417">
            <v>0</v>
          </cell>
        </row>
        <row r="418">
          <cell r="R418">
            <v>0</v>
          </cell>
        </row>
        <row r="419">
          <cell r="R419">
            <v>0</v>
          </cell>
        </row>
        <row r="420">
          <cell r="R420">
            <v>0</v>
          </cell>
        </row>
        <row r="421">
          <cell r="R421">
            <v>0</v>
          </cell>
        </row>
        <row r="422">
          <cell r="R422">
            <v>0</v>
          </cell>
        </row>
        <row r="423">
          <cell r="R423">
            <v>0</v>
          </cell>
        </row>
        <row r="611">
          <cell r="R611">
            <v>10</v>
          </cell>
        </row>
        <row r="612">
          <cell r="R612">
            <v>12</v>
          </cell>
        </row>
        <row r="613">
          <cell r="R613">
            <v>20</v>
          </cell>
        </row>
        <row r="614">
          <cell r="R614">
            <v>20</v>
          </cell>
        </row>
        <row r="615">
          <cell r="R615">
            <v>12</v>
          </cell>
        </row>
        <row r="616">
          <cell r="R616">
            <v>9</v>
          </cell>
        </row>
        <row r="617">
          <cell r="R617">
            <v>4</v>
          </cell>
        </row>
        <row r="618">
          <cell r="R618">
            <v>3</v>
          </cell>
        </row>
        <row r="619">
          <cell r="R619">
            <v>1</v>
          </cell>
        </row>
        <row r="620">
          <cell r="R620">
            <v>2</v>
          </cell>
        </row>
        <row r="621">
          <cell r="R621">
            <v>3</v>
          </cell>
        </row>
        <row r="622">
          <cell r="R622">
            <v>8</v>
          </cell>
        </row>
        <row r="623">
          <cell r="R623">
            <v>6</v>
          </cell>
        </row>
        <row r="624">
          <cell r="R624">
            <v>7</v>
          </cell>
        </row>
        <row r="625">
          <cell r="R625">
            <v>2</v>
          </cell>
        </row>
        <row r="626">
          <cell r="R626">
            <v>0</v>
          </cell>
        </row>
        <row r="627">
          <cell r="R627">
            <v>2</v>
          </cell>
        </row>
        <row r="628">
          <cell r="R628">
            <v>5</v>
          </cell>
        </row>
        <row r="629">
          <cell r="R629">
            <v>13</v>
          </cell>
        </row>
        <row r="630">
          <cell r="R630">
            <v>16</v>
          </cell>
        </row>
        <row r="631">
          <cell r="R631">
            <v>8</v>
          </cell>
        </row>
        <row r="632">
          <cell r="R632">
            <v>3</v>
          </cell>
        </row>
        <row r="633">
          <cell r="R633">
            <v>5</v>
          </cell>
        </row>
        <row r="634">
          <cell r="R634">
            <v>6</v>
          </cell>
        </row>
        <row r="636">
          <cell r="R636">
            <v>17</v>
          </cell>
        </row>
        <row r="637">
          <cell r="R637">
            <v>13</v>
          </cell>
        </row>
        <row r="638">
          <cell r="R638">
            <v>5</v>
          </cell>
        </row>
        <row r="640">
          <cell r="R640">
            <v>2</v>
          </cell>
        </row>
        <row r="641">
          <cell r="R641">
            <v>2</v>
          </cell>
        </row>
        <row r="642">
          <cell r="R642">
            <v>9</v>
          </cell>
        </row>
        <row r="643">
          <cell r="R643">
            <v>0</v>
          </cell>
        </row>
        <row r="644">
          <cell r="R644">
            <v>1</v>
          </cell>
        </row>
        <row r="645">
          <cell r="R645">
            <v>1</v>
          </cell>
        </row>
        <row r="646">
          <cell r="R646">
            <v>0</v>
          </cell>
        </row>
        <row r="647">
          <cell r="R647">
            <v>3</v>
          </cell>
        </row>
        <row r="648">
          <cell r="R648">
            <v>6</v>
          </cell>
        </row>
        <row r="649">
          <cell r="R649">
            <v>7</v>
          </cell>
        </row>
        <row r="650">
          <cell r="R650">
            <v>11</v>
          </cell>
        </row>
        <row r="651">
          <cell r="R651">
            <v>16</v>
          </cell>
        </row>
        <row r="652">
          <cell r="R652">
            <v>5</v>
          </cell>
        </row>
        <row r="653">
          <cell r="R653">
            <v>7</v>
          </cell>
        </row>
        <row r="654">
          <cell r="R654">
            <v>1</v>
          </cell>
        </row>
        <row r="655">
          <cell r="R655">
            <v>0</v>
          </cell>
        </row>
        <row r="676">
          <cell r="R676">
            <v>6</v>
          </cell>
        </row>
        <row r="677">
          <cell r="R677">
            <v>11</v>
          </cell>
        </row>
        <row r="678">
          <cell r="R678">
            <v>22</v>
          </cell>
        </row>
        <row r="680">
          <cell r="R680">
            <v>14</v>
          </cell>
        </row>
        <row r="681">
          <cell r="R681">
            <v>6</v>
          </cell>
        </row>
        <row r="682">
          <cell r="R682">
            <v>4</v>
          </cell>
        </row>
        <row r="683">
          <cell r="R683">
            <v>2</v>
          </cell>
        </row>
        <row r="684">
          <cell r="R684">
            <v>0</v>
          </cell>
        </row>
        <row r="685">
          <cell r="R685">
            <v>0</v>
          </cell>
        </row>
        <row r="686">
          <cell r="R686">
            <v>0</v>
          </cell>
        </row>
        <row r="687">
          <cell r="R687">
            <v>0</v>
          </cell>
        </row>
        <row r="688">
          <cell r="R688">
            <v>0</v>
          </cell>
        </row>
        <row r="689">
          <cell r="R689">
            <v>0</v>
          </cell>
        </row>
        <row r="690">
          <cell r="R690">
            <v>0</v>
          </cell>
        </row>
        <row r="691">
          <cell r="R691">
            <v>0</v>
          </cell>
        </row>
        <row r="692">
          <cell r="R692">
            <v>0</v>
          </cell>
        </row>
        <row r="693">
          <cell r="R693">
            <v>0</v>
          </cell>
        </row>
        <row r="694">
          <cell r="R694">
            <v>0</v>
          </cell>
        </row>
        <row r="695">
          <cell r="R695">
            <v>0</v>
          </cell>
        </row>
        <row r="696">
          <cell r="R696">
            <v>0</v>
          </cell>
        </row>
        <row r="697">
          <cell r="R697">
            <v>0</v>
          </cell>
        </row>
        <row r="698">
          <cell r="R698">
            <v>0</v>
          </cell>
        </row>
        <row r="699">
          <cell r="R699">
            <v>3</v>
          </cell>
        </row>
        <row r="700">
          <cell r="R700">
            <v>8</v>
          </cell>
        </row>
        <row r="701">
          <cell r="R701">
            <v>11</v>
          </cell>
        </row>
        <row r="702">
          <cell r="R702">
            <v>19</v>
          </cell>
        </row>
        <row r="703">
          <cell r="R703">
            <v>31</v>
          </cell>
        </row>
        <row r="704">
          <cell r="R704">
            <v>32</v>
          </cell>
        </row>
        <row r="705">
          <cell r="R705">
            <v>20</v>
          </cell>
        </row>
        <row r="706">
          <cell r="R706">
            <v>16</v>
          </cell>
        </row>
        <row r="707">
          <cell r="R707">
            <v>8</v>
          </cell>
        </row>
        <row r="708">
          <cell r="R708">
            <v>7</v>
          </cell>
        </row>
        <row r="709">
          <cell r="R709">
            <v>0</v>
          </cell>
        </row>
        <row r="710">
          <cell r="R710">
            <v>0</v>
          </cell>
        </row>
        <row r="711">
          <cell r="R711">
            <v>0</v>
          </cell>
        </row>
        <row r="712">
          <cell r="R712">
            <v>0</v>
          </cell>
        </row>
        <row r="713">
          <cell r="R713">
            <v>0</v>
          </cell>
        </row>
        <row r="714">
          <cell r="R714">
            <v>0</v>
          </cell>
        </row>
        <row r="715">
          <cell r="R715">
            <v>0</v>
          </cell>
        </row>
        <row r="716">
          <cell r="R716">
            <v>0</v>
          </cell>
        </row>
        <row r="717">
          <cell r="R717">
            <v>0</v>
          </cell>
        </row>
        <row r="718">
          <cell r="R718">
            <v>0</v>
          </cell>
        </row>
        <row r="719">
          <cell r="R719">
            <v>0</v>
          </cell>
        </row>
        <row r="720">
          <cell r="R720">
            <v>0</v>
          </cell>
        </row>
        <row r="721">
          <cell r="R721">
            <v>0</v>
          </cell>
        </row>
        <row r="722">
          <cell r="R722">
            <v>0</v>
          </cell>
        </row>
        <row r="723">
          <cell r="R723">
            <v>0</v>
          </cell>
        </row>
        <row r="724">
          <cell r="R724">
            <v>0</v>
          </cell>
        </row>
        <row r="725">
          <cell r="R725">
            <v>0</v>
          </cell>
        </row>
        <row r="726">
          <cell r="R726">
            <v>0</v>
          </cell>
        </row>
        <row r="727">
          <cell r="R727">
            <v>0</v>
          </cell>
        </row>
        <row r="728">
          <cell r="R728">
            <v>0</v>
          </cell>
        </row>
        <row r="729">
          <cell r="R729">
            <v>0</v>
          </cell>
        </row>
        <row r="730">
          <cell r="R730">
            <v>0</v>
          </cell>
        </row>
        <row r="731">
          <cell r="R731">
            <v>6</v>
          </cell>
        </row>
        <row r="732">
          <cell r="R732">
            <v>13</v>
          </cell>
        </row>
        <row r="733">
          <cell r="R733">
            <v>22</v>
          </cell>
        </row>
        <row r="734">
          <cell r="R734">
            <v>23</v>
          </cell>
        </row>
        <row r="735">
          <cell r="R735">
            <v>16</v>
          </cell>
        </row>
        <row r="736">
          <cell r="R736">
            <v>11</v>
          </cell>
        </row>
        <row r="737">
          <cell r="R737">
            <v>5</v>
          </cell>
        </row>
        <row r="738">
          <cell r="R738">
            <v>7</v>
          </cell>
        </row>
        <row r="739">
          <cell r="R739">
            <v>9</v>
          </cell>
        </row>
        <row r="740">
          <cell r="R740">
            <v>15</v>
          </cell>
        </row>
        <row r="741">
          <cell r="R741">
            <v>24</v>
          </cell>
        </row>
        <row r="742">
          <cell r="R742">
            <v>25</v>
          </cell>
        </row>
        <row r="743">
          <cell r="R743">
            <v>16</v>
          </cell>
        </row>
        <row r="744">
          <cell r="R744">
            <v>12</v>
          </cell>
        </row>
        <row r="745">
          <cell r="R745">
            <v>9</v>
          </cell>
        </row>
        <row r="746">
          <cell r="R746">
            <v>4</v>
          </cell>
        </row>
        <row r="747">
          <cell r="R747">
            <v>2</v>
          </cell>
        </row>
        <row r="748">
          <cell r="R748">
            <v>2</v>
          </cell>
        </row>
        <row r="749">
          <cell r="R749">
            <v>2</v>
          </cell>
        </row>
        <row r="750">
          <cell r="R750">
            <v>0</v>
          </cell>
        </row>
        <row r="751">
          <cell r="R751">
            <v>3</v>
          </cell>
        </row>
        <row r="752">
          <cell r="R752">
            <v>3</v>
          </cell>
        </row>
        <row r="753">
          <cell r="R753">
            <v>2</v>
          </cell>
        </row>
        <row r="754">
          <cell r="R754">
            <v>2</v>
          </cell>
        </row>
        <row r="755">
          <cell r="R755">
            <v>0</v>
          </cell>
        </row>
        <row r="756">
          <cell r="R756">
            <v>5</v>
          </cell>
        </row>
        <row r="757">
          <cell r="R757">
            <v>9</v>
          </cell>
        </row>
        <row r="758">
          <cell r="R758">
            <v>4</v>
          </cell>
        </row>
        <row r="759">
          <cell r="R759">
            <v>10</v>
          </cell>
        </row>
        <row r="760">
          <cell r="R760">
            <v>13</v>
          </cell>
        </row>
        <row r="761">
          <cell r="R761">
            <v>9</v>
          </cell>
        </row>
        <row r="762">
          <cell r="R762">
            <v>1</v>
          </cell>
        </row>
        <row r="763">
          <cell r="R763">
            <v>0</v>
          </cell>
        </row>
        <row r="764">
          <cell r="R764">
            <v>4</v>
          </cell>
        </row>
        <row r="766">
          <cell r="R766">
            <v>25</v>
          </cell>
        </row>
        <row r="770">
          <cell r="R770">
            <v>2</v>
          </cell>
        </row>
        <row r="771">
          <cell r="R771">
            <v>1</v>
          </cell>
        </row>
        <row r="772">
          <cell r="R772">
            <v>2</v>
          </cell>
        </row>
        <row r="773">
          <cell r="R773">
            <v>10</v>
          </cell>
        </row>
        <row r="774">
          <cell r="R774">
            <v>6</v>
          </cell>
        </row>
        <row r="775">
          <cell r="R775">
            <v>2</v>
          </cell>
        </row>
        <row r="776">
          <cell r="R776">
            <v>3</v>
          </cell>
        </row>
        <row r="777">
          <cell r="R777">
            <v>6</v>
          </cell>
        </row>
        <row r="778">
          <cell r="R778">
            <v>13</v>
          </cell>
        </row>
        <row r="779">
          <cell r="R779">
            <v>20</v>
          </cell>
        </row>
        <row r="780">
          <cell r="R780">
            <v>28</v>
          </cell>
        </row>
        <row r="781">
          <cell r="R781">
            <v>24</v>
          </cell>
        </row>
        <row r="782">
          <cell r="R782">
            <v>11</v>
          </cell>
        </row>
        <row r="783">
          <cell r="R783">
            <v>8</v>
          </cell>
        </row>
        <row r="784">
          <cell r="R784">
            <v>5</v>
          </cell>
        </row>
        <row r="785">
          <cell r="R785">
            <v>2</v>
          </cell>
        </row>
        <row r="786">
          <cell r="R786">
            <v>0</v>
          </cell>
        </row>
        <row r="787">
          <cell r="R787">
            <v>2</v>
          </cell>
        </row>
        <row r="788">
          <cell r="R788">
            <v>0</v>
          </cell>
        </row>
        <row r="789">
          <cell r="R789">
            <v>0</v>
          </cell>
        </row>
        <row r="790">
          <cell r="R790">
            <v>0</v>
          </cell>
        </row>
        <row r="791">
          <cell r="R791">
            <v>0</v>
          </cell>
        </row>
        <row r="792">
          <cell r="R792">
            <v>0</v>
          </cell>
        </row>
        <row r="793">
          <cell r="R793">
            <v>0</v>
          </cell>
        </row>
        <row r="794">
          <cell r="R794">
            <v>0</v>
          </cell>
        </row>
        <row r="795">
          <cell r="R795">
            <v>0</v>
          </cell>
        </row>
        <row r="796">
          <cell r="R796">
            <v>0</v>
          </cell>
        </row>
        <row r="797">
          <cell r="R797">
            <v>0</v>
          </cell>
        </row>
        <row r="798">
          <cell r="R798">
            <v>0</v>
          </cell>
        </row>
        <row r="799">
          <cell r="R799">
            <v>1</v>
          </cell>
        </row>
        <row r="800">
          <cell r="R800">
            <v>0</v>
          </cell>
        </row>
        <row r="801">
          <cell r="R801">
            <v>1</v>
          </cell>
        </row>
        <row r="802">
          <cell r="R802">
            <v>0</v>
          </cell>
        </row>
        <row r="803">
          <cell r="R803">
            <v>0</v>
          </cell>
        </row>
        <row r="804">
          <cell r="R804">
            <v>0</v>
          </cell>
        </row>
        <row r="805">
          <cell r="R805">
            <v>0</v>
          </cell>
        </row>
        <row r="806">
          <cell r="R806">
            <v>0</v>
          </cell>
        </row>
        <row r="807">
          <cell r="R807">
            <v>0</v>
          </cell>
        </row>
        <row r="808">
          <cell r="R808">
            <v>0</v>
          </cell>
        </row>
        <row r="809">
          <cell r="R809">
            <v>0</v>
          </cell>
        </row>
        <row r="810">
          <cell r="R810">
            <v>0</v>
          </cell>
        </row>
        <row r="811">
          <cell r="R811">
            <v>0</v>
          </cell>
        </row>
        <row r="812">
          <cell r="R812">
            <v>0</v>
          </cell>
        </row>
        <row r="813">
          <cell r="R813">
            <v>0</v>
          </cell>
        </row>
        <row r="814">
          <cell r="R814">
            <v>0</v>
          </cell>
        </row>
        <row r="815">
          <cell r="R815">
            <v>0</v>
          </cell>
        </row>
        <row r="816">
          <cell r="R816">
            <v>1</v>
          </cell>
        </row>
        <row r="817">
          <cell r="R817">
            <v>1</v>
          </cell>
        </row>
        <row r="818">
          <cell r="R818">
            <v>2</v>
          </cell>
        </row>
        <row r="819">
          <cell r="R819">
            <v>2</v>
          </cell>
        </row>
        <row r="820">
          <cell r="R820">
            <v>0</v>
          </cell>
        </row>
        <row r="821">
          <cell r="R821">
            <v>0</v>
          </cell>
        </row>
        <row r="822">
          <cell r="R822">
            <v>0</v>
          </cell>
        </row>
        <row r="823">
          <cell r="R823">
            <v>0</v>
          </cell>
        </row>
        <row r="824">
          <cell r="R824">
            <v>0</v>
          </cell>
        </row>
        <row r="825">
          <cell r="R825">
            <v>0</v>
          </cell>
        </row>
        <row r="826">
          <cell r="R826">
            <v>0</v>
          </cell>
        </row>
        <row r="827">
          <cell r="R827">
            <v>0</v>
          </cell>
        </row>
        <row r="828">
          <cell r="R828">
            <v>0</v>
          </cell>
        </row>
        <row r="829">
          <cell r="R829">
            <v>0</v>
          </cell>
        </row>
        <row r="830">
          <cell r="R830">
            <v>0</v>
          </cell>
        </row>
        <row r="831">
          <cell r="R831">
            <v>0</v>
          </cell>
        </row>
        <row r="832">
          <cell r="R832">
            <v>0</v>
          </cell>
        </row>
        <row r="833">
          <cell r="R833">
            <v>0</v>
          </cell>
        </row>
        <row r="834">
          <cell r="R834">
            <v>0</v>
          </cell>
        </row>
        <row r="835">
          <cell r="R835">
            <v>0</v>
          </cell>
        </row>
        <row r="836">
          <cell r="R836">
            <v>0</v>
          </cell>
        </row>
        <row r="837">
          <cell r="R837">
            <v>0</v>
          </cell>
        </row>
        <row r="838">
          <cell r="R838">
            <v>0</v>
          </cell>
        </row>
        <row r="839">
          <cell r="R839">
            <v>0</v>
          </cell>
        </row>
        <row r="840">
          <cell r="R840">
            <v>0</v>
          </cell>
        </row>
        <row r="841">
          <cell r="R841">
            <v>0</v>
          </cell>
        </row>
        <row r="842">
          <cell r="R842">
            <v>0</v>
          </cell>
        </row>
        <row r="843">
          <cell r="R843">
            <v>0</v>
          </cell>
        </row>
        <row r="844">
          <cell r="R844">
            <v>0</v>
          </cell>
        </row>
        <row r="845">
          <cell r="R845">
            <v>0</v>
          </cell>
        </row>
        <row r="846">
          <cell r="R846">
            <v>0</v>
          </cell>
        </row>
        <row r="847">
          <cell r="R847">
            <v>0</v>
          </cell>
        </row>
        <row r="848">
          <cell r="R848">
            <v>0</v>
          </cell>
        </row>
        <row r="849">
          <cell r="R849">
            <v>0</v>
          </cell>
        </row>
        <row r="850">
          <cell r="R850">
            <v>0</v>
          </cell>
        </row>
        <row r="852">
          <cell r="R852">
            <v>0</v>
          </cell>
        </row>
      </sheetData>
      <sheetData sheetId="4" refreshError="1"/>
      <sheetData sheetId="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09"/>
  <sheetViews>
    <sheetView tabSelected="1" zoomScale="80" zoomScaleNormal="80" zoomScaleSheetLayoutView="80" workbookViewId="0">
      <pane xSplit="3" ySplit="3" topLeftCell="AZ581" activePane="bottomRight" state="frozen"/>
      <selection pane="topRight"/>
      <selection pane="bottomLeft"/>
      <selection pane="bottomRight" activeCell="BJ610" sqref="BJ610"/>
    </sheetView>
  </sheetViews>
  <sheetFormatPr defaultColWidth="9" defaultRowHeight="18.75" x14ac:dyDescent="0.3"/>
  <cols>
    <col min="1" max="1" width="4.125" style="4" customWidth="1"/>
    <col min="2" max="2" width="23.125" style="5" customWidth="1"/>
    <col min="3" max="3" width="8.625" style="6" customWidth="1"/>
    <col min="4" max="6" width="9.125" style="7" hidden="1" customWidth="1"/>
    <col min="7" max="7" width="9.125" style="8" hidden="1" customWidth="1"/>
    <col min="8" max="8" width="9.125" style="7" hidden="1" customWidth="1"/>
    <col min="9" max="9" width="9.125" style="8" hidden="1" customWidth="1"/>
    <col min="10" max="10" width="9.125" style="7" hidden="1" customWidth="1"/>
    <col min="11" max="11" width="9.125" style="8" hidden="1" customWidth="1"/>
    <col min="12" max="12" width="9.125" style="7" hidden="1" customWidth="1"/>
    <col min="13" max="13" width="9.125" style="8" hidden="1" customWidth="1"/>
    <col min="14" max="14" width="9.125" style="7" hidden="1" customWidth="1"/>
    <col min="15" max="15" width="9.125" style="8" hidden="1" customWidth="1"/>
    <col min="16" max="16" width="9.125" style="7" hidden="1" customWidth="1"/>
    <col min="17" max="17" width="9.125" style="8" hidden="1" customWidth="1"/>
    <col min="18" max="20" width="9.125" style="7" hidden="1" customWidth="1"/>
    <col min="21" max="21" width="9.125" style="8" hidden="1" customWidth="1"/>
    <col min="22" max="37" width="9.125" style="7" hidden="1" customWidth="1"/>
    <col min="38" max="38" width="9.125" style="7" customWidth="1"/>
    <col min="39" max="43" width="9.125" style="7" hidden="1" customWidth="1"/>
    <col min="44" max="45" width="9.125" style="7" customWidth="1"/>
    <col min="46" max="50" width="9.125" style="7" hidden="1" customWidth="1"/>
    <col min="51" max="51" width="8.5" style="3" customWidth="1"/>
    <col min="52" max="55" width="7.875" style="2" customWidth="1"/>
    <col min="56" max="57" width="7.875" style="2" hidden="1" customWidth="1"/>
    <col min="58" max="58" width="9.625" style="2" hidden="1" customWidth="1"/>
    <col min="59" max="59" width="7.375" style="2" hidden="1" customWidth="1"/>
    <col min="60" max="60" width="8.625" style="2" hidden="1" customWidth="1"/>
    <col min="61" max="62" width="8.5" style="3" customWidth="1"/>
    <col min="63" max="63" width="8.5" style="3" hidden="1" customWidth="1"/>
    <col min="64" max="64" width="2.25" style="2" customWidth="1"/>
    <col min="65" max="65" width="4.5" style="2" customWidth="1"/>
    <col min="66" max="66" width="6.75" style="2" customWidth="1"/>
    <col min="67" max="67" width="1.875" style="2" customWidth="1"/>
    <col min="68" max="68" width="8.625" style="2" customWidth="1"/>
    <col min="69" max="73" width="7.875" style="2" customWidth="1"/>
    <col min="74" max="74" width="8.5" style="2" customWidth="1"/>
    <col min="75" max="77" width="7.875" style="2" customWidth="1"/>
    <col min="78" max="78" width="7.125" style="9" customWidth="1"/>
    <col min="79" max="79" width="9" style="2" hidden="1" customWidth="1"/>
    <col min="80" max="80" width="11.375" style="3" hidden="1" customWidth="1"/>
    <col min="81" max="81" width="9" style="2" hidden="1" customWidth="1"/>
    <col min="82" max="82" width="10.625" style="10" hidden="1" customWidth="1"/>
    <col min="83" max="83" width="9" style="11" hidden="1" customWidth="1"/>
    <col min="84" max="84" width="9" style="10" hidden="1" customWidth="1"/>
    <col min="85" max="16384" width="9" style="10"/>
  </cols>
  <sheetData>
    <row r="1" spans="1:83" ht="15.75" customHeight="1" thickBot="1" x14ac:dyDescent="0.3">
      <c r="A1" s="123"/>
      <c r="B1" s="123"/>
      <c r="C1" s="123"/>
    </row>
    <row r="2" spans="1:83" s="1" customFormat="1" ht="18" customHeight="1" thickBot="1" x14ac:dyDescent="0.35">
      <c r="A2" s="130" t="s">
        <v>0</v>
      </c>
      <c r="B2" s="132" t="s">
        <v>1</v>
      </c>
      <c r="C2" s="132" t="s">
        <v>2</v>
      </c>
      <c r="D2" s="124" t="s">
        <v>3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6"/>
      <c r="AY2" s="144" t="s">
        <v>4</v>
      </c>
      <c r="AZ2" s="127" t="s">
        <v>5</v>
      </c>
      <c r="BA2" s="128"/>
      <c r="BB2" s="128"/>
      <c r="BC2" s="128"/>
      <c r="BD2" s="128"/>
      <c r="BE2" s="128"/>
      <c r="BF2" s="128"/>
      <c r="BG2" s="128"/>
      <c r="BH2" s="128"/>
      <c r="BI2" s="144" t="s">
        <v>6</v>
      </c>
      <c r="BJ2" s="145" t="s">
        <v>7</v>
      </c>
      <c r="BK2" s="146" t="s">
        <v>8</v>
      </c>
      <c r="BL2" s="72"/>
      <c r="BM2" s="72"/>
      <c r="BN2" s="129" t="s">
        <v>9</v>
      </c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86"/>
      <c r="CA2" s="72"/>
      <c r="CB2" s="147" t="s">
        <v>10</v>
      </c>
      <c r="CC2" s="154" t="s">
        <v>2</v>
      </c>
      <c r="CD2" s="154" t="s">
        <v>11</v>
      </c>
      <c r="CE2" s="149" t="s">
        <v>12</v>
      </c>
    </row>
    <row r="3" spans="1:83" s="1" customFormat="1" ht="30" customHeight="1" thickBot="1" x14ac:dyDescent="0.35">
      <c r="A3" s="131"/>
      <c r="B3" s="133"/>
      <c r="C3" s="143"/>
      <c r="D3" s="12" t="s">
        <v>13</v>
      </c>
      <c r="E3" s="12" t="s">
        <v>14</v>
      </c>
      <c r="F3" s="12" t="s">
        <v>15</v>
      </c>
      <c r="G3" s="26" t="s">
        <v>16</v>
      </c>
      <c r="H3" s="27" t="s">
        <v>17</v>
      </c>
      <c r="I3" s="38" t="s">
        <v>16</v>
      </c>
      <c r="J3" s="27" t="s">
        <v>18</v>
      </c>
      <c r="K3" s="38" t="s">
        <v>16</v>
      </c>
      <c r="L3" s="27" t="s">
        <v>19</v>
      </c>
      <c r="M3" s="38" t="s">
        <v>16</v>
      </c>
      <c r="N3" s="27" t="s">
        <v>20</v>
      </c>
      <c r="O3" s="38" t="s">
        <v>16</v>
      </c>
      <c r="P3" s="27" t="s">
        <v>21</v>
      </c>
      <c r="Q3" s="38" t="s">
        <v>16</v>
      </c>
      <c r="R3" s="27" t="s">
        <v>22</v>
      </c>
      <c r="S3" s="27" t="s">
        <v>23</v>
      </c>
      <c r="T3" s="27" t="s">
        <v>24</v>
      </c>
      <c r="U3" s="38" t="s">
        <v>16</v>
      </c>
      <c r="V3" s="27" t="s">
        <v>25</v>
      </c>
      <c r="W3" s="27" t="s">
        <v>26</v>
      </c>
      <c r="X3" s="27" t="s">
        <v>27</v>
      </c>
      <c r="Y3" s="27" t="s">
        <v>28</v>
      </c>
      <c r="Z3" s="27" t="s">
        <v>29</v>
      </c>
      <c r="AA3" s="44" t="s">
        <v>30</v>
      </c>
      <c r="AB3" s="44" t="s">
        <v>31</v>
      </c>
      <c r="AC3" s="44" t="s">
        <v>32</v>
      </c>
      <c r="AD3" s="44" t="s">
        <v>33</v>
      </c>
      <c r="AE3" s="44" t="s">
        <v>34</v>
      </c>
      <c r="AF3" s="44" t="s">
        <v>35</v>
      </c>
      <c r="AG3" s="44" t="s">
        <v>36</v>
      </c>
      <c r="AH3" s="38" t="s">
        <v>16</v>
      </c>
      <c r="AI3" s="38" t="s">
        <v>37</v>
      </c>
      <c r="AJ3" s="44" t="s">
        <v>38</v>
      </c>
      <c r="AK3" s="44" t="s">
        <v>39</v>
      </c>
      <c r="AL3" s="50" t="s">
        <v>40</v>
      </c>
      <c r="AM3" s="50" t="s">
        <v>41</v>
      </c>
      <c r="AN3" s="50" t="s">
        <v>42</v>
      </c>
      <c r="AO3" s="50" t="s">
        <v>43</v>
      </c>
      <c r="AP3" s="50" t="s">
        <v>44</v>
      </c>
      <c r="AQ3" s="50" t="s">
        <v>169</v>
      </c>
      <c r="AR3" s="50" t="s">
        <v>170</v>
      </c>
      <c r="AS3" s="50" t="s">
        <v>172</v>
      </c>
      <c r="AT3" s="38" t="s">
        <v>3</v>
      </c>
      <c r="AU3" s="38" t="s">
        <v>3</v>
      </c>
      <c r="AV3" s="38" t="s">
        <v>3</v>
      </c>
      <c r="AW3" s="38" t="s">
        <v>3</v>
      </c>
      <c r="AX3" s="38"/>
      <c r="AY3" s="144"/>
      <c r="AZ3" s="120" t="s">
        <v>45</v>
      </c>
      <c r="BA3" s="121" t="s">
        <v>46</v>
      </c>
      <c r="BB3" s="121" t="s">
        <v>47</v>
      </c>
      <c r="BC3" s="51">
        <v>2026</v>
      </c>
      <c r="BD3" s="51"/>
      <c r="BE3" s="66"/>
      <c r="BF3" s="66"/>
      <c r="BG3" s="51"/>
      <c r="BH3" s="67"/>
      <c r="BI3" s="144"/>
      <c r="BJ3" s="145"/>
      <c r="BK3" s="146"/>
      <c r="BL3" s="72"/>
      <c r="BM3" s="72"/>
      <c r="BN3" s="73" t="s">
        <v>48</v>
      </c>
      <c r="BO3" s="78"/>
      <c r="BP3" s="73" t="s">
        <v>49</v>
      </c>
      <c r="BQ3" s="73" t="s">
        <v>50</v>
      </c>
      <c r="BR3" s="73" t="s">
        <v>51</v>
      </c>
      <c r="BS3" s="73" t="s">
        <v>52</v>
      </c>
      <c r="BT3" s="73" t="s">
        <v>53</v>
      </c>
      <c r="BU3" s="73" t="s">
        <v>171</v>
      </c>
      <c r="BV3" s="73" t="s">
        <v>54</v>
      </c>
      <c r="BW3" s="122" t="s">
        <v>55</v>
      </c>
      <c r="BX3" s="122" t="s">
        <v>56</v>
      </c>
      <c r="BY3" s="73" t="s">
        <v>57</v>
      </c>
      <c r="BZ3" s="87"/>
      <c r="CA3" s="72"/>
      <c r="CB3" s="147"/>
      <c r="CC3" s="155"/>
      <c r="CD3" s="155"/>
      <c r="CE3" s="150"/>
    </row>
    <row r="4" spans="1:83" ht="19.5" thickBot="1" x14ac:dyDescent="0.35">
      <c r="A4" s="13" t="s">
        <v>58</v>
      </c>
      <c r="B4" s="14"/>
      <c r="C4" s="15"/>
      <c r="D4" s="16"/>
      <c r="E4" s="16"/>
      <c r="F4" s="16"/>
      <c r="G4" s="28"/>
      <c r="H4" s="29"/>
      <c r="I4" s="39"/>
      <c r="J4" s="29"/>
      <c r="K4" s="39"/>
      <c r="L4" s="29"/>
      <c r="M4" s="39"/>
      <c r="N4" s="29"/>
      <c r="O4" s="39"/>
      <c r="P4" s="29"/>
      <c r="Q4" s="39"/>
      <c r="R4" s="29"/>
      <c r="S4" s="29"/>
      <c r="T4" s="29"/>
      <c r="U4" s="39"/>
      <c r="V4" s="29"/>
      <c r="W4" s="29"/>
      <c r="X4" s="29"/>
      <c r="Y4" s="29"/>
      <c r="Z4" s="29"/>
      <c r="AA4" s="29"/>
      <c r="AB4" s="29"/>
      <c r="AC4" s="29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52"/>
      <c r="AZ4" s="53"/>
      <c r="BA4" s="54"/>
      <c r="BB4" s="54"/>
      <c r="BC4" s="54"/>
      <c r="BD4" s="54"/>
      <c r="BE4" s="54"/>
      <c r="BF4" s="54"/>
      <c r="BG4" s="54"/>
      <c r="BH4" s="54"/>
      <c r="BI4" s="52"/>
      <c r="BJ4" s="68"/>
      <c r="BK4" s="68"/>
      <c r="BN4" s="74"/>
      <c r="BO4" s="79"/>
      <c r="BP4" s="74"/>
      <c r="BQ4" s="74"/>
      <c r="BR4" s="74"/>
      <c r="BS4" s="74"/>
      <c r="BT4" s="74"/>
      <c r="BU4" s="74"/>
      <c r="BV4" s="74"/>
      <c r="BW4" s="74"/>
      <c r="BX4" s="74"/>
      <c r="BY4" s="74"/>
      <c r="CB4" s="148" t="s">
        <v>59</v>
      </c>
      <c r="CC4" s="2" t="str" cm="1">
        <f t="array" ref="CC4:CD15">_xlfn.GROUPBY(C5:C70,BI5:BI70,_xleta.SUM)</f>
        <v>M38</v>
      </c>
      <c r="CD4" s="89">
        <v>5</v>
      </c>
      <c r="CE4" s="92">
        <f>+CD4/$CD$15*100</f>
        <v>0.25759917568263779</v>
      </c>
    </row>
    <row r="5" spans="1:83" s="2" customFormat="1" ht="19.5" thickBot="1" x14ac:dyDescent="0.35">
      <c r="A5" s="17">
        <v>1</v>
      </c>
      <c r="B5" s="134" t="s">
        <v>60</v>
      </c>
      <c r="C5" s="18" t="s">
        <v>61</v>
      </c>
      <c r="D5" s="19"/>
      <c r="E5" s="19"/>
      <c r="F5" s="19"/>
      <c r="G5" s="30"/>
      <c r="H5" s="31"/>
      <c r="I5" s="40"/>
      <c r="J5" s="31">
        <v>12</v>
      </c>
      <c r="K5" s="40"/>
      <c r="L5" s="31"/>
      <c r="M5" s="40"/>
      <c r="N5" s="31"/>
      <c r="O5" s="40"/>
      <c r="P5" s="31"/>
      <c r="Q5" s="40"/>
      <c r="R5" s="31"/>
      <c r="S5" s="31">
        <v>9</v>
      </c>
      <c r="T5" s="31"/>
      <c r="U5" s="40"/>
      <c r="V5" s="31"/>
      <c r="W5" s="31"/>
      <c r="X5" s="31"/>
      <c r="Y5" s="31"/>
      <c r="Z5" s="31"/>
      <c r="AA5" s="31"/>
      <c r="AB5" s="31"/>
      <c r="AC5" s="31"/>
      <c r="AD5" s="46"/>
      <c r="AE5" s="46"/>
      <c r="AF5" s="46">
        <v>3</v>
      </c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55">
        <f>SUM(D5:AS5)</f>
        <v>24</v>
      </c>
      <c r="AZ5" s="56">
        <v>1</v>
      </c>
      <c r="BA5" s="57">
        <v>12</v>
      </c>
      <c r="BB5" s="57">
        <f>+'[1]25'!R34</f>
        <v>10</v>
      </c>
      <c r="BC5" s="57">
        <v>0</v>
      </c>
      <c r="BD5" s="57"/>
      <c r="BE5" s="57"/>
      <c r="BF5" s="57"/>
      <c r="BG5" s="57"/>
      <c r="BH5" s="57"/>
      <c r="BI5" s="55">
        <f>SUM(AZ5:BH5)</f>
        <v>23</v>
      </c>
      <c r="BJ5" s="69">
        <f>+AY5-BI5</f>
        <v>1</v>
      </c>
      <c r="BK5" s="69">
        <f t="shared" ref="BK5:BK68" si="0">SUM(AT5:AX5)</f>
        <v>0</v>
      </c>
      <c r="BM5" s="75"/>
      <c r="BN5" s="57">
        <f t="shared" ref="BN5:BN42" si="1">+BJ5-BZ5</f>
        <v>1</v>
      </c>
      <c r="BO5" s="80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9">
        <f t="shared" ref="BZ5:BZ42" si="2">SUM(BP5:BY5)</f>
        <v>0</v>
      </c>
      <c r="CB5" s="148"/>
      <c r="CC5" s="2" t="str">
        <v>M39</v>
      </c>
      <c r="CD5" s="90">
        <v>51</v>
      </c>
      <c r="CE5" s="92">
        <f t="shared" ref="CE5:CE14" si="3">+CD5/$CD$15*100</f>
        <v>2.627511591962906</v>
      </c>
    </row>
    <row r="6" spans="1:83" s="2" customFormat="1" ht="19.5" thickBot="1" x14ac:dyDescent="0.35">
      <c r="A6" s="17">
        <v>2</v>
      </c>
      <c r="B6" s="135"/>
      <c r="C6" s="18" t="s">
        <v>62</v>
      </c>
      <c r="D6" s="19"/>
      <c r="E6" s="19"/>
      <c r="F6" s="19"/>
      <c r="G6" s="30"/>
      <c r="H6" s="31"/>
      <c r="I6" s="40"/>
      <c r="J6" s="31">
        <v>24</v>
      </c>
      <c r="K6" s="40"/>
      <c r="L6" s="31"/>
      <c r="M6" s="40"/>
      <c r="N6" s="31"/>
      <c r="O6" s="40"/>
      <c r="P6" s="31"/>
      <c r="Q6" s="40"/>
      <c r="R6" s="31"/>
      <c r="S6" s="31">
        <v>21</v>
      </c>
      <c r="T6" s="31"/>
      <c r="U6" s="40"/>
      <c r="V6" s="31"/>
      <c r="W6" s="31"/>
      <c r="X6" s="31">
        <v>18</v>
      </c>
      <c r="Y6" s="31"/>
      <c r="Z6" s="31"/>
      <c r="AA6" s="31"/>
      <c r="AB6" s="31">
        <v>6</v>
      </c>
      <c r="AC6" s="31"/>
      <c r="AD6" s="46"/>
      <c r="AE6" s="46"/>
      <c r="AF6" s="46">
        <v>6</v>
      </c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55">
        <f t="shared" ref="AY6:AY69" si="4">SUM(D6:AS6)</f>
        <v>75</v>
      </c>
      <c r="AZ6" s="56">
        <v>15</v>
      </c>
      <c r="BA6" s="57">
        <v>23</v>
      </c>
      <c r="BB6" s="57">
        <f>+'[1]25'!R35</f>
        <v>33</v>
      </c>
      <c r="BC6" s="57">
        <v>2</v>
      </c>
      <c r="BD6" s="57"/>
      <c r="BE6" s="57"/>
      <c r="BF6" s="57"/>
      <c r="BG6" s="57"/>
      <c r="BH6" s="57"/>
      <c r="BI6" s="55">
        <f t="shared" ref="BI6:BI69" si="5">SUM(AZ6:BH6)</f>
        <v>73</v>
      </c>
      <c r="BJ6" s="69">
        <f t="shared" ref="BJ6:BJ69" si="6">+AY6-BI6</f>
        <v>2</v>
      </c>
      <c r="BK6" s="69">
        <f t="shared" si="0"/>
        <v>0</v>
      </c>
      <c r="BM6" s="75"/>
      <c r="BN6" s="57">
        <f t="shared" si="1"/>
        <v>2</v>
      </c>
      <c r="BO6" s="80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9">
        <f t="shared" si="2"/>
        <v>0</v>
      </c>
      <c r="CB6" s="148"/>
      <c r="CC6" s="2" t="str">
        <v>M40</v>
      </c>
      <c r="CD6" s="90">
        <v>179</v>
      </c>
      <c r="CE6" s="92">
        <f t="shared" si="3"/>
        <v>9.2220504894384341</v>
      </c>
    </row>
    <row r="7" spans="1:83" s="2" customFormat="1" ht="19.5" thickBot="1" x14ac:dyDescent="0.35">
      <c r="A7" s="17">
        <v>3</v>
      </c>
      <c r="B7" s="135"/>
      <c r="C7" s="18" t="s">
        <v>63</v>
      </c>
      <c r="D7" s="19"/>
      <c r="E7" s="19"/>
      <c r="F7" s="19"/>
      <c r="G7" s="30"/>
      <c r="H7" s="31"/>
      <c r="I7" s="40"/>
      <c r="J7" s="31">
        <v>36</v>
      </c>
      <c r="K7" s="40"/>
      <c r="L7" s="31"/>
      <c r="M7" s="40"/>
      <c r="N7" s="31"/>
      <c r="O7" s="40"/>
      <c r="P7" s="31">
        <v>3</v>
      </c>
      <c r="Q7" s="40"/>
      <c r="R7" s="31"/>
      <c r="S7" s="31">
        <v>24</v>
      </c>
      <c r="T7" s="31"/>
      <c r="U7" s="40"/>
      <c r="V7" s="31"/>
      <c r="W7" s="31"/>
      <c r="X7" s="31">
        <v>30</v>
      </c>
      <c r="Y7" s="31"/>
      <c r="Z7" s="31"/>
      <c r="AA7" s="31"/>
      <c r="AB7" s="31">
        <v>36</v>
      </c>
      <c r="AC7" s="31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55">
        <f t="shared" si="4"/>
        <v>129</v>
      </c>
      <c r="AZ7" s="56">
        <v>34</v>
      </c>
      <c r="BA7" s="57">
        <v>39</v>
      </c>
      <c r="BB7" s="57">
        <v>56</v>
      </c>
      <c r="BC7" s="57">
        <v>0</v>
      </c>
      <c r="BD7" s="57"/>
      <c r="BE7" s="57"/>
      <c r="BF7" s="57"/>
      <c r="BG7" s="57"/>
      <c r="BH7" s="57"/>
      <c r="BI7" s="55">
        <f t="shared" si="5"/>
        <v>129</v>
      </c>
      <c r="BJ7" s="69">
        <f t="shared" si="6"/>
        <v>0</v>
      </c>
      <c r="BK7" s="69">
        <f t="shared" si="0"/>
        <v>0</v>
      </c>
      <c r="BM7" s="75"/>
      <c r="BN7" s="57">
        <f t="shared" si="1"/>
        <v>0</v>
      </c>
      <c r="BO7" s="80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9">
        <f t="shared" si="2"/>
        <v>0</v>
      </c>
      <c r="CB7" s="148"/>
      <c r="CC7" s="2" t="str">
        <v>M41</v>
      </c>
      <c r="CD7" s="90">
        <v>330</v>
      </c>
      <c r="CE7" s="92">
        <f t="shared" si="3"/>
        <v>17.001545595054097</v>
      </c>
    </row>
    <row r="8" spans="1:83" s="2" customFormat="1" ht="19.5" thickBot="1" x14ac:dyDescent="0.35">
      <c r="A8" s="17">
        <v>4</v>
      </c>
      <c r="B8" s="135"/>
      <c r="C8" s="18" t="s">
        <v>64</v>
      </c>
      <c r="D8" s="19"/>
      <c r="E8" s="19"/>
      <c r="F8" s="19"/>
      <c r="G8" s="30"/>
      <c r="H8" s="31"/>
      <c r="I8" s="40"/>
      <c r="J8" s="31">
        <v>36</v>
      </c>
      <c r="K8" s="40"/>
      <c r="L8" s="31"/>
      <c r="M8" s="40"/>
      <c r="N8" s="31"/>
      <c r="O8" s="40"/>
      <c r="P8" s="31">
        <v>3</v>
      </c>
      <c r="Q8" s="40"/>
      <c r="R8" s="31"/>
      <c r="S8" s="31">
        <v>27</v>
      </c>
      <c r="T8" s="31"/>
      <c r="U8" s="40"/>
      <c r="V8" s="31"/>
      <c r="W8" s="31"/>
      <c r="X8" s="31">
        <v>30</v>
      </c>
      <c r="Y8" s="31"/>
      <c r="Z8" s="31"/>
      <c r="AA8" s="31"/>
      <c r="AB8" s="31">
        <v>18</v>
      </c>
      <c r="AC8" s="31"/>
      <c r="AD8" s="46"/>
      <c r="AE8" s="46"/>
      <c r="AF8" s="46">
        <v>36</v>
      </c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55">
        <f t="shared" si="4"/>
        <v>150</v>
      </c>
      <c r="AZ8" s="56">
        <v>24</v>
      </c>
      <c r="BA8" s="57">
        <v>58</v>
      </c>
      <c r="BB8" s="57">
        <f>+'[1]25'!R37</f>
        <v>58</v>
      </c>
      <c r="BC8" s="57">
        <v>8</v>
      </c>
      <c r="BD8" s="57"/>
      <c r="BE8" s="57"/>
      <c r="BF8" s="57"/>
      <c r="BG8" s="57"/>
      <c r="BH8" s="57"/>
      <c r="BI8" s="55">
        <f t="shared" si="5"/>
        <v>148</v>
      </c>
      <c r="BJ8" s="69">
        <f t="shared" si="6"/>
        <v>2</v>
      </c>
      <c r="BK8" s="69">
        <f t="shared" si="0"/>
        <v>0</v>
      </c>
      <c r="BM8" s="75"/>
      <c r="BN8" s="57">
        <f t="shared" si="1"/>
        <v>2</v>
      </c>
      <c r="BO8" s="80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9">
        <f t="shared" si="2"/>
        <v>0</v>
      </c>
      <c r="CB8" s="148"/>
      <c r="CC8" s="2" t="str">
        <v>M42</v>
      </c>
      <c r="CD8" s="90">
        <v>398</v>
      </c>
      <c r="CE8" s="92">
        <f t="shared" si="3"/>
        <v>20.50489438433797</v>
      </c>
    </row>
    <row r="9" spans="1:83" s="2" customFormat="1" ht="19.5" thickBot="1" x14ac:dyDescent="0.35">
      <c r="A9" s="17">
        <v>5</v>
      </c>
      <c r="B9" s="135"/>
      <c r="C9" s="18" t="s">
        <v>65</v>
      </c>
      <c r="D9" s="19"/>
      <c r="E9" s="19"/>
      <c r="F9" s="19"/>
      <c r="G9" s="30"/>
      <c r="H9" s="31"/>
      <c r="I9" s="40"/>
      <c r="J9" s="31">
        <v>30</v>
      </c>
      <c r="K9" s="40">
        <v>-1</v>
      </c>
      <c r="L9" s="31"/>
      <c r="M9" s="40"/>
      <c r="N9" s="31"/>
      <c r="O9" s="40"/>
      <c r="P9" s="31">
        <v>3</v>
      </c>
      <c r="Q9" s="40"/>
      <c r="R9" s="31"/>
      <c r="S9" s="31">
        <v>33</v>
      </c>
      <c r="T9" s="31"/>
      <c r="U9" s="40"/>
      <c r="V9" s="31"/>
      <c r="W9" s="31"/>
      <c r="X9" s="31">
        <v>33</v>
      </c>
      <c r="Y9" s="31"/>
      <c r="Z9" s="31"/>
      <c r="AA9" s="31"/>
      <c r="AB9" s="31">
        <v>18</v>
      </c>
      <c r="AC9" s="31"/>
      <c r="AD9" s="46"/>
      <c r="AE9" s="46"/>
      <c r="AF9" s="46">
        <v>33</v>
      </c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55">
        <f t="shared" si="4"/>
        <v>149</v>
      </c>
      <c r="AZ9" s="56">
        <v>21</v>
      </c>
      <c r="BA9" s="57">
        <v>67</v>
      </c>
      <c r="BB9" s="57">
        <f>+'[1]25'!R38</f>
        <v>50</v>
      </c>
      <c r="BC9" s="57">
        <v>11</v>
      </c>
      <c r="BD9" s="57"/>
      <c r="BE9" s="57"/>
      <c r="BF9" s="57"/>
      <c r="BG9" s="57"/>
      <c r="BH9" s="57"/>
      <c r="BI9" s="55">
        <f t="shared" si="5"/>
        <v>149</v>
      </c>
      <c r="BJ9" s="69">
        <f t="shared" si="6"/>
        <v>0</v>
      </c>
      <c r="BK9" s="69">
        <f t="shared" si="0"/>
        <v>0</v>
      </c>
      <c r="BM9" s="75"/>
      <c r="BN9" s="57">
        <f t="shared" si="1"/>
        <v>0</v>
      </c>
      <c r="BO9" s="80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9">
        <f t="shared" si="2"/>
        <v>0</v>
      </c>
      <c r="CB9" s="148"/>
      <c r="CC9" s="2" t="str">
        <v>M43</v>
      </c>
      <c r="CD9" s="90">
        <v>386</v>
      </c>
      <c r="CE9" s="92">
        <f t="shared" si="3"/>
        <v>19.88665636269964</v>
      </c>
    </row>
    <row r="10" spans="1:83" s="2" customFormat="1" ht="19.5" thickBot="1" x14ac:dyDescent="0.35">
      <c r="A10" s="17">
        <v>6</v>
      </c>
      <c r="B10" s="135"/>
      <c r="C10" s="18" t="s">
        <v>66</v>
      </c>
      <c r="D10" s="19"/>
      <c r="E10" s="19"/>
      <c r="F10" s="19"/>
      <c r="G10" s="30"/>
      <c r="H10" s="31"/>
      <c r="I10" s="40"/>
      <c r="J10" s="31">
        <v>18</v>
      </c>
      <c r="K10" s="40"/>
      <c r="L10" s="31"/>
      <c r="M10" s="40"/>
      <c r="N10" s="31"/>
      <c r="O10" s="40"/>
      <c r="P10" s="31">
        <v>3</v>
      </c>
      <c r="Q10" s="40"/>
      <c r="R10" s="31"/>
      <c r="S10" s="31">
        <v>24</v>
      </c>
      <c r="T10" s="31"/>
      <c r="U10" s="40"/>
      <c r="V10" s="31"/>
      <c r="W10" s="31"/>
      <c r="X10" s="31">
        <v>24</v>
      </c>
      <c r="Y10" s="31"/>
      <c r="Z10" s="31"/>
      <c r="AA10" s="31"/>
      <c r="AB10" s="31">
        <v>18</v>
      </c>
      <c r="AC10" s="31"/>
      <c r="AD10" s="46"/>
      <c r="AE10" s="46"/>
      <c r="AF10" s="46">
        <v>18</v>
      </c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55">
        <f t="shared" si="4"/>
        <v>105</v>
      </c>
      <c r="AZ10" s="56">
        <v>21</v>
      </c>
      <c r="BA10" s="57">
        <v>36</v>
      </c>
      <c r="BB10" s="57">
        <f>+'[1]25'!R39</f>
        <v>43</v>
      </c>
      <c r="BC10" s="57">
        <v>5</v>
      </c>
      <c r="BD10" s="57"/>
      <c r="BE10" s="57"/>
      <c r="BF10" s="57"/>
      <c r="BG10" s="57"/>
      <c r="BH10" s="57"/>
      <c r="BI10" s="55">
        <f t="shared" si="5"/>
        <v>105</v>
      </c>
      <c r="BJ10" s="69">
        <f t="shared" si="6"/>
        <v>0</v>
      </c>
      <c r="BK10" s="69">
        <f t="shared" si="0"/>
        <v>0</v>
      </c>
      <c r="BM10" s="75"/>
      <c r="BN10" s="57">
        <f t="shared" si="1"/>
        <v>0</v>
      </c>
      <c r="BO10" s="80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9">
        <f t="shared" si="2"/>
        <v>0</v>
      </c>
      <c r="CB10" s="148"/>
      <c r="CC10" s="2" t="str">
        <v>M44</v>
      </c>
      <c r="CD10" s="90">
        <v>306</v>
      </c>
      <c r="CE10" s="92">
        <f t="shared" si="3"/>
        <v>15.765069551777433</v>
      </c>
    </row>
    <row r="11" spans="1:83" s="2" customFormat="1" ht="19.5" thickBot="1" x14ac:dyDescent="0.35">
      <c r="A11" s="17">
        <v>7</v>
      </c>
      <c r="B11" s="135"/>
      <c r="C11" s="18" t="s">
        <v>67</v>
      </c>
      <c r="D11" s="19"/>
      <c r="E11" s="19"/>
      <c r="F11" s="19"/>
      <c r="G11" s="30"/>
      <c r="H11" s="31"/>
      <c r="I11" s="40"/>
      <c r="J11" s="31">
        <v>12</v>
      </c>
      <c r="K11" s="40"/>
      <c r="L11" s="31"/>
      <c r="M11" s="40"/>
      <c r="N11" s="31"/>
      <c r="O11" s="40"/>
      <c r="P11" s="31">
        <v>3</v>
      </c>
      <c r="Q11" s="40"/>
      <c r="R11" s="31"/>
      <c r="S11" s="31">
        <v>18</v>
      </c>
      <c r="T11" s="31"/>
      <c r="U11" s="40"/>
      <c r="V11" s="31"/>
      <c r="W11" s="31"/>
      <c r="X11" s="31">
        <v>18</v>
      </c>
      <c r="Y11" s="31"/>
      <c r="Z11" s="31"/>
      <c r="AA11" s="31"/>
      <c r="AB11" s="31"/>
      <c r="AC11" s="31"/>
      <c r="AD11" s="46"/>
      <c r="AE11" s="46"/>
      <c r="AF11" s="46">
        <v>12</v>
      </c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55">
        <f t="shared" si="4"/>
        <v>63</v>
      </c>
      <c r="AZ11" s="56">
        <v>9</v>
      </c>
      <c r="BA11" s="57">
        <v>30</v>
      </c>
      <c r="BB11" s="57">
        <v>22</v>
      </c>
      <c r="BC11" s="57">
        <v>1</v>
      </c>
      <c r="BD11" s="57"/>
      <c r="BE11" s="57"/>
      <c r="BF11" s="57"/>
      <c r="BG11" s="57"/>
      <c r="BH11" s="57"/>
      <c r="BI11" s="55">
        <f t="shared" si="5"/>
        <v>62</v>
      </c>
      <c r="BJ11" s="69">
        <f t="shared" si="6"/>
        <v>1</v>
      </c>
      <c r="BK11" s="69">
        <f t="shared" si="0"/>
        <v>0</v>
      </c>
      <c r="BM11" s="75"/>
      <c r="BN11" s="57">
        <f t="shared" si="1"/>
        <v>1</v>
      </c>
      <c r="BO11" s="80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9">
        <f t="shared" si="2"/>
        <v>0</v>
      </c>
      <c r="CB11" s="148"/>
      <c r="CC11" s="2" t="str">
        <v>M45</v>
      </c>
      <c r="CD11" s="90">
        <v>150</v>
      </c>
      <c r="CE11" s="92">
        <f t="shared" si="3"/>
        <v>7.727975270479134</v>
      </c>
    </row>
    <row r="12" spans="1:83" s="2" customFormat="1" ht="19.5" thickBot="1" x14ac:dyDescent="0.35">
      <c r="A12" s="17">
        <v>8</v>
      </c>
      <c r="B12" s="135"/>
      <c r="C12" s="18" t="s">
        <v>68</v>
      </c>
      <c r="D12" s="19"/>
      <c r="E12" s="19">
        <v>3</v>
      </c>
      <c r="F12" s="19">
        <v>3</v>
      </c>
      <c r="G12" s="30"/>
      <c r="H12" s="31"/>
      <c r="I12" s="40"/>
      <c r="J12" s="31">
        <v>6</v>
      </c>
      <c r="K12" s="40"/>
      <c r="L12" s="31"/>
      <c r="M12" s="40"/>
      <c r="N12" s="31">
        <v>4</v>
      </c>
      <c r="O12" s="40"/>
      <c r="P12" s="31">
        <v>1</v>
      </c>
      <c r="Q12" s="40"/>
      <c r="R12" s="31"/>
      <c r="S12" s="31">
        <v>9</v>
      </c>
      <c r="T12" s="31"/>
      <c r="U12" s="40"/>
      <c r="V12" s="31"/>
      <c r="W12" s="31"/>
      <c r="X12" s="31">
        <v>12</v>
      </c>
      <c r="Y12" s="31"/>
      <c r="Z12" s="31"/>
      <c r="AA12" s="31"/>
      <c r="AB12" s="31">
        <v>6</v>
      </c>
      <c r="AC12" s="31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55">
        <f t="shared" si="4"/>
        <v>44</v>
      </c>
      <c r="AZ12" s="56">
        <v>12</v>
      </c>
      <c r="BA12" s="57">
        <v>10</v>
      </c>
      <c r="BB12" s="57">
        <f>+'[1]25'!R41</f>
        <v>16</v>
      </c>
      <c r="BC12" s="57">
        <v>3</v>
      </c>
      <c r="BD12" s="57"/>
      <c r="BE12" s="57"/>
      <c r="BF12" s="57"/>
      <c r="BG12" s="57"/>
      <c r="BH12" s="57"/>
      <c r="BI12" s="55">
        <f t="shared" si="5"/>
        <v>41</v>
      </c>
      <c r="BJ12" s="69">
        <f t="shared" si="6"/>
        <v>3</v>
      </c>
      <c r="BK12" s="69">
        <f t="shared" si="0"/>
        <v>0</v>
      </c>
      <c r="BM12" s="75"/>
      <c r="BN12" s="57">
        <f t="shared" si="1"/>
        <v>2</v>
      </c>
      <c r="BO12" s="80"/>
      <c r="BP12" s="81"/>
      <c r="BQ12" s="81"/>
      <c r="BR12" s="81"/>
      <c r="BS12" s="81"/>
      <c r="BT12" s="81"/>
      <c r="BU12" s="81"/>
      <c r="BV12" s="81">
        <v>1</v>
      </c>
      <c r="BW12" s="81"/>
      <c r="BX12" s="81"/>
      <c r="BY12" s="81"/>
      <c r="BZ12" s="9">
        <f t="shared" si="2"/>
        <v>1</v>
      </c>
      <c r="CB12" s="148"/>
      <c r="CC12" s="2" t="str">
        <v>M46</v>
      </c>
      <c r="CD12" s="90">
        <v>82</v>
      </c>
      <c r="CE12" s="92">
        <f t="shared" si="3"/>
        <v>4.2246264811952603</v>
      </c>
    </row>
    <row r="13" spans="1:83" s="2" customFormat="1" ht="19.5" thickBot="1" x14ac:dyDescent="0.35">
      <c r="A13" s="17">
        <v>9</v>
      </c>
      <c r="B13" s="135"/>
      <c r="C13" s="18" t="s">
        <v>69</v>
      </c>
      <c r="D13" s="19"/>
      <c r="E13" s="19"/>
      <c r="F13" s="19">
        <v>4</v>
      </c>
      <c r="G13" s="30"/>
      <c r="H13" s="31"/>
      <c r="I13" s="40"/>
      <c r="J13" s="31"/>
      <c r="K13" s="40"/>
      <c r="L13" s="31"/>
      <c r="M13" s="40"/>
      <c r="N13" s="31"/>
      <c r="O13" s="40"/>
      <c r="P13" s="31">
        <v>1</v>
      </c>
      <c r="Q13" s="40"/>
      <c r="R13" s="31"/>
      <c r="S13" s="31">
        <v>9</v>
      </c>
      <c r="T13" s="31"/>
      <c r="U13" s="40"/>
      <c r="V13" s="31"/>
      <c r="W13" s="31"/>
      <c r="X13" s="31">
        <v>9</v>
      </c>
      <c r="Y13" s="31"/>
      <c r="Z13" s="31"/>
      <c r="AA13" s="31"/>
      <c r="AB13" s="31">
        <v>6</v>
      </c>
      <c r="AC13" s="31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55">
        <f t="shared" si="4"/>
        <v>29</v>
      </c>
      <c r="AZ13" s="56">
        <v>5</v>
      </c>
      <c r="BA13" s="57">
        <v>7</v>
      </c>
      <c r="BB13" s="57">
        <f>+'[1]25'!R42</f>
        <v>6</v>
      </c>
      <c r="BC13" s="57">
        <v>3</v>
      </c>
      <c r="BD13" s="57"/>
      <c r="BE13" s="57"/>
      <c r="BF13" s="57"/>
      <c r="BG13" s="57"/>
      <c r="BH13" s="57"/>
      <c r="BI13" s="55">
        <f t="shared" si="5"/>
        <v>21</v>
      </c>
      <c r="BJ13" s="69">
        <f t="shared" si="6"/>
        <v>8</v>
      </c>
      <c r="BK13" s="69">
        <f t="shared" si="0"/>
        <v>0</v>
      </c>
      <c r="BM13" s="75"/>
      <c r="BN13" s="57">
        <f t="shared" si="1"/>
        <v>7</v>
      </c>
      <c r="BO13" s="80"/>
      <c r="BP13" s="81"/>
      <c r="BQ13" s="81"/>
      <c r="BR13" s="81"/>
      <c r="BS13" s="81"/>
      <c r="BT13" s="81"/>
      <c r="BU13" s="81"/>
      <c r="BV13" s="81"/>
      <c r="BW13" s="81"/>
      <c r="BX13" s="81"/>
      <c r="BY13" s="81">
        <v>1</v>
      </c>
      <c r="BZ13" s="9">
        <f t="shared" si="2"/>
        <v>1</v>
      </c>
      <c r="CB13" s="148"/>
      <c r="CC13" s="2" t="str">
        <v>M47</v>
      </c>
      <c r="CD13" s="90">
        <v>40</v>
      </c>
      <c r="CE13" s="92">
        <f t="shared" si="3"/>
        <v>2.0607934054611023</v>
      </c>
    </row>
    <row r="14" spans="1:83" s="2" customFormat="1" ht="19.5" thickBot="1" x14ac:dyDescent="0.35">
      <c r="A14" s="17">
        <v>10</v>
      </c>
      <c r="B14" s="135"/>
      <c r="C14" s="20" t="s">
        <v>70</v>
      </c>
      <c r="D14" s="21"/>
      <c r="E14" s="21"/>
      <c r="F14" s="21"/>
      <c r="G14" s="32"/>
      <c r="H14" s="33"/>
      <c r="I14" s="41"/>
      <c r="J14" s="33"/>
      <c r="K14" s="41"/>
      <c r="L14" s="33"/>
      <c r="M14" s="41"/>
      <c r="N14" s="33"/>
      <c r="O14" s="41"/>
      <c r="P14" s="33"/>
      <c r="Q14" s="41"/>
      <c r="R14" s="33"/>
      <c r="S14" s="33">
        <v>6</v>
      </c>
      <c r="T14" s="33"/>
      <c r="U14" s="41"/>
      <c r="V14" s="33"/>
      <c r="W14" s="33"/>
      <c r="X14" s="33">
        <v>6</v>
      </c>
      <c r="Y14" s="33"/>
      <c r="Z14" s="33"/>
      <c r="AA14" s="33"/>
      <c r="AB14" s="33"/>
      <c r="AC14" s="33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55">
        <f t="shared" si="4"/>
        <v>12</v>
      </c>
      <c r="AZ14" s="59">
        <v>0</v>
      </c>
      <c r="BA14" s="60">
        <v>7</v>
      </c>
      <c r="BB14" s="60">
        <f>+'[1]25'!R43</f>
        <v>1</v>
      </c>
      <c r="BC14" s="60">
        <v>1</v>
      </c>
      <c r="BD14" s="60"/>
      <c r="BE14" s="60"/>
      <c r="BF14" s="60"/>
      <c r="BG14" s="60"/>
      <c r="BH14" s="60"/>
      <c r="BI14" s="58">
        <f t="shared" si="5"/>
        <v>9</v>
      </c>
      <c r="BJ14" s="70">
        <f t="shared" si="6"/>
        <v>3</v>
      </c>
      <c r="BK14" s="70">
        <f t="shared" si="0"/>
        <v>0</v>
      </c>
      <c r="BL14" s="76"/>
      <c r="BM14" s="77"/>
      <c r="BN14" s="60">
        <f t="shared" si="1"/>
        <v>3</v>
      </c>
      <c r="BO14" s="82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9">
        <f t="shared" si="2"/>
        <v>0</v>
      </c>
      <c r="CB14" s="148"/>
      <c r="CC14" s="2" t="str">
        <v>M48</v>
      </c>
      <c r="CD14" s="90">
        <v>14</v>
      </c>
      <c r="CE14" s="92">
        <f t="shared" si="3"/>
        <v>0.72127769191138591</v>
      </c>
    </row>
    <row r="15" spans="1:83" s="2" customFormat="1" ht="19.5" thickBot="1" x14ac:dyDescent="0.35">
      <c r="A15" s="17">
        <v>11</v>
      </c>
      <c r="B15" s="134" t="s">
        <v>71</v>
      </c>
      <c r="C15" s="22" t="s">
        <v>61</v>
      </c>
      <c r="D15" s="23"/>
      <c r="E15" s="23"/>
      <c r="F15" s="23"/>
      <c r="G15" s="34"/>
      <c r="H15" s="35"/>
      <c r="I15" s="42"/>
      <c r="J15" s="35"/>
      <c r="K15" s="42"/>
      <c r="L15" s="35"/>
      <c r="M15" s="42"/>
      <c r="N15" s="35"/>
      <c r="O15" s="42"/>
      <c r="P15" s="35"/>
      <c r="Q15" s="42"/>
      <c r="R15" s="35"/>
      <c r="S15" s="35"/>
      <c r="T15" s="35"/>
      <c r="U15" s="42"/>
      <c r="V15" s="35"/>
      <c r="W15" s="35"/>
      <c r="X15" s="35"/>
      <c r="Y15" s="35"/>
      <c r="Z15" s="35"/>
      <c r="AA15" s="35"/>
      <c r="AB15" s="35"/>
      <c r="AC15" s="35"/>
      <c r="AD15" s="48">
        <v>12</v>
      </c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55">
        <f t="shared" si="4"/>
        <v>12</v>
      </c>
      <c r="AZ15" s="62">
        <v>0</v>
      </c>
      <c r="BA15" s="63">
        <v>0</v>
      </c>
      <c r="BB15" s="63">
        <f>+'[1]25'!R69</f>
        <v>12</v>
      </c>
      <c r="BC15" s="63">
        <v>0</v>
      </c>
      <c r="BD15" s="63"/>
      <c r="BE15" s="63"/>
      <c r="BF15" s="63"/>
      <c r="BG15" s="63"/>
      <c r="BH15" s="63"/>
      <c r="BI15" s="61">
        <f t="shared" si="5"/>
        <v>12</v>
      </c>
      <c r="BJ15" s="71">
        <f t="shared" si="6"/>
        <v>0</v>
      </c>
      <c r="BK15" s="71">
        <f t="shared" si="0"/>
        <v>0</v>
      </c>
      <c r="BM15" s="75"/>
      <c r="BN15" s="63">
        <f t="shared" si="1"/>
        <v>0</v>
      </c>
      <c r="BO15" s="79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9">
        <f t="shared" si="2"/>
        <v>0</v>
      </c>
      <c r="CB15" s="148"/>
      <c r="CC15" s="91" t="str">
        <v>Total</v>
      </c>
      <c r="CD15" s="88">
        <v>1941</v>
      </c>
      <c r="CE15" s="93">
        <f>SUM(CE4:CE14)</f>
        <v>99.999999999999986</v>
      </c>
    </row>
    <row r="16" spans="1:83" s="2" customFormat="1" ht="19.5" thickBot="1" x14ac:dyDescent="0.35">
      <c r="A16" s="17">
        <v>12</v>
      </c>
      <c r="B16" s="135"/>
      <c r="C16" s="18" t="s">
        <v>62</v>
      </c>
      <c r="D16" s="19"/>
      <c r="E16" s="19"/>
      <c r="F16" s="19"/>
      <c r="G16" s="30"/>
      <c r="H16" s="31"/>
      <c r="I16" s="40"/>
      <c r="J16" s="31"/>
      <c r="K16" s="40"/>
      <c r="L16" s="31"/>
      <c r="M16" s="40"/>
      <c r="N16" s="31"/>
      <c r="O16" s="40"/>
      <c r="P16" s="31"/>
      <c r="Q16" s="40"/>
      <c r="R16" s="31"/>
      <c r="S16" s="31"/>
      <c r="T16" s="31"/>
      <c r="U16" s="40"/>
      <c r="V16" s="31"/>
      <c r="W16" s="31"/>
      <c r="X16" s="31"/>
      <c r="Y16" s="31"/>
      <c r="Z16" s="31"/>
      <c r="AA16" s="31"/>
      <c r="AB16" s="31"/>
      <c r="AC16" s="31"/>
      <c r="AD16" s="46">
        <v>27</v>
      </c>
      <c r="AE16" s="46"/>
      <c r="AF16" s="46">
        <v>9</v>
      </c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55">
        <f t="shared" si="4"/>
        <v>36</v>
      </c>
      <c r="AZ16" s="56"/>
      <c r="BA16" s="57">
        <v>0</v>
      </c>
      <c r="BB16" s="57">
        <f>+'[1]25'!R70</f>
        <v>30</v>
      </c>
      <c r="BC16" s="57">
        <v>5</v>
      </c>
      <c r="BD16" s="57"/>
      <c r="BE16" s="57"/>
      <c r="BF16" s="57"/>
      <c r="BG16" s="57"/>
      <c r="BH16" s="57"/>
      <c r="BI16" s="55">
        <f t="shared" si="5"/>
        <v>35</v>
      </c>
      <c r="BJ16" s="69">
        <f t="shared" si="6"/>
        <v>1</v>
      </c>
      <c r="BK16" s="69">
        <f t="shared" si="0"/>
        <v>0</v>
      </c>
      <c r="BM16" s="75"/>
      <c r="BN16" s="57">
        <f t="shared" si="1"/>
        <v>0</v>
      </c>
      <c r="BO16" s="80"/>
      <c r="BP16" s="81"/>
      <c r="BQ16" s="81"/>
      <c r="BR16" s="81"/>
      <c r="BS16" s="81"/>
      <c r="BT16" s="81"/>
      <c r="BU16" s="81"/>
      <c r="BV16" s="81">
        <v>1</v>
      </c>
      <c r="BW16" s="81"/>
      <c r="BX16" s="81"/>
      <c r="BY16" s="81"/>
      <c r="BZ16" s="9">
        <f t="shared" si="2"/>
        <v>1</v>
      </c>
      <c r="CB16" s="148" t="s">
        <v>59</v>
      </c>
      <c r="CC16" s="2" t="str" cm="1">
        <f t="array" ref="CC16:CD23">_xlfn.GROUPBY(C71:C107,BI71:BI107,_xleta.SUM)</f>
        <v>W36</v>
      </c>
      <c r="CD16" s="90">
        <v>33</v>
      </c>
      <c r="CE16" s="92">
        <f>+CD16/$CD$23*100</f>
        <v>5.5276381909547743</v>
      </c>
    </row>
    <row r="17" spans="1:83" s="2" customFormat="1" ht="19.5" thickBot="1" x14ac:dyDescent="0.35">
      <c r="A17" s="17">
        <v>13</v>
      </c>
      <c r="B17" s="135"/>
      <c r="C17" s="18" t="s">
        <v>63</v>
      </c>
      <c r="D17" s="19"/>
      <c r="E17" s="19"/>
      <c r="F17" s="19"/>
      <c r="G17" s="30"/>
      <c r="H17" s="31"/>
      <c r="I17" s="40"/>
      <c r="J17" s="31"/>
      <c r="K17" s="40"/>
      <c r="L17" s="31"/>
      <c r="M17" s="40"/>
      <c r="N17" s="31"/>
      <c r="O17" s="40"/>
      <c r="P17" s="31"/>
      <c r="Q17" s="40"/>
      <c r="R17" s="31"/>
      <c r="S17" s="31"/>
      <c r="T17" s="31"/>
      <c r="U17" s="40"/>
      <c r="V17" s="31"/>
      <c r="W17" s="31"/>
      <c r="X17" s="31"/>
      <c r="Y17" s="31"/>
      <c r="Z17" s="31"/>
      <c r="AA17" s="31"/>
      <c r="AB17" s="31"/>
      <c r="AC17" s="31"/>
      <c r="AD17" s="46">
        <v>60</v>
      </c>
      <c r="AE17" s="46"/>
      <c r="AF17" s="46">
        <v>15</v>
      </c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55">
        <f t="shared" si="4"/>
        <v>75</v>
      </c>
      <c r="AZ17" s="56">
        <v>0</v>
      </c>
      <c r="BA17" s="57">
        <v>0</v>
      </c>
      <c r="BB17" s="57">
        <f>+'[1]25'!R71</f>
        <v>46</v>
      </c>
      <c r="BC17" s="57">
        <v>19</v>
      </c>
      <c r="BD17" s="57"/>
      <c r="BE17" s="57"/>
      <c r="BF17" s="57"/>
      <c r="BG17" s="57"/>
      <c r="BH17" s="57"/>
      <c r="BI17" s="55">
        <f t="shared" si="5"/>
        <v>65</v>
      </c>
      <c r="BJ17" s="69">
        <f t="shared" si="6"/>
        <v>10</v>
      </c>
      <c r="BK17" s="69">
        <f t="shared" si="0"/>
        <v>0</v>
      </c>
      <c r="BM17" s="75"/>
      <c r="BN17" s="57">
        <f t="shared" si="1"/>
        <v>2</v>
      </c>
      <c r="BO17" s="80"/>
      <c r="BP17" s="81"/>
      <c r="BQ17" s="81">
        <v>3</v>
      </c>
      <c r="BR17" s="81">
        <v>1</v>
      </c>
      <c r="BS17" s="81">
        <v>2</v>
      </c>
      <c r="BT17" s="81"/>
      <c r="BU17" s="81"/>
      <c r="BV17" s="81">
        <v>2</v>
      </c>
      <c r="BW17" s="81"/>
      <c r="BX17" s="81"/>
      <c r="BY17" s="81"/>
      <c r="BZ17" s="9">
        <f t="shared" si="2"/>
        <v>8</v>
      </c>
      <c r="CB17" s="148"/>
      <c r="CC17" s="2" t="str">
        <v>W37</v>
      </c>
      <c r="CD17" s="90">
        <v>99</v>
      </c>
      <c r="CE17" s="92">
        <f t="shared" ref="CE17:CE22" si="7">+CD17/$CD$23*100</f>
        <v>16.582914572864322</v>
      </c>
    </row>
    <row r="18" spans="1:83" s="2" customFormat="1" ht="19.5" thickBot="1" x14ac:dyDescent="0.35">
      <c r="A18" s="17">
        <v>14</v>
      </c>
      <c r="B18" s="135"/>
      <c r="C18" s="18" t="s">
        <v>64</v>
      </c>
      <c r="D18" s="19"/>
      <c r="E18" s="19"/>
      <c r="F18" s="19"/>
      <c r="G18" s="30"/>
      <c r="H18" s="31"/>
      <c r="I18" s="40"/>
      <c r="J18" s="31"/>
      <c r="K18" s="40"/>
      <c r="L18" s="31"/>
      <c r="M18" s="40"/>
      <c r="N18" s="31"/>
      <c r="O18" s="40"/>
      <c r="P18" s="31"/>
      <c r="Q18" s="40"/>
      <c r="R18" s="31"/>
      <c r="S18" s="31"/>
      <c r="T18" s="31"/>
      <c r="U18" s="40"/>
      <c r="V18" s="31"/>
      <c r="W18" s="31"/>
      <c r="X18" s="31"/>
      <c r="Y18" s="31"/>
      <c r="Z18" s="31"/>
      <c r="AA18" s="31"/>
      <c r="AB18" s="31"/>
      <c r="AC18" s="31"/>
      <c r="AD18" s="46">
        <v>72</v>
      </c>
      <c r="AE18" s="46"/>
      <c r="AF18" s="46">
        <v>21</v>
      </c>
      <c r="AG18" s="46"/>
      <c r="AH18" s="46"/>
      <c r="AI18" s="46">
        <v>-1</v>
      </c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55">
        <f t="shared" si="4"/>
        <v>92</v>
      </c>
      <c r="AZ18" s="56">
        <v>0</v>
      </c>
      <c r="BA18" s="57">
        <v>0</v>
      </c>
      <c r="BB18" s="57">
        <f>+'[1]25'!R72</f>
        <v>68</v>
      </c>
      <c r="BC18" s="57">
        <v>17</v>
      </c>
      <c r="BD18" s="57"/>
      <c r="BE18" s="57"/>
      <c r="BF18" s="57"/>
      <c r="BG18" s="57"/>
      <c r="BH18" s="57"/>
      <c r="BI18" s="55">
        <f t="shared" si="5"/>
        <v>85</v>
      </c>
      <c r="BJ18" s="69">
        <f t="shared" si="6"/>
        <v>7</v>
      </c>
      <c r="BK18" s="69">
        <f t="shared" si="0"/>
        <v>0</v>
      </c>
      <c r="BM18" s="75"/>
      <c r="BN18" s="57">
        <f t="shared" si="1"/>
        <v>0</v>
      </c>
      <c r="BO18" s="80"/>
      <c r="BP18" s="81"/>
      <c r="BQ18" s="81"/>
      <c r="BR18" s="81">
        <v>1</v>
      </c>
      <c r="BS18" s="81">
        <v>3</v>
      </c>
      <c r="BT18" s="81"/>
      <c r="BU18" s="81"/>
      <c r="BV18" s="81">
        <v>3</v>
      </c>
      <c r="BW18" s="81"/>
      <c r="BX18" s="81"/>
      <c r="BY18" s="81"/>
      <c r="BZ18" s="9">
        <f t="shared" si="2"/>
        <v>7</v>
      </c>
      <c r="CB18" s="148"/>
      <c r="CC18" s="2" t="str">
        <v>W38</v>
      </c>
      <c r="CD18" s="90">
        <v>167</v>
      </c>
      <c r="CE18" s="92">
        <f t="shared" si="7"/>
        <v>27.973199329983249</v>
      </c>
    </row>
    <row r="19" spans="1:83" s="2" customFormat="1" ht="19.5" thickBot="1" x14ac:dyDescent="0.35">
      <c r="A19" s="17">
        <v>15</v>
      </c>
      <c r="B19" s="135"/>
      <c r="C19" s="18" t="s">
        <v>65</v>
      </c>
      <c r="D19" s="19"/>
      <c r="E19" s="19"/>
      <c r="F19" s="19"/>
      <c r="G19" s="30"/>
      <c r="H19" s="31"/>
      <c r="I19" s="40"/>
      <c r="J19" s="31"/>
      <c r="K19" s="40"/>
      <c r="L19" s="31"/>
      <c r="M19" s="40"/>
      <c r="N19" s="31"/>
      <c r="O19" s="40"/>
      <c r="P19" s="31"/>
      <c r="Q19" s="40"/>
      <c r="R19" s="31"/>
      <c r="S19" s="31"/>
      <c r="T19" s="31"/>
      <c r="U19" s="40"/>
      <c r="V19" s="31"/>
      <c r="W19" s="31"/>
      <c r="X19" s="31"/>
      <c r="Y19" s="31"/>
      <c r="Z19" s="31"/>
      <c r="AA19" s="31"/>
      <c r="AB19" s="31"/>
      <c r="AC19" s="31"/>
      <c r="AD19" s="46">
        <v>72</v>
      </c>
      <c r="AE19" s="46"/>
      <c r="AF19" s="46">
        <v>24</v>
      </c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55">
        <f t="shared" si="4"/>
        <v>96</v>
      </c>
      <c r="AZ19" s="56"/>
      <c r="BA19" s="57">
        <v>0</v>
      </c>
      <c r="BB19" s="57">
        <f>+'[1]25'!R73</f>
        <v>53</v>
      </c>
      <c r="BC19" s="57">
        <v>28</v>
      </c>
      <c r="BD19" s="57"/>
      <c r="BE19" s="57"/>
      <c r="BF19" s="57"/>
      <c r="BG19" s="57"/>
      <c r="BH19" s="57"/>
      <c r="BI19" s="55">
        <f t="shared" si="5"/>
        <v>81</v>
      </c>
      <c r="BJ19" s="69">
        <f t="shared" si="6"/>
        <v>15</v>
      </c>
      <c r="BK19" s="69">
        <f t="shared" si="0"/>
        <v>0</v>
      </c>
      <c r="BM19" s="75"/>
      <c r="BN19" s="57">
        <f t="shared" si="1"/>
        <v>9</v>
      </c>
      <c r="BO19" s="80"/>
      <c r="BP19" s="81"/>
      <c r="BQ19" s="81">
        <v>2</v>
      </c>
      <c r="BR19" s="81">
        <v>1</v>
      </c>
      <c r="BS19" s="81"/>
      <c r="BT19" s="81">
        <v>2</v>
      </c>
      <c r="BU19" s="81"/>
      <c r="BV19" s="81">
        <v>1</v>
      </c>
      <c r="BW19" s="81"/>
      <c r="BX19" s="81"/>
      <c r="BY19" s="81"/>
      <c r="BZ19" s="9">
        <f t="shared" si="2"/>
        <v>6</v>
      </c>
      <c r="CB19" s="148"/>
      <c r="CC19" s="2" t="str">
        <v>W39</v>
      </c>
      <c r="CD19" s="90">
        <v>156</v>
      </c>
      <c r="CE19" s="92">
        <f t="shared" si="7"/>
        <v>26.13065326633166</v>
      </c>
    </row>
    <row r="20" spans="1:83" s="2" customFormat="1" ht="19.5" thickBot="1" x14ac:dyDescent="0.35">
      <c r="A20" s="17">
        <v>16</v>
      </c>
      <c r="B20" s="135"/>
      <c r="C20" s="18" t="s">
        <v>66</v>
      </c>
      <c r="D20" s="19"/>
      <c r="E20" s="19"/>
      <c r="F20" s="19"/>
      <c r="G20" s="30"/>
      <c r="H20" s="31"/>
      <c r="I20" s="40"/>
      <c r="J20" s="31"/>
      <c r="K20" s="40"/>
      <c r="L20" s="31"/>
      <c r="M20" s="40"/>
      <c r="N20" s="31"/>
      <c r="O20" s="40"/>
      <c r="P20" s="31"/>
      <c r="Q20" s="40"/>
      <c r="R20" s="31"/>
      <c r="S20" s="31"/>
      <c r="T20" s="31"/>
      <c r="U20" s="40"/>
      <c r="V20" s="31"/>
      <c r="W20" s="31"/>
      <c r="X20" s="31"/>
      <c r="Y20" s="31"/>
      <c r="Z20" s="31"/>
      <c r="AA20" s="31"/>
      <c r="AB20" s="31"/>
      <c r="AC20" s="31"/>
      <c r="AD20" s="46">
        <v>48</v>
      </c>
      <c r="AE20" s="46"/>
      <c r="AF20" s="46">
        <v>18</v>
      </c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55">
        <f t="shared" si="4"/>
        <v>66</v>
      </c>
      <c r="AZ20" s="56">
        <v>0</v>
      </c>
      <c r="BA20" s="57">
        <v>0</v>
      </c>
      <c r="BB20" s="57">
        <f>+'[1]25'!R74</f>
        <v>56</v>
      </c>
      <c r="BC20" s="57">
        <v>7</v>
      </c>
      <c r="BD20" s="57"/>
      <c r="BE20" s="57"/>
      <c r="BF20" s="57"/>
      <c r="BG20" s="57"/>
      <c r="BH20" s="57"/>
      <c r="BI20" s="55">
        <f t="shared" si="5"/>
        <v>63</v>
      </c>
      <c r="BJ20" s="69">
        <f t="shared" si="6"/>
        <v>3</v>
      </c>
      <c r="BK20" s="69">
        <f t="shared" si="0"/>
        <v>0</v>
      </c>
      <c r="BM20" s="75"/>
      <c r="BN20" s="57">
        <f t="shared" si="1"/>
        <v>2</v>
      </c>
      <c r="BO20" s="80"/>
      <c r="BP20" s="81"/>
      <c r="BQ20" s="81"/>
      <c r="BR20" s="81"/>
      <c r="BS20" s="81"/>
      <c r="BT20" s="81"/>
      <c r="BU20" s="81"/>
      <c r="BV20" s="81">
        <v>1</v>
      </c>
      <c r="BW20" s="81"/>
      <c r="BX20" s="81"/>
      <c r="BY20" s="81"/>
      <c r="BZ20" s="9">
        <f t="shared" si="2"/>
        <v>1</v>
      </c>
      <c r="CB20" s="148"/>
      <c r="CC20" s="2" t="str">
        <v>W40</v>
      </c>
      <c r="CD20" s="90">
        <v>98</v>
      </c>
      <c r="CE20" s="92">
        <f t="shared" si="7"/>
        <v>16.415410385259634</v>
      </c>
    </row>
    <row r="21" spans="1:83" s="2" customFormat="1" ht="19.5" thickBot="1" x14ac:dyDescent="0.35">
      <c r="A21" s="17">
        <v>17</v>
      </c>
      <c r="B21" s="135"/>
      <c r="C21" s="18" t="s">
        <v>67</v>
      </c>
      <c r="D21" s="19"/>
      <c r="E21" s="19"/>
      <c r="F21" s="19"/>
      <c r="G21" s="30"/>
      <c r="H21" s="31"/>
      <c r="I21" s="40"/>
      <c r="J21" s="31"/>
      <c r="K21" s="40"/>
      <c r="L21" s="31"/>
      <c r="M21" s="40"/>
      <c r="N21" s="31"/>
      <c r="O21" s="40"/>
      <c r="P21" s="31"/>
      <c r="Q21" s="40"/>
      <c r="R21" s="31"/>
      <c r="S21" s="31"/>
      <c r="T21" s="31"/>
      <c r="U21" s="40"/>
      <c r="V21" s="31"/>
      <c r="W21" s="31"/>
      <c r="X21" s="31"/>
      <c r="Y21" s="31"/>
      <c r="Z21" s="31"/>
      <c r="AA21" s="31"/>
      <c r="AB21" s="31"/>
      <c r="AC21" s="31"/>
      <c r="AD21" s="46">
        <v>30</v>
      </c>
      <c r="AE21" s="46"/>
      <c r="AF21" s="46">
        <v>12</v>
      </c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55">
        <f t="shared" si="4"/>
        <v>42</v>
      </c>
      <c r="AZ21" s="56">
        <v>0</v>
      </c>
      <c r="BA21" s="57">
        <v>0</v>
      </c>
      <c r="BB21" s="57">
        <f>+'[1]25'!R75</f>
        <v>22</v>
      </c>
      <c r="BC21" s="57">
        <v>9</v>
      </c>
      <c r="BD21" s="57"/>
      <c r="BE21" s="57"/>
      <c r="BF21" s="57"/>
      <c r="BG21" s="57"/>
      <c r="BH21" s="57"/>
      <c r="BI21" s="55">
        <f t="shared" si="5"/>
        <v>31</v>
      </c>
      <c r="BJ21" s="69">
        <f t="shared" si="6"/>
        <v>11</v>
      </c>
      <c r="BK21" s="69">
        <f t="shared" si="0"/>
        <v>0</v>
      </c>
      <c r="BM21" s="75"/>
      <c r="BN21" s="57">
        <f t="shared" si="1"/>
        <v>3</v>
      </c>
      <c r="BO21" s="80"/>
      <c r="BP21" s="81"/>
      <c r="BQ21" s="81">
        <v>2</v>
      </c>
      <c r="BR21" s="81">
        <v>2</v>
      </c>
      <c r="BS21" s="81">
        <v>1</v>
      </c>
      <c r="BT21" s="81"/>
      <c r="BU21" s="81"/>
      <c r="BV21" s="81">
        <v>1</v>
      </c>
      <c r="BW21" s="81"/>
      <c r="BX21" s="81">
        <v>2</v>
      </c>
      <c r="BY21" s="81"/>
      <c r="BZ21" s="9">
        <f t="shared" si="2"/>
        <v>8</v>
      </c>
      <c r="CB21" s="148"/>
      <c r="CC21" s="2" t="str">
        <v>W41</v>
      </c>
      <c r="CD21" s="90">
        <v>41</v>
      </c>
      <c r="CE21" s="92">
        <f t="shared" si="7"/>
        <v>6.8676716917922942</v>
      </c>
    </row>
    <row r="22" spans="1:83" s="2" customFormat="1" ht="19.5" thickBot="1" x14ac:dyDescent="0.35">
      <c r="A22" s="17">
        <v>18</v>
      </c>
      <c r="B22" s="135"/>
      <c r="C22" s="18" t="s">
        <v>68</v>
      </c>
      <c r="D22" s="19"/>
      <c r="E22" s="19"/>
      <c r="F22" s="19"/>
      <c r="G22" s="30"/>
      <c r="H22" s="31"/>
      <c r="I22" s="40"/>
      <c r="J22" s="31"/>
      <c r="K22" s="40"/>
      <c r="L22" s="31"/>
      <c r="M22" s="40"/>
      <c r="N22" s="31"/>
      <c r="O22" s="40"/>
      <c r="P22" s="31"/>
      <c r="Q22" s="40"/>
      <c r="R22" s="31"/>
      <c r="S22" s="31"/>
      <c r="T22" s="31"/>
      <c r="U22" s="40"/>
      <c r="V22" s="31"/>
      <c r="W22" s="31"/>
      <c r="X22" s="31"/>
      <c r="Y22" s="31"/>
      <c r="Z22" s="31"/>
      <c r="AA22" s="31"/>
      <c r="AB22" s="31"/>
      <c r="AC22" s="31"/>
      <c r="AD22" s="46">
        <v>18</v>
      </c>
      <c r="AE22" s="46"/>
      <c r="AF22" s="46">
        <v>6</v>
      </c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55">
        <f t="shared" si="4"/>
        <v>24</v>
      </c>
      <c r="AZ22" s="56">
        <v>0</v>
      </c>
      <c r="BA22" s="57">
        <v>0</v>
      </c>
      <c r="BB22" s="57">
        <f>+'[1]25'!R76</f>
        <v>7</v>
      </c>
      <c r="BC22" s="57">
        <v>6</v>
      </c>
      <c r="BD22" s="57"/>
      <c r="BE22" s="57"/>
      <c r="BF22" s="57"/>
      <c r="BG22" s="57"/>
      <c r="BH22" s="57"/>
      <c r="BI22" s="55">
        <f t="shared" si="5"/>
        <v>13</v>
      </c>
      <c r="BJ22" s="69">
        <f t="shared" si="6"/>
        <v>11</v>
      </c>
      <c r="BK22" s="69">
        <f t="shared" si="0"/>
        <v>0</v>
      </c>
      <c r="BM22" s="75"/>
      <c r="BN22" s="57">
        <f t="shared" si="1"/>
        <v>5</v>
      </c>
      <c r="BO22" s="80"/>
      <c r="BP22" s="81"/>
      <c r="BQ22" s="81">
        <v>1</v>
      </c>
      <c r="BR22" s="81">
        <v>3</v>
      </c>
      <c r="BS22" s="81">
        <v>1</v>
      </c>
      <c r="BT22" s="81"/>
      <c r="BU22" s="81"/>
      <c r="BV22" s="81">
        <v>1</v>
      </c>
      <c r="BW22" s="81"/>
      <c r="BX22" s="81"/>
      <c r="BY22" s="81"/>
      <c r="BZ22" s="9">
        <f t="shared" si="2"/>
        <v>6</v>
      </c>
      <c r="CB22" s="148"/>
      <c r="CC22" s="2" t="str">
        <v>W42</v>
      </c>
      <c r="CD22" s="90">
        <v>3</v>
      </c>
      <c r="CE22" s="92">
        <f t="shared" si="7"/>
        <v>0.50251256281407031</v>
      </c>
    </row>
    <row r="23" spans="1:83" s="2" customFormat="1" ht="19.5" thickBot="1" x14ac:dyDescent="0.35">
      <c r="A23" s="17">
        <v>19</v>
      </c>
      <c r="B23" s="135"/>
      <c r="C23" s="18" t="s">
        <v>69</v>
      </c>
      <c r="D23" s="19"/>
      <c r="E23" s="19"/>
      <c r="F23" s="19"/>
      <c r="G23" s="30"/>
      <c r="H23" s="31"/>
      <c r="I23" s="40"/>
      <c r="J23" s="31"/>
      <c r="K23" s="40"/>
      <c r="L23" s="31"/>
      <c r="M23" s="40"/>
      <c r="N23" s="31"/>
      <c r="O23" s="40"/>
      <c r="P23" s="31"/>
      <c r="Q23" s="40"/>
      <c r="R23" s="31"/>
      <c r="S23" s="31"/>
      <c r="T23" s="31"/>
      <c r="U23" s="40"/>
      <c r="V23" s="31"/>
      <c r="W23" s="31"/>
      <c r="X23" s="31"/>
      <c r="Y23" s="31"/>
      <c r="Z23" s="31"/>
      <c r="AA23" s="31"/>
      <c r="AB23" s="31"/>
      <c r="AC23" s="31"/>
      <c r="AD23" s="46">
        <v>12</v>
      </c>
      <c r="AE23" s="46"/>
      <c r="AF23" s="46">
        <v>3</v>
      </c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55">
        <f t="shared" si="4"/>
        <v>15</v>
      </c>
      <c r="AZ23" s="56">
        <v>0</v>
      </c>
      <c r="BA23" s="57">
        <v>0</v>
      </c>
      <c r="BB23" s="57">
        <f>+'[1]25'!R77</f>
        <v>5</v>
      </c>
      <c r="BC23" s="57">
        <v>4</v>
      </c>
      <c r="BD23" s="57"/>
      <c r="BE23" s="57"/>
      <c r="BF23" s="57"/>
      <c r="BG23" s="57"/>
      <c r="BH23" s="57"/>
      <c r="BI23" s="55">
        <f t="shared" si="5"/>
        <v>9</v>
      </c>
      <c r="BJ23" s="69">
        <f t="shared" si="6"/>
        <v>6</v>
      </c>
      <c r="BK23" s="69">
        <f t="shared" si="0"/>
        <v>0</v>
      </c>
      <c r="BM23" s="75"/>
      <c r="BN23" s="57">
        <f t="shared" si="1"/>
        <v>3</v>
      </c>
      <c r="BO23" s="80"/>
      <c r="BP23" s="81"/>
      <c r="BQ23" s="81">
        <v>1</v>
      </c>
      <c r="BR23" s="81"/>
      <c r="BS23" s="81">
        <v>2</v>
      </c>
      <c r="BT23" s="81"/>
      <c r="BU23" s="81"/>
      <c r="BV23" s="81"/>
      <c r="BW23" s="81"/>
      <c r="BX23" s="81"/>
      <c r="BY23" s="81"/>
      <c r="BZ23" s="9">
        <f t="shared" si="2"/>
        <v>3</v>
      </c>
      <c r="CB23" s="148"/>
      <c r="CC23" s="91" t="str">
        <v>Total</v>
      </c>
      <c r="CD23" s="88">
        <v>597</v>
      </c>
      <c r="CE23" s="93">
        <f>SUM(CE16:CE22)</f>
        <v>100.00000000000001</v>
      </c>
    </row>
    <row r="24" spans="1:83" s="2" customFormat="1" ht="19.5" thickBot="1" x14ac:dyDescent="0.35">
      <c r="A24" s="17">
        <v>20</v>
      </c>
      <c r="B24" s="135"/>
      <c r="C24" s="20" t="s">
        <v>70</v>
      </c>
      <c r="D24" s="21"/>
      <c r="E24" s="21"/>
      <c r="F24" s="21"/>
      <c r="G24" s="32"/>
      <c r="H24" s="33"/>
      <c r="I24" s="41"/>
      <c r="J24" s="33"/>
      <c r="K24" s="41"/>
      <c r="L24" s="33"/>
      <c r="M24" s="41"/>
      <c r="N24" s="33"/>
      <c r="O24" s="41"/>
      <c r="P24" s="33"/>
      <c r="Q24" s="41"/>
      <c r="R24" s="33"/>
      <c r="S24" s="33"/>
      <c r="T24" s="33"/>
      <c r="U24" s="41"/>
      <c r="V24" s="33"/>
      <c r="W24" s="33"/>
      <c r="X24" s="33"/>
      <c r="Y24" s="33"/>
      <c r="Z24" s="33"/>
      <c r="AA24" s="33"/>
      <c r="AB24" s="33"/>
      <c r="AC24" s="33"/>
      <c r="AD24" s="47">
        <v>9</v>
      </c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55">
        <f t="shared" si="4"/>
        <v>9</v>
      </c>
      <c r="AZ24" s="59">
        <v>0</v>
      </c>
      <c r="BA24" s="60">
        <v>0</v>
      </c>
      <c r="BB24" s="60">
        <f>+'[1]25'!R78</f>
        <v>4</v>
      </c>
      <c r="BC24" s="60">
        <v>1</v>
      </c>
      <c r="BD24" s="60"/>
      <c r="BE24" s="60"/>
      <c r="BF24" s="60"/>
      <c r="BG24" s="60"/>
      <c r="BH24" s="60"/>
      <c r="BI24" s="58">
        <f t="shared" si="5"/>
        <v>5</v>
      </c>
      <c r="BJ24" s="70">
        <f t="shared" si="6"/>
        <v>4</v>
      </c>
      <c r="BK24" s="70">
        <f t="shared" si="0"/>
        <v>0</v>
      </c>
      <c r="BL24" s="76"/>
      <c r="BM24" s="77"/>
      <c r="BN24" s="60">
        <f t="shared" si="1"/>
        <v>3</v>
      </c>
      <c r="BO24" s="82"/>
      <c r="BP24" s="83"/>
      <c r="BQ24" s="83"/>
      <c r="BR24" s="83">
        <v>1</v>
      </c>
      <c r="BS24" s="83"/>
      <c r="BT24" s="83"/>
      <c r="BU24" s="83"/>
      <c r="BV24" s="83"/>
      <c r="BW24" s="83"/>
      <c r="BX24" s="83"/>
      <c r="BY24" s="83"/>
      <c r="BZ24" s="9">
        <f t="shared" si="2"/>
        <v>1</v>
      </c>
      <c r="CB24" s="148" t="s">
        <v>72</v>
      </c>
      <c r="CC24" s="2" t="str" cm="1">
        <f t="array" ref="CC24:CD34">_xlfn.GROUPBY(C108:C136,BI108:BI136,_xleta.SUM)</f>
        <v>M39</v>
      </c>
      <c r="CD24" s="90">
        <v>36</v>
      </c>
      <c r="CE24" s="92">
        <f>+CD24/$CD$34*100</f>
        <v>4.5169385194479297</v>
      </c>
    </row>
    <row r="25" spans="1:83" s="2" customFormat="1" ht="19.5" thickBot="1" x14ac:dyDescent="0.35">
      <c r="A25" s="17">
        <v>21</v>
      </c>
      <c r="B25" s="134" t="s">
        <v>73</v>
      </c>
      <c r="C25" s="18" t="s">
        <v>62</v>
      </c>
      <c r="D25" s="19"/>
      <c r="E25" s="19"/>
      <c r="F25" s="19"/>
      <c r="G25" s="30"/>
      <c r="H25" s="31"/>
      <c r="I25" s="40"/>
      <c r="J25" s="31"/>
      <c r="K25" s="40"/>
      <c r="L25" s="31"/>
      <c r="M25" s="40"/>
      <c r="N25" s="31"/>
      <c r="O25" s="40"/>
      <c r="P25" s="31"/>
      <c r="Q25" s="40"/>
      <c r="R25" s="31"/>
      <c r="S25" s="31"/>
      <c r="T25" s="31"/>
      <c r="U25" s="40"/>
      <c r="V25" s="31"/>
      <c r="W25" s="31"/>
      <c r="X25" s="31"/>
      <c r="Y25" s="31"/>
      <c r="Z25" s="31"/>
      <c r="AA25" s="31"/>
      <c r="AB25" s="31"/>
      <c r="AC25" s="31"/>
      <c r="AD25" s="46">
        <v>9</v>
      </c>
      <c r="AE25" s="46"/>
      <c r="AF25" s="46"/>
      <c r="AG25" s="46"/>
      <c r="AH25" s="46"/>
      <c r="AI25" s="46"/>
      <c r="AJ25" s="46"/>
      <c r="AK25" s="46"/>
      <c r="AL25" s="46"/>
      <c r="AM25" s="46"/>
      <c r="AN25" s="46">
        <v>9</v>
      </c>
      <c r="AO25" s="46"/>
      <c r="AP25" s="46"/>
      <c r="AQ25" s="46">
        <v>9</v>
      </c>
      <c r="AR25" s="46"/>
      <c r="AS25" s="46"/>
      <c r="AT25" s="46"/>
      <c r="AU25" s="46"/>
      <c r="AV25" s="46"/>
      <c r="AW25" s="46"/>
      <c r="AX25" s="46"/>
      <c r="AY25" s="55">
        <f t="shared" si="4"/>
        <v>27</v>
      </c>
      <c r="AZ25" s="56">
        <v>0</v>
      </c>
      <c r="BA25" s="57">
        <v>0</v>
      </c>
      <c r="BB25" s="57">
        <v>9</v>
      </c>
      <c r="BC25" s="57">
        <v>9</v>
      </c>
      <c r="BD25" s="57"/>
      <c r="BE25" s="57"/>
      <c r="BF25" s="57"/>
      <c r="BG25" s="57"/>
      <c r="BH25" s="57"/>
      <c r="BI25" s="55">
        <f t="shared" si="5"/>
        <v>18</v>
      </c>
      <c r="BJ25" s="69">
        <f t="shared" si="6"/>
        <v>9</v>
      </c>
      <c r="BK25" s="69">
        <f t="shared" si="0"/>
        <v>0</v>
      </c>
      <c r="BM25" s="75"/>
      <c r="BN25" s="57">
        <f t="shared" si="1"/>
        <v>6</v>
      </c>
      <c r="BO25" s="80"/>
      <c r="BP25" s="81"/>
      <c r="BQ25" s="81"/>
      <c r="BR25" s="81">
        <v>3</v>
      </c>
      <c r="BS25" s="81"/>
      <c r="BT25" s="81"/>
      <c r="BU25" s="81"/>
      <c r="BV25" s="81"/>
      <c r="BW25" s="81"/>
      <c r="BX25" s="81"/>
      <c r="BY25" s="81"/>
      <c r="BZ25" s="9">
        <f t="shared" si="2"/>
        <v>3</v>
      </c>
      <c r="CB25" s="148"/>
      <c r="CC25" s="2" t="str">
        <v>M40</v>
      </c>
      <c r="CD25" s="90">
        <v>68</v>
      </c>
      <c r="CE25" s="92">
        <f t="shared" ref="CE25:CE33" si="8">+CD25/$CD$34*100</f>
        <v>8.5319949811794231</v>
      </c>
    </row>
    <row r="26" spans="1:83" s="2" customFormat="1" ht="19.5" thickBot="1" x14ac:dyDescent="0.35">
      <c r="A26" s="17">
        <v>22</v>
      </c>
      <c r="B26" s="135"/>
      <c r="C26" s="18" t="s">
        <v>63</v>
      </c>
      <c r="D26" s="19"/>
      <c r="E26" s="19"/>
      <c r="F26" s="19"/>
      <c r="G26" s="30"/>
      <c r="H26" s="31"/>
      <c r="I26" s="40"/>
      <c r="J26" s="31"/>
      <c r="K26" s="40"/>
      <c r="L26" s="31"/>
      <c r="M26" s="40"/>
      <c r="N26" s="31"/>
      <c r="O26" s="40"/>
      <c r="P26" s="31"/>
      <c r="Q26" s="40"/>
      <c r="R26" s="31"/>
      <c r="S26" s="31"/>
      <c r="T26" s="31"/>
      <c r="U26" s="40"/>
      <c r="V26" s="31"/>
      <c r="W26" s="31"/>
      <c r="X26" s="31"/>
      <c r="Y26" s="31"/>
      <c r="Z26" s="31"/>
      <c r="AA26" s="31"/>
      <c r="AB26" s="31"/>
      <c r="AC26" s="31"/>
      <c r="AD26" s="46">
        <v>18</v>
      </c>
      <c r="AE26" s="46"/>
      <c r="AF26" s="46"/>
      <c r="AG26" s="46"/>
      <c r="AH26" s="46"/>
      <c r="AI26" s="46"/>
      <c r="AJ26" s="46"/>
      <c r="AK26" s="46"/>
      <c r="AL26" s="46"/>
      <c r="AM26" s="46"/>
      <c r="AN26" s="46">
        <v>24</v>
      </c>
      <c r="AO26" s="46"/>
      <c r="AP26" s="46"/>
      <c r="AQ26" s="46">
        <v>18</v>
      </c>
      <c r="AR26" s="46"/>
      <c r="AS26" s="46"/>
      <c r="AT26" s="46"/>
      <c r="AU26" s="46"/>
      <c r="AV26" s="46"/>
      <c r="AW26" s="46"/>
      <c r="AX26" s="46"/>
      <c r="AY26" s="55">
        <f t="shared" si="4"/>
        <v>60</v>
      </c>
      <c r="AZ26" s="56">
        <v>0</v>
      </c>
      <c r="BA26" s="57">
        <v>0</v>
      </c>
      <c r="BB26" s="57">
        <f>+'[1]25'!R80</f>
        <v>18</v>
      </c>
      <c r="BC26" s="57">
        <v>13</v>
      </c>
      <c r="BD26" s="57"/>
      <c r="BE26" s="57"/>
      <c r="BF26" s="57"/>
      <c r="BG26" s="57"/>
      <c r="BH26" s="57"/>
      <c r="BI26" s="55">
        <f t="shared" si="5"/>
        <v>31</v>
      </c>
      <c r="BJ26" s="69">
        <f t="shared" si="6"/>
        <v>29</v>
      </c>
      <c r="BK26" s="69">
        <f t="shared" si="0"/>
        <v>0</v>
      </c>
      <c r="BM26" s="75"/>
      <c r="BN26" s="57">
        <f t="shared" si="1"/>
        <v>24</v>
      </c>
      <c r="BO26" s="80"/>
      <c r="BP26" s="81">
        <v>2</v>
      </c>
      <c r="BQ26" s="81"/>
      <c r="BR26" s="81">
        <v>3</v>
      </c>
      <c r="BS26" s="81"/>
      <c r="BT26" s="81"/>
      <c r="BU26" s="81"/>
      <c r="BV26" s="81"/>
      <c r="BW26" s="81"/>
      <c r="BX26" s="81"/>
      <c r="BY26" s="81"/>
      <c r="BZ26" s="9">
        <f t="shared" si="2"/>
        <v>5</v>
      </c>
      <c r="CB26" s="148"/>
      <c r="CC26" s="2" t="str">
        <v>M41</v>
      </c>
      <c r="CD26" s="90">
        <v>114</v>
      </c>
      <c r="CE26" s="92">
        <f t="shared" si="8"/>
        <v>14.303638644918445</v>
      </c>
    </row>
    <row r="27" spans="1:83" s="2" customFormat="1" ht="19.5" thickBot="1" x14ac:dyDescent="0.35">
      <c r="A27" s="17">
        <v>23</v>
      </c>
      <c r="B27" s="135"/>
      <c r="C27" s="18" t="s">
        <v>64</v>
      </c>
      <c r="D27" s="19"/>
      <c r="E27" s="19"/>
      <c r="F27" s="19"/>
      <c r="G27" s="30"/>
      <c r="H27" s="31"/>
      <c r="I27" s="40"/>
      <c r="J27" s="31"/>
      <c r="K27" s="40"/>
      <c r="L27" s="31"/>
      <c r="M27" s="40"/>
      <c r="N27" s="31"/>
      <c r="O27" s="40"/>
      <c r="P27" s="31"/>
      <c r="Q27" s="40"/>
      <c r="R27" s="31"/>
      <c r="S27" s="31"/>
      <c r="T27" s="31"/>
      <c r="U27" s="40"/>
      <c r="V27" s="31"/>
      <c r="W27" s="31"/>
      <c r="X27" s="31"/>
      <c r="Y27" s="31"/>
      <c r="Z27" s="31"/>
      <c r="AA27" s="31"/>
      <c r="AB27" s="31"/>
      <c r="AC27" s="31"/>
      <c r="AD27" s="46">
        <v>24</v>
      </c>
      <c r="AE27" s="46"/>
      <c r="AF27" s="46"/>
      <c r="AG27" s="46"/>
      <c r="AH27" s="46"/>
      <c r="AI27" s="46"/>
      <c r="AJ27" s="46"/>
      <c r="AK27" s="46"/>
      <c r="AL27" s="46"/>
      <c r="AM27" s="46"/>
      <c r="AN27" s="46">
        <v>24</v>
      </c>
      <c r="AO27" s="46"/>
      <c r="AP27" s="46"/>
      <c r="AQ27" s="46">
        <v>27</v>
      </c>
      <c r="AR27" s="46"/>
      <c r="AS27" s="46"/>
      <c r="AT27" s="46"/>
      <c r="AU27" s="46"/>
      <c r="AV27" s="46"/>
      <c r="AW27" s="46"/>
      <c r="AX27" s="46"/>
      <c r="AY27" s="55">
        <f t="shared" si="4"/>
        <v>75</v>
      </c>
      <c r="AZ27" s="56">
        <v>0</v>
      </c>
      <c r="BA27" s="57">
        <v>0</v>
      </c>
      <c r="BB27" s="57">
        <f>+'[1]25'!R81</f>
        <v>24</v>
      </c>
      <c r="BC27" s="57">
        <v>11</v>
      </c>
      <c r="BD27" s="57"/>
      <c r="BE27" s="57"/>
      <c r="BF27" s="57"/>
      <c r="BG27" s="57"/>
      <c r="BH27" s="57"/>
      <c r="BI27" s="55">
        <f t="shared" si="5"/>
        <v>35</v>
      </c>
      <c r="BJ27" s="69">
        <f t="shared" si="6"/>
        <v>40</v>
      </c>
      <c r="BK27" s="69">
        <f t="shared" si="0"/>
        <v>0</v>
      </c>
      <c r="BM27" s="75"/>
      <c r="BN27" s="57">
        <f t="shared" si="1"/>
        <v>34</v>
      </c>
      <c r="BO27" s="80"/>
      <c r="BP27" s="81">
        <v>1</v>
      </c>
      <c r="BQ27" s="81"/>
      <c r="BR27" s="81">
        <v>5</v>
      </c>
      <c r="BS27" s="81"/>
      <c r="BT27" s="81"/>
      <c r="BU27" s="81"/>
      <c r="BV27" s="81"/>
      <c r="BW27" s="81"/>
      <c r="BX27" s="81"/>
      <c r="BY27" s="81"/>
      <c r="BZ27" s="9">
        <f t="shared" si="2"/>
        <v>6</v>
      </c>
      <c r="CB27" s="148"/>
      <c r="CC27" s="2" t="str">
        <v>M42</v>
      </c>
      <c r="CD27" s="90">
        <v>164</v>
      </c>
      <c r="CE27" s="92">
        <f t="shared" si="8"/>
        <v>20.5771643663739</v>
      </c>
    </row>
    <row r="28" spans="1:83" s="2" customFormat="1" ht="19.5" thickBot="1" x14ac:dyDescent="0.35">
      <c r="A28" s="17">
        <v>24</v>
      </c>
      <c r="B28" s="135"/>
      <c r="C28" s="18" t="s">
        <v>65</v>
      </c>
      <c r="D28" s="19"/>
      <c r="E28" s="19"/>
      <c r="F28" s="19"/>
      <c r="G28" s="30"/>
      <c r="H28" s="31"/>
      <c r="I28" s="40"/>
      <c r="J28" s="31"/>
      <c r="K28" s="40"/>
      <c r="L28" s="31"/>
      <c r="M28" s="40"/>
      <c r="N28" s="31"/>
      <c r="O28" s="40"/>
      <c r="P28" s="31"/>
      <c r="Q28" s="40"/>
      <c r="R28" s="31"/>
      <c r="S28" s="31"/>
      <c r="T28" s="31"/>
      <c r="U28" s="40"/>
      <c r="V28" s="31"/>
      <c r="W28" s="31"/>
      <c r="X28" s="31"/>
      <c r="Y28" s="31"/>
      <c r="Z28" s="31"/>
      <c r="AA28" s="31"/>
      <c r="AB28" s="31"/>
      <c r="AC28" s="31"/>
      <c r="AD28" s="46">
        <v>24</v>
      </c>
      <c r="AE28" s="46"/>
      <c r="AF28" s="46"/>
      <c r="AG28" s="46"/>
      <c r="AH28" s="46"/>
      <c r="AI28" s="46"/>
      <c r="AJ28" s="46"/>
      <c r="AK28" s="46"/>
      <c r="AL28" s="46"/>
      <c r="AM28" s="46"/>
      <c r="AN28" s="46">
        <v>21</v>
      </c>
      <c r="AO28" s="46"/>
      <c r="AP28" s="46"/>
      <c r="AQ28" s="46">
        <v>24</v>
      </c>
      <c r="AR28" s="46"/>
      <c r="AS28" s="46"/>
      <c r="AT28" s="46"/>
      <c r="AU28" s="46"/>
      <c r="AV28" s="46"/>
      <c r="AW28" s="46"/>
      <c r="AX28" s="46"/>
      <c r="AY28" s="55">
        <f t="shared" si="4"/>
        <v>69</v>
      </c>
      <c r="AZ28" s="56">
        <v>0</v>
      </c>
      <c r="BA28" s="57">
        <v>0</v>
      </c>
      <c r="BB28" s="57">
        <f>+'[1]25'!R82</f>
        <v>21</v>
      </c>
      <c r="BC28" s="57">
        <v>13</v>
      </c>
      <c r="BD28" s="57"/>
      <c r="BE28" s="57"/>
      <c r="BF28" s="57"/>
      <c r="BG28" s="57"/>
      <c r="BH28" s="57"/>
      <c r="BI28" s="55">
        <f t="shared" si="5"/>
        <v>34</v>
      </c>
      <c r="BJ28" s="69">
        <f t="shared" si="6"/>
        <v>35</v>
      </c>
      <c r="BK28" s="69">
        <f t="shared" si="0"/>
        <v>0</v>
      </c>
      <c r="BM28" s="75"/>
      <c r="BN28" s="57">
        <f t="shared" si="1"/>
        <v>32</v>
      </c>
      <c r="BO28" s="80"/>
      <c r="BP28" s="81">
        <v>2</v>
      </c>
      <c r="BQ28" s="81"/>
      <c r="BR28" s="81">
        <v>1</v>
      </c>
      <c r="BS28" s="81"/>
      <c r="BT28" s="81"/>
      <c r="BU28" s="81"/>
      <c r="BV28" s="81"/>
      <c r="BW28" s="81"/>
      <c r="BX28" s="81"/>
      <c r="BY28" s="81"/>
      <c r="BZ28" s="9">
        <f t="shared" si="2"/>
        <v>3</v>
      </c>
      <c r="CB28" s="148"/>
      <c r="CC28" s="2" t="str">
        <v>M43</v>
      </c>
      <c r="CD28" s="90">
        <v>151</v>
      </c>
      <c r="CE28" s="92">
        <f t="shared" si="8"/>
        <v>18.946047678795484</v>
      </c>
    </row>
    <row r="29" spans="1:83" s="2" customFormat="1" ht="19.5" thickBot="1" x14ac:dyDescent="0.35">
      <c r="A29" s="17">
        <v>25</v>
      </c>
      <c r="B29" s="135"/>
      <c r="C29" s="18" t="s">
        <v>66</v>
      </c>
      <c r="D29" s="19"/>
      <c r="E29" s="19"/>
      <c r="F29" s="19"/>
      <c r="G29" s="30"/>
      <c r="H29" s="31"/>
      <c r="I29" s="40"/>
      <c r="J29" s="31"/>
      <c r="K29" s="40"/>
      <c r="L29" s="31"/>
      <c r="M29" s="40"/>
      <c r="N29" s="31"/>
      <c r="O29" s="40"/>
      <c r="P29" s="31"/>
      <c r="Q29" s="40"/>
      <c r="R29" s="31"/>
      <c r="S29" s="31"/>
      <c r="T29" s="31"/>
      <c r="U29" s="40"/>
      <c r="V29" s="31"/>
      <c r="W29" s="31"/>
      <c r="X29" s="31"/>
      <c r="Y29" s="31"/>
      <c r="Z29" s="31"/>
      <c r="AA29" s="31"/>
      <c r="AB29" s="31"/>
      <c r="AC29" s="31"/>
      <c r="AD29" s="46">
        <v>15</v>
      </c>
      <c r="AE29" s="46"/>
      <c r="AF29" s="46"/>
      <c r="AG29" s="46"/>
      <c r="AH29" s="46"/>
      <c r="AI29" s="46"/>
      <c r="AJ29" s="46"/>
      <c r="AK29" s="46"/>
      <c r="AL29" s="46"/>
      <c r="AM29" s="46"/>
      <c r="AN29" s="46">
        <v>15</v>
      </c>
      <c r="AO29" s="46"/>
      <c r="AP29" s="46"/>
      <c r="AQ29" s="46">
        <v>15</v>
      </c>
      <c r="AR29" s="46"/>
      <c r="AS29" s="46"/>
      <c r="AT29" s="46"/>
      <c r="AU29" s="46"/>
      <c r="AV29" s="46"/>
      <c r="AW29" s="46"/>
      <c r="AX29" s="46"/>
      <c r="AY29" s="55">
        <f t="shared" si="4"/>
        <v>45</v>
      </c>
      <c r="AZ29" s="56">
        <v>0</v>
      </c>
      <c r="BA29" s="57">
        <v>0</v>
      </c>
      <c r="BB29" s="57">
        <v>15</v>
      </c>
      <c r="BC29" s="57">
        <v>15</v>
      </c>
      <c r="BD29" s="57"/>
      <c r="BE29" s="57"/>
      <c r="BF29" s="57"/>
      <c r="BG29" s="57"/>
      <c r="BH29" s="57"/>
      <c r="BI29" s="55">
        <f t="shared" si="5"/>
        <v>30</v>
      </c>
      <c r="BJ29" s="69">
        <f t="shared" si="6"/>
        <v>15</v>
      </c>
      <c r="BK29" s="69">
        <f t="shared" si="0"/>
        <v>0</v>
      </c>
      <c r="BM29" s="75"/>
      <c r="BN29" s="57">
        <f t="shared" si="1"/>
        <v>12</v>
      </c>
      <c r="BO29" s="80"/>
      <c r="BP29" s="81">
        <v>1</v>
      </c>
      <c r="BQ29" s="81"/>
      <c r="BR29" s="81">
        <v>2</v>
      </c>
      <c r="BS29" s="81"/>
      <c r="BT29" s="81"/>
      <c r="BU29" s="81"/>
      <c r="BV29" s="81"/>
      <c r="BW29" s="81"/>
      <c r="BX29" s="81"/>
      <c r="BY29" s="81"/>
      <c r="BZ29" s="9">
        <f t="shared" si="2"/>
        <v>3</v>
      </c>
      <c r="CB29" s="148"/>
      <c r="CC29" s="2" t="str">
        <v>M44</v>
      </c>
      <c r="CD29" s="90">
        <v>99</v>
      </c>
      <c r="CE29" s="92">
        <f t="shared" si="8"/>
        <v>12.421580928481808</v>
      </c>
    </row>
    <row r="30" spans="1:83" s="2" customFormat="1" ht="19.5" thickBot="1" x14ac:dyDescent="0.35">
      <c r="A30" s="17">
        <v>26</v>
      </c>
      <c r="B30" s="135"/>
      <c r="C30" s="18" t="s">
        <v>67</v>
      </c>
      <c r="D30" s="19"/>
      <c r="E30" s="19"/>
      <c r="F30" s="19"/>
      <c r="G30" s="30"/>
      <c r="H30" s="31"/>
      <c r="I30" s="40"/>
      <c r="J30" s="31"/>
      <c r="K30" s="40"/>
      <c r="L30" s="31"/>
      <c r="M30" s="40"/>
      <c r="N30" s="31"/>
      <c r="O30" s="40"/>
      <c r="P30" s="31"/>
      <c r="Q30" s="40"/>
      <c r="R30" s="31"/>
      <c r="S30" s="31"/>
      <c r="T30" s="31"/>
      <c r="U30" s="40"/>
      <c r="V30" s="31"/>
      <c r="W30" s="31"/>
      <c r="X30" s="31"/>
      <c r="Y30" s="31"/>
      <c r="Z30" s="31"/>
      <c r="AA30" s="31"/>
      <c r="AB30" s="31"/>
      <c r="AC30" s="31"/>
      <c r="AD30" s="46">
        <v>9</v>
      </c>
      <c r="AE30" s="46"/>
      <c r="AF30" s="46"/>
      <c r="AG30" s="46"/>
      <c r="AH30" s="46"/>
      <c r="AI30" s="46"/>
      <c r="AJ30" s="46"/>
      <c r="AK30" s="46"/>
      <c r="AL30" s="46"/>
      <c r="AM30" s="46"/>
      <c r="AN30" s="46">
        <v>9</v>
      </c>
      <c r="AO30" s="46"/>
      <c r="AP30" s="46"/>
      <c r="AQ30" s="46">
        <v>9</v>
      </c>
      <c r="AR30" s="46"/>
      <c r="AS30" s="46"/>
      <c r="AT30" s="46"/>
      <c r="AU30" s="46"/>
      <c r="AV30" s="46"/>
      <c r="AW30" s="46"/>
      <c r="AX30" s="46"/>
      <c r="AY30" s="55">
        <f t="shared" si="4"/>
        <v>27</v>
      </c>
      <c r="AZ30" s="56">
        <v>0</v>
      </c>
      <c r="BA30" s="57">
        <v>0</v>
      </c>
      <c r="BB30" s="57">
        <f>+'[1]25'!R84</f>
        <v>6</v>
      </c>
      <c r="BC30" s="57">
        <v>5</v>
      </c>
      <c r="BD30" s="57"/>
      <c r="BE30" s="57"/>
      <c r="BF30" s="57"/>
      <c r="BG30" s="57"/>
      <c r="BH30" s="57"/>
      <c r="BI30" s="55">
        <f t="shared" si="5"/>
        <v>11</v>
      </c>
      <c r="BJ30" s="69">
        <f t="shared" si="6"/>
        <v>16</v>
      </c>
      <c r="BK30" s="69">
        <f t="shared" si="0"/>
        <v>0</v>
      </c>
      <c r="BM30" s="75"/>
      <c r="BN30" s="57">
        <f t="shared" si="1"/>
        <v>13</v>
      </c>
      <c r="BO30" s="80"/>
      <c r="BP30" s="81">
        <v>2</v>
      </c>
      <c r="BQ30" s="81"/>
      <c r="BR30" s="81">
        <v>1</v>
      </c>
      <c r="BS30" s="81"/>
      <c r="BT30" s="81"/>
      <c r="BU30" s="81"/>
      <c r="BV30" s="81"/>
      <c r="BW30" s="81"/>
      <c r="BX30" s="81"/>
      <c r="BY30" s="81"/>
      <c r="BZ30" s="9">
        <f t="shared" si="2"/>
        <v>3</v>
      </c>
      <c r="CB30" s="148"/>
      <c r="CC30" s="2" t="str">
        <v>M45</v>
      </c>
      <c r="CD30" s="90">
        <v>78</v>
      </c>
      <c r="CE30" s="92">
        <f t="shared" si="8"/>
        <v>9.7867001254705137</v>
      </c>
    </row>
    <row r="31" spans="1:83" s="2" customFormat="1" ht="19.5" thickBot="1" x14ac:dyDescent="0.35">
      <c r="A31" s="17">
        <v>27</v>
      </c>
      <c r="B31" s="135"/>
      <c r="C31" s="18" t="s">
        <v>68</v>
      </c>
      <c r="D31" s="19"/>
      <c r="E31" s="19"/>
      <c r="F31" s="19"/>
      <c r="G31" s="30"/>
      <c r="H31" s="31"/>
      <c r="I31" s="40"/>
      <c r="J31" s="31"/>
      <c r="K31" s="40"/>
      <c r="L31" s="31"/>
      <c r="M31" s="40"/>
      <c r="N31" s="31"/>
      <c r="O31" s="40"/>
      <c r="P31" s="31"/>
      <c r="Q31" s="40"/>
      <c r="R31" s="31"/>
      <c r="S31" s="31"/>
      <c r="T31" s="31"/>
      <c r="U31" s="40"/>
      <c r="V31" s="31"/>
      <c r="W31" s="31"/>
      <c r="X31" s="31"/>
      <c r="Y31" s="31"/>
      <c r="Z31" s="31"/>
      <c r="AA31" s="31"/>
      <c r="AB31" s="31"/>
      <c r="AC31" s="31"/>
      <c r="AD31" s="46">
        <v>6</v>
      </c>
      <c r="AE31" s="46"/>
      <c r="AF31" s="46"/>
      <c r="AG31" s="46"/>
      <c r="AH31" s="46"/>
      <c r="AI31" s="46"/>
      <c r="AJ31" s="46"/>
      <c r="AK31" s="46"/>
      <c r="AL31" s="46"/>
      <c r="AM31" s="46"/>
      <c r="AN31" s="46">
        <v>6</v>
      </c>
      <c r="AO31" s="46"/>
      <c r="AP31" s="46"/>
      <c r="AQ31" s="46">
        <v>6</v>
      </c>
      <c r="AR31" s="46"/>
      <c r="AS31" s="46"/>
      <c r="AT31" s="46"/>
      <c r="AU31" s="46"/>
      <c r="AV31" s="46"/>
      <c r="AW31" s="46"/>
      <c r="AX31" s="46"/>
      <c r="AY31" s="55">
        <f t="shared" si="4"/>
        <v>18</v>
      </c>
      <c r="AZ31" s="56">
        <v>0</v>
      </c>
      <c r="BA31" s="57">
        <v>0</v>
      </c>
      <c r="BB31" s="57">
        <f>+'[1]25'!R85</f>
        <v>2</v>
      </c>
      <c r="BC31" s="57">
        <v>3</v>
      </c>
      <c r="BD31" s="57"/>
      <c r="BE31" s="57"/>
      <c r="BF31" s="57"/>
      <c r="BG31" s="57"/>
      <c r="BH31" s="57"/>
      <c r="BI31" s="55">
        <f t="shared" si="5"/>
        <v>5</v>
      </c>
      <c r="BJ31" s="69">
        <f t="shared" si="6"/>
        <v>13</v>
      </c>
      <c r="BK31" s="69">
        <f t="shared" si="0"/>
        <v>0</v>
      </c>
      <c r="BM31" s="75"/>
      <c r="BN31" s="57">
        <f t="shared" si="1"/>
        <v>10</v>
      </c>
      <c r="BO31" s="80"/>
      <c r="BP31" s="81">
        <v>2</v>
      </c>
      <c r="BQ31" s="81"/>
      <c r="BR31" s="81">
        <v>1</v>
      </c>
      <c r="BS31" s="81"/>
      <c r="BT31" s="81"/>
      <c r="BU31" s="81"/>
      <c r="BV31" s="81"/>
      <c r="BW31" s="81"/>
      <c r="BX31" s="81"/>
      <c r="BY31" s="81"/>
      <c r="BZ31" s="9">
        <f t="shared" si="2"/>
        <v>3</v>
      </c>
      <c r="CB31" s="148"/>
      <c r="CC31" s="2" t="str">
        <v>M46</v>
      </c>
      <c r="CD31" s="90">
        <v>42</v>
      </c>
      <c r="CE31" s="92">
        <f t="shared" si="8"/>
        <v>5.2697616060225849</v>
      </c>
    </row>
    <row r="32" spans="1:83" s="2" customFormat="1" ht="19.5" thickBot="1" x14ac:dyDescent="0.35">
      <c r="A32" s="17">
        <v>28</v>
      </c>
      <c r="B32" s="135"/>
      <c r="C32" s="20" t="s">
        <v>69</v>
      </c>
      <c r="D32" s="21"/>
      <c r="E32" s="21"/>
      <c r="F32" s="21"/>
      <c r="G32" s="32"/>
      <c r="H32" s="33"/>
      <c r="I32" s="41"/>
      <c r="J32" s="33"/>
      <c r="K32" s="41"/>
      <c r="L32" s="33"/>
      <c r="M32" s="41"/>
      <c r="N32" s="33"/>
      <c r="O32" s="41"/>
      <c r="P32" s="33"/>
      <c r="Q32" s="41"/>
      <c r="R32" s="33"/>
      <c r="S32" s="33"/>
      <c r="T32" s="33"/>
      <c r="U32" s="41"/>
      <c r="V32" s="33"/>
      <c r="W32" s="33"/>
      <c r="X32" s="33"/>
      <c r="Y32" s="33"/>
      <c r="Z32" s="33"/>
      <c r="AA32" s="33"/>
      <c r="AB32" s="33"/>
      <c r="AC32" s="33"/>
      <c r="AD32" s="47">
        <v>3</v>
      </c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55">
        <f t="shared" si="4"/>
        <v>3</v>
      </c>
      <c r="AZ32" s="59">
        <v>0</v>
      </c>
      <c r="BA32" s="60">
        <v>0</v>
      </c>
      <c r="BB32" s="60">
        <f>+'[1]25'!R86</f>
        <v>1</v>
      </c>
      <c r="BC32" s="60">
        <v>0</v>
      </c>
      <c r="BD32" s="60"/>
      <c r="BE32" s="60"/>
      <c r="BF32" s="60"/>
      <c r="BG32" s="60"/>
      <c r="BH32" s="60"/>
      <c r="BI32" s="58">
        <f t="shared" si="5"/>
        <v>1</v>
      </c>
      <c r="BJ32" s="70">
        <f t="shared" si="6"/>
        <v>2</v>
      </c>
      <c r="BK32" s="70">
        <f t="shared" si="0"/>
        <v>0</v>
      </c>
      <c r="BL32" s="76"/>
      <c r="BM32" s="77"/>
      <c r="BN32" s="60">
        <f t="shared" si="1"/>
        <v>2</v>
      </c>
      <c r="BO32" s="82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9">
        <f t="shared" si="2"/>
        <v>0</v>
      </c>
      <c r="CB32" s="148"/>
      <c r="CC32" s="2" t="str">
        <v>M47</v>
      </c>
      <c r="CD32" s="90">
        <v>30</v>
      </c>
      <c r="CE32" s="92">
        <f t="shared" si="8"/>
        <v>3.7641154328732744</v>
      </c>
    </row>
    <row r="33" spans="1:83" s="2" customFormat="1" ht="19.5" thickBot="1" x14ac:dyDescent="0.35">
      <c r="A33" s="17">
        <v>29</v>
      </c>
      <c r="B33" s="134" t="s">
        <v>74</v>
      </c>
      <c r="C33" s="18" t="s">
        <v>61</v>
      </c>
      <c r="D33" s="19"/>
      <c r="E33" s="19"/>
      <c r="F33" s="19"/>
      <c r="G33" s="30"/>
      <c r="H33" s="31"/>
      <c r="I33" s="40"/>
      <c r="J33" s="31"/>
      <c r="K33" s="40"/>
      <c r="L33" s="31"/>
      <c r="M33" s="40"/>
      <c r="N33" s="31"/>
      <c r="O33" s="40"/>
      <c r="P33" s="31"/>
      <c r="Q33" s="40"/>
      <c r="R33" s="31"/>
      <c r="S33" s="31"/>
      <c r="T33" s="31"/>
      <c r="U33" s="40"/>
      <c r="V33" s="31"/>
      <c r="W33" s="31"/>
      <c r="X33" s="31"/>
      <c r="Y33" s="31"/>
      <c r="Z33" s="31"/>
      <c r="AA33" s="31"/>
      <c r="AB33" s="31"/>
      <c r="AC33" s="31"/>
      <c r="AD33" s="46"/>
      <c r="AE33" s="46"/>
      <c r="AF33" s="46"/>
      <c r="AG33" s="46"/>
      <c r="AH33" s="46"/>
      <c r="AI33" s="46"/>
      <c r="AJ33" s="46">
        <v>6</v>
      </c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55">
        <f t="shared" si="4"/>
        <v>6</v>
      </c>
      <c r="AZ33" s="56"/>
      <c r="BA33" s="57"/>
      <c r="BB33" s="57">
        <f>+'[1]25'!R87</f>
        <v>2</v>
      </c>
      <c r="BC33" s="57">
        <v>4</v>
      </c>
      <c r="BD33" s="57"/>
      <c r="BE33" s="57"/>
      <c r="BF33" s="57"/>
      <c r="BG33" s="57"/>
      <c r="BH33" s="57"/>
      <c r="BI33" s="55">
        <f t="shared" si="5"/>
        <v>6</v>
      </c>
      <c r="BJ33" s="69">
        <f t="shared" si="6"/>
        <v>0</v>
      </c>
      <c r="BK33" s="69">
        <f t="shared" si="0"/>
        <v>0</v>
      </c>
      <c r="BM33" s="75"/>
      <c r="BN33" s="57">
        <f t="shared" si="1"/>
        <v>0</v>
      </c>
      <c r="BO33" s="80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9">
        <f t="shared" si="2"/>
        <v>0</v>
      </c>
      <c r="CB33" s="148"/>
      <c r="CC33" s="2" t="str">
        <v>M48</v>
      </c>
      <c r="CD33" s="90">
        <v>15</v>
      </c>
      <c r="CE33" s="92">
        <f t="shared" si="8"/>
        <v>1.8820577164366372</v>
      </c>
    </row>
    <row r="34" spans="1:83" s="2" customFormat="1" ht="19.5" thickBot="1" x14ac:dyDescent="0.35">
      <c r="A34" s="17">
        <v>30</v>
      </c>
      <c r="B34" s="135"/>
      <c r="C34" s="18" t="s">
        <v>62</v>
      </c>
      <c r="D34" s="19"/>
      <c r="E34" s="19"/>
      <c r="F34" s="19"/>
      <c r="G34" s="30"/>
      <c r="H34" s="31"/>
      <c r="I34" s="40"/>
      <c r="J34" s="31"/>
      <c r="K34" s="40"/>
      <c r="L34" s="31"/>
      <c r="M34" s="40"/>
      <c r="N34" s="31"/>
      <c r="O34" s="40"/>
      <c r="P34" s="31"/>
      <c r="Q34" s="40"/>
      <c r="R34" s="31"/>
      <c r="S34" s="31"/>
      <c r="T34" s="31"/>
      <c r="U34" s="40"/>
      <c r="V34" s="31"/>
      <c r="W34" s="31"/>
      <c r="X34" s="31"/>
      <c r="Y34" s="31"/>
      <c r="Z34" s="31"/>
      <c r="AA34" s="31"/>
      <c r="AB34" s="31"/>
      <c r="AC34" s="31"/>
      <c r="AD34" s="46"/>
      <c r="AE34" s="46"/>
      <c r="AF34" s="46"/>
      <c r="AG34" s="46"/>
      <c r="AH34" s="46"/>
      <c r="AI34" s="46"/>
      <c r="AJ34" s="46">
        <v>12</v>
      </c>
      <c r="AK34" s="46"/>
      <c r="AL34" s="46"/>
      <c r="AM34" s="46"/>
      <c r="AN34" s="46">
        <v>9</v>
      </c>
      <c r="AO34" s="46"/>
      <c r="AP34" s="46"/>
      <c r="AQ34" s="46">
        <v>9</v>
      </c>
      <c r="AR34" s="46"/>
      <c r="AS34" s="46"/>
      <c r="AT34" s="46"/>
      <c r="AU34" s="46"/>
      <c r="AV34" s="46"/>
      <c r="AW34" s="46"/>
      <c r="AX34" s="46"/>
      <c r="AY34" s="55">
        <f t="shared" si="4"/>
        <v>30</v>
      </c>
      <c r="AZ34" s="56"/>
      <c r="BA34" s="57"/>
      <c r="BB34" s="57">
        <f>+'[1]25'!R88</f>
        <v>4</v>
      </c>
      <c r="BC34" s="57">
        <v>19</v>
      </c>
      <c r="BD34" s="57"/>
      <c r="BE34" s="57"/>
      <c r="BF34" s="57"/>
      <c r="BG34" s="57"/>
      <c r="BH34" s="57"/>
      <c r="BI34" s="55">
        <f t="shared" si="5"/>
        <v>23</v>
      </c>
      <c r="BJ34" s="69">
        <f t="shared" si="6"/>
        <v>7</v>
      </c>
      <c r="BK34" s="69">
        <f t="shared" si="0"/>
        <v>0</v>
      </c>
      <c r="BM34" s="75"/>
      <c r="BN34" s="57">
        <f t="shared" si="1"/>
        <v>7</v>
      </c>
      <c r="BO34" s="80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9">
        <f t="shared" si="2"/>
        <v>0</v>
      </c>
      <c r="CB34" s="148"/>
      <c r="CC34" s="91" t="str">
        <v>Total</v>
      </c>
      <c r="CD34" s="88">
        <v>797</v>
      </c>
      <c r="CE34" s="93">
        <f>SUM(CE24:CE33)</f>
        <v>99.999999999999986</v>
      </c>
    </row>
    <row r="35" spans="1:83" s="2" customFormat="1" ht="19.5" thickBot="1" x14ac:dyDescent="0.35">
      <c r="A35" s="17">
        <v>31</v>
      </c>
      <c r="B35" s="135"/>
      <c r="C35" s="18" t="s">
        <v>63</v>
      </c>
      <c r="D35" s="19"/>
      <c r="E35" s="19"/>
      <c r="F35" s="19"/>
      <c r="G35" s="30"/>
      <c r="H35" s="31"/>
      <c r="I35" s="40"/>
      <c r="J35" s="31"/>
      <c r="K35" s="40"/>
      <c r="L35" s="31"/>
      <c r="M35" s="40"/>
      <c r="N35" s="31"/>
      <c r="O35" s="40"/>
      <c r="P35" s="31"/>
      <c r="Q35" s="40"/>
      <c r="R35" s="31"/>
      <c r="S35" s="31"/>
      <c r="T35" s="31"/>
      <c r="U35" s="40"/>
      <c r="V35" s="31"/>
      <c r="W35" s="31"/>
      <c r="X35" s="31"/>
      <c r="Y35" s="31"/>
      <c r="Z35" s="31"/>
      <c r="AA35" s="31"/>
      <c r="AB35" s="31"/>
      <c r="AC35" s="31"/>
      <c r="AD35" s="46"/>
      <c r="AE35" s="46"/>
      <c r="AF35" s="46"/>
      <c r="AG35" s="46"/>
      <c r="AH35" s="46"/>
      <c r="AI35" s="46"/>
      <c r="AJ35" s="46">
        <v>24</v>
      </c>
      <c r="AK35" s="46"/>
      <c r="AL35" s="46"/>
      <c r="AM35" s="46"/>
      <c r="AN35" s="46">
        <v>18</v>
      </c>
      <c r="AO35" s="46"/>
      <c r="AP35" s="46"/>
      <c r="AQ35" s="46">
        <v>18</v>
      </c>
      <c r="AR35" s="46"/>
      <c r="AS35" s="46"/>
      <c r="AT35" s="46"/>
      <c r="AU35" s="46"/>
      <c r="AV35" s="46"/>
      <c r="AW35" s="46"/>
      <c r="AX35" s="46"/>
      <c r="AY35" s="55">
        <f t="shared" si="4"/>
        <v>60</v>
      </c>
      <c r="AZ35" s="56"/>
      <c r="BA35" s="57"/>
      <c r="BB35" s="57">
        <f>+'[1]25'!R89</f>
        <v>2</v>
      </c>
      <c r="BC35" s="57">
        <v>51</v>
      </c>
      <c r="BD35" s="57"/>
      <c r="BE35" s="57"/>
      <c r="BF35" s="57"/>
      <c r="BG35" s="57"/>
      <c r="BH35" s="57"/>
      <c r="BI35" s="55">
        <f t="shared" si="5"/>
        <v>53</v>
      </c>
      <c r="BJ35" s="69">
        <f t="shared" si="6"/>
        <v>7</v>
      </c>
      <c r="BK35" s="69">
        <f t="shared" si="0"/>
        <v>0</v>
      </c>
      <c r="BM35" s="75"/>
      <c r="BN35" s="57">
        <f t="shared" si="1"/>
        <v>0</v>
      </c>
      <c r="BO35" s="80"/>
      <c r="BP35" s="81">
        <v>2</v>
      </c>
      <c r="BQ35" s="81">
        <v>2</v>
      </c>
      <c r="BR35" s="81">
        <v>2</v>
      </c>
      <c r="BS35" s="81"/>
      <c r="BT35" s="81">
        <v>1</v>
      </c>
      <c r="BU35" s="81"/>
      <c r="BV35" s="81"/>
      <c r="BW35" s="81"/>
      <c r="BX35" s="81"/>
      <c r="BY35" s="81"/>
      <c r="BZ35" s="9">
        <f t="shared" si="2"/>
        <v>7</v>
      </c>
      <c r="CB35" s="148" t="s">
        <v>72</v>
      </c>
      <c r="CC35" s="2" t="str" cm="1">
        <f t="array" ref="CC35:CD42">_xlfn.GROUPBY(C137:C143,BI137:BI143,_xleta.SUM)</f>
        <v>W36</v>
      </c>
      <c r="CD35" s="90">
        <v>12</v>
      </c>
      <c r="CE35" s="92">
        <f>+CD35/$CD$42*100</f>
        <v>5.4054054054054053</v>
      </c>
    </row>
    <row r="36" spans="1:83" s="2" customFormat="1" ht="19.5" thickBot="1" x14ac:dyDescent="0.35">
      <c r="A36" s="17">
        <v>32</v>
      </c>
      <c r="B36" s="135"/>
      <c r="C36" s="18" t="s">
        <v>64</v>
      </c>
      <c r="D36" s="19"/>
      <c r="E36" s="19"/>
      <c r="F36" s="19"/>
      <c r="G36" s="30"/>
      <c r="H36" s="31"/>
      <c r="I36" s="40"/>
      <c r="J36" s="31"/>
      <c r="K36" s="40"/>
      <c r="L36" s="31"/>
      <c r="M36" s="40"/>
      <c r="N36" s="31"/>
      <c r="O36" s="40"/>
      <c r="P36" s="31"/>
      <c r="Q36" s="40"/>
      <c r="R36" s="31"/>
      <c r="S36" s="31"/>
      <c r="T36" s="31"/>
      <c r="U36" s="40"/>
      <c r="V36" s="31"/>
      <c r="W36" s="31"/>
      <c r="X36" s="31"/>
      <c r="Y36" s="31"/>
      <c r="Z36" s="31"/>
      <c r="AA36" s="31"/>
      <c r="AB36" s="31"/>
      <c r="AC36" s="31"/>
      <c r="AD36" s="46"/>
      <c r="AE36" s="46"/>
      <c r="AF36" s="46"/>
      <c r="AG36" s="46"/>
      <c r="AH36" s="46"/>
      <c r="AI36" s="46"/>
      <c r="AJ36" s="46">
        <v>36</v>
      </c>
      <c r="AK36" s="46"/>
      <c r="AL36" s="46"/>
      <c r="AM36" s="46"/>
      <c r="AN36" s="46">
        <v>24</v>
      </c>
      <c r="AO36" s="46"/>
      <c r="AP36" s="46"/>
      <c r="AQ36" s="46">
        <v>24</v>
      </c>
      <c r="AR36" s="46"/>
      <c r="AS36" s="46"/>
      <c r="AT36" s="46"/>
      <c r="AU36" s="46"/>
      <c r="AV36" s="46"/>
      <c r="AW36" s="46"/>
      <c r="AX36" s="46"/>
      <c r="AY36" s="55">
        <f t="shared" si="4"/>
        <v>84</v>
      </c>
      <c r="AZ36" s="56"/>
      <c r="BA36" s="57"/>
      <c r="BB36" s="57">
        <f>+'[1]25'!R90</f>
        <v>4</v>
      </c>
      <c r="BC36" s="57">
        <v>67</v>
      </c>
      <c r="BD36" s="57"/>
      <c r="BE36" s="57"/>
      <c r="BF36" s="57"/>
      <c r="BG36" s="57"/>
      <c r="BH36" s="57"/>
      <c r="BI36" s="55">
        <f t="shared" si="5"/>
        <v>71</v>
      </c>
      <c r="BJ36" s="69">
        <f t="shared" si="6"/>
        <v>13</v>
      </c>
      <c r="BK36" s="69">
        <f t="shared" si="0"/>
        <v>0</v>
      </c>
      <c r="BM36" s="75"/>
      <c r="BN36" s="57">
        <f t="shared" si="1"/>
        <v>4</v>
      </c>
      <c r="BO36" s="80"/>
      <c r="BP36" s="81"/>
      <c r="BQ36" s="81"/>
      <c r="BR36" s="81">
        <v>4</v>
      </c>
      <c r="BS36" s="81">
        <v>3</v>
      </c>
      <c r="BT36" s="81">
        <v>1</v>
      </c>
      <c r="BU36" s="81"/>
      <c r="BV36" s="81"/>
      <c r="BW36" s="81"/>
      <c r="BX36" s="81">
        <v>1</v>
      </c>
      <c r="BY36" s="81"/>
      <c r="BZ36" s="9">
        <f t="shared" si="2"/>
        <v>9</v>
      </c>
      <c r="CB36" s="148"/>
      <c r="CC36" s="2" t="str">
        <v>W37</v>
      </c>
      <c r="CD36" s="90">
        <v>35</v>
      </c>
      <c r="CE36" s="92">
        <f t="shared" ref="CE36:CE41" si="9">+CD36/$CD$42*100</f>
        <v>15.765765765765765</v>
      </c>
    </row>
    <row r="37" spans="1:83" s="2" customFormat="1" ht="19.5" thickBot="1" x14ac:dyDescent="0.35">
      <c r="A37" s="17">
        <v>33</v>
      </c>
      <c r="B37" s="135"/>
      <c r="C37" s="18" t="s">
        <v>65</v>
      </c>
      <c r="D37" s="19"/>
      <c r="E37" s="19"/>
      <c r="F37" s="19"/>
      <c r="G37" s="30"/>
      <c r="H37" s="31"/>
      <c r="I37" s="40"/>
      <c r="J37" s="31"/>
      <c r="K37" s="40"/>
      <c r="L37" s="31"/>
      <c r="M37" s="40"/>
      <c r="N37" s="31"/>
      <c r="O37" s="40"/>
      <c r="P37" s="31"/>
      <c r="Q37" s="40"/>
      <c r="R37" s="31"/>
      <c r="S37" s="31"/>
      <c r="T37" s="31"/>
      <c r="U37" s="40"/>
      <c r="V37" s="31"/>
      <c r="W37" s="31"/>
      <c r="X37" s="31"/>
      <c r="Y37" s="31"/>
      <c r="Z37" s="31"/>
      <c r="AA37" s="31"/>
      <c r="AB37" s="31"/>
      <c r="AC37" s="31"/>
      <c r="AD37" s="46"/>
      <c r="AE37" s="46"/>
      <c r="AF37" s="46"/>
      <c r="AG37" s="46"/>
      <c r="AH37" s="46"/>
      <c r="AI37" s="46"/>
      <c r="AJ37" s="46">
        <v>36</v>
      </c>
      <c r="AK37" s="46"/>
      <c r="AL37" s="46"/>
      <c r="AM37" s="46"/>
      <c r="AN37" s="46">
        <v>24</v>
      </c>
      <c r="AO37" s="46"/>
      <c r="AP37" s="46"/>
      <c r="AQ37" s="46">
        <v>24</v>
      </c>
      <c r="AR37" s="46"/>
      <c r="AS37" s="46"/>
      <c r="AT37" s="46"/>
      <c r="AU37" s="46"/>
      <c r="AV37" s="46"/>
      <c r="AW37" s="46"/>
      <c r="AX37" s="46"/>
      <c r="AY37" s="55">
        <f t="shared" si="4"/>
        <v>84</v>
      </c>
      <c r="AZ37" s="56"/>
      <c r="BA37" s="57"/>
      <c r="BB37" s="57">
        <f>+'[1]25'!R91</f>
        <v>4</v>
      </c>
      <c r="BC37" s="57">
        <v>71</v>
      </c>
      <c r="BD37" s="57"/>
      <c r="BE37" s="57"/>
      <c r="BF37" s="57"/>
      <c r="BG37" s="57"/>
      <c r="BH37" s="57"/>
      <c r="BI37" s="55">
        <f t="shared" si="5"/>
        <v>75</v>
      </c>
      <c r="BJ37" s="69">
        <f t="shared" si="6"/>
        <v>9</v>
      </c>
      <c r="BK37" s="69">
        <f t="shared" si="0"/>
        <v>0</v>
      </c>
      <c r="BM37" s="75"/>
      <c r="BN37" s="57">
        <f t="shared" si="1"/>
        <v>5</v>
      </c>
      <c r="BO37" s="80"/>
      <c r="BP37" s="81">
        <v>2</v>
      </c>
      <c r="BQ37" s="81"/>
      <c r="BR37" s="81">
        <v>2</v>
      </c>
      <c r="BS37" s="81"/>
      <c r="BT37" s="81"/>
      <c r="BU37" s="81"/>
      <c r="BV37" s="81"/>
      <c r="BW37" s="81"/>
      <c r="BX37" s="81"/>
      <c r="BY37" s="81"/>
      <c r="BZ37" s="9">
        <f t="shared" si="2"/>
        <v>4</v>
      </c>
      <c r="CB37" s="148"/>
      <c r="CC37" s="2" t="str">
        <v>W38</v>
      </c>
      <c r="CD37" s="90">
        <v>58</v>
      </c>
      <c r="CE37" s="92">
        <f t="shared" si="9"/>
        <v>26.126126126126124</v>
      </c>
    </row>
    <row r="38" spans="1:83" s="2" customFormat="1" ht="19.5" thickBot="1" x14ac:dyDescent="0.35">
      <c r="A38" s="17">
        <v>34</v>
      </c>
      <c r="B38" s="135"/>
      <c r="C38" s="18" t="s">
        <v>66</v>
      </c>
      <c r="D38" s="19"/>
      <c r="E38" s="19"/>
      <c r="F38" s="19"/>
      <c r="G38" s="30"/>
      <c r="H38" s="31"/>
      <c r="I38" s="40"/>
      <c r="J38" s="31"/>
      <c r="K38" s="40"/>
      <c r="L38" s="31"/>
      <c r="M38" s="40"/>
      <c r="N38" s="31"/>
      <c r="O38" s="40"/>
      <c r="P38" s="31"/>
      <c r="Q38" s="40"/>
      <c r="R38" s="31"/>
      <c r="S38" s="31"/>
      <c r="T38" s="31"/>
      <c r="U38" s="40"/>
      <c r="V38" s="31"/>
      <c r="W38" s="31"/>
      <c r="X38" s="31"/>
      <c r="Y38" s="31"/>
      <c r="Z38" s="31"/>
      <c r="AA38" s="31"/>
      <c r="AB38" s="31"/>
      <c r="AC38" s="31"/>
      <c r="AD38" s="46"/>
      <c r="AE38" s="46"/>
      <c r="AF38" s="46"/>
      <c r="AG38" s="46"/>
      <c r="AH38" s="46"/>
      <c r="AI38" s="46"/>
      <c r="AJ38" s="46">
        <v>24</v>
      </c>
      <c r="AK38" s="46"/>
      <c r="AL38" s="46"/>
      <c r="AM38" s="46"/>
      <c r="AN38" s="46">
        <v>18</v>
      </c>
      <c r="AO38" s="46"/>
      <c r="AP38" s="46"/>
      <c r="AQ38" s="46">
        <v>15</v>
      </c>
      <c r="AR38" s="46"/>
      <c r="AS38" s="46"/>
      <c r="AT38" s="46"/>
      <c r="AU38" s="46"/>
      <c r="AV38" s="46"/>
      <c r="AW38" s="46"/>
      <c r="AX38" s="46"/>
      <c r="AY38" s="55">
        <f t="shared" si="4"/>
        <v>57</v>
      </c>
      <c r="AZ38" s="56"/>
      <c r="BA38" s="57"/>
      <c r="BB38" s="57">
        <f>+'[1]25'!R92</f>
        <v>6</v>
      </c>
      <c r="BC38" s="57">
        <v>49</v>
      </c>
      <c r="BD38" s="57"/>
      <c r="BE38" s="57"/>
      <c r="BF38" s="57"/>
      <c r="BG38" s="57"/>
      <c r="BH38" s="57"/>
      <c r="BI38" s="55">
        <f t="shared" si="5"/>
        <v>55</v>
      </c>
      <c r="BJ38" s="69">
        <f t="shared" si="6"/>
        <v>2</v>
      </c>
      <c r="BK38" s="69">
        <f t="shared" si="0"/>
        <v>0</v>
      </c>
      <c r="BM38" s="75"/>
      <c r="BN38" s="57">
        <f t="shared" si="1"/>
        <v>0</v>
      </c>
      <c r="BO38" s="80"/>
      <c r="BP38" s="81"/>
      <c r="BQ38" s="81"/>
      <c r="BR38" s="81"/>
      <c r="BS38" s="81"/>
      <c r="BT38" s="81"/>
      <c r="BU38" s="81"/>
      <c r="BV38" s="81"/>
      <c r="BW38" s="81"/>
      <c r="BX38" s="81">
        <v>1</v>
      </c>
      <c r="BY38" s="81">
        <v>1</v>
      </c>
      <c r="BZ38" s="9">
        <f t="shared" si="2"/>
        <v>2</v>
      </c>
      <c r="CB38" s="148"/>
      <c r="CC38" s="2" t="str">
        <v>W39</v>
      </c>
      <c r="CD38" s="90">
        <v>59</v>
      </c>
      <c r="CE38" s="92">
        <f t="shared" si="9"/>
        <v>26.576576576576578</v>
      </c>
    </row>
    <row r="39" spans="1:83" s="2" customFormat="1" ht="19.5" thickBot="1" x14ac:dyDescent="0.35">
      <c r="A39" s="17">
        <v>35</v>
      </c>
      <c r="B39" s="135"/>
      <c r="C39" s="18" t="s">
        <v>67</v>
      </c>
      <c r="D39" s="19"/>
      <c r="E39" s="19"/>
      <c r="F39" s="19"/>
      <c r="G39" s="30"/>
      <c r="H39" s="31"/>
      <c r="I39" s="40"/>
      <c r="J39" s="31"/>
      <c r="K39" s="40"/>
      <c r="L39" s="31"/>
      <c r="M39" s="40"/>
      <c r="N39" s="31"/>
      <c r="O39" s="40"/>
      <c r="P39" s="31"/>
      <c r="Q39" s="40"/>
      <c r="R39" s="31"/>
      <c r="S39" s="31"/>
      <c r="T39" s="31"/>
      <c r="U39" s="40"/>
      <c r="V39" s="31"/>
      <c r="W39" s="31"/>
      <c r="X39" s="31"/>
      <c r="Y39" s="31"/>
      <c r="Z39" s="31"/>
      <c r="AA39" s="31"/>
      <c r="AB39" s="31"/>
      <c r="AC39" s="31"/>
      <c r="AD39" s="46"/>
      <c r="AE39" s="46"/>
      <c r="AF39" s="46"/>
      <c r="AG39" s="46"/>
      <c r="AH39" s="46"/>
      <c r="AI39" s="46"/>
      <c r="AJ39" s="46">
        <v>12</v>
      </c>
      <c r="AK39" s="46"/>
      <c r="AL39" s="46"/>
      <c r="AM39" s="46"/>
      <c r="AN39" s="46">
        <v>9</v>
      </c>
      <c r="AO39" s="46"/>
      <c r="AP39" s="46"/>
      <c r="AQ39" s="46">
        <v>9</v>
      </c>
      <c r="AR39" s="46"/>
      <c r="AS39" s="46"/>
      <c r="AT39" s="46"/>
      <c r="AU39" s="46"/>
      <c r="AV39" s="46"/>
      <c r="AW39" s="46"/>
      <c r="AX39" s="46"/>
      <c r="AY39" s="55">
        <f t="shared" si="4"/>
        <v>30</v>
      </c>
      <c r="AZ39" s="56"/>
      <c r="BA39" s="57"/>
      <c r="BB39" s="57">
        <f>+'[1]25'!R93</f>
        <v>3</v>
      </c>
      <c r="BC39" s="57">
        <v>23</v>
      </c>
      <c r="BD39" s="57"/>
      <c r="BE39" s="57"/>
      <c r="BF39" s="57"/>
      <c r="BG39" s="57"/>
      <c r="BH39" s="57"/>
      <c r="BI39" s="55">
        <f t="shared" si="5"/>
        <v>26</v>
      </c>
      <c r="BJ39" s="69">
        <f t="shared" si="6"/>
        <v>4</v>
      </c>
      <c r="BK39" s="69">
        <f t="shared" si="0"/>
        <v>0</v>
      </c>
      <c r="BM39" s="75"/>
      <c r="BN39" s="57">
        <f t="shared" si="1"/>
        <v>2</v>
      </c>
      <c r="BO39" s="80"/>
      <c r="BP39" s="81">
        <v>2</v>
      </c>
      <c r="BQ39" s="81"/>
      <c r="BR39" s="81"/>
      <c r="BS39" s="81"/>
      <c r="BT39" s="81"/>
      <c r="BU39" s="81"/>
      <c r="BV39" s="81"/>
      <c r="BW39" s="81"/>
      <c r="BX39" s="81"/>
      <c r="BY39" s="81"/>
      <c r="BZ39" s="9">
        <f t="shared" si="2"/>
        <v>2</v>
      </c>
      <c r="CB39" s="148"/>
      <c r="CC39" s="2" t="str">
        <v>W40</v>
      </c>
      <c r="CD39" s="90">
        <v>37</v>
      </c>
      <c r="CE39" s="92">
        <f t="shared" si="9"/>
        <v>16.666666666666664</v>
      </c>
    </row>
    <row r="40" spans="1:83" s="2" customFormat="1" ht="19.5" thickBot="1" x14ac:dyDescent="0.35">
      <c r="A40" s="17">
        <v>36</v>
      </c>
      <c r="B40" s="135"/>
      <c r="C40" s="18" t="s">
        <v>68</v>
      </c>
      <c r="D40" s="19"/>
      <c r="E40" s="19"/>
      <c r="F40" s="19"/>
      <c r="G40" s="30"/>
      <c r="H40" s="31"/>
      <c r="I40" s="40"/>
      <c r="J40" s="31"/>
      <c r="K40" s="40"/>
      <c r="L40" s="31"/>
      <c r="M40" s="40"/>
      <c r="N40" s="31"/>
      <c r="O40" s="40"/>
      <c r="P40" s="31"/>
      <c r="Q40" s="40"/>
      <c r="R40" s="31"/>
      <c r="S40" s="31"/>
      <c r="T40" s="31"/>
      <c r="U40" s="40"/>
      <c r="V40" s="31"/>
      <c r="W40" s="31"/>
      <c r="X40" s="31"/>
      <c r="Y40" s="31"/>
      <c r="Z40" s="31"/>
      <c r="AA40" s="31"/>
      <c r="AB40" s="31"/>
      <c r="AC40" s="31"/>
      <c r="AD40" s="46"/>
      <c r="AE40" s="46"/>
      <c r="AF40" s="46"/>
      <c r="AG40" s="46"/>
      <c r="AH40" s="46"/>
      <c r="AI40" s="46"/>
      <c r="AJ40" s="46">
        <v>9</v>
      </c>
      <c r="AK40" s="46"/>
      <c r="AL40" s="46"/>
      <c r="AM40" s="46"/>
      <c r="AN40" s="46">
        <v>6</v>
      </c>
      <c r="AO40" s="46"/>
      <c r="AP40" s="46"/>
      <c r="AQ40" s="46">
        <v>6</v>
      </c>
      <c r="AR40" s="46"/>
      <c r="AS40" s="46"/>
      <c r="AT40" s="46"/>
      <c r="AU40" s="46"/>
      <c r="AV40" s="46"/>
      <c r="AW40" s="46"/>
      <c r="AX40" s="46"/>
      <c r="AY40" s="55">
        <f t="shared" si="4"/>
        <v>21</v>
      </c>
      <c r="AZ40" s="56"/>
      <c r="BA40" s="57"/>
      <c r="BB40" s="57">
        <f>+'[1]25'!R94</f>
        <v>3</v>
      </c>
      <c r="BC40" s="57">
        <v>10</v>
      </c>
      <c r="BD40" s="57"/>
      <c r="BE40" s="57"/>
      <c r="BF40" s="57"/>
      <c r="BG40" s="57"/>
      <c r="BH40" s="57"/>
      <c r="BI40" s="55">
        <f t="shared" si="5"/>
        <v>13</v>
      </c>
      <c r="BJ40" s="69">
        <f t="shared" si="6"/>
        <v>8</v>
      </c>
      <c r="BK40" s="69">
        <f t="shared" si="0"/>
        <v>0</v>
      </c>
      <c r="BM40" s="75"/>
      <c r="BN40" s="57">
        <f t="shared" si="1"/>
        <v>3</v>
      </c>
      <c r="BO40" s="80"/>
      <c r="BP40" s="81">
        <v>1</v>
      </c>
      <c r="BQ40" s="81">
        <v>1</v>
      </c>
      <c r="BR40" s="81">
        <v>3</v>
      </c>
      <c r="BS40" s="81"/>
      <c r="BT40" s="81"/>
      <c r="BU40" s="81"/>
      <c r="BV40" s="81"/>
      <c r="BW40" s="81"/>
      <c r="BX40" s="81"/>
      <c r="BY40" s="81"/>
      <c r="BZ40" s="9">
        <f t="shared" si="2"/>
        <v>5</v>
      </c>
      <c r="CB40" s="148"/>
      <c r="CC40" s="2" t="str">
        <v>W41</v>
      </c>
      <c r="CD40" s="90">
        <v>15</v>
      </c>
      <c r="CE40" s="92">
        <f t="shared" si="9"/>
        <v>6.756756756756757</v>
      </c>
    </row>
    <row r="41" spans="1:83" s="2" customFormat="1" ht="19.5" thickBot="1" x14ac:dyDescent="0.35">
      <c r="A41" s="17">
        <v>37</v>
      </c>
      <c r="B41" s="135"/>
      <c r="C41" s="18" t="s">
        <v>69</v>
      </c>
      <c r="D41" s="19"/>
      <c r="E41" s="19"/>
      <c r="F41" s="19"/>
      <c r="G41" s="30"/>
      <c r="H41" s="31"/>
      <c r="I41" s="40"/>
      <c r="J41" s="31"/>
      <c r="K41" s="40"/>
      <c r="L41" s="31"/>
      <c r="M41" s="40"/>
      <c r="N41" s="31"/>
      <c r="O41" s="40"/>
      <c r="P41" s="31"/>
      <c r="Q41" s="40"/>
      <c r="R41" s="31"/>
      <c r="S41" s="31"/>
      <c r="T41" s="31"/>
      <c r="U41" s="40"/>
      <c r="V41" s="31"/>
      <c r="W41" s="31"/>
      <c r="X41" s="31"/>
      <c r="Y41" s="31"/>
      <c r="Z41" s="31"/>
      <c r="AA41" s="31"/>
      <c r="AB41" s="31"/>
      <c r="AC41" s="31"/>
      <c r="AD41" s="46"/>
      <c r="AE41" s="46"/>
      <c r="AF41" s="46"/>
      <c r="AG41" s="46"/>
      <c r="AH41" s="46"/>
      <c r="AI41" s="46"/>
      <c r="AJ41" s="46">
        <v>6</v>
      </c>
      <c r="AK41" s="46"/>
      <c r="AL41" s="46"/>
      <c r="AM41" s="46"/>
      <c r="AN41" s="46"/>
      <c r="AO41" s="46"/>
      <c r="AP41" s="46"/>
      <c r="AQ41" s="46">
        <v>3</v>
      </c>
      <c r="AR41" s="46"/>
      <c r="AS41" s="46"/>
      <c r="AT41" s="46"/>
      <c r="AU41" s="46"/>
      <c r="AV41" s="46"/>
      <c r="AW41" s="46"/>
      <c r="AX41" s="46"/>
      <c r="AY41" s="55">
        <f t="shared" si="4"/>
        <v>9</v>
      </c>
      <c r="AZ41" s="56"/>
      <c r="BA41" s="57"/>
      <c r="BB41" s="57">
        <f>+'[1]25'!R95</f>
        <v>1</v>
      </c>
      <c r="BC41" s="57">
        <v>5</v>
      </c>
      <c r="BD41" s="57"/>
      <c r="BE41" s="57"/>
      <c r="BF41" s="57"/>
      <c r="BG41" s="57"/>
      <c r="BH41" s="57"/>
      <c r="BI41" s="55">
        <f t="shared" si="5"/>
        <v>6</v>
      </c>
      <c r="BJ41" s="69">
        <f t="shared" si="6"/>
        <v>3</v>
      </c>
      <c r="BK41" s="69">
        <f t="shared" si="0"/>
        <v>0</v>
      </c>
      <c r="BM41" s="75"/>
      <c r="BN41" s="57">
        <f t="shared" si="1"/>
        <v>0</v>
      </c>
      <c r="BO41" s="80"/>
      <c r="BP41" s="81">
        <v>1</v>
      </c>
      <c r="BQ41" s="81">
        <v>1</v>
      </c>
      <c r="BR41" s="81">
        <v>1</v>
      </c>
      <c r="BS41" s="81"/>
      <c r="BT41" s="81"/>
      <c r="BU41" s="81"/>
      <c r="BV41" s="81"/>
      <c r="BW41" s="81"/>
      <c r="BX41" s="81"/>
      <c r="BY41" s="81"/>
      <c r="BZ41" s="9">
        <f t="shared" si="2"/>
        <v>3</v>
      </c>
      <c r="CB41" s="148"/>
      <c r="CC41" s="2" t="str">
        <v>W42</v>
      </c>
      <c r="CD41" s="90">
        <v>6</v>
      </c>
      <c r="CE41" s="92">
        <f t="shared" si="9"/>
        <v>2.7027027027027026</v>
      </c>
    </row>
    <row r="42" spans="1:83" s="2" customFormat="1" ht="19.5" thickBot="1" x14ac:dyDescent="0.35">
      <c r="A42" s="17">
        <v>38</v>
      </c>
      <c r="B42" s="135"/>
      <c r="C42" s="20" t="s">
        <v>70</v>
      </c>
      <c r="D42" s="21"/>
      <c r="E42" s="21"/>
      <c r="F42" s="21"/>
      <c r="G42" s="32"/>
      <c r="H42" s="33"/>
      <c r="I42" s="41"/>
      <c r="J42" s="33"/>
      <c r="K42" s="41"/>
      <c r="L42" s="33"/>
      <c r="M42" s="41"/>
      <c r="N42" s="33"/>
      <c r="O42" s="41"/>
      <c r="P42" s="33"/>
      <c r="Q42" s="41"/>
      <c r="R42" s="33"/>
      <c r="S42" s="33"/>
      <c r="T42" s="33"/>
      <c r="U42" s="41"/>
      <c r="V42" s="33"/>
      <c r="W42" s="33"/>
      <c r="X42" s="33"/>
      <c r="Y42" s="33"/>
      <c r="Z42" s="33"/>
      <c r="AA42" s="33"/>
      <c r="AB42" s="33"/>
      <c r="AC42" s="33"/>
      <c r="AD42" s="47"/>
      <c r="AE42" s="47"/>
      <c r="AF42" s="47"/>
      <c r="AG42" s="47"/>
      <c r="AH42" s="47"/>
      <c r="AI42" s="47"/>
      <c r="AJ42" s="47">
        <v>3</v>
      </c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55">
        <f t="shared" si="4"/>
        <v>3</v>
      </c>
      <c r="AZ42" s="59"/>
      <c r="BA42" s="60"/>
      <c r="BB42" s="60">
        <f>+'[1]25'!R96</f>
        <v>0</v>
      </c>
      <c r="BC42" s="60">
        <v>0</v>
      </c>
      <c r="BD42" s="60"/>
      <c r="BE42" s="60"/>
      <c r="BF42" s="60"/>
      <c r="BG42" s="60"/>
      <c r="BH42" s="60"/>
      <c r="BI42" s="58">
        <f t="shared" si="5"/>
        <v>0</v>
      </c>
      <c r="BJ42" s="70">
        <f t="shared" si="6"/>
        <v>3</v>
      </c>
      <c r="BK42" s="70">
        <f t="shared" si="0"/>
        <v>0</v>
      </c>
      <c r="BL42" s="76"/>
      <c r="BM42" s="77"/>
      <c r="BN42" s="60">
        <f t="shared" si="1"/>
        <v>1</v>
      </c>
      <c r="BO42" s="82"/>
      <c r="BP42" s="83">
        <v>1</v>
      </c>
      <c r="BQ42" s="83">
        <v>1</v>
      </c>
      <c r="BR42" s="83"/>
      <c r="BS42" s="83"/>
      <c r="BT42" s="83"/>
      <c r="BU42" s="83"/>
      <c r="BV42" s="83"/>
      <c r="BW42" s="83"/>
      <c r="BX42" s="83"/>
      <c r="BY42" s="83"/>
      <c r="BZ42" s="9">
        <f t="shared" si="2"/>
        <v>2</v>
      </c>
      <c r="CB42" s="148"/>
      <c r="CC42" s="91" t="str">
        <v>Total</v>
      </c>
      <c r="CD42" s="88">
        <v>222</v>
      </c>
      <c r="CE42" s="93">
        <f>SUM(CE35:CE41)</f>
        <v>99.999999999999986</v>
      </c>
    </row>
    <row r="43" spans="1:83" s="2" customFormat="1" ht="19.5" thickBot="1" x14ac:dyDescent="0.35">
      <c r="A43" s="17"/>
      <c r="B43" s="136" t="s">
        <v>75</v>
      </c>
      <c r="C43" s="24" t="s">
        <v>61</v>
      </c>
      <c r="D43" s="25"/>
      <c r="E43" s="25"/>
      <c r="F43" s="25"/>
      <c r="G43" s="36"/>
      <c r="H43" s="37"/>
      <c r="I43" s="43"/>
      <c r="J43" s="37"/>
      <c r="K43" s="43"/>
      <c r="L43" s="37"/>
      <c r="M43" s="43"/>
      <c r="N43" s="37"/>
      <c r="O43" s="43"/>
      <c r="P43" s="37"/>
      <c r="Q43" s="43"/>
      <c r="R43" s="37"/>
      <c r="S43" s="37"/>
      <c r="T43" s="37"/>
      <c r="U43" s="43"/>
      <c r="V43" s="37"/>
      <c r="W43" s="37"/>
      <c r="X43" s="37"/>
      <c r="Y43" s="37"/>
      <c r="Z43" s="37"/>
      <c r="AA43" s="37"/>
      <c r="AB43" s="37"/>
      <c r="AC43" s="37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>
        <v>12</v>
      </c>
      <c r="AS43" s="49"/>
      <c r="AT43" s="49"/>
      <c r="AU43" s="49"/>
      <c r="AV43" s="49"/>
      <c r="AW43" s="49"/>
      <c r="AX43" s="49"/>
      <c r="AY43" s="55">
        <f t="shared" si="4"/>
        <v>12</v>
      </c>
      <c r="AZ43" s="64"/>
      <c r="BA43" s="65"/>
      <c r="BB43" s="65"/>
      <c r="BC43" s="65"/>
      <c r="BD43" s="65"/>
      <c r="BE43" s="65"/>
      <c r="BF43" s="65"/>
      <c r="BG43" s="65"/>
      <c r="BH43" s="65"/>
      <c r="BI43" s="55">
        <f t="shared" si="5"/>
        <v>0</v>
      </c>
      <c r="BJ43" s="69">
        <f t="shared" si="6"/>
        <v>12</v>
      </c>
      <c r="BK43" s="69">
        <f t="shared" si="0"/>
        <v>0</v>
      </c>
      <c r="BM43" s="75"/>
      <c r="BN43" s="57"/>
      <c r="BO43" s="84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9"/>
      <c r="CB43" s="148" t="s">
        <v>76</v>
      </c>
      <c r="CC43" s="2" t="str" cm="1">
        <f t="array" ref="CC43:CD52">_xlfn.GROUPBY(C151:C234,BI151:BI234,_xleta.SUM)</f>
        <v>W35</v>
      </c>
      <c r="CD43" s="90">
        <v>101</v>
      </c>
      <c r="CE43" s="92" t="e">
        <f>+CD43/$CD$53*100</f>
        <v>#DIV/0!</v>
      </c>
    </row>
    <row r="44" spans="1:83" s="2" customFormat="1" ht="19.5" customHeight="1" thickBot="1" x14ac:dyDescent="0.35">
      <c r="A44" s="17">
        <v>39</v>
      </c>
      <c r="B44" s="139"/>
      <c r="C44" s="18" t="s">
        <v>62</v>
      </c>
      <c r="D44" s="19"/>
      <c r="E44" s="19"/>
      <c r="F44" s="19"/>
      <c r="G44" s="30"/>
      <c r="H44" s="31"/>
      <c r="I44" s="40"/>
      <c r="J44" s="31"/>
      <c r="K44" s="40"/>
      <c r="L44" s="31"/>
      <c r="M44" s="40"/>
      <c r="N44" s="31"/>
      <c r="O44" s="40"/>
      <c r="P44" s="31"/>
      <c r="Q44" s="40"/>
      <c r="R44" s="31"/>
      <c r="S44" s="31"/>
      <c r="T44" s="31"/>
      <c r="U44" s="40"/>
      <c r="V44" s="31"/>
      <c r="W44" s="31"/>
      <c r="X44" s="31"/>
      <c r="Y44" s="31"/>
      <c r="Z44" s="31"/>
      <c r="AA44" s="31"/>
      <c r="AB44" s="31"/>
      <c r="AC44" s="31"/>
      <c r="AD44" s="46"/>
      <c r="AE44" s="46"/>
      <c r="AF44" s="46"/>
      <c r="AG44" s="46"/>
      <c r="AH44" s="46"/>
      <c r="AI44" s="46"/>
      <c r="AJ44" s="46">
        <v>9</v>
      </c>
      <c r="AK44" s="46"/>
      <c r="AL44" s="46"/>
      <c r="AM44" s="46"/>
      <c r="AN44" s="46"/>
      <c r="AO44" s="46"/>
      <c r="AP44" s="46"/>
      <c r="AQ44" s="46">
        <v>9</v>
      </c>
      <c r="AR44" s="46">
        <v>12</v>
      </c>
      <c r="AS44" s="46"/>
      <c r="AT44" s="46"/>
      <c r="AU44" s="46"/>
      <c r="AV44" s="46"/>
      <c r="AW44" s="46"/>
      <c r="AX44" s="46"/>
      <c r="AY44" s="55">
        <f t="shared" si="4"/>
        <v>30</v>
      </c>
      <c r="AZ44" s="56"/>
      <c r="BA44" s="57"/>
      <c r="BB44" s="57">
        <f>+'[1]25'!R97</f>
        <v>3</v>
      </c>
      <c r="BC44" s="57">
        <v>12</v>
      </c>
      <c r="BD44" s="57"/>
      <c r="BE44" s="57"/>
      <c r="BF44" s="57"/>
      <c r="BG44" s="57"/>
      <c r="BH44" s="57"/>
      <c r="BI44" s="55">
        <f t="shared" si="5"/>
        <v>15</v>
      </c>
      <c r="BJ44" s="69">
        <f t="shared" si="6"/>
        <v>15</v>
      </c>
      <c r="BK44" s="69">
        <f t="shared" si="0"/>
        <v>0</v>
      </c>
      <c r="BM44" s="75"/>
      <c r="BN44" s="57">
        <f t="shared" ref="BN44:BN75" si="10">+BJ44-BZ44</f>
        <v>12</v>
      </c>
      <c r="BO44" s="80"/>
      <c r="BP44" s="81">
        <v>2</v>
      </c>
      <c r="BQ44" s="81">
        <v>1</v>
      </c>
      <c r="BR44" s="81"/>
      <c r="BS44" s="81"/>
      <c r="BT44" s="81"/>
      <c r="BU44" s="81"/>
      <c r="BV44" s="81"/>
      <c r="BW44" s="81"/>
      <c r="BX44" s="81"/>
      <c r="BY44" s="81"/>
      <c r="BZ44" s="9">
        <f t="shared" ref="BZ44:BZ75" si="11">SUM(BP44:BY44)</f>
        <v>3</v>
      </c>
      <c r="CB44" s="148"/>
      <c r="CC44" s="2" t="str">
        <v>W36</v>
      </c>
      <c r="CD44" s="90">
        <v>411</v>
      </c>
      <c r="CE44" s="92" t="e">
        <f t="shared" ref="CE44:CE52" si="12">+CD44/$CD$53*100</f>
        <v>#DIV/0!</v>
      </c>
    </row>
    <row r="45" spans="1:83" s="2" customFormat="1" ht="19.5" thickBot="1" x14ac:dyDescent="0.35">
      <c r="A45" s="17">
        <v>40</v>
      </c>
      <c r="B45" s="139"/>
      <c r="C45" s="18" t="s">
        <v>63</v>
      </c>
      <c r="D45" s="19"/>
      <c r="E45" s="19"/>
      <c r="F45" s="19"/>
      <c r="G45" s="30"/>
      <c r="H45" s="31"/>
      <c r="I45" s="40"/>
      <c r="J45" s="31"/>
      <c r="K45" s="40"/>
      <c r="L45" s="31"/>
      <c r="M45" s="40"/>
      <c r="N45" s="31"/>
      <c r="O45" s="40"/>
      <c r="P45" s="31"/>
      <c r="Q45" s="40"/>
      <c r="R45" s="31"/>
      <c r="S45" s="31"/>
      <c r="T45" s="31"/>
      <c r="U45" s="40"/>
      <c r="V45" s="31"/>
      <c r="W45" s="31"/>
      <c r="X45" s="31"/>
      <c r="Y45" s="31"/>
      <c r="Z45" s="31"/>
      <c r="AA45" s="31"/>
      <c r="AB45" s="31"/>
      <c r="AC45" s="31"/>
      <c r="AD45" s="46"/>
      <c r="AE45" s="46"/>
      <c r="AF45" s="46"/>
      <c r="AG45" s="46"/>
      <c r="AH45" s="46"/>
      <c r="AI45" s="46"/>
      <c r="AJ45" s="46">
        <v>18</v>
      </c>
      <c r="AK45" s="46"/>
      <c r="AL45" s="46"/>
      <c r="AM45" s="46"/>
      <c r="AN45" s="46"/>
      <c r="AO45" s="46"/>
      <c r="AP45" s="46"/>
      <c r="AQ45" s="46">
        <v>18</v>
      </c>
      <c r="AR45" s="46">
        <v>18</v>
      </c>
      <c r="AS45" s="46"/>
      <c r="AT45" s="46"/>
      <c r="AU45" s="46"/>
      <c r="AV45" s="46"/>
      <c r="AW45" s="46"/>
      <c r="AX45" s="46"/>
      <c r="AY45" s="55">
        <f t="shared" si="4"/>
        <v>54</v>
      </c>
      <c r="AZ45" s="56"/>
      <c r="BA45" s="57"/>
      <c r="BB45" s="57">
        <f>+'[1]25'!R98</f>
        <v>2</v>
      </c>
      <c r="BC45" s="57">
        <v>26</v>
      </c>
      <c r="BD45" s="57"/>
      <c r="BE45" s="57"/>
      <c r="BF45" s="57"/>
      <c r="BG45" s="57"/>
      <c r="BH45" s="57"/>
      <c r="BI45" s="55">
        <f t="shared" si="5"/>
        <v>28</v>
      </c>
      <c r="BJ45" s="69">
        <f t="shared" si="6"/>
        <v>26</v>
      </c>
      <c r="BK45" s="69">
        <f t="shared" si="0"/>
        <v>0</v>
      </c>
      <c r="BM45" s="75"/>
      <c r="BN45" s="57">
        <f t="shared" si="10"/>
        <v>21</v>
      </c>
      <c r="BO45" s="80"/>
      <c r="BP45" s="81">
        <v>3</v>
      </c>
      <c r="BQ45" s="81">
        <v>1</v>
      </c>
      <c r="BR45" s="81">
        <v>1</v>
      </c>
      <c r="BS45" s="81"/>
      <c r="BT45" s="81"/>
      <c r="BU45" s="81"/>
      <c r="BV45" s="81"/>
      <c r="BW45" s="81"/>
      <c r="BX45" s="81"/>
      <c r="BY45" s="81"/>
      <c r="BZ45" s="9">
        <f t="shared" si="11"/>
        <v>5</v>
      </c>
      <c r="CB45" s="148"/>
      <c r="CC45" s="2" t="str">
        <v>W37</v>
      </c>
      <c r="CD45" s="90">
        <v>844</v>
      </c>
      <c r="CE45" s="92" t="e">
        <f t="shared" si="12"/>
        <v>#DIV/0!</v>
      </c>
    </row>
    <row r="46" spans="1:83" s="2" customFormat="1" ht="19.5" thickBot="1" x14ac:dyDescent="0.35">
      <c r="A46" s="17">
        <v>41</v>
      </c>
      <c r="B46" s="139"/>
      <c r="C46" s="18" t="s">
        <v>64</v>
      </c>
      <c r="D46" s="19"/>
      <c r="E46" s="19"/>
      <c r="F46" s="19"/>
      <c r="G46" s="30"/>
      <c r="H46" s="31"/>
      <c r="I46" s="40"/>
      <c r="J46" s="31"/>
      <c r="K46" s="40"/>
      <c r="L46" s="31"/>
      <c r="M46" s="40"/>
      <c r="N46" s="31"/>
      <c r="O46" s="40"/>
      <c r="P46" s="31"/>
      <c r="Q46" s="40"/>
      <c r="R46" s="31"/>
      <c r="S46" s="31"/>
      <c r="T46" s="31"/>
      <c r="U46" s="40"/>
      <c r="V46" s="31"/>
      <c r="W46" s="31"/>
      <c r="X46" s="31"/>
      <c r="Y46" s="31"/>
      <c r="Z46" s="31"/>
      <c r="AA46" s="31"/>
      <c r="AB46" s="31"/>
      <c r="AC46" s="31"/>
      <c r="AD46" s="46"/>
      <c r="AE46" s="46"/>
      <c r="AF46" s="46"/>
      <c r="AG46" s="46"/>
      <c r="AH46" s="46"/>
      <c r="AI46" s="46"/>
      <c r="AJ46" s="46">
        <v>24</v>
      </c>
      <c r="AK46" s="46"/>
      <c r="AL46" s="46"/>
      <c r="AM46" s="46"/>
      <c r="AN46" s="46"/>
      <c r="AO46" s="46"/>
      <c r="AP46" s="46"/>
      <c r="AQ46" s="46">
        <v>27</v>
      </c>
      <c r="AR46" s="46">
        <v>24</v>
      </c>
      <c r="AS46" s="46"/>
      <c r="AT46" s="46"/>
      <c r="AU46" s="46"/>
      <c r="AV46" s="46"/>
      <c r="AW46" s="46"/>
      <c r="AX46" s="46"/>
      <c r="AY46" s="55">
        <f t="shared" si="4"/>
        <v>75</v>
      </c>
      <c r="AZ46" s="56"/>
      <c r="BA46" s="57"/>
      <c r="BB46" s="57">
        <f>+'[1]25'!R99</f>
        <v>5</v>
      </c>
      <c r="BC46" s="57">
        <v>28</v>
      </c>
      <c r="BD46" s="57"/>
      <c r="BE46" s="57"/>
      <c r="BF46" s="57"/>
      <c r="BG46" s="57"/>
      <c r="BH46" s="57"/>
      <c r="BI46" s="55">
        <f t="shared" si="5"/>
        <v>33</v>
      </c>
      <c r="BJ46" s="69">
        <f t="shared" si="6"/>
        <v>42</v>
      </c>
      <c r="BK46" s="69">
        <f t="shared" si="0"/>
        <v>0</v>
      </c>
      <c r="BM46" s="75"/>
      <c r="BN46" s="57">
        <f t="shared" si="10"/>
        <v>38</v>
      </c>
      <c r="BO46" s="80"/>
      <c r="BP46" s="81">
        <v>1</v>
      </c>
      <c r="BQ46" s="81">
        <v>1</v>
      </c>
      <c r="BR46" s="81">
        <v>2</v>
      </c>
      <c r="BS46" s="81"/>
      <c r="BT46" s="81"/>
      <c r="BU46" s="81"/>
      <c r="BV46" s="81"/>
      <c r="BW46" s="81"/>
      <c r="BX46" s="81"/>
      <c r="BY46" s="81"/>
      <c r="BZ46" s="9">
        <f t="shared" si="11"/>
        <v>4</v>
      </c>
      <c r="CB46" s="148"/>
      <c r="CC46" s="2" t="str">
        <v>W38</v>
      </c>
      <c r="CD46" s="90">
        <v>1262</v>
      </c>
      <c r="CE46" s="92" t="e">
        <f t="shared" si="12"/>
        <v>#DIV/0!</v>
      </c>
    </row>
    <row r="47" spans="1:83" s="2" customFormat="1" ht="19.5" thickBot="1" x14ac:dyDescent="0.35">
      <c r="A47" s="17">
        <v>42</v>
      </c>
      <c r="B47" s="139"/>
      <c r="C47" s="18" t="s">
        <v>65</v>
      </c>
      <c r="D47" s="19"/>
      <c r="E47" s="19"/>
      <c r="F47" s="19"/>
      <c r="G47" s="30"/>
      <c r="H47" s="31"/>
      <c r="I47" s="40"/>
      <c r="J47" s="31"/>
      <c r="K47" s="40"/>
      <c r="L47" s="31"/>
      <c r="M47" s="40"/>
      <c r="N47" s="31"/>
      <c r="O47" s="40"/>
      <c r="P47" s="31"/>
      <c r="Q47" s="40"/>
      <c r="R47" s="31"/>
      <c r="S47" s="31"/>
      <c r="T47" s="31"/>
      <c r="U47" s="40"/>
      <c r="V47" s="31"/>
      <c r="W47" s="31"/>
      <c r="X47" s="31"/>
      <c r="Y47" s="31"/>
      <c r="Z47" s="31"/>
      <c r="AA47" s="31"/>
      <c r="AB47" s="31"/>
      <c r="AC47" s="31"/>
      <c r="AD47" s="46"/>
      <c r="AE47" s="46"/>
      <c r="AF47" s="46"/>
      <c r="AG47" s="46"/>
      <c r="AH47" s="46"/>
      <c r="AI47" s="46"/>
      <c r="AJ47" s="46">
        <v>24</v>
      </c>
      <c r="AK47" s="46"/>
      <c r="AL47" s="46"/>
      <c r="AM47" s="46"/>
      <c r="AN47" s="46"/>
      <c r="AO47" s="46"/>
      <c r="AP47" s="46"/>
      <c r="AQ47" s="46">
        <v>24</v>
      </c>
      <c r="AR47" s="46">
        <v>21</v>
      </c>
      <c r="AS47" s="46"/>
      <c r="AT47" s="46"/>
      <c r="AU47" s="46"/>
      <c r="AV47" s="46"/>
      <c r="AW47" s="46"/>
      <c r="AX47" s="46"/>
      <c r="AY47" s="55">
        <f t="shared" si="4"/>
        <v>69</v>
      </c>
      <c r="AZ47" s="56"/>
      <c r="BA47" s="57"/>
      <c r="BB47" s="57">
        <f>+'[1]25'!R100</f>
        <v>3</v>
      </c>
      <c r="BC47" s="57">
        <v>26</v>
      </c>
      <c r="BD47" s="57"/>
      <c r="BE47" s="57"/>
      <c r="BF47" s="57"/>
      <c r="BG47" s="57"/>
      <c r="BH47" s="57"/>
      <c r="BI47" s="55">
        <f t="shared" si="5"/>
        <v>29</v>
      </c>
      <c r="BJ47" s="69">
        <f t="shared" si="6"/>
        <v>40</v>
      </c>
      <c r="BK47" s="69">
        <f t="shared" si="0"/>
        <v>0</v>
      </c>
      <c r="BM47" s="75"/>
      <c r="BN47" s="57">
        <f t="shared" si="10"/>
        <v>37</v>
      </c>
      <c r="BO47" s="80"/>
      <c r="BP47" s="81">
        <v>1</v>
      </c>
      <c r="BQ47" s="81"/>
      <c r="BR47" s="81">
        <v>2</v>
      </c>
      <c r="BS47" s="81"/>
      <c r="BT47" s="81"/>
      <c r="BU47" s="81"/>
      <c r="BV47" s="81"/>
      <c r="BW47" s="81"/>
      <c r="BX47" s="81"/>
      <c r="BY47" s="81"/>
      <c r="BZ47" s="9">
        <f t="shared" si="11"/>
        <v>3</v>
      </c>
      <c r="CB47" s="148"/>
      <c r="CC47" s="2" t="str">
        <v>W39</v>
      </c>
      <c r="CD47" s="90">
        <v>1122</v>
      </c>
      <c r="CE47" s="92" t="e">
        <f t="shared" si="12"/>
        <v>#DIV/0!</v>
      </c>
    </row>
    <row r="48" spans="1:83" s="2" customFormat="1" ht="19.5" thickBot="1" x14ac:dyDescent="0.35">
      <c r="A48" s="17">
        <v>43</v>
      </c>
      <c r="B48" s="139"/>
      <c r="C48" s="18" t="s">
        <v>66</v>
      </c>
      <c r="D48" s="19"/>
      <c r="E48" s="19"/>
      <c r="F48" s="19"/>
      <c r="G48" s="30"/>
      <c r="H48" s="31"/>
      <c r="I48" s="40"/>
      <c r="J48" s="31"/>
      <c r="K48" s="40"/>
      <c r="L48" s="31"/>
      <c r="M48" s="40"/>
      <c r="N48" s="31"/>
      <c r="O48" s="40"/>
      <c r="P48" s="31"/>
      <c r="Q48" s="40"/>
      <c r="R48" s="31"/>
      <c r="S48" s="31"/>
      <c r="T48" s="31"/>
      <c r="U48" s="40"/>
      <c r="V48" s="31"/>
      <c r="W48" s="31"/>
      <c r="X48" s="31"/>
      <c r="Y48" s="31"/>
      <c r="Z48" s="31"/>
      <c r="AA48" s="31"/>
      <c r="AB48" s="31"/>
      <c r="AC48" s="31"/>
      <c r="AD48" s="46"/>
      <c r="AE48" s="46"/>
      <c r="AF48" s="46"/>
      <c r="AG48" s="46"/>
      <c r="AH48" s="46"/>
      <c r="AI48" s="46"/>
      <c r="AJ48" s="46">
        <v>15</v>
      </c>
      <c r="AK48" s="46"/>
      <c r="AL48" s="46"/>
      <c r="AM48" s="46"/>
      <c r="AN48" s="46"/>
      <c r="AO48" s="46"/>
      <c r="AP48" s="46"/>
      <c r="AQ48" s="46">
        <v>15</v>
      </c>
      <c r="AR48" s="46">
        <v>18</v>
      </c>
      <c r="AS48" s="46"/>
      <c r="AT48" s="46"/>
      <c r="AU48" s="46"/>
      <c r="AV48" s="46"/>
      <c r="AW48" s="46"/>
      <c r="AX48" s="46"/>
      <c r="AY48" s="55">
        <f t="shared" si="4"/>
        <v>48</v>
      </c>
      <c r="AZ48" s="56"/>
      <c r="BA48" s="57"/>
      <c r="BB48" s="57">
        <f>+'[1]25'!R101</f>
        <v>4</v>
      </c>
      <c r="BC48" s="57">
        <v>25</v>
      </c>
      <c r="BD48" s="57"/>
      <c r="BE48" s="57"/>
      <c r="BF48" s="57"/>
      <c r="BG48" s="57"/>
      <c r="BH48" s="57"/>
      <c r="BI48" s="55">
        <f t="shared" si="5"/>
        <v>29</v>
      </c>
      <c r="BJ48" s="69">
        <f t="shared" si="6"/>
        <v>19</v>
      </c>
      <c r="BK48" s="69">
        <f t="shared" si="0"/>
        <v>0</v>
      </c>
      <c r="BM48" s="75"/>
      <c r="BN48" s="57">
        <f t="shared" si="10"/>
        <v>15</v>
      </c>
      <c r="BO48" s="80"/>
      <c r="BP48" s="81">
        <v>2</v>
      </c>
      <c r="BQ48" s="81"/>
      <c r="BR48" s="81">
        <v>2</v>
      </c>
      <c r="BS48" s="81"/>
      <c r="BT48" s="81"/>
      <c r="BU48" s="81"/>
      <c r="BV48" s="81"/>
      <c r="BW48" s="81"/>
      <c r="BX48" s="81"/>
      <c r="BY48" s="81"/>
      <c r="BZ48" s="9">
        <f t="shared" si="11"/>
        <v>4</v>
      </c>
      <c r="CB48" s="148"/>
      <c r="CC48" s="2" t="str">
        <v>W40</v>
      </c>
      <c r="CD48" s="90">
        <v>771</v>
      </c>
      <c r="CE48" s="92" t="e">
        <f t="shared" si="12"/>
        <v>#DIV/0!</v>
      </c>
    </row>
    <row r="49" spans="1:83" s="2" customFormat="1" ht="19.5" thickBot="1" x14ac:dyDescent="0.35">
      <c r="A49" s="17">
        <v>44</v>
      </c>
      <c r="B49" s="139"/>
      <c r="C49" s="18" t="s">
        <v>67</v>
      </c>
      <c r="D49" s="19"/>
      <c r="E49" s="19"/>
      <c r="F49" s="19"/>
      <c r="G49" s="30"/>
      <c r="H49" s="31"/>
      <c r="I49" s="40"/>
      <c r="J49" s="31"/>
      <c r="K49" s="40"/>
      <c r="L49" s="31"/>
      <c r="M49" s="40"/>
      <c r="N49" s="31"/>
      <c r="O49" s="40"/>
      <c r="P49" s="31"/>
      <c r="Q49" s="40"/>
      <c r="R49" s="31"/>
      <c r="S49" s="31"/>
      <c r="T49" s="31"/>
      <c r="U49" s="40"/>
      <c r="V49" s="31"/>
      <c r="W49" s="31"/>
      <c r="X49" s="31"/>
      <c r="Y49" s="31"/>
      <c r="Z49" s="31"/>
      <c r="AA49" s="31"/>
      <c r="AB49" s="31"/>
      <c r="AC49" s="31"/>
      <c r="AD49" s="46"/>
      <c r="AE49" s="46"/>
      <c r="AF49" s="46"/>
      <c r="AG49" s="46"/>
      <c r="AH49" s="46"/>
      <c r="AI49" s="46"/>
      <c r="AJ49" s="46">
        <v>9</v>
      </c>
      <c r="AK49" s="46"/>
      <c r="AL49" s="46"/>
      <c r="AM49" s="46"/>
      <c r="AN49" s="46"/>
      <c r="AO49" s="46"/>
      <c r="AP49" s="46"/>
      <c r="AQ49" s="46">
        <v>9</v>
      </c>
      <c r="AR49" s="46">
        <v>9</v>
      </c>
      <c r="AS49" s="46"/>
      <c r="AT49" s="46"/>
      <c r="AU49" s="46"/>
      <c r="AV49" s="46"/>
      <c r="AW49" s="46"/>
      <c r="AX49" s="46"/>
      <c r="AY49" s="55">
        <f t="shared" si="4"/>
        <v>27</v>
      </c>
      <c r="AZ49" s="56"/>
      <c r="BA49" s="57"/>
      <c r="BB49" s="57">
        <f>+'[1]25'!R102</f>
        <v>1</v>
      </c>
      <c r="BC49" s="57">
        <v>12</v>
      </c>
      <c r="BD49" s="57"/>
      <c r="BE49" s="57"/>
      <c r="BF49" s="57"/>
      <c r="BG49" s="57"/>
      <c r="BH49" s="57"/>
      <c r="BI49" s="55">
        <f t="shared" si="5"/>
        <v>13</v>
      </c>
      <c r="BJ49" s="69">
        <f t="shared" si="6"/>
        <v>14</v>
      </c>
      <c r="BK49" s="69">
        <f t="shared" si="0"/>
        <v>0</v>
      </c>
      <c r="BM49" s="75"/>
      <c r="BN49" s="57">
        <f t="shared" si="10"/>
        <v>11</v>
      </c>
      <c r="BO49" s="80"/>
      <c r="BP49" s="81">
        <v>1</v>
      </c>
      <c r="BQ49" s="81">
        <v>1</v>
      </c>
      <c r="BR49" s="81">
        <v>1</v>
      </c>
      <c r="BS49" s="81"/>
      <c r="BT49" s="81"/>
      <c r="BU49" s="81"/>
      <c r="BV49" s="81"/>
      <c r="BW49" s="81"/>
      <c r="BX49" s="81"/>
      <c r="BY49" s="81"/>
      <c r="BZ49" s="9">
        <f t="shared" si="11"/>
        <v>3</v>
      </c>
      <c r="CB49" s="148"/>
      <c r="CC49" s="2" t="str">
        <v>W41</v>
      </c>
      <c r="CD49" s="90">
        <v>432</v>
      </c>
      <c r="CE49" s="92" t="e">
        <f t="shared" si="12"/>
        <v>#DIV/0!</v>
      </c>
    </row>
    <row r="50" spans="1:83" s="2" customFormat="1" ht="19.5" thickBot="1" x14ac:dyDescent="0.35">
      <c r="A50" s="17">
        <v>45</v>
      </c>
      <c r="B50" s="139"/>
      <c r="C50" s="18" t="s">
        <v>68</v>
      </c>
      <c r="D50" s="19"/>
      <c r="E50" s="19"/>
      <c r="F50" s="19"/>
      <c r="G50" s="30"/>
      <c r="H50" s="31"/>
      <c r="I50" s="40"/>
      <c r="J50" s="31"/>
      <c r="K50" s="40"/>
      <c r="L50" s="31"/>
      <c r="M50" s="40"/>
      <c r="N50" s="31"/>
      <c r="O50" s="40"/>
      <c r="P50" s="31"/>
      <c r="Q50" s="40"/>
      <c r="R50" s="31"/>
      <c r="S50" s="31"/>
      <c r="T50" s="31"/>
      <c r="U50" s="40"/>
      <c r="V50" s="31"/>
      <c r="W50" s="31"/>
      <c r="X50" s="31"/>
      <c r="Y50" s="31"/>
      <c r="Z50" s="31"/>
      <c r="AA50" s="31"/>
      <c r="AB50" s="31"/>
      <c r="AC50" s="31"/>
      <c r="AD50" s="46"/>
      <c r="AE50" s="46"/>
      <c r="AF50" s="46"/>
      <c r="AG50" s="46"/>
      <c r="AH50" s="46"/>
      <c r="AI50" s="46"/>
      <c r="AJ50" s="46">
        <v>6</v>
      </c>
      <c r="AK50" s="46"/>
      <c r="AL50" s="46"/>
      <c r="AM50" s="46"/>
      <c r="AN50" s="46"/>
      <c r="AO50" s="46"/>
      <c r="AP50" s="46"/>
      <c r="AQ50" s="46">
        <v>6</v>
      </c>
      <c r="AR50" s="46">
        <v>6</v>
      </c>
      <c r="AS50" s="46"/>
      <c r="AT50" s="46"/>
      <c r="AU50" s="46"/>
      <c r="AV50" s="46"/>
      <c r="AW50" s="46"/>
      <c r="AX50" s="46"/>
      <c r="AY50" s="55">
        <f t="shared" si="4"/>
        <v>18</v>
      </c>
      <c r="AZ50" s="56"/>
      <c r="BA50" s="57"/>
      <c r="BB50" s="57">
        <f>+'[1]25'!R103</f>
        <v>0</v>
      </c>
      <c r="BC50" s="57">
        <v>5</v>
      </c>
      <c r="BD50" s="57"/>
      <c r="BE50" s="57"/>
      <c r="BF50" s="57"/>
      <c r="BG50" s="57"/>
      <c r="BH50" s="57"/>
      <c r="BI50" s="55">
        <f t="shared" si="5"/>
        <v>5</v>
      </c>
      <c r="BJ50" s="69">
        <f t="shared" si="6"/>
        <v>13</v>
      </c>
      <c r="BK50" s="69">
        <f t="shared" si="0"/>
        <v>0</v>
      </c>
      <c r="BM50" s="75"/>
      <c r="BN50" s="57">
        <f t="shared" si="10"/>
        <v>9</v>
      </c>
      <c r="BO50" s="80"/>
      <c r="BP50" s="81">
        <v>1</v>
      </c>
      <c r="BQ50" s="81">
        <v>1</v>
      </c>
      <c r="BR50" s="81">
        <v>2</v>
      </c>
      <c r="BS50" s="81"/>
      <c r="BT50" s="81"/>
      <c r="BU50" s="81"/>
      <c r="BV50" s="81"/>
      <c r="BW50" s="81"/>
      <c r="BX50" s="81"/>
      <c r="BY50" s="81"/>
      <c r="BZ50" s="9">
        <f t="shared" si="11"/>
        <v>4</v>
      </c>
      <c r="CB50" s="148"/>
      <c r="CC50" s="2" t="str">
        <v>W42</v>
      </c>
      <c r="CD50" s="90">
        <v>129</v>
      </c>
      <c r="CE50" s="92" t="e">
        <f t="shared" si="12"/>
        <v>#DIV/0!</v>
      </c>
    </row>
    <row r="51" spans="1:83" s="2" customFormat="1" ht="19.5" thickBot="1" x14ac:dyDescent="0.35">
      <c r="A51" s="17">
        <v>46</v>
      </c>
      <c r="B51" s="140"/>
      <c r="C51" s="20" t="s">
        <v>69</v>
      </c>
      <c r="D51" s="21"/>
      <c r="E51" s="21"/>
      <c r="F51" s="21"/>
      <c r="G51" s="32"/>
      <c r="H51" s="33"/>
      <c r="I51" s="41"/>
      <c r="J51" s="33"/>
      <c r="K51" s="41"/>
      <c r="L51" s="33"/>
      <c r="M51" s="41"/>
      <c r="N51" s="33"/>
      <c r="O51" s="41"/>
      <c r="P51" s="33"/>
      <c r="Q51" s="41"/>
      <c r="R51" s="33"/>
      <c r="S51" s="33"/>
      <c r="T51" s="33"/>
      <c r="U51" s="41"/>
      <c r="V51" s="33"/>
      <c r="W51" s="33"/>
      <c r="X51" s="33"/>
      <c r="Y51" s="33"/>
      <c r="Z51" s="33"/>
      <c r="AA51" s="33"/>
      <c r="AB51" s="33"/>
      <c r="AC51" s="33"/>
      <c r="AD51" s="47"/>
      <c r="AE51" s="47"/>
      <c r="AF51" s="47"/>
      <c r="AG51" s="47"/>
      <c r="AH51" s="47"/>
      <c r="AI51" s="47"/>
      <c r="AJ51" s="47">
        <v>3</v>
      </c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55">
        <f t="shared" si="4"/>
        <v>3</v>
      </c>
      <c r="AZ51" s="59"/>
      <c r="BA51" s="60"/>
      <c r="BB51" s="60">
        <f>+'[1]25'!R104</f>
        <v>0</v>
      </c>
      <c r="BC51" s="60">
        <v>3</v>
      </c>
      <c r="BD51" s="60"/>
      <c r="BE51" s="60"/>
      <c r="BF51" s="60"/>
      <c r="BG51" s="60"/>
      <c r="BH51" s="60"/>
      <c r="BI51" s="58">
        <f t="shared" si="5"/>
        <v>3</v>
      </c>
      <c r="BJ51" s="70">
        <f t="shared" si="6"/>
        <v>0</v>
      </c>
      <c r="BK51" s="70">
        <f t="shared" si="0"/>
        <v>0</v>
      </c>
      <c r="BL51" s="76"/>
      <c r="BM51" s="77"/>
      <c r="BN51" s="60">
        <f t="shared" si="10"/>
        <v>0</v>
      </c>
      <c r="BO51" s="82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9">
        <f t="shared" si="11"/>
        <v>0</v>
      </c>
      <c r="CB51" s="148"/>
      <c r="CC51" s="2" t="str">
        <v>W43</v>
      </c>
      <c r="CD51" s="90">
        <v>25</v>
      </c>
      <c r="CE51" s="92" t="e">
        <f t="shared" si="12"/>
        <v>#DIV/0!</v>
      </c>
    </row>
    <row r="52" spans="1:83" s="2" customFormat="1" ht="19.5" thickBot="1" x14ac:dyDescent="0.35">
      <c r="A52" s="17">
        <v>47</v>
      </c>
      <c r="B52" s="134" t="s">
        <v>77</v>
      </c>
      <c r="C52" s="18" t="s">
        <v>61</v>
      </c>
      <c r="D52" s="19"/>
      <c r="E52" s="19"/>
      <c r="F52" s="19"/>
      <c r="G52" s="30"/>
      <c r="H52" s="31"/>
      <c r="I52" s="40"/>
      <c r="J52" s="31"/>
      <c r="K52" s="40"/>
      <c r="L52" s="31"/>
      <c r="M52" s="40"/>
      <c r="N52" s="31"/>
      <c r="O52" s="40"/>
      <c r="P52" s="31"/>
      <c r="Q52" s="40"/>
      <c r="R52" s="31"/>
      <c r="S52" s="31"/>
      <c r="T52" s="31"/>
      <c r="U52" s="40"/>
      <c r="V52" s="31"/>
      <c r="W52" s="31"/>
      <c r="X52" s="31"/>
      <c r="Y52" s="31"/>
      <c r="Z52" s="31"/>
      <c r="AA52" s="31"/>
      <c r="AB52" s="31"/>
      <c r="AC52" s="31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>
        <v>15</v>
      </c>
      <c r="AR52" s="46"/>
      <c r="AS52" s="46"/>
      <c r="AT52" s="46"/>
      <c r="AU52" s="46"/>
      <c r="AV52" s="46"/>
      <c r="AW52" s="46"/>
      <c r="AX52" s="46"/>
      <c r="AY52" s="55">
        <f t="shared" si="4"/>
        <v>15</v>
      </c>
      <c r="AZ52" s="56"/>
      <c r="BA52" s="57"/>
      <c r="BB52" s="57"/>
      <c r="BC52" s="57">
        <v>6</v>
      </c>
      <c r="BD52" s="57"/>
      <c r="BE52" s="57"/>
      <c r="BF52" s="57"/>
      <c r="BG52" s="57"/>
      <c r="BH52" s="57"/>
      <c r="BI52" s="55">
        <f t="shared" si="5"/>
        <v>6</v>
      </c>
      <c r="BJ52" s="69">
        <f t="shared" si="6"/>
        <v>9</v>
      </c>
      <c r="BK52" s="69">
        <f t="shared" si="0"/>
        <v>0</v>
      </c>
      <c r="BM52" s="75"/>
      <c r="BN52" s="57">
        <f t="shared" si="10"/>
        <v>8</v>
      </c>
      <c r="BO52" s="80"/>
      <c r="BP52" s="81">
        <v>1</v>
      </c>
      <c r="BQ52" s="81"/>
      <c r="BR52" s="81"/>
      <c r="BS52" s="81"/>
      <c r="BT52" s="81"/>
      <c r="BU52" s="81"/>
      <c r="BV52" s="81"/>
      <c r="BW52" s="81"/>
      <c r="BX52" s="81"/>
      <c r="BY52" s="81"/>
      <c r="BZ52" s="9">
        <f t="shared" si="11"/>
        <v>1</v>
      </c>
      <c r="CB52" s="148"/>
      <c r="CC52" s="2" t="str">
        <v>Total</v>
      </c>
      <c r="CD52" s="90">
        <v>5097</v>
      </c>
      <c r="CE52" s="92" t="e">
        <f t="shared" si="12"/>
        <v>#DIV/0!</v>
      </c>
    </row>
    <row r="53" spans="1:83" s="2" customFormat="1" ht="19.5" thickBot="1" x14ac:dyDescent="0.35">
      <c r="A53" s="17">
        <v>48</v>
      </c>
      <c r="B53" s="135"/>
      <c r="C53" s="18" t="s">
        <v>62</v>
      </c>
      <c r="D53" s="19"/>
      <c r="E53" s="19"/>
      <c r="F53" s="19"/>
      <c r="G53" s="30"/>
      <c r="H53" s="31"/>
      <c r="I53" s="40"/>
      <c r="J53" s="31"/>
      <c r="K53" s="40"/>
      <c r="L53" s="31"/>
      <c r="M53" s="40"/>
      <c r="N53" s="31"/>
      <c r="O53" s="40"/>
      <c r="P53" s="31"/>
      <c r="Q53" s="40"/>
      <c r="R53" s="31"/>
      <c r="S53" s="31"/>
      <c r="T53" s="31"/>
      <c r="U53" s="40"/>
      <c r="V53" s="31"/>
      <c r="W53" s="31"/>
      <c r="X53" s="31"/>
      <c r="Y53" s="31"/>
      <c r="Z53" s="31"/>
      <c r="AA53" s="31"/>
      <c r="AB53" s="31"/>
      <c r="AC53" s="31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>
        <v>33</v>
      </c>
      <c r="AR53" s="46"/>
      <c r="AS53" s="46"/>
      <c r="AT53" s="46"/>
      <c r="AU53" s="46"/>
      <c r="AV53" s="46"/>
      <c r="AW53" s="46"/>
      <c r="AX53" s="46"/>
      <c r="AY53" s="55">
        <f t="shared" si="4"/>
        <v>33</v>
      </c>
      <c r="AZ53" s="56"/>
      <c r="BA53" s="57"/>
      <c r="BB53" s="57"/>
      <c r="BC53" s="57">
        <v>5</v>
      </c>
      <c r="BD53" s="57"/>
      <c r="BE53" s="57"/>
      <c r="BF53" s="57"/>
      <c r="BG53" s="57"/>
      <c r="BH53" s="57"/>
      <c r="BI53" s="55">
        <f t="shared" si="5"/>
        <v>5</v>
      </c>
      <c r="BJ53" s="69">
        <f t="shared" si="6"/>
        <v>28</v>
      </c>
      <c r="BK53" s="69">
        <f t="shared" si="0"/>
        <v>0</v>
      </c>
      <c r="BM53" s="75"/>
      <c r="BN53" s="57">
        <f t="shared" si="10"/>
        <v>25</v>
      </c>
      <c r="BO53" s="80"/>
      <c r="BP53" s="81">
        <v>1</v>
      </c>
      <c r="BQ53" s="81">
        <v>1</v>
      </c>
      <c r="BR53" s="81"/>
      <c r="BS53" s="81"/>
      <c r="BT53" s="81">
        <v>1</v>
      </c>
      <c r="BU53" s="81"/>
      <c r="BV53" s="81"/>
      <c r="BW53" s="81"/>
      <c r="BX53" s="81"/>
      <c r="BY53" s="81"/>
      <c r="BZ53" s="9">
        <f t="shared" si="11"/>
        <v>3</v>
      </c>
      <c r="CB53" s="148"/>
      <c r="CC53" s="91"/>
      <c r="CD53" s="88"/>
      <c r="CE53" s="93" t="e">
        <f>SUM(CE43:CE52)</f>
        <v>#DIV/0!</v>
      </c>
    </row>
    <row r="54" spans="1:83" s="2" customFormat="1" ht="19.5" thickBot="1" x14ac:dyDescent="0.35">
      <c r="A54" s="17">
        <v>49</v>
      </c>
      <c r="B54" s="135"/>
      <c r="C54" s="18" t="s">
        <v>63</v>
      </c>
      <c r="D54" s="19"/>
      <c r="E54" s="19"/>
      <c r="F54" s="19"/>
      <c r="G54" s="30"/>
      <c r="H54" s="31"/>
      <c r="I54" s="40"/>
      <c r="J54" s="31"/>
      <c r="K54" s="40"/>
      <c r="L54" s="31"/>
      <c r="M54" s="40"/>
      <c r="N54" s="31"/>
      <c r="O54" s="40"/>
      <c r="P54" s="31"/>
      <c r="Q54" s="40"/>
      <c r="R54" s="31"/>
      <c r="S54" s="31"/>
      <c r="T54" s="31"/>
      <c r="U54" s="40"/>
      <c r="V54" s="31"/>
      <c r="W54" s="31"/>
      <c r="X54" s="31"/>
      <c r="Y54" s="31"/>
      <c r="Z54" s="31"/>
      <c r="AA54" s="31"/>
      <c r="AB54" s="31"/>
      <c r="AC54" s="31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>
        <v>51</v>
      </c>
      <c r="AR54" s="46"/>
      <c r="AS54" s="46"/>
      <c r="AT54" s="46"/>
      <c r="AU54" s="46"/>
      <c r="AV54" s="46"/>
      <c r="AW54" s="46"/>
      <c r="AX54" s="46"/>
      <c r="AY54" s="55">
        <f t="shared" si="4"/>
        <v>51</v>
      </c>
      <c r="AZ54" s="56"/>
      <c r="BA54" s="57"/>
      <c r="BB54" s="57"/>
      <c r="BC54" s="57">
        <v>11</v>
      </c>
      <c r="BD54" s="57"/>
      <c r="BE54" s="57"/>
      <c r="BF54" s="57"/>
      <c r="BG54" s="57"/>
      <c r="BH54" s="57"/>
      <c r="BI54" s="55">
        <f t="shared" si="5"/>
        <v>11</v>
      </c>
      <c r="BJ54" s="69">
        <f t="shared" si="6"/>
        <v>40</v>
      </c>
      <c r="BK54" s="69">
        <f t="shared" si="0"/>
        <v>0</v>
      </c>
      <c r="BM54" s="75"/>
      <c r="BN54" s="57">
        <f t="shared" si="10"/>
        <v>33</v>
      </c>
      <c r="BO54" s="80"/>
      <c r="BP54" s="81">
        <v>1</v>
      </c>
      <c r="BQ54" s="81">
        <v>1</v>
      </c>
      <c r="BR54" s="81">
        <v>4</v>
      </c>
      <c r="BS54" s="81"/>
      <c r="BT54" s="81">
        <v>1</v>
      </c>
      <c r="BU54" s="81"/>
      <c r="BV54" s="81"/>
      <c r="BW54" s="81"/>
      <c r="BX54" s="81"/>
      <c r="BY54" s="81"/>
      <c r="BZ54" s="9">
        <f t="shared" si="11"/>
        <v>7</v>
      </c>
      <c r="CB54" s="148" t="s">
        <v>78</v>
      </c>
      <c r="CC54" s="2" t="str" cm="1">
        <f t="array" ref="CC54:CD62">_xlfn.GROUPBY(C235:C242,BI235:BI242,_xleta.SUM)</f>
        <v>M40</v>
      </c>
      <c r="CD54" s="90">
        <v>6</v>
      </c>
      <c r="CE54" s="92">
        <f>+CD54/$CD$62*100</f>
        <v>6.4516129032258061</v>
      </c>
    </row>
    <row r="55" spans="1:83" s="2" customFormat="1" ht="19.5" thickBot="1" x14ac:dyDescent="0.35">
      <c r="A55" s="17">
        <v>50</v>
      </c>
      <c r="B55" s="135"/>
      <c r="C55" s="18" t="s">
        <v>64</v>
      </c>
      <c r="D55" s="19"/>
      <c r="E55" s="19"/>
      <c r="F55" s="19"/>
      <c r="G55" s="30"/>
      <c r="H55" s="31"/>
      <c r="I55" s="40"/>
      <c r="J55" s="31"/>
      <c r="K55" s="40"/>
      <c r="L55" s="31"/>
      <c r="M55" s="40"/>
      <c r="N55" s="31"/>
      <c r="O55" s="40"/>
      <c r="P55" s="31"/>
      <c r="Q55" s="40"/>
      <c r="R55" s="31"/>
      <c r="S55" s="31"/>
      <c r="T55" s="31"/>
      <c r="U55" s="40"/>
      <c r="V55" s="31"/>
      <c r="W55" s="31"/>
      <c r="X55" s="31"/>
      <c r="Y55" s="31"/>
      <c r="Z55" s="31"/>
      <c r="AA55" s="31"/>
      <c r="AB55" s="31"/>
      <c r="AC55" s="31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>
        <v>54</v>
      </c>
      <c r="AR55" s="46"/>
      <c r="AS55" s="46"/>
      <c r="AT55" s="46"/>
      <c r="AU55" s="46"/>
      <c r="AV55" s="46"/>
      <c r="AW55" s="46"/>
      <c r="AX55" s="46"/>
      <c r="AY55" s="55">
        <f t="shared" si="4"/>
        <v>54</v>
      </c>
      <c r="AZ55" s="56"/>
      <c r="BA55" s="57"/>
      <c r="BB55" s="57"/>
      <c r="BC55" s="57">
        <v>6</v>
      </c>
      <c r="BD55" s="57"/>
      <c r="BE55" s="57"/>
      <c r="BF55" s="57"/>
      <c r="BG55" s="57"/>
      <c r="BH55" s="57"/>
      <c r="BI55" s="55">
        <f t="shared" si="5"/>
        <v>6</v>
      </c>
      <c r="BJ55" s="69">
        <f t="shared" si="6"/>
        <v>48</v>
      </c>
      <c r="BK55" s="69">
        <f t="shared" si="0"/>
        <v>0</v>
      </c>
      <c r="BM55" s="75"/>
      <c r="BN55" s="57">
        <f t="shared" si="10"/>
        <v>40</v>
      </c>
      <c r="BO55" s="80"/>
      <c r="BP55" s="81">
        <v>1</v>
      </c>
      <c r="BQ55" s="81">
        <v>1</v>
      </c>
      <c r="BR55" s="81">
        <v>4</v>
      </c>
      <c r="BS55" s="81"/>
      <c r="BT55" s="81">
        <v>2</v>
      </c>
      <c r="BU55" s="81"/>
      <c r="BV55" s="81"/>
      <c r="BW55" s="81"/>
      <c r="BX55" s="81"/>
      <c r="BY55" s="81"/>
      <c r="BZ55" s="9">
        <f t="shared" si="11"/>
        <v>8</v>
      </c>
      <c r="CB55" s="148"/>
      <c r="CC55" s="2" t="str">
        <v>M41</v>
      </c>
      <c r="CD55" s="90">
        <v>12</v>
      </c>
      <c r="CE55" s="92">
        <f t="shared" ref="CE55:CE61" si="13">+CD55/$CD$62*100</f>
        <v>12.903225806451612</v>
      </c>
    </row>
    <row r="56" spans="1:83" s="2" customFormat="1" ht="19.5" thickBot="1" x14ac:dyDescent="0.35">
      <c r="A56" s="17">
        <v>51</v>
      </c>
      <c r="B56" s="135"/>
      <c r="C56" s="18" t="s">
        <v>65</v>
      </c>
      <c r="D56" s="19"/>
      <c r="E56" s="19"/>
      <c r="F56" s="19"/>
      <c r="G56" s="30"/>
      <c r="H56" s="31"/>
      <c r="I56" s="40"/>
      <c r="J56" s="31"/>
      <c r="K56" s="40"/>
      <c r="L56" s="31"/>
      <c r="M56" s="40"/>
      <c r="N56" s="31"/>
      <c r="O56" s="40"/>
      <c r="P56" s="31"/>
      <c r="Q56" s="40"/>
      <c r="R56" s="31"/>
      <c r="S56" s="31"/>
      <c r="T56" s="31"/>
      <c r="U56" s="40"/>
      <c r="V56" s="31"/>
      <c r="W56" s="31"/>
      <c r="X56" s="31"/>
      <c r="Y56" s="31"/>
      <c r="Z56" s="31"/>
      <c r="AA56" s="31"/>
      <c r="AB56" s="31"/>
      <c r="AC56" s="31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>
        <v>48</v>
      </c>
      <c r="AR56" s="46"/>
      <c r="AS56" s="46"/>
      <c r="AT56" s="46"/>
      <c r="AU56" s="46"/>
      <c r="AV56" s="46"/>
      <c r="AW56" s="46"/>
      <c r="AX56" s="46"/>
      <c r="AY56" s="55">
        <f t="shared" si="4"/>
        <v>48</v>
      </c>
      <c r="AZ56" s="56"/>
      <c r="BA56" s="57"/>
      <c r="BB56" s="57"/>
      <c r="BC56" s="57">
        <v>8</v>
      </c>
      <c r="BD56" s="57"/>
      <c r="BE56" s="57"/>
      <c r="BF56" s="57"/>
      <c r="BG56" s="57"/>
      <c r="BH56" s="57"/>
      <c r="BI56" s="55">
        <f t="shared" si="5"/>
        <v>8</v>
      </c>
      <c r="BJ56" s="69">
        <f t="shared" si="6"/>
        <v>40</v>
      </c>
      <c r="BK56" s="69">
        <f t="shared" si="0"/>
        <v>0</v>
      </c>
      <c r="BM56" s="75"/>
      <c r="BN56" s="57">
        <f t="shared" si="10"/>
        <v>33</v>
      </c>
      <c r="BO56" s="80"/>
      <c r="BP56" s="81">
        <v>1</v>
      </c>
      <c r="BQ56" s="81">
        <v>1</v>
      </c>
      <c r="BR56" s="81">
        <v>3</v>
      </c>
      <c r="BS56" s="81"/>
      <c r="BT56" s="81">
        <v>2</v>
      </c>
      <c r="BU56" s="81"/>
      <c r="BV56" s="81"/>
      <c r="BW56" s="81"/>
      <c r="BX56" s="81"/>
      <c r="BY56" s="81"/>
      <c r="BZ56" s="9">
        <f t="shared" si="11"/>
        <v>7</v>
      </c>
      <c r="CB56" s="148"/>
      <c r="CC56" s="2" t="str">
        <v>M42</v>
      </c>
      <c r="CD56" s="90">
        <v>23</v>
      </c>
      <c r="CE56" s="92">
        <f t="shared" si="13"/>
        <v>24.731182795698924</v>
      </c>
    </row>
    <row r="57" spans="1:83" s="2" customFormat="1" ht="19.5" thickBot="1" x14ac:dyDescent="0.35">
      <c r="A57" s="17">
        <v>52</v>
      </c>
      <c r="B57" s="135"/>
      <c r="C57" s="18" t="s">
        <v>66</v>
      </c>
      <c r="D57" s="19"/>
      <c r="E57" s="19"/>
      <c r="F57" s="19"/>
      <c r="G57" s="30"/>
      <c r="H57" s="31"/>
      <c r="I57" s="40"/>
      <c r="J57" s="31"/>
      <c r="K57" s="40"/>
      <c r="L57" s="31"/>
      <c r="M57" s="40"/>
      <c r="N57" s="31"/>
      <c r="O57" s="40"/>
      <c r="P57" s="31"/>
      <c r="Q57" s="40"/>
      <c r="R57" s="31"/>
      <c r="S57" s="31"/>
      <c r="T57" s="31"/>
      <c r="U57" s="40"/>
      <c r="V57" s="31"/>
      <c r="W57" s="31"/>
      <c r="X57" s="31"/>
      <c r="Y57" s="31"/>
      <c r="Z57" s="31"/>
      <c r="AA57" s="31"/>
      <c r="AB57" s="31"/>
      <c r="AC57" s="31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>
        <v>32</v>
      </c>
      <c r="AR57" s="46"/>
      <c r="AS57" s="46"/>
      <c r="AT57" s="46"/>
      <c r="AU57" s="46"/>
      <c r="AV57" s="46"/>
      <c r="AW57" s="46"/>
      <c r="AX57" s="46"/>
      <c r="AY57" s="55">
        <f t="shared" si="4"/>
        <v>32</v>
      </c>
      <c r="AZ57" s="56"/>
      <c r="BA57" s="57"/>
      <c r="BB57" s="57"/>
      <c r="BC57" s="57">
        <v>11</v>
      </c>
      <c r="BD57" s="57"/>
      <c r="BE57" s="57"/>
      <c r="BF57" s="57"/>
      <c r="BG57" s="57"/>
      <c r="BH57" s="57"/>
      <c r="BI57" s="55">
        <f t="shared" si="5"/>
        <v>11</v>
      </c>
      <c r="BJ57" s="69">
        <f t="shared" si="6"/>
        <v>21</v>
      </c>
      <c r="BK57" s="69">
        <f t="shared" si="0"/>
        <v>0</v>
      </c>
      <c r="BM57" s="75"/>
      <c r="BN57" s="57">
        <f t="shared" si="10"/>
        <v>15</v>
      </c>
      <c r="BO57" s="80"/>
      <c r="BP57" s="81">
        <v>1</v>
      </c>
      <c r="BQ57" s="81">
        <v>1</v>
      </c>
      <c r="BR57" s="81">
        <v>3</v>
      </c>
      <c r="BS57" s="81"/>
      <c r="BT57" s="81">
        <v>1</v>
      </c>
      <c r="BU57" s="81"/>
      <c r="BV57" s="81"/>
      <c r="BW57" s="81"/>
      <c r="BX57" s="81"/>
      <c r="BY57" s="81"/>
      <c r="BZ57" s="9">
        <f t="shared" si="11"/>
        <v>6</v>
      </c>
      <c r="CB57" s="148"/>
      <c r="CC57" s="2" t="str">
        <v>M43</v>
      </c>
      <c r="CD57" s="90">
        <v>23</v>
      </c>
      <c r="CE57" s="92">
        <f t="shared" si="13"/>
        <v>24.731182795698924</v>
      </c>
    </row>
    <row r="58" spans="1:83" s="2" customFormat="1" ht="19.5" thickBot="1" x14ac:dyDescent="0.35">
      <c r="A58" s="17">
        <v>53</v>
      </c>
      <c r="B58" s="135"/>
      <c r="C58" s="18" t="s">
        <v>67</v>
      </c>
      <c r="D58" s="19"/>
      <c r="E58" s="19"/>
      <c r="F58" s="19"/>
      <c r="G58" s="30"/>
      <c r="H58" s="31"/>
      <c r="I58" s="40"/>
      <c r="J58" s="31"/>
      <c r="K58" s="40"/>
      <c r="L58" s="31"/>
      <c r="M58" s="40"/>
      <c r="N58" s="31"/>
      <c r="O58" s="40"/>
      <c r="P58" s="31"/>
      <c r="Q58" s="40"/>
      <c r="R58" s="31"/>
      <c r="S58" s="31"/>
      <c r="T58" s="31"/>
      <c r="U58" s="40"/>
      <c r="V58" s="31"/>
      <c r="W58" s="31"/>
      <c r="X58" s="31"/>
      <c r="Y58" s="31"/>
      <c r="Z58" s="31"/>
      <c r="AA58" s="31"/>
      <c r="AB58" s="31"/>
      <c r="AC58" s="31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>
        <v>19</v>
      </c>
      <c r="AR58" s="46"/>
      <c r="AS58" s="46"/>
      <c r="AT58" s="46"/>
      <c r="AU58" s="46"/>
      <c r="AV58" s="46"/>
      <c r="AW58" s="46"/>
      <c r="AX58" s="46"/>
      <c r="AY58" s="55">
        <f t="shared" si="4"/>
        <v>19</v>
      </c>
      <c r="AZ58" s="56"/>
      <c r="BA58" s="57"/>
      <c r="BB58" s="57"/>
      <c r="BC58" s="57">
        <v>2</v>
      </c>
      <c r="BD58" s="57"/>
      <c r="BE58" s="57"/>
      <c r="BF58" s="57"/>
      <c r="BG58" s="57"/>
      <c r="BH58" s="57"/>
      <c r="BI58" s="55">
        <f t="shared" si="5"/>
        <v>2</v>
      </c>
      <c r="BJ58" s="69">
        <f t="shared" si="6"/>
        <v>17</v>
      </c>
      <c r="BK58" s="69">
        <f t="shared" si="0"/>
        <v>0</v>
      </c>
      <c r="BM58" s="75"/>
      <c r="BN58" s="57">
        <f t="shared" si="10"/>
        <v>12</v>
      </c>
      <c r="BO58" s="80"/>
      <c r="BP58" s="81">
        <v>1</v>
      </c>
      <c r="BQ58" s="81">
        <v>1</v>
      </c>
      <c r="BR58" s="81">
        <v>2</v>
      </c>
      <c r="BS58" s="81"/>
      <c r="BT58" s="81">
        <v>1</v>
      </c>
      <c r="BU58" s="81"/>
      <c r="BV58" s="81"/>
      <c r="BW58" s="81"/>
      <c r="BX58" s="81"/>
      <c r="BY58" s="81"/>
      <c r="BZ58" s="9">
        <f t="shared" si="11"/>
        <v>5</v>
      </c>
      <c r="CB58" s="148"/>
      <c r="CC58" s="2" t="str">
        <v>M44</v>
      </c>
      <c r="CD58" s="90">
        <v>13</v>
      </c>
      <c r="CE58" s="92">
        <f t="shared" si="13"/>
        <v>13.978494623655912</v>
      </c>
    </row>
    <row r="59" spans="1:83" s="2" customFormat="1" ht="19.5" thickBot="1" x14ac:dyDescent="0.35">
      <c r="A59" s="17">
        <v>54</v>
      </c>
      <c r="B59" s="135"/>
      <c r="C59" s="18" t="s">
        <v>68</v>
      </c>
      <c r="D59" s="19"/>
      <c r="E59" s="19"/>
      <c r="F59" s="19"/>
      <c r="G59" s="30"/>
      <c r="H59" s="31"/>
      <c r="I59" s="40"/>
      <c r="J59" s="31"/>
      <c r="K59" s="40"/>
      <c r="L59" s="31"/>
      <c r="M59" s="40"/>
      <c r="N59" s="31"/>
      <c r="O59" s="40"/>
      <c r="P59" s="31"/>
      <c r="Q59" s="40"/>
      <c r="R59" s="31"/>
      <c r="S59" s="31"/>
      <c r="T59" s="31"/>
      <c r="U59" s="40"/>
      <c r="V59" s="31"/>
      <c r="W59" s="31"/>
      <c r="X59" s="31"/>
      <c r="Y59" s="31"/>
      <c r="Z59" s="31"/>
      <c r="AA59" s="31"/>
      <c r="AB59" s="31"/>
      <c r="AC59" s="31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>
        <v>12</v>
      </c>
      <c r="AR59" s="46"/>
      <c r="AS59" s="46"/>
      <c r="AT59" s="46"/>
      <c r="AU59" s="46"/>
      <c r="AV59" s="46"/>
      <c r="AW59" s="46"/>
      <c r="AX59" s="46"/>
      <c r="AY59" s="55">
        <f t="shared" si="4"/>
        <v>12</v>
      </c>
      <c r="AZ59" s="56"/>
      <c r="BA59" s="57"/>
      <c r="BB59" s="57"/>
      <c r="BC59" s="57">
        <v>2</v>
      </c>
      <c r="BD59" s="57"/>
      <c r="BE59" s="57"/>
      <c r="BF59" s="57"/>
      <c r="BG59" s="57"/>
      <c r="BH59" s="57"/>
      <c r="BI59" s="55">
        <f t="shared" si="5"/>
        <v>2</v>
      </c>
      <c r="BJ59" s="69">
        <f t="shared" si="6"/>
        <v>10</v>
      </c>
      <c r="BK59" s="69">
        <f t="shared" si="0"/>
        <v>0</v>
      </c>
      <c r="BM59" s="75"/>
      <c r="BN59" s="57">
        <f t="shared" si="10"/>
        <v>7</v>
      </c>
      <c r="BO59" s="80"/>
      <c r="BP59" s="81">
        <v>1</v>
      </c>
      <c r="BQ59" s="81"/>
      <c r="BR59" s="81">
        <v>2</v>
      </c>
      <c r="BS59" s="81"/>
      <c r="BT59" s="81"/>
      <c r="BU59" s="81"/>
      <c r="BV59" s="81"/>
      <c r="BW59" s="81"/>
      <c r="BX59" s="81"/>
      <c r="BY59" s="81"/>
      <c r="BZ59" s="9">
        <f t="shared" si="11"/>
        <v>3</v>
      </c>
      <c r="CB59" s="148"/>
      <c r="CC59" s="2" t="str">
        <v>M45</v>
      </c>
      <c r="CD59" s="90">
        <v>9</v>
      </c>
      <c r="CE59" s="92">
        <f t="shared" si="13"/>
        <v>9.67741935483871</v>
      </c>
    </row>
    <row r="60" spans="1:83" s="2" customFormat="1" ht="19.5" thickBot="1" x14ac:dyDescent="0.35">
      <c r="A60" s="17">
        <v>55</v>
      </c>
      <c r="B60" s="135"/>
      <c r="C60" s="20" t="s">
        <v>69</v>
      </c>
      <c r="D60" s="21"/>
      <c r="E60" s="21"/>
      <c r="F60" s="21"/>
      <c r="G60" s="32"/>
      <c r="H60" s="33"/>
      <c r="I60" s="41"/>
      <c r="J60" s="33"/>
      <c r="K60" s="41"/>
      <c r="L60" s="33"/>
      <c r="M60" s="41"/>
      <c r="N60" s="33"/>
      <c r="O60" s="41"/>
      <c r="P60" s="33"/>
      <c r="Q60" s="41"/>
      <c r="R60" s="33"/>
      <c r="S60" s="33"/>
      <c r="T60" s="33"/>
      <c r="U60" s="41"/>
      <c r="V60" s="33"/>
      <c r="W60" s="33"/>
      <c r="X60" s="33"/>
      <c r="Y60" s="33"/>
      <c r="Z60" s="33"/>
      <c r="AA60" s="33"/>
      <c r="AB60" s="33"/>
      <c r="AC60" s="33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>
        <v>0</v>
      </c>
      <c r="AR60" s="47"/>
      <c r="AS60" s="47"/>
      <c r="AT60" s="47"/>
      <c r="AU60" s="47"/>
      <c r="AV60" s="47"/>
      <c r="AW60" s="47"/>
      <c r="AX60" s="47"/>
      <c r="AY60" s="55">
        <f t="shared" si="4"/>
        <v>0</v>
      </c>
      <c r="AZ60" s="59"/>
      <c r="BA60" s="60"/>
      <c r="BB60" s="60"/>
      <c r="BC60" s="60">
        <v>0</v>
      </c>
      <c r="BD60" s="60"/>
      <c r="BE60" s="60"/>
      <c r="BF60" s="60"/>
      <c r="BG60" s="60"/>
      <c r="BH60" s="60"/>
      <c r="BI60" s="58">
        <f t="shared" si="5"/>
        <v>0</v>
      </c>
      <c r="BJ60" s="70">
        <f t="shared" si="6"/>
        <v>0</v>
      </c>
      <c r="BK60" s="70">
        <f t="shared" si="0"/>
        <v>0</v>
      </c>
      <c r="BL60" s="76"/>
      <c r="BM60" s="77"/>
      <c r="BN60" s="60">
        <f t="shared" si="10"/>
        <v>0</v>
      </c>
      <c r="BO60" s="82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9">
        <f t="shared" si="11"/>
        <v>0</v>
      </c>
      <c r="CB60" s="148"/>
      <c r="CC60" s="2" t="str">
        <v>M46</v>
      </c>
      <c r="CD60" s="90">
        <v>4</v>
      </c>
      <c r="CE60" s="92">
        <f t="shared" si="13"/>
        <v>4.3010752688172049</v>
      </c>
    </row>
    <row r="61" spans="1:83" s="2" customFormat="1" ht="19.5" thickBot="1" x14ac:dyDescent="0.35">
      <c r="A61" s="17">
        <v>56</v>
      </c>
      <c r="B61" s="134" t="s">
        <v>79</v>
      </c>
      <c r="C61" s="18" t="s">
        <v>80</v>
      </c>
      <c r="D61" s="19"/>
      <c r="E61" s="19"/>
      <c r="F61" s="19"/>
      <c r="G61" s="30"/>
      <c r="H61" s="31"/>
      <c r="I61" s="40"/>
      <c r="J61" s="31"/>
      <c r="K61" s="40"/>
      <c r="L61" s="31"/>
      <c r="M61" s="40"/>
      <c r="N61" s="31"/>
      <c r="O61" s="40"/>
      <c r="P61" s="31"/>
      <c r="Q61" s="40"/>
      <c r="R61" s="31"/>
      <c r="S61" s="31"/>
      <c r="T61" s="31"/>
      <c r="U61" s="40"/>
      <c r="V61" s="31"/>
      <c r="W61" s="31"/>
      <c r="X61" s="31"/>
      <c r="Y61" s="31"/>
      <c r="Z61" s="31"/>
      <c r="AA61" s="31"/>
      <c r="AB61" s="31"/>
      <c r="AC61" s="31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>
        <v>15</v>
      </c>
      <c r="AR61" s="46"/>
      <c r="AS61" s="46"/>
      <c r="AT61" s="46"/>
      <c r="AU61" s="46"/>
      <c r="AV61" s="46"/>
      <c r="AW61" s="46"/>
      <c r="AX61" s="46"/>
      <c r="AY61" s="55">
        <f t="shared" si="4"/>
        <v>15</v>
      </c>
      <c r="AZ61" s="56"/>
      <c r="BA61" s="57"/>
      <c r="BB61" s="57"/>
      <c r="BC61" s="57">
        <v>5</v>
      </c>
      <c r="BD61" s="57"/>
      <c r="BE61" s="57"/>
      <c r="BF61" s="57"/>
      <c r="BG61" s="57"/>
      <c r="BH61" s="57"/>
      <c r="BI61" s="55">
        <f t="shared" si="5"/>
        <v>5</v>
      </c>
      <c r="BJ61" s="69">
        <f t="shared" si="6"/>
        <v>10</v>
      </c>
      <c r="BK61" s="69">
        <f t="shared" si="0"/>
        <v>0</v>
      </c>
      <c r="BM61" s="75"/>
      <c r="BN61" s="57">
        <f t="shared" si="10"/>
        <v>9</v>
      </c>
      <c r="BO61" s="80"/>
      <c r="BP61" s="81">
        <v>1</v>
      </c>
      <c r="BQ61" s="81"/>
      <c r="BR61" s="81"/>
      <c r="BS61" s="81"/>
      <c r="BT61" s="81"/>
      <c r="BU61" s="81"/>
      <c r="BV61" s="81"/>
      <c r="BW61" s="81"/>
      <c r="BX61" s="81"/>
      <c r="BY61" s="81"/>
      <c r="BZ61" s="9">
        <f t="shared" si="11"/>
        <v>1</v>
      </c>
      <c r="CB61" s="148"/>
      <c r="CC61" s="2" t="str">
        <v>M47</v>
      </c>
      <c r="CD61" s="90">
        <v>3</v>
      </c>
      <c r="CE61" s="92">
        <f t="shared" si="13"/>
        <v>3.225806451612903</v>
      </c>
    </row>
    <row r="62" spans="1:83" s="2" customFormat="1" ht="18.75" customHeight="1" thickBot="1" x14ac:dyDescent="0.35">
      <c r="A62" s="17">
        <v>57</v>
      </c>
      <c r="B62" s="134"/>
      <c r="C62" s="18" t="s">
        <v>61</v>
      </c>
      <c r="D62" s="19"/>
      <c r="E62" s="19"/>
      <c r="F62" s="19"/>
      <c r="G62" s="30"/>
      <c r="H62" s="31"/>
      <c r="I62" s="40"/>
      <c r="J62" s="31"/>
      <c r="K62" s="40"/>
      <c r="L62" s="31"/>
      <c r="M62" s="40"/>
      <c r="N62" s="31"/>
      <c r="O62" s="40"/>
      <c r="P62" s="31"/>
      <c r="Q62" s="40"/>
      <c r="R62" s="31"/>
      <c r="S62" s="31"/>
      <c r="T62" s="31"/>
      <c r="U62" s="40"/>
      <c r="V62" s="31"/>
      <c r="W62" s="31"/>
      <c r="X62" s="31"/>
      <c r="Y62" s="31"/>
      <c r="Z62" s="31"/>
      <c r="AA62" s="31"/>
      <c r="AB62" s="31"/>
      <c r="AC62" s="31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>
        <v>9</v>
      </c>
      <c r="AR62" s="46"/>
      <c r="AS62" s="46"/>
      <c r="AT62" s="46"/>
      <c r="AU62" s="46"/>
      <c r="AV62" s="46"/>
      <c r="AW62" s="46"/>
      <c r="AX62" s="46"/>
      <c r="AY62" s="55">
        <f t="shared" si="4"/>
        <v>9</v>
      </c>
      <c r="AZ62" s="56"/>
      <c r="BA62" s="57"/>
      <c r="BB62" s="57"/>
      <c r="BC62" s="57">
        <v>4</v>
      </c>
      <c r="BD62" s="57"/>
      <c r="BE62" s="57"/>
      <c r="BF62" s="57"/>
      <c r="BG62" s="57"/>
      <c r="BH62" s="57"/>
      <c r="BI62" s="55">
        <f t="shared" si="5"/>
        <v>4</v>
      </c>
      <c r="BJ62" s="69">
        <f t="shared" si="6"/>
        <v>5</v>
      </c>
      <c r="BK62" s="69">
        <f t="shared" si="0"/>
        <v>0</v>
      </c>
      <c r="BM62" s="75"/>
      <c r="BN62" s="57">
        <f t="shared" si="10"/>
        <v>4</v>
      </c>
      <c r="BO62" s="80"/>
      <c r="BP62" s="81">
        <v>1</v>
      </c>
      <c r="BQ62" s="81"/>
      <c r="BR62" s="81"/>
      <c r="BS62" s="81"/>
      <c r="BT62" s="81"/>
      <c r="BU62" s="81"/>
      <c r="BV62" s="81"/>
      <c r="BW62" s="81"/>
      <c r="BX62" s="81"/>
      <c r="BY62" s="81"/>
      <c r="BZ62" s="9">
        <f t="shared" si="11"/>
        <v>1</v>
      </c>
      <c r="CB62" s="148"/>
      <c r="CC62" s="91" t="str">
        <v>Total</v>
      </c>
      <c r="CD62" s="88">
        <v>93</v>
      </c>
      <c r="CE62" s="93">
        <f>SUM(CE54:CE61)</f>
        <v>99.999999999999972</v>
      </c>
    </row>
    <row r="63" spans="1:83" s="2" customFormat="1" ht="19.5" thickBot="1" x14ac:dyDescent="0.35">
      <c r="A63" s="17">
        <v>58</v>
      </c>
      <c r="B63" s="134"/>
      <c r="C63" s="18" t="s">
        <v>62</v>
      </c>
      <c r="D63" s="19"/>
      <c r="E63" s="19"/>
      <c r="F63" s="19"/>
      <c r="G63" s="30"/>
      <c r="H63" s="31"/>
      <c r="I63" s="40"/>
      <c r="J63" s="31"/>
      <c r="K63" s="40"/>
      <c r="L63" s="31"/>
      <c r="M63" s="40"/>
      <c r="N63" s="31"/>
      <c r="O63" s="40"/>
      <c r="P63" s="31"/>
      <c r="Q63" s="40"/>
      <c r="R63" s="31"/>
      <c r="S63" s="31"/>
      <c r="T63" s="31"/>
      <c r="U63" s="40"/>
      <c r="V63" s="31"/>
      <c r="W63" s="31"/>
      <c r="X63" s="31"/>
      <c r="Y63" s="31"/>
      <c r="Z63" s="31"/>
      <c r="AA63" s="31"/>
      <c r="AB63" s="31"/>
      <c r="AC63" s="31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>
        <v>27</v>
      </c>
      <c r="AR63" s="46"/>
      <c r="AS63" s="46"/>
      <c r="AT63" s="46"/>
      <c r="AU63" s="46"/>
      <c r="AV63" s="46"/>
      <c r="AW63" s="46"/>
      <c r="AX63" s="46"/>
      <c r="AY63" s="55">
        <f t="shared" si="4"/>
        <v>27</v>
      </c>
      <c r="AZ63" s="56"/>
      <c r="BA63" s="57"/>
      <c r="BB63" s="57"/>
      <c r="BC63" s="57">
        <v>10</v>
      </c>
      <c r="BD63" s="57"/>
      <c r="BE63" s="57"/>
      <c r="BF63" s="57"/>
      <c r="BG63" s="57"/>
      <c r="BH63" s="57"/>
      <c r="BI63" s="55">
        <f t="shared" si="5"/>
        <v>10</v>
      </c>
      <c r="BJ63" s="69">
        <f t="shared" si="6"/>
        <v>17</v>
      </c>
      <c r="BK63" s="69">
        <f t="shared" si="0"/>
        <v>0</v>
      </c>
      <c r="BM63" s="75"/>
      <c r="BN63" s="57">
        <f t="shared" si="10"/>
        <v>13</v>
      </c>
      <c r="BO63" s="80"/>
      <c r="BP63" s="81">
        <v>1</v>
      </c>
      <c r="BQ63" s="81">
        <v>1</v>
      </c>
      <c r="BR63" s="81">
        <v>2</v>
      </c>
      <c r="BS63" s="81"/>
      <c r="BT63" s="81"/>
      <c r="BU63" s="81"/>
      <c r="BV63" s="81"/>
      <c r="BW63" s="81"/>
      <c r="BX63" s="81"/>
      <c r="BY63" s="81"/>
      <c r="BZ63" s="9">
        <f t="shared" si="11"/>
        <v>4</v>
      </c>
      <c r="CB63" s="148" t="s">
        <v>81</v>
      </c>
      <c r="CC63" s="2" t="str" cm="1">
        <f t="array" ref="CC63:CD73">_xlfn.GROUPBY(C243:C300,BI243:BI300,_xleta.SUM)</f>
        <v>M39</v>
      </c>
      <c r="CD63" s="90">
        <v>3</v>
      </c>
      <c r="CE63" s="92" t="e">
        <f>+CD63/#REF!*100</f>
        <v>#REF!</v>
      </c>
    </row>
    <row r="64" spans="1:83" s="2" customFormat="1" ht="19.5" thickBot="1" x14ac:dyDescent="0.35">
      <c r="A64" s="17">
        <v>59</v>
      </c>
      <c r="B64" s="134"/>
      <c r="C64" s="18" t="s">
        <v>63</v>
      </c>
      <c r="D64" s="19"/>
      <c r="E64" s="19"/>
      <c r="F64" s="19"/>
      <c r="G64" s="30"/>
      <c r="H64" s="31"/>
      <c r="I64" s="40"/>
      <c r="J64" s="31"/>
      <c r="K64" s="40"/>
      <c r="L64" s="31"/>
      <c r="M64" s="40"/>
      <c r="N64" s="31"/>
      <c r="O64" s="40"/>
      <c r="P64" s="31"/>
      <c r="Q64" s="40"/>
      <c r="R64" s="31"/>
      <c r="S64" s="31"/>
      <c r="T64" s="31"/>
      <c r="U64" s="40"/>
      <c r="V64" s="31"/>
      <c r="W64" s="31"/>
      <c r="X64" s="31"/>
      <c r="Y64" s="31"/>
      <c r="Z64" s="31"/>
      <c r="AA64" s="31"/>
      <c r="AB64" s="31"/>
      <c r="AC64" s="31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>
        <v>54</v>
      </c>
      <c r="AR64" s="46"/>
      <c r="AS64" s="46"/>
      <c r="AT64" s="46"/>
      <c r="AU64" s="46"/>
      <c r="AV64" s="46"/>
      <c r="AW64" s="46"/>
      <c r="AX64" s="46"/>
      <c r="AY64" s="55">
        <f t="shared" si="4"/>
        <v>54</v>
      </c>
      <c r="AZ64" s="56"/>
      <c r="BA64" s="57"/>
      <c r="BB64" s="57"/>
      <c r="BC64" s="57">
        <v>13</v>
      </c>
      <c r="BD64" s="57"/>
      <c r="BE64" s="57"/>
      <c r="BF64" s="57"/>
      <c r="BG64" s="57"/>
      <c r="BH64" s="57"/>
      <c r="BI64" s="55">
        <f t="shared" si="5"/>
        <v>13</v>
      </c>
      <c r="BJ64" s="69">
        <f t="shared" si="6"/>
        <v>41</v>
      </c>
      <c r="BK64" s="69">
        <f t="shared" si="0"/>
        <v>0</v>
      </c>
      <c r="BM64" s="75"/>
      <c r="BN64" s="57">
        <f t="shared" si="10"/>
        <v>32</v>
      </c>
      <c r="BO64" s="80"/>
      <c r="BP64" s="81">
        <v>2</v>
      </c>
      <c r="BQ64" s="81">
        <v>1</v>
      </c>
      <c r="BR64" s="81">
        <v>4</v>
      </c>
      <c r="BS64" s="81">
        <v>1</v>
      </c>
      <c r="BT64" s="81">
        <v>1</v>
      </c>
      <c r="BU64" s="81"/>
      <c r="BV64" s="81"/>
      <c r="BW64" s="81"/>
      <c r="BX64" s="81"/>
      <c r="BY64" s="81"/>
      <c r="BZ64" s="9">
        <f t="shared" si="11"/>
        <v>9</v>
      </c>
      <c r="CB64" s="148"/>
      <c r="CC64" s="2" t="str">
        <v>M40</v>
      </c>
      <c r="CD64" s="90">
        <v>65</v>
      </c>
      <c r="CE64" s="92" t="e">
        <f>+CD64/#REF!*100</f>
        <v>#REF!</v>
      </c>
    </row>
    <row r="65" spans="1:83" s="2" customFormat="1" ht="19.5" thickBot="1" x14ac:dyDescent="0.35">
      <c r="A65" s="17">
        <v>60</v>
      </c>
      <c r="B65" s="134"/>
      <c r="C65" s="18" t="s">
        <v>64</v>
      </c>
      <c r="D65" s="19"/>
      <c r="E65" s="19"/>
      <c r="F65" s="19"/>
      <c r="G65" s="30"/>
      <c r="H65" s="31"/>
      <c r="I65" s="40"/>
      <c r="J65" s="31"/>
      <c r="K65" s="40"/>
      <c r="L65" s="31"/>
      <c r="M65" s="40"/>
      <c r="N65" s="31"/>
      <c r="O65" s="40"/>
      <c r="P65" s="31"/>
      <c r="Q65" s="40"/>
      <c r="R65" s="31"/>
      <c r="S65" s="31"/>
      <c r="T65" s="31"/>
      <c r="U65" s="40"/>
      <c r="V65" s="31"/>
      <c r="W65" s="31"/>
      <c r="X65" s="31"/>
      <c r="Y65" s="31"/>
      <c r="Z65" s="31"/>
      <c r="AA65" s="31"/>
      <c r="AB65" s="31"/>
      <c r="AC65" s="31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>
        <v>57</v>
      </c>
      <c r="AR65" s="46"/>
      <c r="AS65" s="46"/>
      <c r="AT65" s="46"/>
      <c r="AU65" s="46"/>
      <c r="AV65" s="46"/>
      <c r="AW65" s="46"/>
      <c r="AX65" s="46"/>
      <c r="AY65" s="55">
        <f t="shared" si="4"/>
        <v>57</v>
      </c>
      <c r="AZ65" s="56"/>
      <c r="BA65" s="57"/>
      <c r="BB65" s="57"/>
      <c r="BC65" s="57">
        <v>20</v>
      </c>
      <c r="BD65" s="57"/>
      <c r="BE65" s="57"/>
      <c r="BF65" s="57"/>
      <c r="BG65" s="57"/>
      <c r="BH65" s="57"/>
      <c r="BI65" s="55">
        <f t="shared" si="5"/>
        <v>20</v>
      </c>
      <c r="BJ65" s="69">
        <f t="shared" si="6"/>
        <v>37</v>
      </c>
      <c r="BK65" s="69">
        <f t="shared" si="0"/>
        <v>0</v>
      </c>
      <c r="BM65" s="75"/>
      <c r="BN65" s="57">
        <f t="shared" si="10"/>
        <v>32</v>
      </c>
      <c r="BO65" s="80"/>
      <c r="BP65" s="81">
        <v>1</v>
      </c>
      <c r="BQ65" s="81"/>
      <c r="BR65" s="81">
        <v>2</v>
      </c>
      <c r="BS65" s="81">
        <v>1</v>
      </c>
      <c r="BT65" s="81">
        <v>1</v>
      </c>
      <c r="BU65" s="81"/>
      <c r="BV65" s="81"/>
      <c r="BW65" s="81"/>
      <c r="BX65" s="81"/>
      <c r="BY65" s="81"/>
      <c r="BZ65" s="9">
        <f t="shared" si="11"/>
        <v>5</v>
      </c>
      <c r="CB65" s="148"/>
      <c r="CC65" s="2" t="str">
        <v>M41</v>
      </c>
      <c r="CD65" s="90">
        <v>130</v>
      </c>
      <c r="CE65" s="92" t="e">
        <f>+CD65/#REF!*100</f>
        <v>#REF!</v>
      </c>
    </row>
    <row r="66" spans="1:83" s="2" customFormat="1" ht="19.5" thickBot="1" x14ac:dyDescent="0.35">
      <c r="A66" s="17">
        <v>61</v>
      </c>
      <c r="B66" s="134"/>
      <c r="C66" s="18" t="s">
        <v>65</v>
      </c>
      <c r="D66" s="19"/>
      <c r="E66" s="19"/>
      <c r="F66" s="19"/>
      <c r="G66" s="30"/>
      <c r="H66" s="31"/>
      <c r="I66" s="40"/>
      <c r="J66" s="31"/>
      <c r="K66" s="40"/>
      <c r="L66" s="31"/>
      <c r="M66" s="40"/>
      <c r="N66" s="31"/>
      <c r="O66" s="40"/>
      <c r="P66" s="31"/>
      <c r="Q66" s="40"/>
      <c r="R66" s="31"/>
      <c r="S66" s="31"/>
      <c r="T66" s="31"/>
      <c r="U66" s="40"/>
      <c r="V66" s="31"/>
      <c r="W66" s="31"/>
      <c r="X66" s="31"/>
      <c r="Y66" s="31"/>
      <c r="Z66" s="31"/>
      <c r="AA66" s="31"/>
      <c r="AB66" s="31"/>
      <c r="AC66" s="31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>
        <v>57</v>
      </c>
      <c r="AR66" s="46"/>
      <c r="AS66" s="46"/>
      <c r="AT66" s="46"/>
      <c r="AU66" s="46"/>
      <c r="AV66" s="46"/>
      <c r="AW66" s="46"/>
      <c r="AX66" s="46"/>
      <c r="AY66" s="55">
        <f t="shared" si="4"/>
        <v>57</v>
      </c>
      <c r="AZ66" s="56"/>
      <c r="BA66" s="57"/>
      <c r="BB66" s="57"/>
      <c r="BC66" s="57">
        <v>10</v>
      </c>
      <c r="BD66" s="57"/>
      <c r="BE66" s="57"/>
      <c r="BF66" s="57"/>
      <c r="BG66" s="57"/>
      <c r="BH66" s="57"/>
      <c r="BI66" s="55">
        <f t="shared" si="5"/>
        <v>10</v>
      </c>
      <c r="BJ66" s="69">
        <f t="shared" si="6"/>
        <v>47</v>
      </c>
      <c r="BK66" s="69">
        <f t="shared" si="0"/>
        <v>0</v>
      </c>
      <c r="BM66" s="75"/>
      <c r="BN66" s="57">
        <f t="shared" si="10"/>
        <v>37</v>
      </c>
      <c r="BO66" s="80"/>
      <c r="BP66" s="81">
        <v>2</v>
      </c>
      <c r="BQ66" s="81">
        <v>1</v>
      </c>
      <c r="BR66" s="81">
        <v>3</v>
      </c>
      <c r="BS66" s="81">
        <v>2</v>
      </c>
      <c r="BT66" s="81">
        <v>1</v>
      </c>
      <c r="BU66" s="81"/>
      <c r="BV66" s="81"/>
      <c r="BW66" s="81"/>
      <c r="BX66" s="81">
        <v>1</v>
      </c>
      <c r="BY66" s="81"/>
      <c r="BZ66" s="9">
        <f t="shared" si="11"/>
        <v>10</v>
      </c>
      <c r="CB66" s="148"/>
      <c r="CC66" s="2" t="str">
        <v>M42</v>
      </c>
      <c r="CD66" s="90">
        <v>208</v>
      </c>
      <c r="CE66" s="92" t="e">
        <f>+CD66/#REF!*100</f>
        <v>#REF!</v>
      </c>
    </row>
    <row r="67" spans="1:83" s="2" customFormat="1" ht="19.5" thickBot="1" x14ac:dyDescent="0.35">
      <c r="A67" s="17">
        <v>62</v>
      </c>
      <c r="B67" s="134"/>
      <c r="C67" s="18" t="s">
        <v>66</v>
      </c>
      <c r="D67" s="19"/>
      <c r="E67" s="19"/>
      <c r="F67" s="19"/>
      <c r="G67" s="30"/>
      <c r="H67" s="31"/>
      <c r="I67" s="40"/>
      <c r="J67" s="31"/>
      <c r="K67" s="40"/>
      <c r="L67" s="31"/>
      <c r="M67" s="40"/>
      <c r="N67" s="31"/>
      <c r="O67" s="40"/>
      <c r="P67" s="31"/>
      <c r="Q67" s="40"/>
      <c r="R67" s="31"/>
      <c r="S67" s="31"/>
      <c r="T67" s="31"/>
      <c r="U67" s="40"/>
      <c r="V67" s="31"/>
      <c r="W67" s="31"/>
      <c r="X67" s="31"/>
      <c r="Y67" s="31"/>
      <c r="Z67" s="31"/>
      <c r="AA67" s="31"/>
      <c r="AB67" s="31"/>
      <c r="AC67" s="31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>
        <v>45</v>
      </c>
      <c r="AR67" s="46"/>
      <c r="AS67" s="46"/>
      <c r="AT67" s="46"/>
      <c r="AU67" s="46"/>
      <c r="AV67" s="46"/>
      <c r="AW67" s="46"/>
      <c r="AX67" s="46"/>
      <c r="AY67" s="55">
        <f t="shared" si="4"/>
        <v>45</v>
      </c>
      <c r="AZ67" s="56"/>
      <c r="BA67" s="57"/>
      <c r="BB67" s="57"/>
      <c r="BC67" s="57">
        <v>13</v>
      </c>
      <c r="BD67" s="57"/>
      <c r="BE67" s="57"/>
      <c r="BF67" s="57"/>
      <c r="BG67" s="57"/>
      <c r="BH67" s="57"/>
      <c r="BI67" s="55">
        <f t="shared" si="5"/>
        <v>13</v>
      </c>
      <c r="BJ67" s="69">
        <f t="shared" si="6"/>
        <v>32</v>
      </c>
      <c r="BK67" s="69">
        <f t="shared" si="0"/>
        <v>0</v>
      </c>
      <c r="BM67" s="75"/>
      <c r="BN67" s="57">
        <f t="shared" si="10"/>
        <v>24</v>
      </c>
      <c r="BO67" s="80"/>
      <c r="BP67" s="81">
        <v>1</v>
      </c>
      <c r="BQ67" s="81">
        <v>1</v>
      </c>
      <c r="BR67" s="81">
        <v>2</v>
      </c>
      <c r="BS67" s="81">
        <v>2</v>
      </c>
      <c r="BT67" s="81">
        <v>1</v>
      </c>
      <c r="BU67" s="81"/>
      <c r="BV67" s="81"/>
      <c r="BW67" s="81"/>
      <c r="BX67" s="81">
        <v>1</v>
      </c>
      <c r="BY67" s="81"/>
      <c r="BZ67" s="9">
        <f t="shared" si="11"/>
        <v>8</v>
      </c>
      <c r="CB67" s="148"/>
      <c r="CC67" s="2" t="str">
        <v>M43</v>
      </c>
      <c r="CD67" s="90">
        <v>261</v>
      </c>
      <c r="CE67" s="92" t="e">
        <f>+CD67/#REF!*100</f>
        <v>#REF!</v>
      </c>
    </row>
    <row r="68" spans="1:83" s="2" customFormat="1" ht="19.5" thickBot="1" x14ac:dyDescent="0.35">
      <c r="A68" s="17">
        <v>63</v>
      </c>
      <c r="B68" s="134"/>
      <c r="C68" s="18" t="s">
        <v>67</v>
      </c>
      <c r="D68" s="19"/>
      <c r="E68" s="19"/>
      <c r="F68" s="19"/>
      <c r="G68" s="30"/>
      <c r="H68" s="31"/>
      <c r="I68" s="40"/>
      <c r="J68" s="31"/>
      <c r="K68" s="40"/>
      <c r="L68" s="31"/>
      <c r="M68" s="40"/>
      <c r="N68" s="31"/>
      <c r="O68" s="40"/>
      <c r="P68" s="31"/>
      <c r="Q68" s="40"/>
      <c r="R68" s="31"/>
      <c r="S68" s="31"/>
      <c r="T68" s="31"/>
      <c r="U68" s="40"/>
      <c r="V68" s="31"/>
      <c r="W68" s="31"/>
      <c r="X68" s="31"/>
      <c r="Y68" s="31"/>
      <c r="Z68" s="31"/>
      <c r="AA68" s="31"/>
      <c r="AB68" s="31"/>
      <c r="AC68" s="31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>
        <v>24</v>
      </c>
      <c r="AR68" s="46"/>
      <c r="AS68" s="46"/>
      <c r="AT68" s="46"/>
      <c r="AU68" s="46"/>
      <c r="AV68" s="46"/>
      <c r="AW68" s="46"/>
      <c r="AX68" s="46"/>
      <c r="AY68" s="55">
        <f t="shared" si="4"/>
        <v>24</v>
      </c>
      <c r="AZ68" s="56"/>
      <c r="BA68" s="57"/>
      <c r="BB68" s="57"/>
      <c r="BC68" s="57">
        <v>5</v>
      </c>
      <c r="BD68" s="57"/>
      <c r="BE68" s="57"/>
      <c r="BF68" s="57"/>
      <c r="BG68" s="57"/>
      <c r="BH68" s="57"/>
      <c r="BI68" s="55">
        <f t="shared" si="5"/>
        <v>5</v>
      </c>
      <c r="BJ68" s="69">
        <f t="shared" si="6"/>
        <v>19</v>
      </c>
      <c r="BK68" s="69">
        <f t="shared" si="0"/>
        <v>0</v>
      </c>
      <c r="BM68" s="75"/>
      <c r="BN68" s="57">
        <f t="shared" si="10"/>
        <v>13</v>
      </c>
      <c r="BO68" s="80"/>
      <c r="BP68" s="81">
        <v>1</v>
      </c>
      <c r="BQ68" s="81"/>
      <c r="BR68" s="81">
        <v>1</v>
      </c>
      <c r="BS68" s="81">
        <v>1</v>
      </c>
      <c r="BT68" s="81">
        <v>2</v>
      </c>
      <c r="BU68" s="81"/>
      <c r="BV68" s="81"/>
      <c r="BW68" s="81"/>
      <c r="BX68" s="81">
        <v>1</v>
      </c>
      <c r="BY68" s="81"/>
      <c r="BZ68" s="9">
        <f t="shared" si="11"/>
        <v>6</v>
      </c>
      <c r="CB68" s="148"/>
      <c r="CC68" s="2" t="str">
        <v>M44</v>
      </c>
      <c r="CD68" s="90">
        <v>195</v>
      </c>
      <c r="CE68" s="92" t="e">
        <f>+CD68/#REF!*100</f>
        <v>#REF!</v>
      </c>
    </row>
    <row r="69" spans="1:83" s="2" customFormat="1" ht="19.5" thickBot="1" x14ac:dyDescent="0.35">
      <c r="A69" s="17">
        <v>64</v>
      </c>
      <c r="B69" s="134"/>
      <c r="C69" s="18" t="s">
        <v>68</v>
      </c>
      <c r="D69" s="19"/>
      <c r="E69" s="19"/>
      <c r="F69" s="19"/>
      <c r="G69" s="30"/>
      <c r="H69" s="31"/>
      <c r="I69" s="40"/>
      <c r="J69" s="31"/>
      <c r="K69" s="40"/>
      <c r="L69" s="31"/>
      <c r="M69" s="40"/>
      <c r="N69" s="31"/>
      <c r="O69" s="40"/>
      <c r="P69" s="31"/>
      <c r="Q69" s="40"/>
      <c r="R69" s="31"/>
      <c r="S69" s="31"/>
      <c r="T69" s="31"/>
      <c r="U69" s="40"/>
      <c r="V69" s="31"/>
      <c r="W69" s="31"/>
      <c r="X69" s="31"/>
      <c r="Y69" s="31"/>
      <c r="Z69" s="31"/>
      <c r="AA69" s="31"/>
      <c r="AB69" s="31"/>
      <c r="AC69" s="31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>
        <v>12</v>
      </c>
      <c r="AR69" s="46"/>
      <c r="AS69" s="46"/>
      <c r="AT69" s="46"/>
      <c r="AU69" s="46"/>
      <c r="AV69" s="46"/>
      <c r="AW69" s="46"/>
      <c r="AX69" s="46"/>
      <c r="AY69" s="55">
        <f t="shared" si="4"/>
        <v>12</v>
      </c>
      <c r="AZ69" s="56"/>
      <c r="BA69" s="57"/>
      <c r="BB69" s="57"/>
      <c r="BC69" s="57">
        <v>3</v>
      </c>
      <c r="BD69" s="57"/>
      <c r="BE69" s="57"/>
      <c r="BF69" s="57"/>
      <c r="BG69" s="57"/>
      <c r="BH69" s="57"/>
      <c r="BI69" s="55">
        <f t="shared" si="5"/>
        <v>3</v>
      </c>
      <c r="BJ69" s="69">
        <f t="shared" si="6"/>
        <v>9</v>
      </c>
      <c r="BK69" s="69">
        <f t="shared" ref="BK69:BK125" si="14">SUM(AT69:AX69)</f>
        <v>0</v>
      </c>
      <c r="BM69" s="75"/>
      <c r="BN69" s="57">
        <f t="shared" si="10"/>
        <v>6</v>
      </c>
      <c r="BO69" s="80"/>
      <c r="BP69" s="81">
        <v>1</v>
      </c>
      <c r="BQ69" s="81"/>
      <c r="BR69" s="81">
        <v>2</v>
      </c>
      <c r="BS69" s="81"/>
      <c r="BT69" s="81"/>
      <c r="BU69" s="81"/>
      <c r="BV69" s="81"/>
      <c r="BW69" s="81"/>
      <c r="BX69" s="81"/>
      <c r="BY69" s="81"/>
      <c r="BZ69" s="9">
        <f t="shared" si="11"/>
        <v>3</v>
      </c>
      <c r="CB69" s="148"/>
      <c r="CC69" s="2" t="str">
        <v>M45</v>
      </c>
      <c r="CD69" s="90">
        <v>129</v>
      </c>
      <c r="CE69" s="92" t="e">
        <f>+CD69/#REF!*100</f>
        <v>#REF!</v>
      </c>
    </row>
    <row r="70" spans="1:83" s="2" customFormat="1" ht="19.5" thickBot="1" x14ac:dyDescent="0.35">
      <c r="A70" s="17">
        <v>65</v>
      </c>
      <c r="B70" s="134"/>
      <c r="C70" s="20" t="s">
        <v>69</v>
      </c>
      <c r="D70" s="21"/>
      <c r="E70" s="21"/>
      <c r="F70" s="21"/>
      <c r="G70" s="32"/>
      <c r="H70" s="33"/>
      <c r="I70" s="41"/>
      <c r="J70" s="33"/>
      <c r="K70" s="41"/>
      <c r="L70" s="33"/>
      <c r="M70" s="41"/>
      <c r="N70" s="33"/>
      <c r="O70" s="41"/>
      <c r="P70" s="33"/>
      <c r="Q70" s="41"/>
      <c r="R70" s="33"/>
      <c r="S70" s="33"/>
      <c r="T70" s="33"/>
      <c r="U70" s="41"/>
      <c r="V70" s="33"/>
      <c r="W70" s="33"/>
      <c r="X70" s="33"/>
      <c r="Y70" s="33"/>
      <c r="Z70" s="33"/>
      <c r="AA70" s="33"/>
      <c r="AB70" s="33"/>
      <c r="AC70" s="33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>
        <v>12</v>
      </c>
      <c r="AR70" s="47"/>
      <c r="AS70" s="47"/>
      <c r="AT70" s="47"/>
      <c r="AU70" s="47"/>
      <c r="AV70" s="47"/>
      <c r="AW70" s="47"/>
      <c r="AX70" s="47"/>
      <c r="AY70" s="55">
        <f t="shared" ref="AY70:AY126" si="15">SUM(D70:AS70)</f>
        <v>12</v>
      </c>
      <c r="AZ70" s="59"/>
      <c r="BA70" s="60"/>
      <c r="BB70" s="60"/>
      <c r="BC70" s="60">
        <v>0</v>
      </c>
      <c r="BD70" s="60"/>
      <c r="BE70" s="60"/>
      <c r="BF70" s="60"/>
      <c r="BG70" s="60"/>
      <c r="BH70" s="60"/>
      <c r="BI70" s="58">
        <f t="shared" ref="BI70:BI126" si="16">SUM(AZ70:BH70)</f>
        <v>0</v>
      </c>
      <c r="BJ70" s="70">
        <f t="shared" ref="BJ70:BJ126" si="17">+AY70-BI70</f>
        <v>12</v>
      </c>
      <c r="BK70" s="70">
        <f t="shared" si="14"/>
        <v>0</v>
      </c>
      <c r="BL70" s="76"/>
      <c r="BM70" s="77"/>
      <c r="BN70" s="60">
        <f t="shared" si="10"/>
        <v>9</v>
      </c>
      <c r="BO70" s="82"/>
      <c r="BP70" s="83">
        <v>1</v>
      </c>
      <c r="BQ70" s="83"/>
      <c r="BR70" s="83">
        <v>2</v>
      </c>
      <c r="BS70" s="83"/>
      <c r="BT70" s="83"/>
      <c r="BU70" s="83"/>
      <c r="BV70" s="83"/>
      <c r="BW70" s="83"/>
      <c r="BX70" s="83"/>
      <c r="BY70" s="83"/>
      <c r="BZ70" s="9">
        <f t="shared" si="11"/>
        <v>3</v>
      </c>
      <c r="CB70" s="148"/>
      <c r="CC70" s="2" t="str">
        <v>M46</v>
      </c>
      <c r="CD70" s="90">
        <v>68</v>
      </c>
      <c r="CE70" s="92" t="e">
        <f>+CD70/#REF!*100</f>
        <v>#REF!</v>
      </c>
    </row>
    <row r="71" spans="1:83" s="2" customFormat="1" ht="19.5" thickBot="1" x14ac:dyDescent="0.35">
      <c r="A71" s="17">
        <v>73</v>
      </c>
      <c r="B71" s="134" t="s">
        <v>89</v>
      </c>
      <c r="C71" s="18" t="s">
        <v>82</v>
      </c>
      <c r="D71" s="19"/>
      <c r="E71" s="19"/>
      <c r="F71" s="19"/>
      <c r="G71" s="30"/>
      <c r="H71" s="31"/>
      <c r="I71" s="40"/>
      <c r="J71" s="31">
        <v>6</v>
      </c>
      <c r="K71" s="40"/>
      <c r="L71" s="31"/>
      <c r="M71" s="40"/>
      <c r="N71" s="31"/>
      <c r="O71" s="40"/>
      <c r="P71" s="31"/>
      <c r="Q71" s="40"/>
      <c r="R71" s="31"/>
      <c r="S71" s="31"/>
      <c r="T71" s="31"/>
      <c r="U71" s="40"/>
      <c r="V71" s="31"/>
      <c r="W71" s="31"/>
      <c r="X71" s="31"/>
      <c r="Y71" s="31"/>
      <c r="Z71" s="31"/>
      <c r="AA71" s="31"/>
      <c r="AB71" s="31"/>
      <c r="AC71" s="31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55">
        <f t="shared" si="15"/>
        <v>6</v>
      </c>
      <c r="AZ71" s="56">
        <v>0</v>
      </c>
      <c r="BA71" s="57">
        <v>3</v>
      </c>
      <c r="BB71" s="57">
        <f>+'[1]25'!R112</f>
        <v>2</v>
      </c>
      <c r="BC71" s="57">
        <v>1</v>
      </c>
      <c r="BD71" s="57"/>
      <c r="BE71" s="57"/>
      <c r="BF71" s="57"/>
      <c r="BG71" s="57"/>
      <c r="BH71" s="57"/>
      <c r="BI71" s="55">
        <f t="shared" si="16"/>
        <v>6</v>
      </c>
      <c r="BJ71" s="69">
        <f t="shared" si="17"/>
        <v>0</v>
      </c>
      <c r="BK71" s="69">
        <f t="shared" si="14"/>
        <v>0</v>
      </c>
      <c r="BM71" s="75"/>
      <c r="BN71" s="57">
        <f t="shared" si="10"/>
        <v>0</v>
      </c>
      <c r="BO71" s="80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9">
        <f t="shared" si="11"/>
        <v>0</v>
      </c>
      <c r="CB71" s="148"/>
      <c r="CC71" s="2" t="str">
        <v>M47</v>
      </c>
      <c r="CD71" s="90">
        <v>24</v>
      </c>
      <c r="CE71" s="92" t="e">
        <f>+CD71/$CD$75*100</f>
        <v>#DIV/0!</v>
      </c>
    </row>
    <row r="72" spans="1:83" s="2" customFormat="1" ht="19.5" thickBot="1" x14ac:dyDescent="0.35">
      <c r="A72" s="17">
        <v>74</v>
      </c>
      <c r="B72" s="135"/>
      <c r="C72" s="18" t="s">
        <v>83</v>
      </c>
      <c r="D72" s="19"/>
      <c r="E72" s="19"/>
      <c r="F72" s="19"/>
      <c r="G72" s="30"/>
      <c r="H72" s="31"/>
      <c r="I72" s="40"/>
      <c r="J72" s="31">
        <v>18</v>
      </c>
      <c r="K72" s="40"/>
      <c r="L72" s="31"/>
      <c r="M72" s="40"/>
      <c r="N72" s="31"/>
      <c r="O72" s="40"/>
      <c r="P72" s="31"/>
      <c r="Q72" s="40"/>
      <c r="R72" s="31"/>
      <c r="S72" s="31"/>
      <c r="T72" s="31"/>
      <c r="U72" s="40"/>
      <c r="V72" s="31"/>
      <c r="W72" s="31"/>
      <c r="X72" s="31"/>
      <c r="Y72" s="31"/>
      <c r="Z72" s="31"/>
      <c r="AA72" s="31"/>
      <c r="AB72" s="31"/>
      <c r="AC72" s="3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55">
        <f t="shared" si="15"/>
        <v>18</v>
      </c>
      <c r="AZ72" s="56">
        <v>4</v>
      </c>
      <c r="BA72" s="57">
        <v>4</v>
      </c>
      <c r="BB72" s="57">
        <f>+'[1]25'!R113</f>
        <v>8</v>
      </c>
      <c r="BC72" s="57">
        <v>1</v>
      </c>
      <c r="BD72" s="57"/>
      <c r="BE72" s="57"/>
      <c r="BF72" s="57"/>
      <c r="BG72" s="57"/>
      <c r="BH72" s="57"/>
      <c r="BI72" s="55">
        <f t="shared" si="16"/>
        <v>17</v>
      </c>
      <c r="BJ72" s="69">
        <f t="shared" si="17"/>
        <v>1</v>
      </c>
      <c r="BK72" s="69">
        <f t="shared" si="14"/>
        <v>0</v>
      </c>
      <c r="BM72" s="75"/>
      <c r="BN72" s="57">
        <f t="shared" si="10"/>
        <v>1</v>
      </c>
      <c r="BO72" s="80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9">
        <f t="shared" si="11"/>
        <v>0</v>
      </c>
      <c r="CB72" s="148"/>
      <c r="CC72" s="2" t="str">
        <v>M48</v>
      </c>
      <c r="CD72" s="90">
        <v>8</v>
      </c>
      <c r="CE72" s="92" t="e">
        <f>+CD72/$CD$75*100</f>
        <v>#DIV/0!</v>
      </c>
    </row>
    <row r="73" spans="1:83" s="2" customFormat="1" ht="19.5" thickBot="1" x14ac:dyDescent="0.35">
      <c r="A73" s="17">
        <v>75</v>
      </c>
      <c r="B73" s="135"/>
      <c r="C73" s="18" t="s">
        <v>84</v>
      </c>
      <c r="D73" s="19"/>
      <c r="E73" s="19"/>
      <c r="F73" s="19"/>
      <c r="G73" s="30"/>
      <c r="H73" s="31"/>
      <c r="I73" s="40"/>
      <c r="J73" s="31">
        <v>30</v>
      </c>
      <c r="K73" s="40">
        <v>-1</v>
      </c>
      <c r="L73" s="31"/>
      <c r="M73" s="40"/>
      <c r="N73" s="31"/>
      <c r="O73" s="40"/>
      <c r="P73" s="31"/>
      <c r="Q73" s="40"/>
      <c r="R73" s="31"/>
      <c r="S73" s="31"/>
      <c r="T73" s="31"/>
      <c r="U73" s="40"/>
      <c r="V73" s="31"/>
      <c r="W73" s="31"/>
      <c r="X73" s="31"/>
      <c r="Y73" s="31"/>
      <c r="Z73" s="31"/>
      <c r="AA73" s="31"/>
      <c r="AB73" s="31"/>
      <c r="AC73" s="3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55">
        <f t="shared" si="15"/>
        <v>29</v>
      </c>
      <c r="AZ73" s="56">
        <v>2</v>
      </c>
      <c r="BA73" s="57">
        <v>9</v>
      </c>
      <c r="BB73" s="57">
        <v>16</v>
      </c>
      <c r="BC73" s="57"/>
      <c r="BD73" s="57"/>
      <c r="BE73" s="57"/>
      <c r="BF73" s="57"/>
      <c r="BG73" s="57"/>
      <c r="BH73" s="57"/>
      <c r="BI73" s="55">
        <f t="shared" si="16"/>
        <v>27</v>
      </c>
      <c r="BJ73" s="69">
        <f t="shared" si="17"/>
        <v>2</v>
      </c>
      <c r="BK73" s="69">
        <f t="shared" si="14"/>
        <v>0</v>
      </c>
      <c r="BM73" s="75"/>
      <c r="BN73" s="57">
        <f t="shared" si="10"/>
        <v>0</v>
      </c>
      <c r="BO73" s="80"/>
      <c r="BP73" s="81"/>
      <c r="BQ73" s="81"/>
      <c r="BR73" s="81"/>
      <c r="BS73" s="81"/>
      <c r="BT73" s="81"/>
      <c r="BU73" s="81"/>
      <c r="BV73" s="81">
        <v>2</v>
      </c>
      <c r="BW73" s="81"/>
      <c r="BX73" s="81"/>
      <c r="BY73" s="81"/>
      <c r="BZ73" s="9">
        <f t="shared" si="11"/>
        <v>2</v>
      </c>
      <c r="CB73" s="148"/>
      <c r="CC73" s="2" t="str">
        <v>Total</v>
      </c>
      <c r="CD73" s="90">
        <v>1091</v>
      </c>
      <c r="CE73" s="92" t="e">
        <f>+CD73/$CD$75*100</f>
        <v>#DIV/0!</v>
      </c>
    </row>
    <row r="74" spans="1:83" s="2" customFormat="1" ht="19.5" thickBot="1" x14ac:dyDescent="0.35">
      <c r="A74" s="17">
        <v>76</v>
      </c>
      <c r="B74" s="135"/>
      <c r="C74" s="18" t="s">
        <v>85</v>
      </c>
      <c r="D74" s="19"/>
      <c r="E74" s="19"/>
      <c r="F74" s="19"/>
      <c r="G74" s="30"/>
      <c r="H74" s="31"/>
      <c r="I74" s="40"/>
      <c r="J74" s="31">
        <v>30</v>
      </c>
      <c r="K74" s="40"/>
      <c r="L74" s="31"/>
      <c r="M74" s="40"/>
      <c r="N74" s="31"/>
      <c r="O74" s="40"/>
      <c r="P74" s="31"/>
      <c r="Q74" s="40"/>
      <c r="R74" s="31"/>
      <c r="S74" s="31"/>
      <c r="T74" s="31"/>
      <c r="U74" s="40"/>
      <c r="V74" s="31"/>
      <c r="W74" s="31"/>
      <c r="X74" s="31"/>
      <c r="Y74" s="31"/>
      <c r="Z74" s="31"/>
      <c r="AA74" s="31"/>
      <c r="AB74" s="31"/>
      <c r="AC74" s="3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55">
        <f t="shared" si="15"/>
        <v>30</v>
      </c>
      <c r="AZ74" s="56">
        <v>2</v>
      </c>
      <c r="BA74" s="57">
        <v>6</v>
      </c>
      <c r="BB74" s="57">
        <f>+'[1]25'!R115</f>
        <v>15</v>
      </c>
      <c r="BC74" s="57">
        <v>5</v>
      </c>
      <c r="BD74" s="57"/>
      <c r="BE74" s="57"/>
      <c r="BF74" s="57"/>
      <c r="BG74" s="57"/>
      <c r="BH74" s="57"/>
      <c r="BI74" s="55">
        <f t="shared" si="16"/>
        <v>28</v>
      </c>
      <c r="BJ74" s="69">
        <f t="shared" si="17"/>
        <v>2</v>
      </c>
      <c r="BK74" s="69">
        <f t="shared" si="14"/>
        <v>0</v>
      </c>
      <c r="BM74" s="75"/>
      <c r="BN74" s="57">
        <f t="shared" si="10"/>
        <v>1</v>
      </c>
      <c r="BO74" s="80"/>
      <c r="BP74" s="81"/>
      <c r="BQ74" s="81"/>
      <c r="BR74" s="81"/>
      <c r="BS74" s="81"/>
      <c r="BT74" s="81"/>
      <c r="BU74" s="81"/>
      <c r="BV74" s="81"/>
      <c r="BW74" s="81"/>
      <c r="BX74" s="81">
        <v>1</v>
      </c>
      <c r="BY74" s="81"/>
      <c r="BZ74" s="9">
        <f t="shared" si="11"/>
        <v>1</v>
      </c>
      <c r="CB74" s="148"/>
      <c r="CD74" s="90"/>
      <c r="CE74" s="92" t="e">
        <f>+CD74/$CD$75*100</f>
        <v>#DIV/0!</v>
      </c>
    </row>
    <row r="75" spans="1:83" s="2" customFormat="1" ht="19.5" thickBot="1" x14ac:dyDescent="0.35">
      <c r="A75" s="17">
        <v>77</v>
      </c>
      <c r="B75" s="135"/>
      <c r="C75" s="18" t="s">
        <v>86</v>
      </c>
      <c r="D75" s="19"/>
      <c r="E75" s="19"/>
      <c r="F75" s="19"/>
      <c r="G75" s="30"/>
      <c r="H75" s="31"/>
      <c r="I75" s="40"/>
      <c r="J75" s="31">
        <v>18</v>
      </c>
      <c r="K75" s="40"/>
      <c r="L75" s="31"/>
      <c r="M75" s="40"/>
      <c r="N75" s="31"/>
      <c r="O75" s="40"/>
      <c r="P75" s="31"/>
      <c r="Q75" s="40"/>
      <c r="R75" s="31"/>
      <c r="S75" s="31"/>
      <c r="T75" s="31"/>
      <c r="U75" s="40"/>
      <c r="V75" s="31"/>
      <c r="W75" s="31"/>
      <c r="X75" s="31"/>
      <c r="Y75" s="31"/>
      <c r="Z75" s="31"/>
      <c r="AA75" s="31"/>
      <c r="AB75" s="31"/>
      <c r="AC75" s="3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55">
        <f t="shared" si="15"/>
        <v>18</v>
      </c>
      <c r="AZ75" s="56">
        <v>3</v>
      </c>
      <c r="BA75" s="57">
        <v>3</v>
      </c>
      <c r="BB75" s="57">
        <f>+'[1]25'!R116</f>
        <v>9</v>
      </c>
      <c r="BC75" s="57">
        <v>3</v>
      </c>
      <c r="BD75" s="57"/>
      <c r="BE75" s="57"/>
      <c r="BF75" s="57"/>
      <c r="BG75" s="57"/>
      <c r="BH75" s="57"/>
      <c r="BI75" s="55">
        <f t="shared" si="16"/>
        <v>18</v>
      </c>
      <c r="BJ75" s="69">
        <f t="shared" si="17"/>
        <v>0</v>
      </c>
      <c r="BK75" s="69">
        <f t="shared" si="14"/>
        <v>0</v>
      </c>
      <c r="BM75" s="75"/>
      <c r="BN75" s="57">
        <f t="shared" si="10"/>
        <v>0</v>
      </c>
      <c r="BO75" s="80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9">
        <f t="shared" si="11"/>
        <v>0</v>
      </c>
      <c r="CB75" s="148"/>
      <c r="CC75" s="91"/>
      <c r="CD75" s="88"/>
      <c r="CE75" s="93" t="e">
        <f>SUM(CE71:CE74)</f>
        <v>#DIV/0!</v>
      </c>
    </row>
    <row r="76" spans="1:83" s="2" customFormat="1" ht="19.5" thickBot="1" x14ac:dyDescent="0.35">
      <c r="A76" s="17">
        <v>78</v>
      </c>
      <c r="B76" s="135"/>
      <c r="C76" s="20" t="s">
        <v>87</v>
      </c>
      <c r="D76" s="21"/>
      <c r="E76" s="21"/>
      <c r="F76" s="21"/>
      <c r="G76" s="32"/>
      <c r="H76" s="33"/>
      <c r="I76" s="41"/>
      <c r="J76" s="33">
        <v>6</v>
      </c>
      <c r="K76" s="41"/>
      <c r="L76" s="33"/>
      <c r="M76" s="41"/>
      <c r="N76" s="33"/>
      <c r="O76" s="41"/>
      <c r="P76" s="33"/>
      <c r="Q76" s="41"/>
      <c r="R76" s="33"/>
      <c r="S76" s="33"/>
      <c r="T76" s="33"/>
      <c r="U76" s="41"/>
      <c r="V76" s="33"/>
      <c r="W76" s="33"/>
      <c r="X76" s="33"/>
      <c r="Y76" s="33"/>
      <c r="Z76" s="33"/>
      <c r="AA76" s="33"/>
      <c r="AB76" s="33"/>
      <c r="AC76" s="33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55">
        <f t="shared" si="15"/>
        <v>6</v>
      </c>
      <c r="AZ76" s="59">
        <v>1</v>
      </c>
      <c r="BA76" s="60">
        <v>3</v>
      </c>
      <c r="BB76" s="60">
        <f>+'[1]25'!R117</f>
        <v>0</v>
      </c>
      <c r="BC76" s="60">
        <v>2</v>
      </c>
      <c r="BD76" s="60"/>
      <c r="BE76" s="60"/>
      <c r="BF76" s="60"/>
      <c r="BG76" s="60"/>
      <c r="BH76" s="60"/>
      <c r="BI76" s="58">
        <f t="shared" si="16"/>
        <v>6</v>
      </c>
      <c r="BJ76" s="70">
        <f t="shared" si="17"/>
        <v>0</v>
      </c>
      <c r="BK76" s="70">
        <f t="shared" si="14"/>
        <v>0</v>
      </c>
      <c r="BL76" s="76"/>
      <c r="BM76" s="77"/>
      <c r="BN76" s="60">
        <f t="shared" ref="BN76:BN107" si="18">+BJ76-BZ76</f>
        <v>0</v>
      </c>
      <c r="BO76" s="82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9">
        <f t="shared" ref="BZ76:BZ107" si="19">SUM(BP76:BY76)</f>
        <v>0</v>
      </c>
      <c r="CB76" s="148" t="s">
        <v>90</v>
      </c>
      <c r="CC76" s="2" t="str" cm="1">
        <f t="array" ref="CC76:CD84">_xlfn.GROUPBY(C328:C343,BI328:BI343,_xleta.SUM)</f>
        <v>M40</v>
      </c>
      <c r="CD76" s="90">
        <v>20</v>
      </c>
      <c r="CE76" s="92">
        <f>+CD76/$CD$84*100</f>
        <v>8.0321285140562253</v>
      </c>
    </row>
    <row r="77" spans="1:83" s="2" customFormat="1" ht="19.5" thickBot="1" x14ac:dyDescent="0.35">
      <c r="A77" s="17">
        <v>79</v>
      </c>
      <c r="B77" s="134" t="s">
        <v>91</v>
      </c>
      <c r="C77" s="18" t="s">
        <v>82</v>
      </c>
      <c r="D77" s="19"/>
      <c r="E77" s="19"/>
      <c r="F77" s="19"/>
      <c r="G77" s="30"/>
      <c r="H77" s="31"/>
      <c r="I77" s="40"/>
      <c r="J77" s="31"/>
      <c r="K77" s="40"/>
      <c r="L77" s="31"/>
      <c r="M77" s="40"/>
      <c r="N77" s="31"/>
      <c r="O77" s="40"/>
      <c r="P77" s="31"/>
      <c r="Q77" s="40"/>
      <c r="R77" s="31"/>
      <c r="S77" s="31">
        <v>6</v>
      </c>
      <c r="T77" s="31"/>
      <c r="U77" s="40"/>
      <c r="V77" s="31"/>
      <c r="W77" s="31"/>
      <c r="X77" s="31"/>
      <c r="Y77" s="31"/>
      <c r="Z77" s="31"/>
      <c r="AA77" s="31"/>
      <c r="AB77" s="31"/>
      <c r="AC77" s="31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55">
        <f t="shared" si="15"/>
        <v>6</v>
      </c>
      <c r="AZ77" s="56">
        <v>0</v>
      </c>
      <c r="BA77" s="57">
        <v>3</v>
      </c>
      <c r="BB77" s="57">
        <f>+'[1]25'!R118</f>
        <v>1</v>
      </c>
      <c r="BC77" s="57">
        <v>1</v>
      </c>
      <c r="BD77" s="57"/>
      <c r="BE77" s="57"/>
      <c r="BF77" s="57"/>
      <c r="BG77" s="57"/>
      <c r="BH77" s="57"/>
      <c r="BI77" s="55">
        <f t="shared" si="16"/>
        <v>5</v>
      </c>
      <c r="BJ77" s="69">
        <f t="shared" si="17"/>
        <v>1</v>
      </c>
      <c r="BK77" s="69">
        <f t="shared" si="14"/>
        <v>0</v>
      </c>
      <c r="BM77" s="75"/>
      <c r="BN77" s="57">
        <f t="shared" si="18"/>
        <v>0</v>
      </c>
      <c r="BO77" s="80"/>
      <c r="BP77" s="81"/>
      <c r="BQ77" s="81"/>
      <c r="BR77" s="81"/>
      <c r="BS77" s="81"/>
      <c r="BT77" s="81"/>
      <c r="BU77" s="81"/>
      <c r="BV77" s="81"/>
      <c r="BW77" s="81"/>
      <c r="BX77" s="81"/>
      <c r="BY77" s="81">
        <v>1</v>
      </c>
      <c r="BZ77" s="9">
        <f t="shared" si="19"/>
        <v>1</v>
      </c>
      <c r="CB77" s="148"/>
      <c r="CC77" s="2" t="str">
        <v>M41</v>
      </c>
      <c r="CD77" s="90">
        <v>36</v>
      </c>
      <c r="CE77" s="92">
        <f t="shared" ref="CE77:CE83" si="20">+CD77/$CD$84*100</f>
        <v>14.457831325301203</v>
      </c>
    </row>
    <row r="78" spans="1:83" s="2" customFormat="1" ht="19.5" thickBot="1" x14ac:dyDescent="0.35">
      <c r="A78" s="17">
        <v>80</v>
      </c>
      <c r="B78" s="135"/>
      <c r="C78" s="18" t="s">
        <v>83</v>
      </c>
      <c r="D78" s="19"/>
      <c r="E78" s="19"/>
      <c r="F78" s="19"/>
      <c r="G78" s="30"/>
      <c r="H78" s="31"/>
      <c r="I78" s="40"/>
      <c r="J78" s="31"/>
      <c r="K78" s="40"/>
      <c r="L78" s="31"/>
      <c r="M78" s="40"/>
      <c r="N78" s="31"/>
      <c r="O78" s="40"/>
      <c r="P78" s="31"/>
      <c r="Q78" s="40"/>
      <c r="R78" s="31"/>
      <c r="S78" s="31">
        <v>21</v>
      </c>
      <c r="T78" s="31"/>
      <c r="U78" s="40"/>
      <c r="V78" s="31"/>
      <c r="W78" s="31"/>
      <c r="X78" s="31"/>
      <c r="Y78" s="31"/>
      <c r="Z78" s="31"/>
      <c r="AA78" s="31"/>
      <c r="AB78" s="31"/>
      <c r="AC78" s="31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55">
        <f t="shared" si="15"/>
        <v>21</v>
      </c>
      <c r="AZ78" s="56">
        <v>0</v>
      </c>
      <c r="BA78" s="57">
        <v>5</v>
      </c>
      <c r="BB78" s="57">
        <f>+'[1]25'!R119</f>
        <v>14</v>
      </c>
      <c r="BC78" s="57">
        <v>1</v>
      </c>
      <c r="BD78" s="57"/>
      <c r="BE78" s="57"/>
      <c r="BF78" s="57"/>
      <c r="BG78" s="57"/>
      <c r="BH78" s="57"/>
      <c r="BI78" s="55">
        <f t="shared" si="16"/>
        <v>20</v>
      </c>
      <c r="BJ78" s="69">
        <f t="shared" si="17"/>
        <v>1</v>
      </c>
      <c r="BK78" s="69">
        <f t="shared" si="14"/>
        <v>0</v>
      </c>
      <c r="BM78" s="75"/>
      <c r="BN78" s="57">
        <f t="shared" si="18"/>
        <v>0</v>
      </c>
      <c r="BO78" s="80"/>
      <c r="BP78" s="81"/>
      <c r="BQ78" s="81"/>
      <c r="BR78" s="81"/>
      <c r="BS78" s="81"/>
      <c r="BT78" s="81"/>
      <c r="BU78" s="81"/>
      <c r="BV78" s="81"/>
      <c r="BW78" s="81"/>
      <c r="BX78" s="81"/>
      <c r="BY78" s="81">
        <v>1</v>
      </c>
      <c r="BZ78" s="9">
        <f t="shared" si="19"/>
        <v>1</v>
      </c>
      <c r="CB78" s="148"/>
      <c r="CC78" s="2" t="str">
        <v>M42</v>
      </c>
      <c r="CD78" s="90">
        <v>41</v>
      </c>
      <c r="CE78" s="92">
        <f t="shared" si="20"/>
        <v>16.46586345381526</v>
      </c>
    </row>
    <row r="79" spans="1:83" s="2" customFormat="1" ht="19.5" thickBot="1" x14ac:dyDescent="0.35">
      <c r="A79" s="17">
        <v>81</v>
      </c>
      <c r="B79" s="135"/>
      <c r="C79" s="18" t="s">
        <v>84</v>
      </c>
      <c r="D79" s="19"/>
      <c r="E79" s="19"/>
      <c r="F79" s="19"/>
      <c r="G79" s="30"/>
      <c r="H79" s="31"/>
      <c r="I79" s="40"/>
      <c r="J79" s="31"/>
      <c r="K79" s="40"/>
      <c r="L79" s="31"/>
      <c r="M79" s="40"/>
      <c r="N79" s="31"/>
      <c r="O79" s="40"/>
      <c r="P79" s="31"/>
      <c r="Q79" s="40"/>
      <c r="R79" s="31"/>
      <c r="S79" s="31">
        <v>30</v>
      </c>
      <c r="T79" s="31"/>
      <c r="U79" s="40"/>
      <c r="V79" s="31"/>
      <c r="W79" s="31"/>
      <c r="X79" s="31"/>
      <c r="Y79" s="31"/>
      <c r="Z79" s="31"/>
      <c r="AA79" s="31"/>
      <c r="AB79" s="31"/>
      <c r="AC79" s="31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55">
        <f t="shared" si="15"/>
        <v>30</v>
      </c>
      <c r="AZ79" s="56">
        <v>0</v>
      </c>
      <c r="BA79" s="57">
        <v>10</v>
      </c>
      <c r="BB79" s="57">
        <f>+'[1]25'!R120</f>
        <v>13</v>
      </c>
      <c r="BC79" s="57">
        <v>7</v>
      </c>
      <c r="BD79" s="57"/>
      <c r="BE79" s="57"/>
      <c r="BF79" s="57"/>
      <c r="BG79" s="57"/>
      <c r="BH79" s="57"/>
      <c r="BI79" s="55">
        <f t="shared" si="16"/>
        <v>30</v>
      </c>
      <c r="BJ79" s="69">
        <f t="shared" si="17"/>
        <v>0</v>
      </c>
      <c r="BK79" s="69">
        <f t="shared" si="14"/>
        <v>0</v>
      </c>
      <c r="BM79" s="75"/>
      <c r="BN79" s="57">
        <f t="shared" si="18"/>
        <v>0</v>
      </c>
      <c r="BO79" s="80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9">
        <f t="shared" si="19"/>
        <v>0</v>
      </c>
      <c r="CB79" s="148"/>
      <c r="CC79" s="2" t="str">
        <v>M43</v>
      </c>
      <c r="CD79" s="90">
        <v>52</v>
      </c>
      <c r="CE79" s="92">
        <f t="shared" si="20"/>
        <v>20.883534136546185</v>
      </c>
    </row>
    <row r="80" spans="1:83" s="2" customFormat="1" ht="19.5" thickBot="1" x14ac:dyDescent="0.35">
      <c r="A80" s="17">
        <v>82</v>
      </c>
      <c r="B80" s="135"/>
      <c r="C80" s="18" t="s">
        <v>85</v>
      </c>
      <c r="D80" s="19"/>
      <c r="E80" s="19"/>
      <c r="F80" s="19"/>
      <c r="G80" s="30"/>
      <c r="H80" s="31"/>
      <c r="I80" s="40"/>
      <c r="J80" s="31"/>
      <c r="K80" s="40"/>
      <c r="L80" s="31"/>
      <c r="M80" s="40"/>
      <c r="N80" s="31"/>
      <c r="O80" s="40"/>
      <c r="P80" s="31"/>
      <c r="Q80" s="40"/>
      <c r="R80" s="31"/>
      <c r="S80" s="31">
        <v>24</v>
      </c>
      <c r="T80" s="31"/>
      <c r="U80" s="40"/>
      <c r="V80" s="31"/>
      <c r="W80" s="31"/>
      <c r="X80" s="31"/>
      <c r="Y80" s="31"/>
      <c r="Z80" s="31"/>
      <c r="AA80" s="31"/>
      <c r="AB80" s="31"/>
      <c r="AC80" s="31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55">
        <f t="shared" si="15"/>
        <v>24</v>
      </c>
      <c r="AZ80" s="56">
        <v>0</v>
      </c>
      <c r="BA80" s="57">
        <v>3</v>
      </c>
      <c r="BB80" s="57">
        <f>+'[1]25'!R121</f>
        <v>14</v>
      </c>
      <c r="BC80" s="57">
        <v>5</v>
      </c>
      <c r="BD80" s="57"/>
      <c r="BE80" s="57"/>
      <c r="BF80" s="57"/>
      <c r="BG80" s="57"/>
      <c r="BH80" s="57"/>
      <c r="BI80" s="55">
        <f t="shared" si="16"/>
        <v>22</v>
      </c>
      <c r="BJ80" s="69">
        <f t="shared" si="17"/>
        <v>2</v>
      </c>
      <c r="BK80" s="69">
        <f t="shared" si="14"/>
        <v>0</v>
      </c>
      <c r="BM80" s="75"/>
      <c r="BN80" s="57">
        <f t="shared" si="18"/>
        <v>1</v>
      </c>
      <c r="BO80" s="80"/>
      <c r="BP80" s="81"/>
      <c r="BQ80" s="81"/>
      <c r="BR80" s="81"/>
      <c r="BS80" s="81"/>
      <c r="BT80" s="81"/>
      <c r="BU80" s="81"/>
      <c r="BV80" s="81"/>
      <c r="BW80" s="81"/>
      <c r="BX80" s="81"/>
      <c r="BY80" s="81">
        <v>1</v>
      </c>
      <c r="BZ80" s="9">
        <f t="shared" si="19"/>
        <v>1</v>
      </c>
      <c r="CB80" s="148"/>
      <c r="CC80" s="2" t="str">
        <v>M44</v>
      </c>
      <c r="CD80" s="90">
        <v>51</v>
      </c>
      <c r="CE80" s="92">
        <f t="shared" si="20"/>
        <v>20.481927710843372</v>
      </c>
    </row>
    <row r="81" spans="1:83" s="2" customFormat="1" ht="19.5" thickBot="1" x14ac:dyDescent="0.35">
      <c r="A81" s="17">
        <v>83</v>
      </c>
      <c r="B81" s="135"/>
      <c r="C81" s="18" t="s">
        <v>86</v>
      </c>
      <c r="D81" s="19"/>
      <c r="E81" s="19"/>
      <c r="F81" s="19"/>
      <c r="G81" s="30"/>
      <c r="H81" s="31"/>
      <c r="I81" s="40"/>
      <c r="J81" s="31"/>
      <c r="K81" s="40"/>
      <c r="L81" s="31"/>
      <c r="M81" s="40"/>
      <c r="N81" s="31"/>
      <c r="O81" s="40"/>
      <c r="P81" s="31"/>
      <c r="Q81" s="40"/>
      <c r="R81" s="31"/>
      <c r="S81" s="31">
        <v>18</v>
      </c>
      <c r="T81" s="31"/>
      <c r="U81" s="40"/>
      <c r="V81" s="31"/>
      <c r="W81" s="31"/>
      <c r="X81" s="31"/>
      <c r="Y81" s="31"/>
      <c r="Z81" s="31"/>
      <c r="AA81" s="31"/>
      <c r="AB81" s="31"/>
      <c r="AC81" s="31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55">
        <f t="shared" si="15"/>
        <v>18</v>
      </c>
      <c r="AZ81" s="56">
        <v>0</v>
      </c>
      <c r="BA81" s="57">
        <v>3</v>
      </c>
      <c r="BB81" s="57">
        <f>+'[1]25'!R122</f>
        <v>6</v>
      </c>
      <c r="BC81" s="57">
        <v>7</v>
      </c>
      <c r="BD81" s="57"/>
      <c r="BE81" s="57"/>
      <c r="BF81" s="57"/>
      <c r="BG81" s="57"/>
      <c r="BH81" s="57"/>
      <c r="BI81" s="55">
        <f t="shared" si="16"/>
        <v>16</v>
      </c>
      <c r="BJ81" s="69">
        <f t="shared" si="17"/>
        <v>2</v>
      </c>
      <c r="BK81" s="69">
        <f t="shared" si="14"/>
        <v>0</v>
      </c>
      <c r="BM81" s="75"/>
      <c r="BN81" s="57">
        <f t="shared" si="18"/>
        <v>2</v>
      </c>
      <c r="BO81" s="80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9">
        <f t="shared" si="19"/>
        <v>0</v>
      </c>
      <c r="CB81" s="148"/>
      <c r="CC81" s="2" t="str">
        <v>M45</v>
      </c>
      <c r="CD81" s="90">
        <v>30</v>
      </c>
      <c r="CE81" s="92">
        <f t="shared" si="20"/>
        <v>12.048192771084338</v>
      </c>
    </row>
    <row r="82" spans="1:83" s="2" customFormat="1" ht="19.5" thickBot="1" x14ac:dyDescent="0.35">
      <c r="A82" s="17">
        <v>84</v>
      </c>
      <c r="B82" s="135"/>
      <c r="C82" s="18" t="s">
        <v>87</v>
      </c>
      <c r="D82" s="19"/>
      <c r="E82" s="19"/>
      <c r="F82" s="19"/>
      <c r="G82" s="30"/>
      <c r="H82" s="31"/>
      <c r="I82" s="40"/>
      <c r="J82" s="31"/>
      <c r="K82" s="40"/>
      <c r="L82" s="31"/>
      <c r="M82" s="40"/>
      <c r="N82" s="31"/>
      <c r="O82" s="40"/>
      <c r="P82" s="31"/>
      <c r="Q82" s="40"/>
      <c r="R82" s="31"/>
      <c r="S82" s="31">
        <v>6</v>
      </c>
      <c r="T82" s="31"/>
      <c r="U82" s="40"/>
      <c r="V82" s="31"/>
      <c r="W82" s="31"/>
      <c r="X82" s="31"/>
      <c r="Y82" s="31"/>
      <c r="Z82" s="31"/>
      <c r="AA82" s="31"/>
      <c r="AB82" s="31"/>
      <c r="AC82" s="31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55">
        <f t="shared" si="15"/>
        <v>6</v>
      </c>
      <c r="AZ82" s="56">
        <v>0</v>
      </c>
      <c r="BA82" s="57">
        <v>5</v>
      </c>
      <c r="BB82" s="57">
        <f>+'[1]25'!R123</f>
        <v>0</v>
      </c>
      <c r="BC82" s="57">
        <v>1</v>
      </c>
      <c r="BD82" s="57"/>
      <c r="BE82" s="57"/>
      <c r="BF82" s="57"/>
      <c r="BG82" s="57"/>
      <c r="BH82" s="57"/>
      <c r="BI82" s="55">
        <f t="shared" si="16"/>
        <v>6</v>
      </c>
      <c r="BJ82" s="69">
        <f t="shared" si="17"/>
        <v>0</v>
      </c>
      <c r="BK82" s="69">
        <f t="shared" si="14"/>
        <v>0</v>
      </c>
      <c r="BM82" s="75"/>
      <c r="BN82" s="57">
        <f t="shared" si="18"/>
        <v>0</v>
      </c>
      <c r="BO82" s="80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9">
        <f t="shared" si="19"/>
        <v>0</v>
      </c>
      <c r="CB82" s="148"/>
      <c r="CC82" s="2" t="str">
        <v>M46</v>
      </c>
      <c r="CD82" s="90">
        <v>13</v>
      </c>
      <c r="CE82" s="92">
        <f t="shared" si="20"/>
        <v>5.2208835341365463</v>
      </c>
    </row>
    <row r="83" spans="1:83" s="2" customFormat="1" ht="19.5" thickBot="1" x14ac:dyDescent="0.35">
      <c r="A83" s="17">
        <v>85</v>
      </c>
      <c r="B83" s="135"/>
      <c r="C83" s="20" t="s">
        <v>88</v>
      </c>
      <c r="D83" s="21"/>
      <c r="E83" s="21"/>
      <c r="F83" s="21"/>
      <c r="G83" s="32"/>
      <c r="H83" s="33"/>
      <c r="I83" s="41"/>
      <c r="J83" s="33"/>
      <c r="K83" s="41"/>
      <c r="L83" s="33"/>
      <c r="M83" s="41"/>
      <c r="N83" s="33"/>
      <c r="O83" s="41"/>
      <c r="P83" s="33"/>
      <c r="Q83" s="41"/>
      <c r="R83" s="33"/>
      <c r="S83" s="33">
        <v>3</v>
      </c>
      <c r="T83" s="33"/>
      <c r="U83" s="41"/>
      <c r="V83" s="33"/>
      <c r="W83" s="33"/>
      <c r="X83" s="33"/>
      <c r="Y83" s="33"/>
      <c r="Z83" s="33"/>
      <c r="AA83" s="33"/>
      <c r="AB83" s="33"/>
      <c r="AC83" s="33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55">
        <f t="shared" si="15"/>
        <v>3</v>
      </c>
      <c r="AZ83" s="59">
        <v>0</v>
      </c>
      <c r="BA83" s="60">
        <v>1</v>
      </c>
      <c r="BB83" s="60">
        <f>+'[1]25'!R124</f>
        <v>1</v>
      </c>
      <c r="BC83" s="60">
        <v>1</v>
      </c>
      <c r="BD83" s="60"/>
      <c r="BE83" s="60"/>
      <c r="BF83" s="60"/>
      <c r="BG83" s="60"/>
      <c r="BH83" s="60"/>
      <c r="BI83" s="58">
        <f t="shared" si="16"/>
        <v>3</v>
      </c>
      <c r="BJ83" s="70">
        <f t="shared" si="17"/>
        <v>0</v>
      </c>
      <c r="BK83" s="70">
        <f t="shared" si="14"/>
        <v>0</v>
      </c>
      <c r="BL83" s="76"/>
      <c r="BM83" s="77"/>
      <c r="BN83" s="60">
        <f t="shared" si="18"/>
        <v>0</v>
      </c>
      <c r="BO83" s="82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9">
        <f t="shared" si="19"/>
        <v>0</v>
      </c>
      <c r="CB83" s="148"/>
      <c r="CC83" s="2" t="str">
        <v>M47</v>
      </c>
      <c r="CD83" s="90">
        <v>6</v>
      </c>
      <c r="CE83" s="92">
        <f t="shared" si="20"/>
        <v>2.4096385542168677</v>
      </c>
    </row>
    <row r="84" spans="1:83" s="2" customFormat="1" ht="19.5" thickBot="1" x14ac:dyDescent="0.35">
      <c r="A84" s="17">
        <v>86</v>
      </c>
      <c r="B84" s="134" t="s">
        <v>92</v>
      </c>
      <c r="C84" s="18" t="s">
        <v>82</v>
      </c>
      <c r="D84" s="19"/>
      <c r="E84" s="19"/>
      <c r="F84" s="19"/>
      <c r="G84" s="30"/>
      <c r="H84" s="31"/>
      <c r="I84" s="40"/>
      <c r="J84" s="31"/>
      <c r="K84" s="40"/>
      <c r="L84" s="31"/>
      <c r="M84" s="40"/>
      <c r="N84" s="31"/>
      <c r="O84" s="40"/>
      <c r="P84" s="31"/>
      <c r="Q84" s="40"/>
      <c r="R84" s="31"/>
      <c r="S84" s="31"/>
      <c r="T84" s="31"/>
      <c r="U84" s="40"/>
      <c r="V84" s="31"/>
      <c r="W84" s="31"/>
      <c r="X84" s="31"/>
      <c r="Y84" s="31"/>
      <c r="Z84" s="31"/>
      <c r="AA84" s="31"/>
      <c r="AB84" s="31"/>
      <c r="AC84" s="31"/>
      <c r="AD84" s="46">
        <v>6</v>
      </c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55">
        <f t="shared" si="15"/>
        <v>6</v>
      </c>
      <c r="AZ84" s="56">
        <v>0</v>
      </c>
      <c r="BA84" s="57">
        <v>0</v>
      </c>
      <c r="BB84" s="57">
        <f>+'[1]25'!R125</f>
        <v>5</v>
      </c>
      <c r="BC84" s="57">
        <v>0</v>
      </c>
      <c r="BD84" s="57"/>
      <c r="BE84" s="57"/>
      <c r="BF84" s="57"/>
      <c r="BG84" s="57"/>
      <c r="BH84" s="57"/>
      <c r="BI84" s="55">
        <f t="shared" si="16"/>
        <v>5</v>
      </c>
      <c r="BJ84" s="69">
        <f t="shared" si="17"/>
        <v>1</v>
      </c>
      <c r="BK84" s="69">
        <f t="shared" si="14"/>
        <v>0</v>
      </c>
      <c r="BM84" s="75"/>
      <c r="BN84" s="57">
        <f t="shared" si="18"/>
        <v>1</v>
      </c>
      <c r="BO84" s="80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9">
        <f t="shared" si="19"/>
        <v>0</v>
      </c>
      <c r="CB84" s="148"/>
      <c r="CC84" s="91" t="str">
        <v>Total</v>
      </c>
      <c r="CD84" s="88">
        <v>249</v>
      </c>
      <c r="CE84" s="93">
        <f>SUM(CE76:CE83)</f>
        <v>100</v>
      </c>
    </row>
    <row r="85" spans="1:83" s="2" customFormat="1" ht="19.5" thickBot="1" x14ac:dyDescent="0.35">
      <c r="A85" s="17">
        <v>87</v>
      </c>
      <c r="B85" s="135"/>
      <c r="C85" s="18" t="s">
        <v>83</v>
      </c>
      <c r="D85" s="19"/>
      <c r="E85" s="19"/>
      <c r="F85" s="19"/>
      <c r="G85" s="30"/>
      <c r="H85" s="31"/>
      <c r="I85" s="40"/>
      <c r="J85" s="31"/>
      <c r="K85" s="40"/>
      <c r="L85" s="31"/>
      <c r="M85" s="40"/>
      <c r="N85" s="31"/>
      <c r="O85" s="40"/>
      <c r="P85" s="31"/>
      <c r="Q85" s="40"/>
      <c r="R85" s="31"/>
      <c r="S85" s="31"/>
      <c r="T85" s="31"/>
      <c r="U85" s="40"/>
      <c r="V85" s="31"/>
      <c r="W85" s="31"/>
      <c r="X85" s="31"/>
      <c r="Y85" s="31"/>
      <c r="Z85" s="31"/>
      <c r="AA85" s="31"/>
      <c r="AB85" s="31"/>
      <c r="AC85" s="31"/>
      <c r="AD85" s="46">
        <v>18</v>
      </c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55">
        <f t="shared" si="15"/>
        <v>18</v>
      </c>
      <c r="AZ85" s="56">
        <v>0</v>
      </c>
      <c r="BA85" s="57">
        <v>0</v>
      </c>
      <c r="BB85" s="57">
        <f>+'[1]25'!R126</f>
        <v>16</v>
      </c>
      <c r="BC85" s="57">
        <v>1</v>
      </c>
      <c r="BD85" s="57"/>
      <c r="BE85" s="57"/>
      <c r="BF85" s="57"/>
      <c r="BG85" s="57"/>
      <c r="BH85" s="57"/>
      <c r="BI85" s="55">
        <f t="shared" si="16"/>
        <v>17</v>
      </c>
      <c r="BJ85" s="69">
        <f t="shared" si="17"/>
        <v>1</v>
      </c>
      <c r="BK85" s="69">
        <f t="shared" si="14"/>
        <v>0</v>
      </c>
      <c r="BM85" s="75"/>
      <c r="BN85" s="57">
        <f t="shared" si="18"/>
        <v>1</v>
      </c>
      <c r="BO85" s="80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9">
        <f t="shared" si="19"/>
        <v>0</v>
      </c>
      <c r="CB85" s="148" t="s">
        <v>90</v>
      </c>
      <c r="CC85" s="2" t="str" cm="1">
        <f t="array" ref="CC85:CD91">_xlfn.GROUPBY(C344:C349,BI344:BI349,_xleta.SUM)</f>
        <v>W36</v>
      </c>
      <c r="CD85" s="90">
        <v>3</v>
      </c>
      <c r="CE85" s="92">
        <f>+CD85/$CD$91*100</f>
        <v>3.9473684210526314</v>
      </c>
    </row>
    <row r="86" spans="1:83" s="2" customFormat="1" ht="19.5" thickBot="1" x14ac:dyDescent="0.35">
      <c r="A86" s="17">
        <v>88</v>
      </c>
      <c r="B86" s="135"/>
      <c r="C86" s="18" t="s">
        <v>84</v>
      </c>
      <c r="D86" s="19"/>
      <c r="E86" s="19"/>
      <c r="F86" s="19"/>
      <c r="G86" s="30"/>
      <c r="H86" s="31"/>
      <c r="I86" s="40"/>
      <c r="J86" s="31"/>
      <c r="K86" s="40"/>
      <c r="L86" s="31"/>
      <c r="M86" s="40"/>
      <c r="N86" s="31"/>
      <c r="O86" s="40"/>
      <c r="P86" s="31"/>
      <c r="Q86" s="40"/>
      <c r="R86" s="31"/>
      <c r="S86" s="31"/>
      <c r="T86" s="31"/>
      <c r="U86" s="40"/>
      <c r="V86" s="31"/>
      <c r="W86" s="31"/>
      <c r="X86" s="31"/>
      <c r="Y86" s="31"/>
      <c r="Z86" s="31"/>
      <c r="AA86" s="31"/>
      <c r="AB86" s="31"/>
      <c r="AC86" s="31"/>
      <c r="AD86" s="46">
        <v>30</v>
      </c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55">
        <f t="shared" si="15"/>
        <v>30</v>
      </c>
      <c r="AZ86" s="56">
        <v>0</v>
      </c>
      <c r="BA86" s="57">
        <v>0</v>
      </c>
      <c r="BB86" s="57">
        <f>+'[1]25'!R127</f>
        <v>28</v>
      </c>
      <c r="BC86" s="57">
        <v>2</v>
      </c>
      <c r="BD86" s="57"/>
      <c r="BE86" s="57"/>
      <c r="BF86" s="57"/>
      <c r="BG86" s="57"/>
      <c r="BH86" s="57"/>
      <c r="BI86" s="55">
        <f t="shared" si="16"/>
        <v>30</v>
      </c>
      <c r="BJ86" s="69">
        <f t="shared" si="17"/>
        <v>0</v>
      </c>
      <c r="BK86" s="69">
        <f t="shared" si="14"/>
        <v>0</v>
      </c>
      <c r="BM86" s="75"/>
      <c r="BN86" s="57">
        <f t="shared" si="18"/>
        <v>0</v>
      </c>
      <c r="BO86" s="80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9">
        <f t="shared" si="19"/>
        <v>0</v>
      </c>
      <c r="CB86" s="148"/>
      <c r="CC86" s="2" t="str">
        <v>W37</v>
      </c>
      <c r="CD86" s="90">
        <v>10</v>
      </c>
      <c r="CE86" s="92">
        <f t="shared" ref="CE86:CE90" si="21">+CD86/$CD$91*100</f>
        <v>13.157894736842104</v>
      </c>
    </row>
    <row r="87" spans="1:83" s="2" customFormat="1" ht="19.5" thickBot="1" x14ac:dyDescent="0.35">
      <c r="A87" s="17">
        <v>89</v>
      </c>
      <c r="B87" s="135"/>
      <c r="C87" s="18" t="s">
        <v>85</v>
      </c>
      <c r="D87" s="19"/>
      <c r="E87" s="19"/>
      <c r="F87" s="19"/>
      <c r="G87" s="30"/>
      <c r="H87" s="31"/>
      <c r="I87" s="40"/>
      <c r="J87" s="31"/>
      <c r="K87" s="40"/>
      <c r="L87" s="31"/>
      <c r="M87" s="40"/>
      <c r="N87" s="31"/>
      <c r="O87" s="40"/>
      <c r="P87" s="31"/>
      <c r="Q87" s="40"/>
      <c r="R87" s="31"/>
      <c r="S87" s="31"/>
      <c r="T87" s="31"/>
      <c r="U87" s="40"/>
      <c r="V87" s="31"/>
      <c r="W87" s="31"/>
      <c r="X87" s="31"/>
      <c r="Y87" s="31"/>
      <c r="Z87" s="31"/>
      <c r="AA87" s="31"/>
      <c r="AB87" s="31"/>
      <c r="AC87" s="31"/>
      <c r="AD87" s="46">
        <v>27</v>
      </c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55">
        <f t="shared" si="15"/>
        <v>27</v>
      </c>
      <c r="AZ87" s="56">
        <v>0</v>
      </c>
      <c r="BA87" s="57">
        <v>0</v>
      </c>
      <c r="BB87" s="57">
        <f>+'[1]25'!R128</f>
        <v>23</v>
      </c>
      <c r="BC87" s="57">
        <v>2</v>
      </c>
      <c r="BD87" s="57"/>
      <c r="BE87" s="57"/>
      <c r="BF87" s="57"/>
      <c r="BG87" s="57"/>
      <c r="BH87" s="57"/>
      <c r="BI87" s="55">
        <f t="shared" si="16"/>
        <v>25</v>
      </c>
      <c r="BJ87" s="69">
        <f t="shared" si="17"/>
        <v>2</v>
      </c>
      <c r="BK87" s="69">
        <f t="shared" si="14"/>
        <v>0</v>
      </c>
      <c r="BM87" s="75"/>
      <c r="BN87" s="57">
        <f t="shared" si="18"/>
        <v>2</v>
      </c>
      <c r="BO87" s="80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9">
        <f t="shared" si="19"/>
        <v>0</v>
      </c>
      <c r="CB87" s="148"/>
      <c r="CC87" s="2" t="str">
        <v>W38</v>
      </c>
      <c r="CD87" s="90">
        <v>23</v>
      </c>
      <c r="CE87" s="92">
        <f t="shared" si="21"/>
        <v>30.263157894736842</v>
      </c>
    </row>
    <row r="88" spans="1:83" s="2" customFormat="1" ht="19.5" thickBot="1" x14ac:dyDescent="0.35">
      <c r="A88" s="17">
        <v>90</v>
      </c>
      <c r="B88" s="135"/>
      <c r="C88" s="18" t="s">
        <v>86</v>
      </c>
      <c r="D88" s="19"/>
      <c r="E88" s="19"/>
      <c r="F88" s="19"/>
      <c r="G88" s="30"/>
      <c r="H88" s="31"/>
      <c r="I88" s="40"/>
      <c r="J88" s="31"/>
      <c r="K88" s="40"/>
      <c r="L88" s="31"/>
      <c r="M88" s="40"/>
      <c r="N88" s="31"/>
      <c r="O88" s="40"/>
      <c r="P88" s="31"/>
      <c r="Q88" s="40"/>
      <c r="R88" s="31"/>
      <c r="S88" s="31"/>
      <c r="T88" s="31"/>
      <c r="U88" s="40"/>
      <c r="V88" s="31"/>
      <c r="W88" s="31"/>
      <c r="X88" s="31"/>
      <c r="Y88" s="31"/>
      <c r="Z88" s="31"/>
      <c r="AA88" s="31"/>
      <c r="AB88" s="31"/>
      <c r="AC88" s="31"/>
      <c r="AD88" s="46">
        <v>18</v>
      </c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55">
        <f t="shared" si="15"/>
        <v>18</v>
      </c>
      <c r="AZ88" s="56">
        <v>0</v>
      </c>
      <c r="BA88" s="57">
        <v>0</v>
      </c>
      <c r="BB88" s="57">
        <v>11</v>
      </c>
      <c r="BC88" s="57">
        <v>5</v>
      </c>
      <c r="BD88" s="57"/>
      <c r="BE88" s="57"/>
      <c r="BF88" s="57"/>
      <c r="BG88" s="57"/>
      <c r="BH88" s="57"/>
      <c r="BI88" s="55">
        <f t="shared" si="16"/>
        <v>16</v>
      </c>
      <c r="BJ88" s="69">
        <f t="shared" si="17"/>
        <v>2</v>
      </c>
      <c r="BK88" s="69">
        <f t="shared" si="14"/>
        <v>0</v>
      </c>
      <c r="BM88" s="75"/>
      <c r="BN88" s="57">
        <f t="shared" si="18"/>
        <v>2</v>
      </c>
      <c r="BO88" s="80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9">
        <f t="shared" si="19"/>
        <v>0</v>
      </c>
      <c r="CB88" s="148"/>
      <c r="CC88" s="2" t="str">
        <v>W39</v>
      </c>
      <c r="CD88" s="90">
        <v>23</v>
      </c>
      <c r="CE88" s="92">
        <f t="shared" si="21"/>
        <v>30.263157894736842</v>
      </c>
    </row>
    <row r="89" spans="1:83" s="2" customFormat="1" ht="19.5" thickBot="1" x14ac:dyDescent="0.35">
      <c r="A89" s="17">
        <v>91</v>
      </c>
      <c r="B89" s="135"/>
      <c r="C89" s="20" t="s">
        <v>87</v>
      </c>
      <c r="D89" s="21"/>
      <c r="E89" s="21"/>
      <c r="F89" s="21"/>
      <c r="G89" s="32"/>
      <c r="H89" s="33"/>
      <c r="I89" s="41"/>
      <c r="J89" s="33"/>
      <c r="K89" s="41"/>
      <c r="L89" s="33"/>
      <c r="M89" s="41"/>
      <c r="N89" s="33"/>
      <c r="O89" s="41"/>
      <c r="P89" s="33"/>
      <c r="Q89" s="41"/>
      <c r="R89" s="33"/>
      <c r="S89" s="33"/>
      <c r="T89" s="33"/>
      <c r="U89" s="41"/>
      <c r="V89" s="33"/>
      <c r="W89" s="33"/>
      <c r="X89" s="33"/>
      <c r="Y89" s="33"/>
      <c r="Z89" s="33"/>
      <c r="AA89" s="33"/>
      <c r="AB89" s="33"/>
      <c r="AC89" s="33"/>
      <c r="AD89" s="47">
        <v>9</v>
      </c>
      <c r="AE89" s="47"/>
      <c r="AF89" s="47"/>
      <c r="AG89" s="47"/>
      <c r="AH89" s="47"/>
      <c r="AI89" s="47">
        <v>-1</v>
      </c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55">
        <f t="shared" si="15"/>
        <v>8</v>
      </c>
      <c r="AZ89" s="59">
        <v>0</v>
      </c>
      <c r="BA89" s="60">
        <v>0</v>
      </c>
      <c r="BB89" s="60">
        <v>6</v>
      </c>
      <c r="BC89" s="60">
        <v>2</v>
      </c>
      <c r="BD89" s="60"/>
      <c r="BE89" s="60"/>
      <c r="BF89" s="60"/>
      <c r="BG89" s="60"/>
      <c r="BH89" s="60"/>
      <c r="BI89" s="58">
        <f t="shared" si="16"/>
        <v>8</v>
      </c>
      <c r="BJ89" s="70">
        <f t="shared" si="17"/>
        <v>0</v>
      </c>
      <c r="BK89" s="70">
        <f t="shared" si="14"/>
        <v>0</v>
      </c>
      <c r="BL89" s="76"/>
      <c r="BM89" s="77"/>
      <c r="BN89" s="60">
        <f t="shared" si="18"/>
        <v>0</v>
      </c>
      <c r="BO89" s="82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9">
        <f t="shared" si="19"/>
        <v>0</v>
      </c>
      <c r="CB89" s="148"/>
      <c r="CC89" s="2" t="str">
        <v>W40</v>
      </c>
      <c r="CD89" s="90">
        <v>11</v>
      </c>
      <c r="CE89" s="92">
        <f t="shared" si="21"/>
        <v>14.473684210526317</v>
      </c>
    </row>
    <row r="90" spans="1:83" s="2" customFormat="1" ht="19.5" thickBot="1" x14ac:dyDescent="0.35">
      <c r="A90" s="17">
        <v>92</v>
      </c>
      <c r="B90" s="134" t="s">
        <v>93</v>
      </c>
      <c r="C90" s="18" t="s">
        <v>82</v>
      </c>
      <c r="D90" s="19"/>
      <c r="E90" s="19"/>
      <c r="F90" s="19"/>
      <c r="G90" s="30"/>
      <c r="H90" s="31"/>
      <c r="I90" s="40"/>
      <c r="J90" s="31"/>
      <c r="K90" s="40"/>
      <c r="L90" s="31"/>
      <c r="M90" s="40"/>
      <c r="N90" s="31"/>
      <c r="O90" s="40"/>
      <c r="P90" s="31"/>
      <c r="Q90" s="40"/>
      <c r="R90" s="31"/>
      <c r="S90" s="31"/>
      <c r="T90" s="31"/>
      <c r="U90" s="40"/>
      <c r="V90" s="31"/>
      <c r="W90" s="31"/>
      <c r="X90" s="31"/>
      <c r="Y90" s="31"/>
      <c r="Z90" s="31"/>
      <c r="AA90" s="31"/>
      <c r="AB90" s="31"/>
      <c r="AC90" s="31"/>
      <c r="AD90" s="46"/>
      <c r="AE90" s="46"/>
      <c r="AF90" s="46"/>
      <c r="AG90" s="46"/>
      <c r="AH90" s="46"/>
      <c r="AI90" s="46"/>
      <c r="AJ90" s="46">
        <v>6</v>
      </c>
      <c r="AK90" s="46"/>
      <c r="AL90" s="46"/>
      <c r="AM90" s="46"/>
      <c r="AN90" s="46"/>
      <c r="AO90" s="46"/>
      <c r="AP90" s="46"/>
      <c r="AQ90" s="46">
        <v>6</v>
      </c>
      <c r="AR90" s="46"/>
      <c r="AS90" s="46"/>
      <c r="AT90" s="46"/>
      <c r="AU90" s="46"/>
      <c r="AV90" s="46"/>
      <c r="AW90" s="46"/>
      <c r="AX90" s="46"/>
      <c r="AY90" s="55">
        <f t="shared" si="15"/>
        <v>12</v>
      </c>
      <c r="AZ90" s="56"/>
      <c r="BA90" s="57"/>
      <c r="BB90" s="57">
        <f>+'[1]25'!R131</f>
        <v>1</v>
      </c>
      <c r="BC90" s="57">
        <v>7</v>
      </c>
      <c r="BD90" s="57"/>
      <c r="BE90" s="57"/>
      <c r="BF90" s="57"/>
      <c r="BG90" s="57"/>
      <c r="BH90" s="57"/>
      <c r="BI90" s="55">
        <f t="shared" si="16"/>
        <v>8</v>
      </c>
      <c r="BJ90" s="69">
        <f t="shared" si="17"/>
        <v>4</v>
      </c>
      <c r="BK90" s="69">
        <f t="shared" si="14"/>
        <v>0</v>
      </c>
      <c r="BM90" s="75"/>
      <c r="BN90" s="57">
        <f t="shared" si="18"/>
        <v>0</v>
      </c>
      <c r="BO90" s="80"/>
      <c r="BP90" s="81">
        <v>1</v>
      </c>
      <c r="BQ90" s="81"/>
      <c r="BR90" s="81">
        <v>2</v>
      </c>
      <c r="BS90" s="81">
        <v>1</v>
      </c>
      <c r="BT90" s="81"/>
      <c r="BU90" s="81"/>
      <c r="BV90" s="81"/>
      <c r="BW90" s="81"/>
      <c r="BX90" s="81"/>
      <c r="BY90" s="81"/>
      <c r="BZ90" s="9">
        <f t="shared" si="19"/>
        <v>4</v>
      </c>
      <c r="CB90" s="148"/>
      <c r="CC90" s="2" t="str">
        <v>W41</v>
      </c>
      <c r="CD90" s="90">
        <v>6</v>
      </c>
      <c r="CE90" s="92">
        <f t="shared" si="21"/>
        <v>7.8947368421052628</v>
      </c>
    </row>
    <row r="91" spans="1:83" s="2" customFormat="1" ht="19.5" thickBot="1" x14ac:dyDescent="0.35">
      <c r="A91" s="17">
        <v>93</v>
      </c>
      <c r="B91" s="135"/>
      <c r="C91" s="18" t="s">
        <v>83</v>
      </c>
      <c r="D91" s="19"/>
      <c r="E91" s="19"/>
      <c r="F91" s="19"/>
      <c r="G91" s="30"/>
      <c r="H91" s="31"/>
      <c r="I91" s="40"/>
      <c r="J91" s="31"/>
      <c r="K91" s="40"/>
      <c r="L91" s="31"/>
      <c r="M91" s="40"/>
      <c r="N91" s="31"/>
      <c r="O91" s="40"/>
      <c r="P91" s="31"/>
      <c r="Q91" s="40"/>
      <c r="R91" s="31"/>
      <c r="S91" s="31"/>
      <c r="T91" s="31"/>
      <c r="U91" s="40"/>
      <c r="V91" s="31"/>
      <c r="W91" s="31"/>
      <c r="X91" s="31"/>
      <c r="Y91" s="31"/>
      <c r="Z91" s="31"/>
      <c r="AA91" s="31"/>
      <c r="AB91" s="31"/>
      <c r="AC91" s="31"/>
      <c r="AD91" s="46"/>
      <c r="AE91" s="46"/>
      <c r="AF91" s="46"/>
      <c r="AG91" s="46"/>
      <c r="AH91" s="46"/>
      <c r="AI91" s="46"/>
      <c r="AJ91" s="46">
        <v>18</v>
      </c>
      <c r="AK91" s="46"/>
      <c r="AL91" s="46"/>
      <c r="AM91" s="46"/>
      <c r="AN91" s="46"/>
      <c r="AO91" s="46"/>
      <c r="AP91" s="46"/>
      <c r="AQ91" s="46">
        <v>18</v>
      </c>
      <c r="AR91" s="46"/>
      <c r="AS91" s="46"/>
      <c r="AT91" s="46"/>
      <c r="AU91" s="46"/>
      <c r="AV91" s="46"/>
      <c r="AW91" s="46"/>
      <c r="AX91" s="46"/>
      <c r="AY91" s="55">
        <f t="shared" si="15"/>
        <v>36</v>
      </c>
      <c r="AZ91" s="56"/>
      <c r="BA91" s="57"/>
      <c r="BB91" s="57">
        <f>+'[1]25'!R132</f>
        <v>5</v>
      </c>
      <c r="BC91" s="57">
        <v>19</v>
      </c>
      <c r="BD91" s="57"/>
      <c r="BE91" s="57"/>
      <c r="BF91" s="57"/>
      <c r="BG91" s="57"/>
      <c r="BH91" s="57"/>
      <c r="BI91" s="55">
        <f t="shared" si="16"/>
        <v>24</v>
      </c>
      <c r="BJ91" s="69">
        <f t="shared" si="17"/>
        <v>12</v>
      </c>
      <c r="BK91" s="69">
        <f t="shared" si="14"/>
        <v>0</v>
      </c>
      <c r="BM91" s="75"/>
      <c r="BN91" s="57">
        <f t="shared" si="18"/>
        <v>4</v>
      </c>
      <c r="BO91" s="80"/>
      <c r="BP91" s="81">
        <v>2</v>
      </c>
      <c r="BQ91" s="81">
        <v>1</v>
      </c>
      <c r="BR91" s="81">
        <v>2</v>
      </c>
      <c r="BS91" s="81">
        <v>2</v>
      </c>
      <c r="BT91" s="81"/>
      <c r="BU91" s="81"/>
      <c r="BV91" s="81"/>
      <c r="BW91" s="81"/>
      <c r="BX91" s="81">
        <v>1</v>
      </c>
      <c r="BY91" s="81"/>
      <c r="BZ91" s="9">
        <f t="shared" si="19"/>
        <v>8</v>
      </c>
      <c r="CB91" s="148"/>
      <c r="CC91" s="91" t="str">
        <v>Total</v>
      </c>
      <c r="CD91" s="88">
        <v>76</v>
      </c>
      <c r="CE91" s="93">
        <f>SUM(CE85:CE90)</f>
        <v>99.999999999999986</v>
      </c>
    </row>
    <row r="92" spans="1:83" s="2" customFormat="1" ht="19.5" thickBot="1" x14ac:dyDescent="0.35">
      <c r="A92" s="17">
        <v>94</v>
      </c>
      <c r="B92" s="135"/>
      <c r="C92" s="18" t="s">
        <v>84</v>
      </c>
      <c r="D92" s="19"/>
      <c r="E92" s="19"/>
      <c r="F92" s="19"/>
      <c r="G92" s="30"/>
      <c r="H92" s="31"/>
      <c r="I92" s="40"/>
      <c r="J92" s="31"/>
      <c r="K92" s="40"/>
      <c r="L92" s="31"/>
      <c r="M92" s="40"/>
      <c r="N92" s="31"/>
      <c r="O92" s="40"/>
      <c r="P92" s="31"/>
      <c r="Q92" s="40"/>
      <c r="R92" s="31"/>
      <c r="S92" s="31"/>
      <c r="T92" s="31"/>
      <c r="U92" s="40"/>
      <c r="V92" s="31"/>
      <c r="W92" s="31"/>
      <c r="X92" s="31"/>
      <c r="Y92" s="31"/>
      <c r="Z92" s="31"/>
      <c r="AA92" s="31"/>
      <c r="AB92" s="31"/>
      <c r="AC92" s="31"/>
      <c r="AD92" s="46"/>
      <c r="AE92" s="46"/>
      <c r="AF92" s="46"/>
      <c r="AG92" s="46"/>
      <c r="AH92" s="46"/>
      <c r="AI92" s="46"/>
      <c r="AJ92" s="46">
        <v>30</v>
      </c>
      <c r="AK92" s="46"/>
      <c r="AL92" s="46"/>
      <c r="AM92" s="46"/>
      <c r="AN92" s="46"/>
      <c r="AO92" s="46"/>
      <c r="AP92" s="46"/>
      <c r="AQ92" s="46">
        <v>30</v>
      </c>
      <c r="AR92" s="46"/>
      <c r="AS92" s="46"/>
      <c r="AT92" s="46"/>
      <c r="AU92" s="46"/>
      <c r="AV92" s="46"/>
      <c r="AW92" s="46"/>
      <c r="AX92" s="46"/>
      <c r="AY92" s="55">
        <f t="shared" si="15"/>
        <v>60</v>
      </c>
      <c r="AZ92" s="56"/>
      <c r="BA92" s="57"/>
      <c r="BB92" s="57">
        <f>+'[1]25'!R133</f>
        <v>5</v>
      </c>
      <c r="BC92" s="57">
        <v>32</v>
      </c>
      <c r="BD92" s="57"/>
      <c r="BE92" s="57"/>
      <c r="BF92" s="57"/>
      <c r="BG92" s="57"/>
      <c r="BH92" s="57"/>
      <c r="BI92" s="55">
        <f t="shared" si="16"/>
        <v>37</v>
      </c>
      <c r="BJ92" s="69">
        <f t="shared" si="17"/>
        <v>23</v>
      </c>
      <c r="BK92" s="69">
        <f t="shared" si="14"/>
        <v>0</v>
      </c>
      <c r="BM92" s="75"/>
      <c r="BN92" s="57">
        <f t="shared" si="18"/>
        <v>14</v>
      </c>
      <c r="BO92" s="80"/>
      <c r="BP92" s="81">
        <v>2</v>
      </c>
      <c r="BQ92" s="81"/>
      <c r="BR92" s="81">
        <v>3</v>
      </c>
      <c r="BS92" s="81">
        <v>1</v>
      </c>
      <c r="BT92" s="81">
        <v>2</v>
      </c>
      <c r="BU92" s="81"/>
      <c r="BV92" s="81"/>
      <c r="BW92" s="81"/>
      <c r="BX92" s="81">
        <v>1</v>
      </c>
      <c r="BY92" s="81"/>
      <c r="BZ92" s="9">
        <f t="shared" si="19"/>
        <v>9</v>
      </c>
      <c r="CB92" s="148" t="s">
        <v>94</v>
      </c>
      <c r="CC92" s="2" t="str" cm="1">
        <f t="array" ref="CC92:CD100">_xlfn.GROUPBY(C350:C372,BI350:BI372,_xleta.SUM)</f>
        <v>M40</v>
      </c>
      <c r="CD92" s="90">
        <v>12</v>
      </c>
      <c r="CE92" s="92">
        <f>+CD92/$CD$100*100</f>
        <v>5.02092050209205</v>
      </c>
    </row>
    <row r="93" spans="1:83" s="2" customFormat="1" ht="19.5" thickBot="1" x14ac:dyDescent="0.35">
      <c r="A93" s="17">
        <v>95</v>
      </c>
      <c r="B93" s="135"/>
      <c r="C93" s="18" t="s">
        <v>85</v>
      </c>
      <c r="D93" s="19"/>
      <c r="E93" s="19"/>
      <c r="F93" s="19"/>
      <c r="G93" s="30"/>
      <c r="H93" s="31"/>
      <c r="I93" s="40"/>
      <c r="J93" s="31"/>
      <c r="K93" s="40"/>
      <c r="L93" s="31"/>
      <c r="M93" s="40"/>
      <c r="N93" s="31"/>
      <c r="O93" s="40"/>
      <c r="P93" s="31"/>
      <c r="Q93" s="40"/>
      <c r="R93" s="31"/>
      <c r="S93" s="31"/>
      <c r="T93" s="31"/>
      <c r="U93" s="40"/>
      <c r="V93" s="31"/>
      <c r="W93" s="31"/>
      <c r="X93" s="31"/>
      <c r="Y93" s="31"/>
      <c r="Z93" s="31"/>
      <c r="AA93" s="31"/>
      <c r="AB93" s="31"/>
      <c r="AC93" s="31"/>
      <c r="AD93" s="46"/>
      <c r="AE93" s="46"/>
      <c r="AF93" s="46"/>
      <c r="AG93" s="46"/>
      <c r="AH93" s="46"/>
      <c r="AI93" s="46"/>
      <c r="AJ93" s="46">
        <v>27</v>
      </c>
      <c r="AK93" s="46"/>
      <c r="AL93" s="46"/>
      <c r="AM93" s="46"/>
      <c r="AN93" s="46"/>
      <c r="AO93" s="46"/>
      <c r="AP93" s="46"/>
      <c r="AQ93" s="46">
        <v>27</v>
      </c>
      <c r="AR93" s="46"/>
      <c r="AS93" s="46"/>
      <c r="AT93" s="46"/>
      <c r="AU93" s="46"/>
      <c r="AV93" s="46"/>
      <c r="AW93" s="46"/>
      <c r="AX93" s="46"/>
      <c r="AY93" s="55">
        <f t="shared" si="15"/>
        <v>54</v>
      </c>
      <c r="AZ93" s="56"/>
      <c r="BA93" s="57"/>
      <c r="BB93" s="57">
        <f>+'[1]25'!R134</f>
        <v>1</v>
      </c>
      <c r="BC93" s="57">
        <v>31</v>
      </c>
      <c r="BD93" s="57"/>
      <c r="BE93" s="57"/>
      <c r="BF93" s="57"/>
      <c r="BG93" s="57"/>
      <c r="BH93" s="57"/>
      <c r="BI93" s="55">
        <f t="shared" si="16"/>
        <v>32</v>
      </c>
      <c r="BJ93" s="69">
        <f>+AY93-BI93</f>
        <v>22</v>
      </c>
      <c r="BK93" s="69">
        <f t="shared" si="14"/>
        <v>0</v>
      </c>
      <c r="BM93" s="75"/>
      <c r="BN93" s="57">
        <f t="shared" si="18"/>
        <v>16</v>
      </c>
      <c r="BO93" s="80"/>
      <c r="BP93" s="81">
        <v>2</v>
      </c>
      <c r="BQ93" s="81"/>
      <c r="BR93" s="81"/>
      <c r="BS93" s="81">
        <v>1</v>
      </c>
      <c r="BT93" s="81">
        <v>2</v>
      </c>
      <c r="BU93" s="81"/>
      <c r="BV93" s="81"/>
      <c r="BW93" s="81"/>
      <c r="BX93" s="81">
        <v>1</v>
      </c>
      <c r="BY93" s="81"/>
      <c r="BZ93" s="9">
        <f t="shared" si="19"/>
        <v>6</v>
      </c>
      <c r="CB93" s="148"/>
      <c r="CC93" s="2" t="str">
        <v>M41</v>
      </c>
      <c r="CD93" s="90">
        <v>25</v>
      </c>
      <c r="CE93" s="92">
        <f t="shared" ref="CE93:CE99" si="22">+CD93/$CD$100*100</f>
        <v>10.460251046025103</v>
      </c>
    </row>
    <row r="94" spans="1:83" s="2" customFormat="1" ht="19.5" thickBot="1" x14ac:dyDescent="0.35">
      <c r="A94" s="17">
        <v>96</v>
      </c>
      <c r="B94" s="135"/>
      <c r="C94" s="18" t="s">
        <v>86</v>
      </c>
      <c r="D94" s="19"/>
      <c r="E94" s="19"/>
      <c r="F94" s="19"/>
      <c r="G94" s="30"/>
      <c r="H94" s="31"/>
      <c r="I94" s="40"/>
      <c r="J94" s="31"/>
      <c r="K94" s="40"/>
      <c r="L94" s="31"/>
      <c r="M94" s="40"/>
      <c r="N94" s="31"/>
      <c r="O94" s="40"/>
      <c r="P94" s="31"/>
      <c r="Q94" s="40"/>
      <c r="R94" s="31"/>
      <c r="S94" s="31"/>
      <c r="T94" s="31"/>
      <c r="U94" s="40"/>
      <c r="V94" s="31"/>
      <c r="W94" s="31"/>
      <c r="X94" s="31"/>
      <c r="Y94" s="31"/>
      <c r="Z94" s="31"/>
      <c r="AA94" s="31"/>
      <c r="AB94" s="31"/>
      <c r="AC94" s="31"/>
      <c r="AD94" s="46"/>
      <c r="AE94" s="46"/>
      <c r="AF94" s="46"/>
      <c r="AG94" s="46"/>
      <c r="AH94" s="46"/>
      <c r="AI94" s="46"/>
      <c r="AJ94" s="46">
        <v>18</v>
      </c>
      <c r="AK94" s="46"/>
      <c r="AL94" s="46"/>
      <c r="AM94" s="46"/>
      <c r="AN94" s="46"/>
      <c r="AO94" s="46"/>
      <c r="AP94" s="46"/>
      <c r="AQ94" s="46">
        <v>18</v>
      </c>
      <c r="AR94" s="46"/>
      <c r="AS94" s="46"/>
      <c r="AT94" s="46"/>
      <c r="AU94" s="46"/>
      <c r="AV94" s="46"/>
      <c r="AW94" s="46"/>
      <c r="AX94" s="46"/>
      <c r="AY94" s="55">
        <f t="shared" si="15"/>
        <v>36</v>
      </c>
      <c r="AZ94" s="56"/>
      <c r="BA94" s="57"/>
      <c r="BB94" s="57">
        <f>+'[1]25'!R135</f>
        <v>0</v>
      </c>
      <c r="BC94" s="57">
        <v>22</v>
      </c>
      <c r="BD94" s="57"/>
      <c r="BE94" s="57"/>
      <c r="BF94" s="57"/>
      <c r="BG94" s="57"/>
      <c r="BH94" s="57"/>
      <c r="BI94" s="55">
        <f t="shared" si="16"/>
        <v>22</v>
      </c>
      <c r="BJ94" s="69">
        <f t="shared" si="17"/>
        <v>14</v>
      </c>
      <c r="BK94" s="69">
        <f t="shared" si="14"/>
        <v>0</v>
      </c>
      <c r="BM94" s="75"/>
      <c r="BN94" s="57">
        <f t="shared" si="18"/>
        <v>8</v>
      </c>
      <c r="BO94" s="80"/>
      <c r="BP94" s="81">
        <v>2</v>
      </c>
      <c r="BQ94" s="81">
        <v>1</v>
      </c>
      <c r="BR94" s="81"/>
      <c r="BS94" s="81">
        <v>1</v>
      </c>
      <c r="BT94" s="81">
        <v>1</v>
      </c>
      <c r="BU94" s="81"/>
      <c r="BV94" s="81"/>
      <c r="BW94" s="81"/>
      <c r="BX94" s="81">
        <v>1</v>
      </c>
      <c r="BY94" s="81"/>
      <c r="BZ94" s="9">
        <f t="shared" si="19"/>
        <v>6</v>
      </c>
      <c r="CB94" s="148"/>
      <c r="CC94" s="2" t="str">
        <v>M42</v>
      </c>
      <c r="CD94" s="90">
        <v>49</v>
      </c>
      <c r="CE94" s="92">
        <f t="shared" si="22"/>
        <v>20.502092050209207</v>
      </c>
    </row>
    <row r="95" spans="1:83" s="2" customFormat="1" ht="19.5" thickBot="1" x14ac:dyDescent="0.35">
      <c r="A95" s="17">
        <v>97</v>
      </c>
      <c r="B95" s="135"/>
      <c r="C95" s="20" t="s">
        <v>87</v>
      </c>
      <c r="D95" s="21"/>
      <c r="E95" s="21"/>
      <c r="F95" s="21"/>
      <c r="G95" s="32"/>
      <c r="H95" s="33"/>
      <c r="I95" s="41"/>
      <c r="J95" s="33"/>
      <c r="K95" s="41"/>
      <c r="L95" s="33"/>
      <c r="M95" s="41"/>
      <c r="N95" s="33"/>
      <c r="O95" s="41"/>
      <c r="P95" s="33"/>
      <c r="Q95" s="41"/>
      <c r="R95" s="33"/>
      <c r="S95" s="33"/>
      <c r="T95" s="33"/>
      <c r="U95" s="41"/>
      <c r="V95" s="33"/>
      <c r="W95" s="33"/>
      <c r="X95" s="33"/>
      <c r="Y95" s="33"/>
      <c r="Z95" s="33"/>
      <c r="AA95" s="33"/>
      <c r="AB95" s="33"/>
      <c r="AC95" s="33"/>
      <c r="AD95" s="47"/>
      <c r="AE95" s="47"/>
      <c r="AF95" s="47"/>
      <c r="AG95" s="47"/>
      <c r="AH95" s="47"/>
      <c r="AI95" s="47"/>
      <c r="AJ95" s="47">
        <v>9</v>
      </c>
      <c r="AK95" s="47"/>
      <c r="AL95" s="47"/>
      <c r="AM95" s="47"/>
      <c r="AN95" s="47"/>
      <c r="AO95" s="47"/>
      <c r="AP95" s="47"/>
      <c r="AQ95" s="47">
        <v>9</v>
      </c>
      <c r="AR95" s="47"/>
      <c r="AS95" s="47"/>
      <c r="AT95" s="47"/>
      <c r="AU95" s="47"/>
      <c r="AV95" s="47"/>
      <c r="AW95" s="47"/>
      <c r="AX95" s="47"/>
      <c r="AY95" s="55">
        <f t="shared" si="15"/>
        <v>18</v>
      </c>
      <c r="AZ95" s="59"/>
      <c r="BA95" s="60"/>
      <c r="BB95" s="60">
        <f>+'[1]25'!R136</f>
        <v>0</v>
      </c>
      <c r="BC95" s="60">
        <v>9</v>
      </c>
      <c r="BD95" s="60"/>
      <c r="BE95" s="60"/>
      <c r="BF95" s="60"/>
      <c r="BG95" s="60"/>
      <c r="BH95" s="60"/>
      <c r="BI95" s="58">
        <f t="shared" si="16"/>
        <v>9</v>
      </c>
      <c r="BJ95" s="70">
        <f t="shared" si="17"/>
        <v>9</v>
      </c>
      <c r="BK95" s="70">
        <f t="shared" si="14"/>
        <v>0</v>
      </c>
      <c r="BL95" s="76"/>
      <c r="BM95" s="77"/>
      <c r="BN95" s="60">
        <f t="shared" si="18"/>
        <v>2</v>
      </c>
      <c r="BO95" s="82"/>
      <c r="BP95" s="83">
        <v>3</v>
      </c>
      <c r="BQ95" s="83">
        <v>1</v>
      </c>
      <c r="BR95" s="83">
        <v>2</v>
      </c>
      <c r="BS95" s="83">
        <v>1</v>
      </c>
      <c r="BT95" s="83"/>
      <c r="BU95" s="83"/>
      <c r="BV95" s="83"/>
      <c r="BW95" s="83"/>
      <c r="BX95" s="83"/>
      <c r="BY95" s="83"/>
      <c r="BZ95" s="9">
        <f t="shared" si="19"/>
        <v>7</v>
      </c>
      <c r="CB95" s="148"/>
      <c r="CC95" s="2" t="str">
        <v>M43</v>
      </c>
      <c r="CD95" s="90">
        <v>72</v>
      </c>
      <c r="CE95" s="92">
        <f t="shared" si="22"/>
        <v>30.125523012552303</v>
      </c>
    </row>
    <row r="96" spans="1:83" s="2" customFormat="1" ht="19.5" thickBot="1" x14ac:dyDescent="0.35">
      <c r="A96" s="17">
        <v>98</v>
      </c>
      <c r="B96" s="134" t="s">
        <v>95</v>
      </c>
      <c r="C96" s="18" t="s">
        <v>82</v>
      </c>
      <c r="D96" s="19"/>
      <c r="E96" s="19"/>
      <c r="F96" s="19"/>
      <c r="G96" s="30"/>
      <c r="H96" s="31"/>
      <c r="I96" s="40"/>
      <c r="J96" s="31"/>
      <c r="K96" s="40"/>
      <c r="L96" s="31"/>
      <c r="M96" s="40"/>
      <c r="N96" s="31"/>
      <c r="O96" s="40"/>
      <c r="P96" s="31"/>
      <c r="Q96" s="40"/>
      <c r="R96" s="31"/>
      <c r="S96" s="31"/>
      <c r="T96" s="31"/>
      <c r="U96" s="40"/>
      <c r="V96" s="31"/>
      <c r="W96" s="31"/>
      <c r="X96" s="31"/>
      <c r="Y96" s="31"/>
      <c r="Z96" s="31"/>
      <c r="AA96" s="31"/>
      <c r="AB96" s="31"/>
      <c r="AC96" s="31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>
        <v>6</v>
      </c>
      <c r="AO96" s="46"/>
      <c r="AP96" s="46"/>
      <c r="AQ96" s="46">
        <v>6</v>
      </c>
      <c r="AR96" s="46"/>
      <c r="AS96" s="46"/>
      <c r="AT96" s="46"/>
      <c r="AU96" s="46"/>
      <c r="AV96" s="46"/>
      <c r="AW96" s="46"/>
      <c r="AX96" s="46"/>
      <c r="AY96" s="55">
        <f t="shared" si="15"/>
        <v>12</v>
      </c>
      <c r="AZ96" s="56"/>
      <c r="BA96" s="57"/>
      <c r="BB96" s="57">
        <f>+'[1]25'!R137</f>
        <v>0</v>
      </c>
      <c r="BC96" s="57">
        <v>5</v>
      </c>
      <c r="BD96" s="57"/>
      <c r="BE96" s="57"/>
      <c r="BF96" s="57"/>
      <c r="BG96" s="57"/>
      <c r="BH96" s="57"/>
      <c r="BI96" s="55">
        <f t="shared" si="16"/>
        <v>5</v>
      </c>
      <c r="BJ96" s="69">
        <f t="shared" si="17"/>
        <v>7</v>
      </c>
      <c r="BK96" s="69">
        <f t="shared" si="14"/>
        <v>0</v>
      </c>
      <c r="BM96" s="75"/>
      <c r="BN96" s="57">
        <f t="shared" si="18"/>
        <v>5</v>
      </c>
      <c r="BO96" s="80"/>
      <c r="BP96" s="81"/>
      <c r="BQ96" s="81">
        <v>1</v>
      </c>
      <c r="BR96" s="81">
        <v>1</v>
      </c>
      <c r="BS96" s="81"/>
      <c r="BT96" s="81"/>
      <c r="BU96" s="81"/>
      <c r="BV96" s="81"/>
      <c r="BW96" s="81"/>
      <c r="BX96" s="81"/>
      <c r="BY96" s="81"/>
      <c r="BZ96" s="9">
        <f t="shared" si="19"/>
        <v>2</v>
      </c>
      <c r="CB96" s="148"/>
      <c r="CC96" s="2" t="str">
        <v>M44</v>
      </c>
      <c r="CD96" s="90">
        <v>37</v>
      </c>
      <c r="CE96" s="92">
        <f t="shared" si="22"/>
        <v>15.481171548117153</v>
      </c>
    </row>
    <row r="97" spans="1:83" s="2" customFormat="1" ht="19.5" thickBot="1" x14ac:dyDescent="0.35">
      <c r="A97" s="17">
        <v>99</v>
      </c>
      <c r="B97" s="135"/>
      <c r="C97" s="18" t="s">
        <v>83</v>
      </c>
      <c r="D97" s="19"/>
      <c r="E97" s="19"/>
      <c r="F97" s="19"/>
      <c r="G97" s="30"/>
      <c r="H97" s="31"/>
      <c r="I97" s="40"/>
      <c r="J97" s="31"/>
      <c r="K97" s="40"/>
      <c r="L97" s="31"/>
      <c r="M97" s="40"/>
      <c r="N97" s="31"/>
      <c r="O97" s="40"/>
      <c r="P97" s="31"/>
      <c r="Q97" s="40"/>
      <c r="R97" s="31"/>
      <c r="S97" s="31"/>
      <c r="T97" s="31"/>
      <c r="U97" s="40"/>
      <c r="V97" s="31"/>
      <c r="W97" s="31"/>
      <c r="X97" s="31"/>
      <c r="Y97" s="31"/>
      <c r="Z97" s="31"/>
      <c r="AA97" s="31"/>
      <c r="AB97" s="31"/>
      <c r="AC97" s="31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>
        <v>18</v>
      </c>
      <c r="AO97" s="46"/>
      <c r="AP97" s="46"/>
      <c r="AQ97" s="46">
        <v>18</v>
      </c>
      <c r="AR97" s="46"/>
      <c r="AS97" s="46"/>
      <c r="AT97" s="46"/>
      <c r="AU97" s="46"/>
      <c r="AV97" s="46"/>
      <c r="AW97" s="46"/>
      <c r="AX97" s="46"/>
      <c r="AY97" s="55">
        <f t="shared" si="15"/>
        <v>36</v>
      </c>
      <c r="AZ97" s="56"/>
      <c r="BA97" s="57"/>
      <c r="BB97" s="57">
        <f>+'[1]25'!R138</f>
        <v>0</v>
      </c>
      <c r="BC97" s="57">
        <v>12</v>
      </c>
      <c r="BD97" s="57"/>
      <c r="BE97" s="57"/>
      <c r="BF97" s="57"/>
      <c r="BG97" s="57"/>
      <c r="BH97" s="57"/>
      <c r="BI97" s="55">
        <f t="shared" si="16"/>
        <v>12</v>
      </c>
      <c r="BJ97" s="69">
        <f t="shared" si="17"/>
        <v>24</v>
      </c>
      <c r="BK97" s="69">
        <f t="shared" si="14"/>
        <v>0</v>
      </c>
      <c r="BM97" s="75"/>
      <c r="BN97" s="57">
        <f t="shared" si="18"/>
        <v>18</v>
      </c>
      <c r="BO97" s="80"/>
      <c r="BP97" s="81">
        <v>2</v>
      </c>
      <c r="BQ97" s="81">
        <v>2</v>
      </c>
      <c r="BR97" s="81">
        <v>2</v>
      </c>
      <c r="BS97" s="81"/>
      <c r="BT97" s="81"/>
      <c r="BU97" s="81"/>
      <c r="BV97" s="81"/>
      <c r="BW97" s="81"/>
      <c r="BX97" s="81"/>
      <c r="BY97" s="81"/>
      <c r="BZ97" s="9">
        <f t="shared" si="19"/>
        <v>6</v>
      </c>
      <c r="CB97" s="148"/>
      <c r="CC97" s="2" t="str">
        <v>M45</v>
      </c>
      <c r="CD97" s="90">
        <v>28</v>
      </c>
      <c r="CE97" s="92">
        <f t="shared" si="22"/>
        <v>11.715481171548117</v>
      </c>
    </row>
    <row r="98" spans="1:83" s="2" customFormat="1" ht="19.5" thickBot="1" x14ac:dyDescent="0.35">
      <c r="A98" s="17">
        <v>100</v>
      </c>
      <c r="B98" s="135"/>
      <c r="C98" s="18" t="s">
        <v>84</v>
      </c>
      <c r="D98" s="19"/>
      <c r="E98" s="19"/>
      <c r="F98" s="19"/>
      <c r="G98" s="30"/>
      <c r="H98" s="31"/>
      <c r="I98" s="40"/>
      <c r="J98" s="31"/>
      <c r="K98" s="40"/>
      <c r="L98" s="31"/>
      <c r="M98" s="40"/>
      <c r="N98" s="31"/>
      <c r="O98" s="40"/>
      <c r="P98" s="31"/>
      <c r="Q98" s="40"/>
      <c r="R98" s="31"/>
      <c r="S98" s="31"/>
      <c r="T98" s="31"/>
      <c r="U98" s="40"/>
      <c r="V98" s="31"/>
      <c r="W98" s="31"/>
      <c r="X98" s="31"/>
      <c r="Y98" s="31"/>
      <c r="Z98" s="31"/>
      <c r="AA98" s="31"/>
      <c r="AB98" s="31"/>
      <c r="AC98" s="31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>
        <v>30</v>
      </c>
      <c r="AO98" s="46"/>
      <c r="AP98" s="46"/>
      <c r="AQ98" s="46">
        <v>30</v>
      </c>
      <c r="AR98" s="46"/>
      <c r="AS98" s="46"/>
      <c r="AT98" s="46"/>
      <c r="AU98" s="46"/>
      <c r="AV98" s="46"/>
      <c r="AW98" s="46"/>
      <c r="AX98" s="46"/>
      <c r="AY98" s="55">
        <f t="shared" si="15"/>
        <v>60</v>
      </c>
      <c r="AZ98" s="56"/>
      <c r="BA98" s="57"/>
      <c r="BB98" s="57">
        <f>+'[1]25'!R139</f>
        <v>0</v>
      </c>
      <c r="BC98" s="57">
        <v>30</v>
      </c>
      <c r="BD98" s="57"/>
      <c r="BE98" s="57"/>
      <c r="BF98" s="57"/>
      <c r="BG98" s="57"/>
      <c r="BH98" s="57"/>
      <c r="BI98" s="55">
        <f t="shared" si="16"/>
        <v>30</v>
      </c>
      <c r="BJ98" s="69">
        <f t="shared" si="17"/>
        <v>30</v>
      </c>
      <c r="BK98" s="69">
        <f t="shared" si="14"/>
        <v>0</v>
      </c>
      <c r="BM98" s="75"/>
      <c r="BN98" s="57">
        <f t="shared" si="18"/>
        <v>24</v>
      </c>
      <c r="BO98" s="80"/>
      <c r="BP98" s="81">
        <v>2</v>
      </c>
      <c r="BQ98" s="81"/>
      <c r="BR98" s="81">
        <v>4</v>
      </c>
      <c r="BS98" s="81"/>
      <c r="BT98" s="81"/>
      <c r="BU98" s="81"/>
      <c r="BV98" s="81"/>
      <c r="BW98" s="81"/>
      <c r="BX98" s="81"/>
      <c r="BY98" s="81"/>
      <c r="BZ98" s="9">
        <f t="shared" si="19"/>
        <v>6</v>
      </c>
      <c r="CB98" s="148"/>
      <c r="CC98" s="2" t="str">
        <v>M46</v>
      </c>
      <c r="CD98" s="90">
        <v>10</v>
      </c>
      <c r="CE98" s="92">
        <f t="shared" si="22"/>
        <v>4.1841004184100417</v>
      </c>
    </row>
    <row r="99" spans="1:83" s="2" customFormat="1" ht="19.5" thickBot="1" x14ac:dyDescent="0.35">
      <c r="A99" s="17">
        <v>101</v>
      </c>
      <c r="B99" s="135"/>
      <c r="C99" s="18" t="s">
        <v>85</v>
      </c>
      <c r="D99" s="19"/>
      <c r="E99" s="19"/>
      <c r="F99" s="19"/>
      <c r="G99" s="30"/>
      <c r="H99" s="31"/>
      <c r="I99" s="40"/>
      <c r="J99" s="31"/>
      <c r="K99" s="40"/>
      <c r="L99" s="31"/>
      <c r="M99" s="40"/>
      <c r="N99" s="31"/>
      <c r="O99" s="40"/>
      <c r="P99" s="31"/>
      <c r="Q99" s="40"/>
      <c r="R99" s="31"/>
      <c r="S99" s="31"/>
      <c r="T99" s="31"/>
      <c r="U99" s="40"/>
      <c r="V99" s="31"/>
      <c r="W99" s="31"/>
      <c r="X99" s="31"/>
      <c r="Y99" s="31"/>
      <c r="Z99" s="31"/>
      <c r="AA99" s="31"/>
      <c r="AB99" s="31"/>
      <c r="AC99" s="31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>
        <v>27</v>
      </c>
      <c r="AO99" s="46"/>
      <c r="AP99" s="46"/>
      <c r="AQ99" s="46">
        <v>27</v>
      </c>
      <c r="AR99" s="46"/>
      <c r="AS99" s="46"/>
      <c r="AT99" s="46"/>
      <c r="AU99" s="46"/>
      <c r="AV99" s="46"/>
      <c r="AW99" s="46"/>
      <c r="AX99" s="46"/>
      <c r="AY99" s="55">
        <f t="shared" si="15"/>
        <v>54</v>
      </c>
      <c r="AZ99" s="56"/>
      <c r="BA99" s="57"/>
      <c r="BB99" s="57">
        <f>+'[1]25'!R140</f>
        <v>0</v>
      </c>
      <c r="BC99" s="57">
        <v>37</v>
      </c>
      <c r="BD99" s="57"/>
      <c r="BE99" s="57"/>
      <c r="BF99" s="57"/>
      <c r="BG99" s="57"/>
      <c r="BH99" s="57"/>
      <c r="BI99" s="55">
        <f t="shared" si="16"/>
        <v>37</v>
      </c>
      <c r="BJ99" s="69">
        <f t="shared" si="17"/>
        <v>17</v>
      </c>
      <c r="BK99" s="69">
        <f t="shared" si="14"/>
        <v>0</v>
      </c>
      <c r="BM99" s="75"/>
      <c r="BN99" s="57">
        <f t="shared" si="18"/>
        <v>12</v>
      </c>
      <c r="BO99" s="80"/>
      <c r="BP99" s="81">
        <v>2</v>
      </c>
      <c r="BQ99" s="81"/>
      <c r="BR99" s="81">
        <v>3</v>
      </c>
      <c r="BS99" s="81"/>
      <c r="BT99" s="81"/>
      <c r="BU99" s="81"/>
      <c r="BV99" s="81"/>
      <c r="BW99" s="81"/>
      <c r="BX99" s="81"/>
      <c r="BY99" s="81"/>
      <c r="BZ99" s="9">
        <f t="shared" si="19"/>
        <v>5</v>
      </c>
      <c r="CB99" s="148"/>
      <c r="CC99" s="2" t="str">
        <v>M47</v>
      </c>
      <c r="CD99" s="90">
        <v>6</v>
      </c>
      <c r="CE99" s="92">
        <f t="shared" si="22"/>
        <v>2.510460251046025</v>
      </c>
    </row>
    <row r="100" spans="1:83" s="2" customFormat="1" ht="19.5" thickBot="1" x14ac:dyDescent="0.35">
      <c r="A100" s="17">
        <v>102</v>
      </c>
      <c r="B100" s="135"/>
      <c r="C100" s="18" t="s">
        <v>86</v>
      </c>
      <c r="D100" s="19"/>
      <c r="E100" s="19"/>
      <c r="F100" s="19"/>
      <c r="G100" s="30"/>
      <c r="H100" s="31"/>
      <c r="I100" s="40"/>
      <c r="J100" s="31"/>
      <c r="K100" s="40"/>
      <c r="L100" s="31"/>
      <c r="M100" s="40"/>
      <c r="N100" s="31"/>
      <c r="O100" s="40"/>
      <c r="P100" s="31"/>
      <c r="Q100" s="40"/>
      <c r="R100" s="31"/>
      <c r="S100" s="31"/>
      <c r="T100" s="31"/>
      <c r="U100" s="40"/>
      <c r="V100" s="31"/>
      <c r="W100" s="31"/>
      <c r="X100" s="31"/>
      <c r="Y100" s="31"/>
      <c r="Z100" s="31"/>
      <c r="AA100" s="31"/>
      <c r="AB100" s="31"/>
      <c r="AC100" s="31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>
        <v>18</v>
      </c>
      <c r="AO100" s="46"/>
      <c r="AP100" s="46"/>
      <c r="AQ100" s="46">
        <v>18</v>
      </c>
      <c r="AR100" s="46"/>
      <c r="AS100" s="46"/>
      <c r="AT100" s="46"/>
      <c r="AU100" s="46"/>
      <c r="AV100" s="46"/>
      <c r="AW100" s="46"/>
      <c r="AX100" s="46"/>
      <c r="AY100" s="55">
        <f t="shared" si="15"/>
        <v>36</v>
      </c>
      <c r="AZ100" s="56"/>
      <c r="BA100" s="57"/>
      <c r="BB100" s="57">
        <f>+'[1]25'!R141</f>
        <v>0</v>
      </c>
      <c r="BC100" s="57">
        <v>21</v>
      </c>
      <c r="BD100" s="57"/>
      <c r="BE100" s="57"/>
      <c r="BF100" s="57"/>
      <c r="BG100" s="57"/>
      <c r="BH100" s="57"/>
      <c r="BI100" s="55">
        <f t="shared" si="16"/>
        <v>21</v>
      </c>
      <c r="BJ100" s="69">
        <f t="shared" si="17"/>
        <v>15</v>
      </c>
      <c r="BK100" s="69">
        <f t="shared" si="14"/>
        <v>0</v>
      </c>
      <c r="BM100" s="75"/>
      <c r="BN100" s="57">
        <f t="shared" si="18"/>
        <v>10</v>
      </c>
      <c r="BO100" s="80"/>
      <c r="BP100" s="81">
        <v>2</v>
      </c>
      <c r="BQ100" s="81">
        <v>1</v>
      </c>
      <c r="BR100" s="81">
        <v>2</v>
      </c>
      <c r="BS100" s="81"/>
      <c r="BT100" s="81"/>
      <c r="BU100" s="81"/>
      <c r="BV100" s="81"/>
      <c r="BW100" s="81"/>
      <c r="BX100" s="81"/>
      <c r="BY100" s="81"/>
      <c r="BZ100" s="9">
        <f t="shared" si="19"/>
        <v>5</v>
      </c>
      <c r="CB100" s="148"/>
      <c r="CC100" s="91" t="str">
        <v>Total</v>
      </c>
      <c r="CD100" s="88">
        <v>239</v>
      </c>
      <c r="CE100" s="93">
        <f>SUM(CE92:CE99)</f>
        <v>100</v>
      </c>
    </row>
    <row r="101" spans="1:83" s="2" customFormat="1" ht="19.5" thickBot="1" x14ac:dyDescent="0.35">
      <c r="A101" s="17">
        <v>103</v>
      </c>
      <c r="B101" s="135"/>
      <c r="C101" s="20" t="s">
        <v>87</v>
      </c>
      <c r="D101" s="21"/>
      <c r="E101" s="21"/>
      <c r="F101" s="21"/>
      <c r="G101" s="32"/>
      <c r="H101" s="33"/>
      <c r="I101" s="41"/>
      <c r="J101" s="33"/>
      <c r="K101" s="41"/>
      <c r="L101" s="33"/>
      <c r="M101" s="41"/>
      <c r="N101" s="33"/>
      <c r="O101" s="41"/>
      <c r="P101" s="33"/>
      <c r="Q101" s="41"/>
      <c r="R101" s="33"/>
      <c r="S101" s="33"/>
      <c r="T101" s="33"/>
      <c r="U101" s="41"/>
      <c r="V101" s="33"/>
      <c r="W101" s="33"/>
      <c r="X101" s="33"/>
      <c r="Y101" s="33"/>
      <c r="Z101" s="33"/>
      <c r="AA101" s="33"/>
      <c r="AB101" s="33"/>
      <c r="AC101" s="33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>
        <v>9</v>
      </c>
      <c r="AO101" s="47"/>
      <c r="AP101" s="47"/>
      <c r="AQ101" s="47">
        <v>9</v>
      </c>
      <c r="AR101" s="47"/>
      <c r="AS101" s="47"/>
      <c r="AT101" s="47"/>
      <c r="AU101" s="47"/>
      <c r="AV101" s="47"/>
      <c r="AW101" s="47"/>
      <c r="AX101" s="47"/>
      <c r="AY101" s="55">
        <f t="shared" si="15"/>
        <v>18</v>
      </c>
      <c r="AZ101" s="59"/>
      <c r="BA101" s="60"/>
      <c r="BB101" s="60">
        <f>+'[1]25'!R142</f>
        <v>0</v>
      </c>
      <c r="BC101" s="60">
        <v>9</v>
      </c>
      <c r="BD101" s="60"/>
      <c r="BE101" s="60"/>
      <c r="BF101" s="60"/>
      <c r="BG101" s="60"/>
      <c r="BH101" s="60"/>
      <c r="BI101" s="58">
        <f t="shared" si="16"/>
        <v>9</v>
      </c>
      <c r="BJ101" s="70">
        <f t="shared" si="17"/>
        <v>9</v>
      </c>
      <c r="BK101" s="70">
        <f t="shared" si="14"/>
        <v>0</v>
      </c>
      <c r="BL101" s="76"/>
      <c r="BM101" s="77"/>
      <c r="BN101" s="60">
        <f t="shared" si="18"/>
        <v>4</v>
      </c>
      <c r="BO101" s="82"/>
      <c r="BP101" s="83">
        <v>2</v>
      </c>
      <c r="BQ101" s="83">
        <v>1</v>
      </c>
      <c r="BR101" s="83">
        <v>2</v>
      </c>
      <c r="BS101" s="83"/>
      <c r="BT101" s="83"/>
      <c r="BU101" s="83"/>
      <c r="BV101" s="83"/>
      <c r="BW101" s="83"/>
      <c r="BX101" s="83"/>
      <c r="BY101" s="83"/>
      <c r="BZ101" s="9">
        <f t="shared" si="19"/>
        <v>5</v>
      </c>
      <c r="CB101" s="148" t="s">
        <v>96</v>
      </c>
      <c r="CC101" s="2" t="str" cm="1">
        <f t="array" ref="CC101:CD109">_xlfn.GROUPBY(C373:C388,BI373:BI388,_xleta.SUM)</f>
        <v>M40</v>
      </c>
      <c r="CD101" s="90">
        <v>12</v>
      </c>
      <c r="CE101" s="92">
        <f>+CD101/$CD$109*100</f>
        <v>6.8181818181818175</v>
      </c>
    </row>
    <row r="102" spans="1:83" s="2" customFormat="1" ht="19.5" thickBot="1" x14ac:dyDescent="0.35">
      <c r="A102" s="17"/>
      <c r="B102" s="136" t="s">
        <v>97</v>
      </c>
      <c r="C102" s="18" t="s">
        <v>82</v>
      </c>
      <c r="D102" s="25"/>
      <c r="E102" s="25"/>
      <c r="F102" s="25"/>
      <c r="G102" s="36"/>
      <c r="H102" s="37"/>
      <c r="I102" s="43"/>
      <c r="J102" s="37"/>
      <c r="K102" s="43"/>
      <c r="L102" s="37"/>
      <c r="M102" s="43"/>
      <c r="N102" s="37"/>
      <c r="O102" s="43"/>
      <c r="P102" s="37"/>
      <c r="Q102" s="43"/>
      <c r="R102" s="37"/>
      <c r="S102" s="37"/>
      <c r="T102" s="37"/>
      <c r="U102" s="43"/>
      <c r="V102" s="37"/>
      <c r="W102" s="37"/>
      <c r="X102" s="37"/>
      <c r="Y102" s="37"/>
      <c r="Z102" s="37"/>
      <c r="AA102" s="37"/>
      <c r="AB102" s="37"/>
      <c r="AC102" s="37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>
        <v>8</v>
      </c>
      <c r="AS102" s="49"/>
      <c r="AT102" s="49"/>
      <c r="AU102" s="49"/>
      <c r="AV102" s="49"/>
      <c r="AW102" s="49"/>
      <c r="AX102" s="49"/>
      <c r="AY102" s="55">
        <f t="shared" si="15"/>
        <v>8</v>
      </c>
      <c r="AZ102" s="64"/>
      <c r="BA102" s="65"/>
      <c r="BB102" s="65"/>
      <c r="BC102" s="65">
        <v>4</v>
      </c>
      <c r="BD102" s="65"/>
      <c r="BE102" s="65"/>
      <c r="BF102" s="65"/>
      <c r="BG102" s="65"/>
      <c r="BH102" s="65"/>
      <c r="BI102" s="55">
        <f t="shared" si="16"/>
        <v>4</v>
      </c>
      <c r="BJ102" s="69">
        <f t="shared" si="17"/>
        <v>4</v>
      </c>
      <c r="BK102" s="69">
        <f t="shared" si="14"/>
        <v>0</v>
      </c>
      <c r="BM102" s="75"/>
      <c r="BN102" s="57">
        <f t="shared" si="18"/>
        <v>2</v>
      </c>
      <c r="BO102" s="84"/>
      <c r="BP102" s="85">
        <v>1</v>
      </c>
      <c r="BQ102" s="85"/>
      <c r="BR102" s="85">
        <v>1</v>
      </c>
      <c r="BS102" s="85"/>
      <c r="BT102" s="85"/>
      <c r="BU102" s="85"/>
      <c r="BV102" s="85"/>
      <c r="BW102" s="85"/>
      <c r="BX102" s="85"/>
      <c r="BY102" s="85"/>
      <c r="BZ102" s="9">
        <f t="shared" si="19"/>
        <v>2</v>
      </c>
      <c r="CB102" s="148"/>
      <c r="CC102" s="2" t="str">
        <v>M41</v>
      </c>
      <c r="CD102" s="90">
        <v>25</v>
      </c>
      <c r="CE102" s="92">
        <f t="shared" ref="CE102:CE108" si="23">+CD102/$CD$109*100</f>
        <v>14.204545454545455</v>
      </c>
    </row>
    <row r="103" spans="1:83" s="2" customFormat="1" ht="19.5" thickBot="1" x14ac:dyDescent="0.35">
      <c r="A103" s="17"/>
      <c r="B103" s="137"/>
      <c r="C103" s="18" t="s">
        <v>83</v>
      </c>
      <c r="D103" s="25"/>
      <c r="E103" s="25"/>
      <c r="F103" s="25"/>
      <c r="G103" s="36"/>
      <c r="H103" s="37"/>
      <c r="I103" s="43"/>
      <c r="J103" s="37"/>
      <c r="K103" s="43"/>
      <c r="L103" s="37"/>
      <c r="M103" s="43"/>
      <c r="N103" s="37"/>
      <c r="O103" s="43"/>
      <c r="P103" s="37"/>
      <c r="Q103" s="43"/>
      <c r="R103" s="37"/>
      <c r="S103" s="37"/>
      <c r="T103" s="37"/>
      <c r="U103" s="43"/>
      <c r="V103" s="37"/>
      <c r="W103" s="37"/>
      <c r="X103" s="37"/>
      <c r="Y103" s="37"/>
      <c r="Z103" s="37"/>
      <c r="AA103" s="37"/>
      <c r="AB103" s="37"/>
      <c r="AC103" s="37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>
        <v>23</v>
      </c>
      <c r="AS103" s="49"/>
      <c r="AT103" s="49"/>
      <c r="AU103" s="49"/>
      <c r="AV103" s="49"/>
      <c r="AW103" s="49"/>
      <c r="AX103" s="49"/>
      <c r="AY103" s="55">
        <f t="shared" si="15"/>
        <v>23</v>
      </c>
      <c r="AZ103" s="64"/>
      <c r="BA103" s="65"/>
      <c r="BB103" s="65"/>
      <c r="BC103" s="65">
        <v>9</v>
      </c>
      <c r="BD103" s="65"/>
      <c r="BE103" s="65"/>
      <c r="BF103" s="65"/>
      <c r="BG103" s="65"/>
      <c r="BH103" s="65"/>
      <c r="BI103" s="55">
        <f t="shared" si="16"/>
        <v>9</v>
      </c>
      <c r="BJ103" s="69">
        <f t="shared" si="17"/>
        <v>14</v>
      </c>
      <c r="BK103" s="69">
        <f t="shared" si="14"/>
        <v>0</v>
      </c>
      <c r="BM103" s="75"/>
      <c r="BN103" s="57">
        <f t="shared" si="18"/>
        <v>8</v>
      </c>
      <c r="BO103" s="84"/>
      <c r="BP103" s="85"/>
      <c r="BQ103" s="85"/>
      <c r="BR103" s="85">
        <v>1</v>
      </c>
      <c r="BS103" s="85">
        <v>4</v>
      </c>
      <c r="BT103" s="85">
        <v>1</v>
      </c>
      <c r="BU103" s="85"/>
      <c r="BV103" s="85"/>
      <c r="BW103" s="85"/>
      <c r="BX103" s="85"/>
      <c r="BY103" s="85"/>
      <c r="BZ103" s="9">
        <f t="shared" si="19"/>
        <v>6</v>
      </c>
      <c r="CB103" s="148"/>
      <c r="CC103" s="2" t="str">
        <v>M42</v>
      </c>
      <c r="CD103" s="90">
        <v>35</v>
      </c>
      <c r="CE103" s="92">
        <f t="shared" si="23"/>
        <v>19.886363636363637</v>
      </c>
    </row>
    <row r="104" spans="1:83" s="2" customFormat="1" ht="19.5" thickBot="1" x14ac:dyDescent="0.35">
      <c r="A104" s="17"/>
      <c r="B104" s="137"/>
      <c r="C104" s="18" t="s">
        <v>84</v>
      </c>
      <c r="D104" s="25"/>
      <c r="E104" s="25"/>
      <c r="F104" s="25"/>
      <c r="G104" s="36"/>
      <c r="H104" s="37"/>
      <c r="I104" s="43"/>
      <c r="J104" s="37"/>
      <c r="K104" s="43"/>
      <c r="L104" s="37"/>
      <c r="M104" s="43"/>
      <c r="N104" s="37"/>
      <c r="O104" s="43"/>
      <c r="P104" s="37"/>
      <c r="Q104" s="43"/>
      <c r="R104" s="37"/>
      <c r="S104" s="37"/>
      <c r="T104" s="37"/>
      <c r="U104" s="43"/>
      <c r="V104" s="37"/>
      <c r="W104" s="37"/>
      <c r="X104" s="37"/>
      <c r="Y104" s="37"/>
      <c r="Z104" s="37"/>
      <c r="AA104" s="37"/>
      <c r="AB104" s="37"/>
      <c r="AC104" s="37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>
        <v>35</v>
      </c>
      <c r="AS104" s="49"/>
      <c r="AT104" s="49"/>
      <c r="AU104" s="49"/>
      <c r="AV104" s="49"/>
      <c r="AW104" s="49"/>
      <c r="AX104" s="49"/>
      <c r="AY104" s="55">
        <f t="shared" si="15"/>
        <v>35</v>
      </c>
      <c r="AZ104" s="64"/>
      <c r="BA104" s="65"/>
      <c r="BB104" s="65"/>
      <c r="BC104" s="65">
        <v>13</v>
      </c>
      <c r="BD104" s="65"/>
      <c r="BE104" s="65"/>
      <c r="BF104" s="65"/>
      <c r="BG104" s="65"/>
      <c r="BH104" s="65"/>
      <c r="BI104" s="55">
        <f t="shared" si="16"/>
        <v>13</v>
      </c>
      <c r="BJ104" s="69">
        <f t="shared" si="17"/>
        <v>22</v>
      </c>
      <c r="BK104" s="69">
        <f t="shared" si="14"/>
        <v>0</v>
      </c>
      <c r="BM104" s="75"/>
      <c r="BN104" s="57">
        <f t="shared" si="18"/>
        <v>12</v>
      </c>
      <c r="BO104" s="84"/>
      <c r="BP104" s="85">
        <v>2</v>
      </c>
      <c r="BQ104" s="85"/>
      <c r="BR104" s="85">
        <v>5</v>
      </c>
      <c r="BS104" s="85">
        <v>3</v>
      </c>
      <c r="BT104" s="85"/>
      <c r="BU104" s="85"/>
      <c r="BV104" s="85"/>
      <c r="BW104" s="85"/>
      <c r="BX104" s="85"/>
      <c r="BY104" s="85"/>
      <c r="BZ104" s="9">
        <f t="shared" si="19"/>
        <v>10</v>
      </c>
      <c r="CB104" s="148"/>
      <c r="CC104" s="2" t="str">
        <v>M43</v>
      </c>
      <c r="CD104" s="90">
        <v>40</v>
      </c>
      <c r="CE104" s="92">
        <f t="shared" si="23"/>
        <v>22.727272727272727</v>
      </c>
    </row>
    <row r="105" spans="1:83" s="2" customFormat="1" ht="19.5" thickBot="1" x14ac:dyDescent="0.35">
      <c r="A105" s="17"/>
      <c r="B105" s="137"/>
      <c r="C105" s="18" t="s">
        <v>85</v>
      </c>
      <c r="D105" s="25"/>
      <c r="E105" s="25"/>
      <c r="F105" s="25"/>
      <c r="G105" s="36"/>
      <c r="H105" s="37"/>
      <c r="I105" s="43"/>
      <c r="J105" s="37"/>
      <c r="K105" s="43"/>
      <c r="L105" s="37"/>
      <c r="M105" s="43"/>
      <c r="N105" s="37"/>
      <c r="O105" s="43"/>
      <c r="P105" s="37"/>
      <c r="Q105" s="43"/>
      <c r="R105" s="37"/>
      <c r="S105" s="37"/>
      <c r="T105" s="37"/>
      <c r="U105" s="43"/>
      <c r="V105" s="37"/>
      <c r="W105" s="37"/>
      <c r="X105" s="37"/>
      <c r="Y105" s="37"/>
      <c r="Z105" s="37"/>
      <c r="AA105" s="37"/>
      <c r="AB105" s="37"/>
      <c r="AC105" s="37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>
        <v>29</v>
      </c>
      <c r="AS105" s="49"/>
      <c r="AT105" s="49"/>
      <c r="AU105" s="49"/>
      <c r="AV105" s="49"/>
      <c r="AW105" s="49"/>
      <c r="AX105" s="49"/>
      <c r="AY105" s="55">
        <f t="shared" si="15"/>
        <v>29</v>
      </c>
      <c r="AZ105" s="64"/>
      <c r="BA105" s="65"/>
      <c r="BB105" s="65"/>
      <c r="BC105" s="65">
        <v>12</v>
      </c>
      <c r="BD105" s="65"/>
      <c r="BE105" s="65"/>
      <c r="BF105" s="65"/>
      <c r="BG105" s="65"/>
      <c r="BH105" s="65"/>
      <c r="BI105" s="55">
        <f t="shared" si="16"/>
        <v>12</v>
      </c>
      <c r="BJ105" s="69">
        <f t="shared" si="17"/>
        <v>17</v>
      </c>
      <c r="BK105" s="69">
        <f t="shared" si="14"/>
        <v>0</v>
      </c>
      <c r="BM105" s="75"/>
      <c r="BN105" s="57">
        <f t="shared" si="18"/>
        <v>5</v>
      </c>
      <c r="BO105" s="84"/>
      <c r="BP105" s="85">
        <v>2</v>
      </c>
      <c r="BQ105" s="85">
        <v>2</v>
      </c>
      <c r="BR105" s="85">
        <v>4</v>
      </c>
      <c r="BS105" s="85">
        <v>3</v>
      </c>
      <c r="BT105" s="85">
        <v>1</v>
      </c>
      <c r="BU105" s="85"/>
      <c r="BV105" s="85"/>
      <c r="BW105" s="85"/>
      <c r="BX105" s="85"/>
      <c r="BY105" s="85"/>
      <c r="BZ105" s="9">
        <f t="shared" si="19"/>
        <v>12</v>
      </c>
      <c r="CB105" s="148"/>
      <c r="CC105" s="2" t="str">
        <v>M44</v>
      </c>
      <c r="CD105" s="90">
        <v>30</v>
      </c>
      <c r="CE105" s="92">
        <f t="shared" si="23"/>
        <v>17.045454545454543</v>
      </c>
    </row>
    <row r="106" spans="1:83" s="2" customFormat="1" ht="19.5" thickBot="1" x14ac:dyDescent="0.35">
      <c r="A106" s="17"/>
      <c r="B106" s="137"/>
      <c r="C106" s="18" t="s">
        <v>86</v>
      </c>
      <c r="D106" s="25"/>
      <c r="E106" s="25"/>
      <c r="F106" s="25"/>
      <c r="G106" s="36"/>
      <c r="H106" s="37"/>
      <c r="I106" s="43"/>
      <c r="J106" s="37"/>
      <c r="K106" s="43"/>
      <c r="L106" s="37"/>
      <c r="M106" s="43"/>
      <c r="N106" s="37"/>
      <c r="O106" s="43"/>
      <c r="P106" s="37"/>
      <c r="Q106" s="43"/>
      <c r="R106" s="37"/>
      <c r="S106" s="37"/>
      <c r="T106" s="37"/>
      <c r="U106" s="43"/>
      <c r="V106" s="37"/>
      <c r="W106" s="37"/>
      <c r="X106" s="37"/>
      <c r="Y106" s="37"/>
      <c r="Z106" s="37"/>
      <c r="AA106" s="37"/>
      <c r="AB106" s="37"/>
      <c r="AC106" s="37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>
        <v>17</v>
      </c>
      <c r="AS106" s="49"/>
      <c r="AT106" s="49"/>
      <c r="AU106" s="49"/>
      <c r="AV106" s="49"/>
      <c r="AW106" s="49"/>
      <c r="AX106" s="49"/>
      <c r="AY106" s="55">
        <f t="shared" si="15"/>
        <v>17</v>
      </c>
      <c r="AZ106" s="64"/>
      <c r="BA106" s="65"/>
      <c r="BB106" s="65"/>
      <c r="BC106" s="65">
        <v>5</v>
      </c>
      <c r="BD106" s="65"/>
      <c r="BE106" s="65"/>
      <c r="BF106" s="65"/>
      <c r="BG106" s="65"/>
      <c r="BH106" s="65"/>
      <c r="BI106" s="55">
        <f t="shared" si="16"/>
        <v>5</v>
      </c>
      <c r="BJ106" s="69">
        <f t="shared" si="17"/>
        <v>12</v>
      </c>
      <c r="BK106" s="69">
        <f t="shared" si="14"/>
        <v>0</v>
      </c>
      <c r="BM106" s="75"/>
      <c r="BN106" s="57">
        <f t="shared" si="18"/>
        <v>2</v>
      </c>
      <c r="BO106" s="84"/>
      <c r="BP106" s="85">
        <v>2</v>
      </c>
      <c r="BQ106" s="85">
        <v>1</v>
      </c>
      <c r="BR106" s="85">
        <v>3</v>
      </c>
      <c r="BS106" s="85">
        <v>3</v>
      </c>
      <c r="BT106" s="85">
        <v>1</v>
      </c>
      <c r="BU106" s="85"/>
      <c r="BV106" s="85"/>
      <c r="BW106" s="85"/>
      <c r="BX106" s="85"/>
      <c r="BY106" s="85"/>
      <c r="BZ106" s="9">
        <f t="shared" si="19"/>
        <v>10</v>
      </c>
      <c r="CB106" s="148"/>
      <c r="CC106" s="2" t="str">
        <v>M45</v>
      </c>
      <c r="CD106" s="90">
        <v>19</v>
      </c>
      <c r="CE106" s="92">
        <f t="shared" si="23"/>
        <v>10.795454545454545</v>
      </c>
    </row>
    <row r="107" spans="1:83" s="2" customFormat="1" ht="19.5" thickBot="1" x14ac:dyDescent="0.35">
      <c r="A107" s="17"/>
      <c r="B107" s="138"/>
      <c r="C107" s="20" t="s">
        <v>87</v>
      </c>
      <c r="D107" s="21"/>
      <c r="E107" s="21"/>
      <c r="F107" s="21"/>
      <c r="G107" s="32"/>
      <c r="H107" s="33"/>
      <c r="I107" s="41"/>
      <c r="J107" s="33"/>
      <c r="K107" s="41"/>
      <c r="L107" s="33"/>
      <c r="M107" s="41"/>
      <c r="N107" s="33"/>
      <c r="O107" s="41"/>
      <c r="P107" s="33"/>
      <c r="Q107" s="41"/>
      <c r="R107" s="33"/>
      <c r="S107" s="33"/>
      <c r="T107" s="33"/>
      <c r="U107" s="41"/>
      <c r="V107" s="33"/>
      <c r="W107" s="33"/>
      <c r="X107" s="33"/>
      <c r="Y107" s="33"/>
      <c r="Z107" s="33"/>
      <c r="AA107" s="33"/>
      <c r="AB107" s="33"/>
      <c r="AC107" s="33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>
        <v>8</v>
      </c>
      <c r="AS107" s="47"/>
      <c r="AT107" s="47"/>
      <c r="AU107" s="47"/>
      <c r="AV107" s="47"/>
      <c r="AW107" s="47"/>
      <c r="AX107" s="47"/>
      <c r="AY107" s="55">
        <f t="shared" si="15"/>
        <v>8</v>
      </c>
      <c r="AZ107" s="59"/>
      <c r="BA107" s="60"/>
      <c r="BB107" s="60"/>
      <c r="BC107" s="60">
        <v>3</v>
      </c>
      <c r="BD107" s="60"/>
      <c r="BE107" s="60"/>
      <c r="BF107" s="60"/>
      <c r="BG107" s="60"/>
      <c r="BH107" s="60"/>
      <c r="BI107" s="58">
        <f t="shared" si="16"/>
        <v>3</v>
      </c>
      <c r="BJ107" s="70">
        <f t="shared" si="17"/>
        <v>5</v>
      </c>
      <c r="BK107" s="70">
        <f t="shared" si="14"/>
        <v>0</v>
      </c>
      <c r="BL107" s="76"/>
      <c r="BM107" s="77"/>
      <c r="BN107" s="60">
        <f t="shared" si="18"/>
        <v>2</v>
      </c>
      <c r="BO107" s="82"/>
      <c r="BP107" s="83">
        <v>1</v>
      </c>
      <c r="BQ107" s="83"/>
      <c r="BR107" s="83">
        <v>2</v>
      </c>
      <c r="BS107" s="83"/>
      <c r="BT107" s="83"/>
      <c r="BU107" s="83"/>
      <c r="BV107" s="83"/>
      <c r="BW107" s="83"/>
      <c r="BX107" s="83"/>
      <c r="BY107" s="83"/>
      <c r="BZ107" s="9">
        <f t="shared" si="19"/>
        <v>3</v>
      </c>
      <c r="CB107" s="148"/>
      <c r="CC107" s="2" t="str">
        <v>M46</v>
      </c>
      <c r="CD107" s="90">
        <v>11</v>
      </c>
      <c r="CE107" s="92">
        <f t="shared" si="23"/>
        <v>6.25</v>
      </c>
    </row>
    <row r="108" spans="1:83" s="2" customFormat="1" ht="19.5" thickBot="1" x14ac:dyDescent="0.35">
      <c r="A108" s="17">
        <v>126</v>
      </c>
      <c r="B108" s="134" t="s">
        <v>98</v>
      </c>
      <c r="C108" s="18" t="s">
        <v>61</v>
      </c>
      <c r="D108" s="19"/>
      <c r="E108" s="19"/>
      <c r="F108" s="19"/>
      <c r="G108" s="30"/>
      <c r="H108" s="31"/>
      <c r="I108" s="40"/>
      <c r="J108" s="31">
        <v>12</v>
      </c>
      <c r="K108" s="40"/>
      <c r="L108" s="31"/>
      <c r="M108" s="40"/>
      <c r="N108" s="31"/>
      <c r="O108" s="40"/>
      <c r="P108" s="31"/>
      <c r="Q108" s="40"/>
      <c r="R108" s="31"/>
      <c r="S108" s="31">
        <v>6</v>
      </c>
      <c r="T108" s="31"/>
      <c r="U108" s="40"/>
      <c r="V108" s="31"/>
      <c r="W108" s="31"/>
      <c r="X108" s="31"/>
      <c r="Y108" s="31"/>
      <c r="Z108" s="31"/>
      <c r="AA108" s="31"/>
      <c r="AB108" s="31">
        <v>6</v>
      </c>
      <c r="AC108" s="31"/>
      <c r="AD108" s="46"/>
      <c r="AE108" s="46"/>
      <c r="AF108" s="46">
        <v>3</v>
      </c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>
        <v>15</v>
      </c>
      <c r="AS108" s="46"/>
      <c r="AT108" s="46"/>
      <c r="AU108" s="46"/>
      <c r="AV108" s="46"/>
      <c r="AW108" s="46"/>
      <c r="AX108" s="46"/>
      <c r="AY108" s="55">
        <f t="shared" si="15"/>
        <v>42</v>
      </c>
      <c r="AZ108" s="56">
        <v>0</v>
      </c>
      <c r="BA108" s="57">
        <v>11</v>
      </c>
      <c r="BB108" s="57">
        <f>+'[1]25'!R176</f>
        <v>16</v>
      </c>
      <c r="BC108" s="57">
        <v>0</v>
      </c>
      <c r="BD108" s="57"/>
      <c r="BE108" s="57"/>
      <c r="BF108" s="57"/>
      <c r="BG108" s="57"/>
      <c r="BH108" s="57"/>
      <c r="BI108" s="55">
        <f t="shared" si="16"/>
        <v>27</v>
      </c>
      <c r="BJ108" s="69">
        <f t="shared" si="17"/>
        <v>15</v>
      </c>
      <c r="BK108" s="69">
        <f t="shared" si="14"/>
        <v>0</v>
      </c>
      <c r="BM108" s="75"/>
      <c r="BN108" s="57">
        <f t="shared" ref="BN108:BN143" si="24">+BJ108-BZ108</f>
        <v>12</v>
      </c>
      <c r="BO108" s="80"/>
      <c r="BP108" s="81">
        <v>1</v>
      </c>
      <c r="BQ108" s="81"/>
      <c r="BR108" s="81">
        <v>2</v>
      </c>
      <c r="BS108" s="81"/>
      <c r="BT108" s="81"/>
      <c r="BU108" s="81"/>
      <c r="BV108" s="81"/>
      <c r="BW108" s="81"/>
      <c r="BX108" s="81"/>
      <c r="BY108" s="81"/>
      <c r="BZ108" s="9">
        <f t="shared" ref="BZ108:BZ139" si="25">SUM(BP108:BY108)</f>
        <v>3</v>
      </c>
      <c r="CB108" s="148"/>
      <c r="CC108" s="2" t="str">
        <v>M47</v>
      </c>
      <c r="CD108" s="90">
        <v>4</v>
      </c>
      <c r="CE108" s="92">
        <f t="shared" si="23"/>
        <v>2.2727272727272729</v>
      </c>
    </row>
    <row r="109" spans="1:83" s="2" customFormat="1" ht="19.5" thickBot="1" x14ac:dyDescent="0.35">
      <c r="A109" s="17">
        <v>127</v>
      </c>
      <c r="B109" s="135"/>
      <c r="C109" s="18" t="s">
        <v>62</v>
      </c>
      <c r="D109" s="19"/>
      <c r="E109" s="19"/>
      <c r="F109" s="19"/>
      <c r="G109" s="30"/>
      <c r="H109" s="31"/>
      <c r="I109" s="40"/>
      <c r="J109" s="31">
        <v>18</v>
      </c>
      <c r="K109" s="40"/>
      <c r="L109" s="31"/>
      <c r="M109" s="40"/>
      <c r="N109" s="31"/>
      <c r="O109" s="40"/>
      <c r="P109" s="31"/>
      <c r="Q109" s="40"/>
      <c r="R109" s="31"/>
      <c r="S109" s="31">
        <v>12</v>
      </c>
      <c r="T109" s="31"/>
      <c r="U109" s="40"/>
      <c r="V109" s="31"/>
      <c r="W109" s="31"/>
      <c r="X109" s="31"/>
      <c r="Y109" s="31"/>
      <c r="Z109" s="31"/>
      <c r="AA109" s="31"/>
      <c r="AB109" s="31"/>
      <c r="AC109" s="31"/>
      <c r="AD109" s="46"/>
      <c r="AE109" s="46"/>
      <c r="AF109" s="46">
        <v>6</v>
      </c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>
        <v>21</v>
      </c>
      <c r="AS109" s="46"/>
      <c r="AT109" s="46"/>
      <c r="AU109" s="46"/>
      <c r="AV109" s="46"/>
      <c r="AW109" s="46"/>
      <c r="AX109" s="46"/>
      <c r="AY109" s="55">
        <f t="shared" si="15"/>
        <v>57</v>
      </c>
      <c r="AZ109" s="56">
        <v>2</v>
      </c>
      <c r="BA109" s="57">
        <v>11</v>
      </c>
      <c r="BB109" s="57">
        <f>+'[1]25'!R177</f>
        <v>23</v>
      </c>
      <c r="BC109" s="57">
        <v>3</v>
      </c>
      <c r="BD109" s="57"/>
      <c r="BE109" s="57"/>
      <c r="BF109" s="57"/>
      <c r="BG109" s="57"/>
      <c r="BH109" s="57"/>
      <c r="BI109" s="55">
        <f t="shared" si="16"/>
        <v>39</v>
      </c>
      <c r="BJ109" s="69">
        <f t="shared" si="17"/>
        <v>18</v>
      </c>
      <c r="BK109" s="69">
        <f t="shared" si="14"/>
        <v>0</v>
      </c>
      <c r="BM109" s="75"/>
      <c r="BN109" s="57">
        <f t="shared" si="24"/>
        <v>12</v>
      </c>
      <c r="BO109" s="80"/>
      <c r="BP109" s="81">
        <v>1</v>
      </c>
      <c r="BQ109" s="81">
        <v>1</v>
      </c>
      <c r="BR109" s="81">
        <v>2</v>
      </c>
      <c r="BS109" s="81">
        <v>1</v>
      </c>
      <c r="BT109" s="81">
        <v>1</v>
      </c>
      <c r="BU109" s="81"/>
      <c r="BV109" s="81"/>
      <c r="BW109" s="81"/>
      <c r="BX109" s="81"/>
      <c r="BY109" s="81"/>
      <c r="BZ109" s="9">
        <f t="shared" si="25"/>
        <v>6</v>
      </c>
      <c r="CB109" s="148"/>
      <c r="CC109" s="91" t="str">
        <v>Total</v>
      </c>
      <c r="CD109" s="88">
        <v>176</v>
      </c>
      <c r="CE109" s="93">
        <f>SUM(CE101:CE108)</f>
        <v>99.999999999999986</v>
      </c>
    </row>
    <row r="110" spans="1:83" s="2" customFormat="1" ht="19.5" thickBot="1" x14ac:dyDescent="0.35">
      <c r="A110" s="17">
        <v>128</v>
      </c>
      <c r="B110" s="135"/>
      <c r="C110" s="18" t="s">
        <v>63</v>
      </c>
      <c r="D110" s="19"/>
      <c r="E110" s="19"/>
      <c r="F110" s="19"/>
      <c r="G110" s="30"/>
      <c r="H110" s="31"/>
      <c r="I110" s="40"/>
      <c r="J110" s="31">
        <v>24</v>
      </c>
      <c r="K110" s="40"/>
      <c r="L110" s="31"/>
      <c r="M110" s="40"/>
      <c r="N110" s="31"/>
      <c r="O110" s="40"/>
      <c r="P110" s="31"/>
      <c r="Q110" s="40"/>
      <c r="R110" s="31"/>
      <c r="S110" s="31">
        <v>24</v>
      </c>
      <c r="T110" s="31"/>
      <c r="U110" s="40"/>
      <c r="V110" s="31"/>
      <c r="W110" s="31"/>
      <c r="X110" s="31"/>
      <c r="Y110" s="31"/>
      <c r="Z110" s="31"/>
      <c r="AA110" s="31"/>
      <c r="AB110" s="31"/>
      <c r="AC110" s="31"/>
      <c r="AD110" s="46"/>
      <c r="AE110" s="46"/>
      <c r="AF110" s="46">
        <v>18</v>
      </c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>
        <v>34</v>
      </c>
      <c r="AS110" s="46"/>
      <c r="AT110" s="46"/>
      <c r="AU110" s="46"/>
      <c r="AV110" s="46"/>
      <c r="AW110" s="46"/>
      <c r="AX110" s="46"/>
      <c r="AY110" s="55">
        <f t="shared" si="15"/>
        <v>100</v>
      </c>
      <c r="AZ110" s="56">
        <v>7</v>
      </c>
      <c r="BA110" s="57">
        <v>14</v>
      </c>
      <c r="BB110" s="57">
        <v>44</v>
      </c>
      <c r="BC110" s="57">
        <v>3</v>
      </c>
      <c r="BD110" s="57"/>
      <c r="BE110" s="57"/>
      <c r="BF110" s="57"/>
      <c r="BG110" s="57"/>
      <c r="BH110" s="57"/>
      <c r="BI110" s="55">
        <f t="shared" si="16"/>
        <v>68</v>
      </c>
      <c r="BJ110" s="69">
        <f t="shared" si="17"/>
        <v>32</v>
      </c>
      <c r="BK110" s="69">
        <f t="shared" si="14"/>
        <v>0</v>
      </c>
      <c r="BM110" s="75"/>
      <c r="BN110" s="57">
        <f t="shared" si="24"/>
        <v>25</v>
      </c>
      <c r="BO110" s="80"/>
      <c r="BP110" s="81">
        <v>2</v>
      </c>
      <c r="BQ110" s="81">
        <v>1</v>
      </c>
      <c r="BR110" s="81">
        <v>2</v>
      </c>
      <c r="BS110" s="81">
        <v>1</v>
      </c>
      <c r="BT110" s="81">
        <v>1</v>
      </c>
      <c r="BU110" s="81"/>
      <c r="BV110" s="81"/>
      <c r="BW110" s="81"/>
      <c r="BX110" s="81"/>
      <c r="BY110" s="81"/>
      <c r="BZ110" s="9">
        <f t="shared" si="25"/>
        <v>7</v>
      </c>
      <c r="CB110" s="148" t="s">
        <v>96</v>
      </c>
      <c r="CC110" s="2" t="str" cm="1">
        <f t="array" ref="CC110:CD117">_xlfn.GROUPBY(C389:C395,BI389:BI395,_xleta.SUM)</f>
        <v>W36</v>
      </c>
      <c r="CD110" s="90">
        <v>3</v>
      </c>
      <c r="CE110" s="92">
        <f>+CD110/$CD$117*100</f>
        <v>3.3333333333333335</v>
      </c>
    </row>
    <row r="111" spans="1:83" s="2" customFormat="1" ht="19.5" thickBot="1" x14ac:dyDescent="0.35">
      <c r="A111" s="17">
        <v>129</v>
      </c>
      <c r="B111" s="135"/>
      <c r="C111" s="18" t="s">
        <v>64</v>
      </c>
      <c r="D111" s="19"/>
      <c r="E111" s="19"/>
      <c r="F111" s="19"/>
      <c r="G111" s="30"/>
      <c r="H111" s="31"/>
      <c r="I111" s="40"/>
      <c r="J111" s="31">
        <v>24</v>
      </c>
      <c r="K111" s="40"/>
      <c r="L111" s="31"/>
      <c r="M111" s="40"/>
      <c r="N111" s="31"/>
      <c r="O111" s="40"/>
      <c r="P111" s="31"/>
      <c r="Q111" s="40"/>
      <c r="R111" s="31"/>
      <c r="S111" s="31">
        <v>24</v>
      </c>
      <c r="T111" s="31"/>
      <c r="U111" s="40"/>
      <c r="V111" s="31"/>
      <c r="W111" s="31"/>
      <c r="X111" s="31"/>
      <c r="Y111" s="31"/>
      <c r="Z111" s="31"/>
      <c r="AA111" s="31"/>
      <c r="AB111" s="31">
        <v>12</v>
      </c>
      <c r="AC111" s="31"/>
      <c r="AD111" s="46"/>
      <c r="AE111" s="46"/>
      <c r="AF111" s="46">
        <v>30</v>
      </c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>
        <v>48</v>
      </c>
      <c r="AS111" s="46"/>
      <c r="AT111" s="46"/>
      <c r="AU111" s="46"/>
      <c r="AV111" s="46"/>
      <c r="AW111" s="46"/>
      <c r="AX111" s="46"/>
      <c r="AY111" s="55">
        <f t="shared" si="15"/>
        <v>138</v>
      </c>
      <c r="AZ111" s="56">
        <v>5</v>
      </c>
      <c r="BA111" s="57">
        <v>26</v>
      </c>
      <c r="BB111" s="57">
        <f>+'[1]25'!R179</f>
        <v>55</v>
      </c>
      <c r="BC111" s="57">
        <v>15</v>
      </c>
      <c r="BD111" s="57"/>
      <c r="BE111" s="57"/>
      <c r="BF111" s="57"/>
      <c r="BG111" s="57"/>
      <c r="BH111" s="57"/>
      <c r="BI111" s="55">
        <f t="shared" si="16"/>
        <v>101</v>
      </c>
      <c r="BJ111" s="69">
        <f t="shared" si="17"/>
        <v>37</v>
      </c>
      <c r="BK111" s="69">
        <f t="shared" si="14"/>
        <v>0</v>
      </c>
      <c r="BM111" s="75"/>
      <c r="BN111" s="57">
        <f t="shared" si="24"/>
        <v>29</v>
      </c>
      <c r="BO111" s="80"/>
      <c r="BP111" s="81">
        <v>2</v>
      </c>
      <c r="BQ111" s="81">
        <v>1</v>
      </c>
      <c r="BR111" s="81">
        <v>4</v>
      </c>
      <c r="BS111" s="81">
        <v>1</v>
      </c>
      <c r="BT111" s="81"/>
      <c r="BU111" s="81"/>
      <c r="BV111" s="81"/>
      <c r="BW111" s="81"/>
      <c r="BX111" s="81"/>
      <c r="BY111" s="81"/>
      <c r="BZ111" s="9">
        <f t="shared" si="25"/>
        <v>8</v>
      </c>
      <c r="CB111" s="148"/>
      <c r="CC111" s="2" t="str">
        <v>W37</v>
      </c>
      <c r="CD111" s="90">
        <v>17</v>
      </c>
      <c r="CE111" s="92">
        <f t="shared" ref="CE111:CE116" si="26">+CD111/$CD$117*100</f>
        <v>18.888888888888889</v>
      </c>
    </row>
    <row r="112" spans="1:83" s="2" customFormat="1" ht="19.5" thickBot="1" x14ac:dyDescent="0.35">
      <c r="A112" s="17">
        <v>130</v>
      </c>
      <c r="B112" s="135"/>
      <c r="C112" s="18" t="s">
        <v>65</v>
      </c>
      <c r="D112" s="19"/>
      <c r="E112" s="19"/>
      <c r="F112" s="19"/>
      <c r="G112" s="30"/>
      <c r="H112" s="31"/>
      <c r="I112" s="40"/>
      <c r="J112" s="31">
        <v>18</v>
      </c>
      <c r="K112" s="40"/>
      <c r="L112" s="31"/>
      <c r="M112" s="40"/>
      <c r="N112" s="31"/>
      <c r="O112" s="40"/>
      <c r="P112" s="31"/>
      <c r="Q112" s="40"/>
      <c r="R112" s="31"/>
      <c r="S112" s="31">
        <v>18</v>
      </c>
      <c r="T112" s="31"/>
      <c r="U112" s="40"/>
      <c r="V112" s="31"/>
      <c r="W112" s="31"/>
      <c r="X112" s="31"/>
      <c r="Y112" s="31"/>
      <c r="Z112" s="31"/>
      <c r="AA112" s="31"/>
      <c r="AB112" s="31">
        <v>30</v>
      </c>
      <c r="AC112" s="31"/>
      <c r="AD112" s="46"/>
      <c r="AE112" s="46"/>
      <c r="AF112" s="46">
        <v>33</v>
      </c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>
        <v>48</v>
      </c>
      <c r="AS112" s="46"/>
      <c r="AT112" s="46"/>
      <c r="AU112" s="46"/>
      <c r="AV112" s="46"/>
      <c r="AW112" s="46"/>
      <c r="AX112" s="46"/>
      <c r="AY112" s="55">
        <f t="shared" si="15"/>
        <v>147</v>
      </c>
      <c r="AZ112" s="56">
        <v>6</v>
      </c>
      <c r="BA112" s="57">
        <v>30</v>
      </c>
      <c r="BB112" s="57">
        <f>+'[1]25'!R180</f>
        <v>50</v>
      </c>
      <c r="BC112" s="57">
        <v>14</v>
      </c>
      <c r="BD112" s="57"/>
      <c r="BE112" s="57"/>
      <c r="BF112" s="57"/>
      <c r="BG112" s="57"/>
      <c r="BH112" s="57"/>
      <c r="BI112" s="55">
        <f t="shared" si="16"/>
        <v>100</v>
      </c>
      <c r="BJ112" s="69">
        <f t="shared" si="17"/>
        <v>47</v>
      </c>
      <c r="BK112" s="69">
        <f t="shared" si="14"/>
        <v>0</v>
      </c>
      <c r="BM112" s="75"/>
      <c r="BN112" s="57">
        <f t="shared" si="24"/>
        <v>38</v>
      </c>
      <c r="BO112" s="80"/>
      <c r="BP112" s="81">
        <v>2</v>
      </c>
      <c r="BQ112" s="81">
        <v>1</v>
      </c>
      <c r="BR112" s="81">
        <v>4</v>
      </c>
      <c r="BS112" s="81">
        <v>1</v>
      </c>
      <c r="BT112" s="81">
        <v>1</v>
      </c>
      <c r="BU112" s="81"/>
      <c r="BV112" s="81"/>
      <c r="BW112" s="81"/>
      <c r="BX112" s="81"/>
      <c r="BY112" s="81"/>
      <c r="BZ112" s="9">
        <f t="shared" si="25"/>
        <v>9</v>
      </c>
      <c r="CB112" s="148"/>
      <c r="CC112" s="2" t="str">
        <v>W38</v>
      </c>
      <c r="CD112" s="90">
        <v>19</v>
      </c>
      <c r="CE112" s="92">
        <f t="shared" si="26"/>
        <v>21.111111111111111</v>
      </c>
    </row>
    <row r="113" spans="1:83" s="2" customFormat="1" ht="19.5" thickBot="1" x14ac:dyDescent="0.35">
      <c r="A113" s="17">
        <v>131</v>
      </c>
      <c r="B113" s="135"/>
      <c r="C113" s="18" t="s">
        <v>66</v>
      </c>
      <c r="D113" s="19"/>
      <c r="E113" s="19"/>
      <c r="F113" s="19"/>
      <c r="G113" s="30"/>
      <c r="H113" s="31"/>
      <c r="I113" s="40"/>
      <c r="J113" s="31">
        <v>12</v>
      </c>
      <c r="K113" s="40"/>
      <c r="L113" s="31"/>
      <c r="M113" s="40"/>
      <c r="N113" s="31"/>
      <c r="O113" s="40"/>
      <c r="P113" s="31"/>
      <c r="Q113" s="40"/>
      <c r="R113" s="31"/>
      <c r="S113" s="31">
        <v>12</v>
      </c>
      <c r="T113" s="31"/>
      <c r="U113" s="40"/>
      <c r="V113" s="31"/>
      <c r="W113" s="31"/>
      <c r="X113" s="31"/>
      <c r="Y113" s="31"/>
      <c r="Z113" s="31"/>
      <c r="AA113" s="31"/>
      <c r="AB113" s="31">
        <v>36</v>
      </c>
      <c r="AC113" s="31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>
        <v>29</v>
      </c>
      <c r="AS113" s="46"/>
      <c r="AT113" s="46"/>
      <c r="AU113" s="46"/>
      <c r="AV113" s="46"/>
      <c r="AW113" s="46"/>
      <c r="AX113" s="46"/>
      <c r="AY113" s="55">
        <f t="shared" si="15"/>
        <v>89</v>
      </c>
      <c r="AZ113" s="56">
        <v>10</v>
      </c>
      <c r="BA113" s="57">
        <v>14</v>
      </c>
      <c r="BB113" s="57">
        <f>+'[1]25'!R181</f>
        <v>33</v>
      </c>
      <c r="BC113" s="57">
        <v>5</v>
      </c>
      <c r="BD113" s="57"/>
      <c r="BE113" s="57"/>
      <c r="BF113" s="57"/>
      <c r="BG113" s="57"/>
      <c r="BH113" s="57"/>
      <c r="BI113" s="55">
        <f t="shared" si="16"/>
        <v>62</v>
      </c>
      <c r="BJ113" s="69">
        <f t="shared" si="17"/>
        <v>27</v>
      </c>
      <c r="BK113" s="69">
        <f t="shared" si="14"/>
        <v>0</v>
      </c>
      <c r="BM113" s="75"/>
      <c r="BN113" s="57">
        <f t="shared" si="24"/>
        <v>16</v>
      </c>
      <c r="BO113" s="80"/>
      <c r="BP113" s="81">
        <v>1</v>
      </c>
      <c r="BQ113" s="81">
        <v>2</v>
      </c>
      <c r="BR113" s="81">
        <v>4</v>
      </c>
      <c r="BS113" s="81">
        <v>2</v>
      </c>
      <c r="BT113" s="81">
        <v>2</v>
      </c>
      <c r="BU113" s="81"/>
      <c r="BV113" s="81"/>
      <c r="BW113" s="81"/>
      <c r="BX113" s="81"/>
      <c r="BY113" s="81"/>
      <c r="BZ113" s="9">
        <f t="shared" si="25"/>
        <v>11</v>
      </c>
      <c r="CB113" s="148"/>
      <c r="CC113" s="2" t="str">
        <v>W39</v>
      </c>
      <c r="CD113" s="90">
        <v>27</v>
      </c>
      <c r="CE113" s="92">
        <f t="shared" si="26"/>
        <v>30</v>
      </c>
    </row>
    <row r="114" spans="1:83" s="2" customFormat="1" ht="19.5" thickBot="1" x14ac:dyDescent="0.35">
      <c r="A114" s="17">
        <v>132</v>
      </c>
      <c r="B114" s="135"/>
      <c r="C114" s="18" t="s">
        <v>67</v>
      </c>
      <c r="D114" s="19"/>
      <c r="E114" s="19"/>
      <c r="F114" s="19"/>
      <c r="G114" s="30"/>
      <c r="H114" s="31"/>
      <c r="I114" s="40"/>
      <c r="J114" s="31">
        <v>6</v>
      </c>
      <c r="K114" s="40">
        <v>-1</v>
      </c>
      <c r="L114" s="31"/>
      <c r="M114" s="40"/>
      <c r="N114" s="31"/>
      <c r="O114" s="40"/>
      <c r="P114" s="31">
        <v>3</v>
      </c>
      <c r="Q114" s="40"/>
      <c r="R114" s="31"/>
      <c r="S114" s="31">
        <v>12</v>
      </c>
      <c r="T114" s="31"/>
      <c r="U114" s="40"/>
      <c r="V114" s="31"/>
      <c r="W114" s="31"/>
      <c r="X114" s="31"/>
      <c r="Y114" s="31"/>
      <c r="Z114" s="31"/>
      <c r="AA114" s="31"/>
      <c r="AB114" s="31">
        <v>12</v>
      </c>
      <c r="AC114" s="31"/>
      <c r="AD114" s="46"/>
      <c r="AE114" s="46"/>
      <c r="AF114" s="46">
        <v>18</v>
      </c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>
        <v>24</v>
      </c>
      <c r="AS114" s="46"/>
      <c r="AT114" s="46"/>
      <c r="AU114" s="46"/>
      <c r="AV114" s="46"/>
      <c r="AW114" s="46"/>
      <c r="AX114" s="46"/>
      <c r="AY114" s="55">
        <f t="shared" si="15"/>
        <v>74</v>
      </c>
      <c r="AZ114" s="56">
        <v>7</v>
      </c>
      <c r="BA114" s="57">
        <v>11</v>
      </c>
      <c r="BB114" s="57">
        <f>+'[1]25'!R182</f>
        <v>27</v>
      </c>
      <c r="BC114" s="57">
        <v>10</v>
      </c>
      <c r="BD114" s="57"/>
      <c r="BE114" s="57"/>
      <c r="BF114" s="57"/>
      <c r="BG114" s="57"/>
      <c r="BH114" s="57"/>
      <c r="BI114" s="55">
        <f t="shared" si="16"/>
        <v>55</v>
      </c>
      <c r="BJ114" s="69">
        <f t="shared" si="17"/>
        <v>19</v>
      </c>
      <c r="BK114" s="69">
        <f t="shared" si="14"/>
        <v>0</v>
      </c>
      <c r="BM114" s="75"/>
      <c r="BN114" s="57">
        <f t="shared" si="24"/>
        <v>14</v>
      </c>
      <c r="BO114" s="80"/>
      <c r="BP114" s="81">
        <v>2</v>
      </c>
      <c r="BQ114" s="81"/>
      <c r="BR114" s="81">
        <v>2</v>
      </c>
      <c r="BS114" s="81"/>
      <c r="BT114" s="81">
        <v>1</v>
      </c>
      <c r="BU114" s="81"/>
      <c r="BV114" s="81"/>
      <c r="BW114" s="81"/>
      <c r="BX114" s="81"/>
      <c r="BY114" s="81"/>
      <c r="BZ114" s="9">
        <f t="shared" si="25"/>
        <v>5</v>
      </c>
      <c r="CB114" s="148"/>
      <c r="CC114" s="2" t="str">
        <v>W40</v>
      </c>
      <c r="CD114" s="90">
        <v>14</v>
      </c>
      <c r="CE114" s="92">
        <f t="shared" si="26"/>
        <v>15.555555555555555</v>
      </c>
    </row>
    <row r="115" spans="1:83" s="2" customFormat="1" ht="19.5" thickBot="1" x14ac:dyDescent="0.35">
      <c r="A115" s="17">
        <v>133</v>
      </c>
      <c r="B115" s="135"/>
      <c r="C115" s="18" t="s">
        <v>68</v>
      </c>
      <c r="D115" s="19"/>
      <c r="E115" s="19"/>
      <c r="F115" s="19">
        <v>4</v>
      </c>
      <c r="G115" s="30"/>
      <c r="H115" s="31"/>
      <c r="I115" s="40"/>
      <c r="J115" s="31"/>
      <c r="K115" s="40"/>
      <c r="L115" s="31"/>
      <c r="M115" s="40"/>
      <c r="N115" s="31"/>
      <c r="O115" s="40"/>
      <c r="P115" s="31">
        <v>2</v>
      </c>
      <c r="Q115" s="40"/>
      <c r="R115" s="31"/>
      <c r="S115" s="31">
        <v>12</v>
      </c>
      <c r="T115" s="31"/>
      <c r="U115" s="40"/>
      <c r="V115" s="31"/>
      <c r="W115" s="31"/>
      <c r="X115" s="31"/>
      <c r="Y115" s="31"/>
      <c r="Z115" s="31"/>
      <c r="AA115" s="31"/>
      <c r="AB115" s="31"/>
      <c r="AC115" s="31"/>
      <c r="AD115" s="46"/>
      <c r="AE115" s="46"/>
      <c r="AF115" s="46">
        <v>18</v>
      </c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>
        <v>9</v>
      </c>
      <c r="AS115" s="46"/>
      <c r="AT115" s="46"/>
      <c r="AU115" s="46"/>
      <c r="AV115" s="46"/>
      <c r="AW115" s="46"/>
      <c r="AX115" s="46"/>
      <c r="AY115" s="55">
        <f t="shared" si="15"/>
        <v>45</v>
      </c>
      <c r="AZ115" s="56">
        <v>3</v>
      </c>
      <c r="BA115" s="57">
        <v>12</v>
      </c>
      <c r="BB115" s="57">
        <f>+'[1]25'!R183</f>
        <v>10</v>
      </c>
      <c r="BC115" s="57">
        <v>3</v>
      </c>
      <c r="BD115" s="57"/>
      <c r="BE115" s="57"/>
      <c r="BF115" s="57"/>
      <c r="BG115" s="57"/>
      <c r="BH115" s="57"/>
      <c r="BI115" s="55">
        <f t="shared" si="16"/>
        <v>28</v>
      </c>
      <c r="BJ115" s="69">
        <f t="shared" si="17"/>
        <v>17</v>
      </c>
      <c r="BK115" s="69">
        <f t="shared" si="14"/>
        <v>0</v>
      </c>
      <c r="BM115" s="75"/>
      <c r="BN115" s="57">
        <f t="shared" si="24"/>
        <v>14</v>
      </c>
      <c r="BO115" s="80"/>
      <c r="BP115" s="81">
        <v>1</v>
      </c>
      <c r="BQ115" s="81"/>
      <c r="BR115" s="81">
        <v>2</v>
      </c>
      <c r="BS115" s="81"/>
      <c r="BT115" s="81"/>
      <c r="BU115" s="81"/>
      <c r="BV115" s="81"/>
      <c r="BW115" s="81"/>
      <c r="BX115" s="81"/>
      <c r="BY115" s="81"/>
      <c r="BZ115" s="9">
        <f t="shared" si="25"/>
        <v>3</v>
      </c>
      <c r="CB115" s="148"/>
      <c r="CC115" s="2" t="str">
        <v>W41</v>
      </c>
      <c r="CD115" s="90">
        <v>8</v>
      </c>
      <c r="CE115" s="92">
        <f t="shared" si="26"/>
        <v>8.8888888888888893</v>
      </c>
    </row>
    <row r="116" spans="1:83" s="2" customFormat="1" ht="19.5" thickBot="1" x14ac:dyDescent="0.35">
      <c r="A116" s="17">
        <v>134</v>
      </c>
      <c r="B116" s="135"/>
      <c r="C116" s="18" t="s">
        <v>69</v>
      </c>
      <c r="D116" s="19"/>
      <c r="E116" s="19"/>
      <c r="F116" s="19">
        <v>2</v>
      </c>
      <c r="G116" s="30"/>
      <c r="H116" s="31"/>
      <c r="I116" s="40"/>
      <c r="J116" s="31"/>
      <c r="K116" s="40"/>
      <c r="L116" s="31"/>
      <c r="M116" s="40"/>
      <c r="N116" s="31"/>
      <c r="O116" s="40"/>
      <c r="P116" s="31">
        <v>2</v>
      </c>
      <c r="Q116" s="40"/>
      <c r="R116" s="31"/>
      <c r="S116" s="31">
        <v>6</v>
      </c>
      <c r="T116" s="31"/>
      <c r="U116" s="40"/>
      <c r="V116" s="31"/>
      <c r="W116" s="31"/>
      <c r="X116" s="31"/>
      <c r="Y116" s="31"/>
      <c r="Z116" s="31"/>
      <c r="AA116" s="31"/>
      <c r="AB116" s="31">
        <v>6</v>
      </c>
      <c r="AC116" s="31"/>
      <c r="AD116" s="46"/>
      <c r="AE116" s="46"/>
      <c r="AF116" s="46">
        <v>6</v>
      </c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>
        <v>12</v>
      </c>
      <c r="AS116" s="46"/>
      <c r="AT116" s="46"/>
      <c r="AU116" s="46"/>
      <c r="AV116" s="46"/>
      <c r="AW116" s="46"/>
      <c r="AX116" s="46"/>
      <c r="AY116" s="55">
        <f t="shared" si="15"/>
        <v>34</v>
      </c>
      <c r="AZ116" s="56">
        <v>2</v>
      </c>
      <c r="BA116" s="57">
        <v>5</v>
      </c>
      <c r="BB116" s="57">
        <f>+'[1]25'!R184</f>
        <v>12</v>
      </c>
      <c r="BC116" s="57">
        <v>1</v>
      </c>
      <c r="BD116" s="57"/>
      <c r="BE116" s="57"/>
      <c r="BF116" s="57"/>
      <c r="BG116" s="57"/>
      <c r="BH116" s="57"/>
      <c r="BI116" s="55">
        <f t="shared" si="16"/>
        <v>20</v>
      </c>
      <c r="BJ116" s="69">
        <f t="shared" si="17"/>
        <v>14</v>
      </c>
      <c r="BK116" s="69">
        <f t="shared" si="14"/>
        <v>0</v>
      </c>
      <c r="BM116" s="75"/>
      <c r="BN116" s="57">
        <f t="shared" si="24"/>
        <v>11</v>
      </c>
      <c r="BO116" s="80"/>
      <c r="BP116" s="81">
        <v>1</v>
      </c>
      <c r="BQ116" s="81"/>
      <c r="BR116" s="81">
        <v>2</v>
      </c>
      <c r="BS116" s="81"/>
      <c r="BT116" s="81"/>
      <c r="BU116" s="81"/>
      <c r="BV116" s="81"/>
      <c r="BW116" s="81"/>
      <c r="BX116" s="81"/>
      <c r="BY116" s="81"/>
      <c r="BZ116" s="9">
        <f t="shared" si="25"/>
        <v>3</v>
      </c>
      <c r="CB116" s="148"/>
      <c r="CC116" s="2" t="str">
        <v>W42</v>
      </c>
      <c r="CD116" s="90">
        <v>2</v>
      </c>
      <c r="CE116" s="92">
        <f t="shared" si="26"/>
        <v>2.2222222222222223</v>
      </c>
    </row>
    <row r="117" spans="1:83" s="2" customFormat="1" ht="19.5" thickBot="1" x14ac:dyDescent="0.35">
      <c r="A117" s="17">
        <v>135</v>
      </c>
      <c r="B117" s="135"/>
      <c r="C117" s="20" t="s">
        <v>70</v>
      </c>
      <c r="D117" s="21"/>
      <c r="E117" s="21"/>
      <c r="F117" s="21"/>
      <c r="G117" s="32"/>
      <c r="H117" s="33"/>
      <c r="I117" s="41"/>
      <c r="J117" s="33"/>
      <c r="K117" s="41"/>
      <c r="L117" s="33"/>
      <c r="M117" s="41"/>
      <c r="N117" s="33"/>
      <c r="O117" s="41"/>
      <c r="P117" s="33"/>
      <c r="Q117" s="41"/>
      <c r="R117" s="33"/>
      <c r="S117" s="33">
        <v>6</v>
      </c>
      <c r="T117" s="33"/>
      <c r="U117" s="41"/>
      <c r="V117" s="33"/>
      <c r="W117" s="33"/>
      <c r="X117" s="33"/>
      <c r="Y117" s="33"/>
      <c r="Z117" s="33"/>
      <c r="AA117" s="33"/>
      <c r="AB117" s="33">
        <v>6</v>
      </c>
      <c r="AC117" s="33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55">
        <f t="shared" si="15"/>
        <v>12</v>
      </c>
      <c r="AZ117" s="59">
        <v>0</v>
      </c>
      <c r="BA117" s="60">
        <v>4</v>
      </c>
      <c r="BB117" s="60">
        <f>+'[1]25'!R185</f>
        <v>7</v>
      </c>
      <c r="BC117" s="60">
        <v>1</v>
      </c>
      <c r="BD117" s="60"/>
      <c r="BE117" s="60"/>
      <c r="BF117" s="60"/>
      <c r="BG117" s="60"/>
      <c r="BH117" s="60"/>
      <c r="BI117" s="58">
        <f t="shared" si="16"/>
        <v>12</v>
      </c>
      <c r="BJ117" s="70">
        <f t="shared" si="17"/>
        <v>0</v>
      </c>
      <c r="BK117" s="70">
        <f t="shared" si="14"/>
        <v>0</v>
      </c>
      <c r="BL117" s="76"/>
      <c r="BM117" s="77"/>
      <c r="BN117" s="60">
        <f t="shared" si="24"/>
        <v>0</v>
      </c>
      <c r="BO117" s="82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9">
        <f t="shared" si="25"/>
        <v>0</v>
      </c>
      <c r="CB117" s="148"/>
      <c r="CC117" s="91" t="str">
        <v>Total</v>
      </c>
      <c r="CD117" s="88">
        <v>90</v>
      </c>
      <c r="CE117" s="93">
        <f>SUM(CE110:CE116)</f>
        <v>100</v>
      </c>
    </row>
    <row r="118" spans="1:83" s="2" customFormat="1" ht="19.5" thickBot="1" x14ac:dyDescent="0.35">
      <c r="A118" s="17">
        <v>136</v>
      </c>
      <c r="B118" s="134" t="s">
        <v>99</v>
      </c>
      <c r="C118" s="18" t="s">
        <v>61</v>
      </c>
      <c r="D118" s="19"/>
      <c r="E118" s="19"/>
      <c r="F118" s="19"/>
      <c r="G118" s="30"/>
      <c r="H118" s="31"/>
      <c r="I118" s="40"/>
      <c r="J118" s="31"/>
      <c r="K118" s="40"/>
      <c r="L118" s="31"/>
      <c r="M118" s="40"/>
      <c r="N118" s="31"/>
      <c r="O118" s="40"/>
      <c r="P118" s="31"/>
      <c r="Q118" s="40"/>
      <c r="R118" s="31"/>
      <c r="S118" s="31">
        <v>6</v>
      </c>
      <c r="T118" s="31"/>
      <c r="U118" s="40"/>
      <c r="V118" s="31"/>
      <c r="W118" s="31"/>
      <c r="X118" s="31"/>
      <c r="Y118" s="31"/>
      <c r="Z118" s="31"/>
      <c r="AA118" s="31"/>
      <c r="AB118" s="31"/>
      <c r="AC118" s="31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55">
        <f t="shared" si="15"/>
        <v>6</v>
      </c>
      <c r="AZ118" s="56">
        <v>0</v>
      </c>
      <c r="BA118" s="57">
        <v>3</v>
      </c>
      <c r="BB118" s="57">
        <f>+'[1]25'!R195</f>
        <v>1</v>
      </c>
      <c r="BC118" s="57">
        <v>2</v>
      </c>
      <c r="BD118" s="57"/>
      <c r="BE118" s="57"/>
      <c r="BF118" s="57"/>
      <c r="BG118" s="57"/>
      <c r="BH118" s="57"/>
      <c r="BI118" s="55">
        <f t="shared" si="16"/>
        <v>6</v>
      </c>
      <c r="BJ118" s="69">
        <f t="shared" si="17"/>
        <v>0</v>
      </c>
      <c r="BK118" s="69">
        <f t="shared" si="14"/>
        <v>0</v>
      </c>
      <c r="BM118" s="75"/>
      <c r="BN118" s="57">
        <f t="shared" si="24"/>
        <v>0</v>
      </c>
      <c r="BO118" s="80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9">
        <f t="shared" si="25"/>
        <v>0</v>
      </c>
      <c r="CB118" s="148" t="s">
        <v>100</v>
      </c>
      <c r="CC118" s="2" t="str" cm="1">
        <f t="array" ref="CC118:CD128">_xlfn.GROUPBY(C396:C421,BI396:BI421,_xleta.SUM)</f>
        <v>M38</v>
      </c>
      <c r="CD118" s="90">
        <v>6</v>
      </c>
      <c r="CE118" s="92">
        <f>+CD118/$CD$128*100</f>
        <v>1.7647058823529411</v>
      </c>
    </row>
    <row r="119" spans="1:83" s="2" customFormat="1" ht="19.5" thickBot="1" x14ac:dyDescent="0.35">
      <c r="A119" s="17">
        <v>137</v>
      </c>
      <c r="B119" s="135"/>
      <c r="C119" s="18" t="s">
        <v>62</v>
      </c>
      <c r="D119" s="19"/>
      <c r="E119" s="19"/>
      <c r="F119" s="19"/>
      <c r="G119" s="30"/>
      <c r="H119" s="31"/>
      <c r="I119" s="40"/>
      <c r="J119" s="31">
        <v>12</v>
      </c>
      <c r="K119" s="40"/>
      <c r="L119" s="31"/>
      <c r="M119" s="40"/>
      <c r="N119" s="31"/>
      <c r="O119" s="40"/>
      <c r="P119" s="31"/>
      <c r="Q119" s="40"/>
      <c r="R119" s="31"/>
      <c r="S119" s="31">
        <v>9</v>
      </c>
      <c r="T119" s="31"/>
      <c r="U119" s="40"/>
      <c r="V119" s="31"/>
      <c r="W119" s="31"/>
      <c r="X119" s="31"/>
      <c r="Y119" s="31"/>
      <c r="Z119" s="31"/>
      <c r="AA119" s="31"/>
      <c r="AB119" s="31"/>
      <c r="AC119" s="31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55">
        <f t="shared" si="15"/>
        <v>21</v>
      </c>
      <c r="AZ119" s="56">
        <v>3</v>
      </c>
      <c r="BA119" s="57">
        <v>7</v>
      </c>
      <c r="BB119" s="57">
        <f>+'[1]25'!R196</f>
        <v>11</v>
      </c>
      <c r="BC119" s="57">
        <v>0</v>
      </c>
      <c r="BD119" s="57"/>
      <c r="BE119" s="57"/>
      <c r="BF119" s="57"/>
      <c r="BG119" s="57"/>
      <c r="BH119" s="57"/>
      <c r="BI119" s="55">
        <f t="shared" si="16"/>
        <v>21</v>
      </c>
      <c r="BJ119" s="69">
        <f t="shared" si="17"/>
        <v>0</v>
      </c>
      <c r="BK119" s="69">
        <f t="shared" si="14"/>
        <v>0</v>
      </c>
      <c r="BM119" s="75"/>
      <c r="BN119" s="57">
        <f t="shared" si="24"/>
        <v>0</v>
      </c>
      <c r="BO119" s="80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9">
        <f t="shared" si="25"/>
        <v>0</v>
      </c>
      <c r="CB119" s="148"/>
      <c r="CC119" s="2" t="str">
        <v>M39</v>
      </c>
      <c r="CD119" s="90">
        <v>8</v>
      </c>
      <c r="CE119" s="92">
        <f t="shared" ref="CE119:CE127" si="27">+CD119/$CD$128*100</f>
        <v>2.3529411764705883</v>
      </c>
    </row>
    <row r="120" spans="1:83" s="2" customFormat="1" ht="19.5" thickBot="1" x14ac:dyDescent="0.35">
      <c r="A120" s="17">
        <v>138</v>
      </c>
      <c r="B120" s="135"/>
      <c r="C120" s="18" t="s">
        <v>63</v>
      </c>
      <c r="D120" s="19"/>
      <c r="E120" s="19"/>
      <c r="F120" s="19"/>
      <c r="G120" s="30"/>
      <c r="H120" s="31"/>
      <c r="I120" s="40"/>
      <c r="J120" s="31">
        <v>18</v>
      </c>
      <c r="K120" s="40"/>
      <c r="L120" s="31"/>
      <c r="M120" s="40"/>
      <c r="N120" s="31"/>
      <c r="O120" s="40"/>
      <c r="P120" s="31"/>
      <c r="Q120" s="40"/>
      <c r="R120" s="31"/>
      <c r="S120" s="31">
        <v>18</v>
      </c>
      <c r="T120" s="31"/>
      <c r="U120" s="40"/>
      <c r="V120" s="31"/>
      <c r="W120" s="31"/>
      <c r="X120" s="31"/>
      <c r="Y120" s="31"/>
      <c r="Z120" s="31"/>
      <c r="AA120" s="31"/>
      <c r="AB120" s="31"/>
      <c r="AC120" s="31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55">
        <f t="shared" si="15"/>
        <v>36</v>
      </c>
      <c r="AZ120" s="56">
        <v>6</v>
      </c>
      <c r="BA120" s="57">
        <v>7</v>
      </c>
      <c r="BB120" s="57">
        <f>+'[1]25'!R197</f>
        <v>21</v>
      </c>
      <c r="BC120" s="57">
        <v>1</v>
      </c>
      <c r="BD120" s="57"/>
      <c r="BE120" s="57"/>
      <c r="BF120" s="57"/>
      <c r="BG120" s="57"/>
      <c r="BH120" s="57"/>
      <c r="BI120" s="55">
        <f t="shared" si="16"/>
        <v>35</v>
      </c>
      <c r="BJ120" s="69">
        <f t="shared" si="17"/>
        <v>1</v>
      </c>
      <c r="BK120" s="69">
        <f t="shared" si="14"/>
        <v>0</v>
      </c>
      <c r="BM120" s="75"/>
      <c r="BN120" s="57">
        <f t="shared" si="24"/>
        <v>0</v>
      </c>
      <c r="BO120" s="80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>
        <v>1</v>
      </c>
      <c r="BZ120" s="9">
        <f t="shared" si="25"/>
        <v>1</v>
      </c>
      <c r="CB120" s="148"/>
      <c r="CC120" s="2" t="str">
        <v>M40</v>
      </c>
      <c r="CD120" s="90">
        <v>20</v>
      </c>
      <c r="CE120" s="92">
        <f t="shared" si="27"/>
        <v>5.8823529411764701</v>
      </c>
    </row>
    <row r="121" spans="1:83" s="2" customFormat="1" ht="19.5" thickBot="1" x14ac:dyDescent="0.35">
      <c r="A121" s="17">
        <v>139</v>
      </c>
      <c r="B121" s="135"/>
      <c r="C121" s="18" t="s">
        <v>64</v>
      </c>
      <c r="D121" s="19"/>
      <c r="E121" s="19"/>
      <c r="F121" s="19"/>
      <c r="G121" s="30"/>
      <c r="H121" s="31"/>
      <c r="I121" s="40"/>
      <c r="J121" s="31">
        <v>18</v>
      </c>
      <c r="K121" s="40"/>
      <c r="L121" s="31"/>
      <c r="M121" s="40"/>
      <c r="N121" s="31"/>
      <c r="O121" s="40"/>
      <c r="P121" s="31"/>
      <c r="Q121" s="40"/>
      <c r="R121" s="31"/>
      <c r="S121" s="31">
        <v>24</v>
      </c>
      <c r="T121" s="31"/>
      <c r="U121" s="40"/>
      <c r="V121" s="31"/>
      <c r="W121" s="31"/>
      <c r="X121" s="31"/>
      <c r="Y121" s="31"/>
      <c r="Z121" s="31"/>
      <c r="AA121" s="31"/>
      <c r="AB121" s="31"/>
      <c r="AC121" s="31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55">
        <f t="shared" si="15"/>
        <v>42</v>
      </c>
      <c r="AZ121" s="56">
        <v>6</v>
      </c>
      <c r="BA121" s="57">
        <v>19</v>
      </c>
      <c r="BB121" s="57">
        <f>+'[1]25'!R198</f>
        <v>16</v>
      </c>
      <c r="BC121" s="57">
        <v>0</v>
      </c>
      <c r="BD121" s="57"/>
      <c r="BE121" s="57"/>
      <c r="BF121" s="57"/>
      <c r="BG121" s="57"/>
      <c r="BH121" s="57"/>
      <c r="BI121" s="55">
        <f t="shared" si="16"/>
        <v>41</v>
      </c>
      <c r="BJ121" s="69">
        <f t="shared" si="17"/>
        <v>1</v>
      </c>
      <c r="BK121" s="69">
        <f t="shared" si="14"/>
        <v>0</v>
      </c>
      <c r="BM121" s="75"/>
      <c r="BN121" s="57">
        <f t="shared" si="24"/>
        <v>0</v>
      </c>
      <c r="BO121" s="80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>
        <v>1</v>
      </c>
      <c r="BZ121" s="9">
        <f t="shared" si="25"/>
        <v>1</v>
      </c>
      <c r="CB121" s="148"/>
      <c r="CC121" s="2" t="str">
        <v>M41</v>
      </c>
      <c r="CD121" s="90">
        <v>42</v>
      </c>
      <c r="CE121" s="92">
        <f t="shared" si="27"/>
        <v>12.352941176470589</v>
      </c>
    </row>
    <row r="122" spans="1:83" s="2" customFormat="1" ht="19.5" thickBot="1" x14ac:dyDescent="0.35">
      <c r="A122" s="17">
        <v>140</v>
      </c>
      <c r="B122" s="135"/>
      <c r="C122" s="18" t="s">
        <v>65</v>
      </c>
      <c r="D122" s="19"/>
      <c r="E122" s="19"/>
      <c r="F122" s="19"/>
      <c r="G122" s="30"/>
      <c r="H122" s="31"/>
      <c r="I122" s="40"/>
      <c r="J122" s="31">
        <v>12</v>
      </c>
      <c r="K122" s="40"/>
      <c r="L122" s="31"/>
      <c r="M122" s="40"/>
      <c r="N122" s="31"/>
      <c r="O122" s="40"/>
      <c r="P122" s="31"/>
      <c r="Q122" s="40"/>
      <c r="R122" s="31"/>
      <c r="S122" s="31">
        <v>21</v>
      </c>
      <c r="T122" s="31"/>
      <c r="U122" s="40"/>
      <c r="V122" s="31"/>
      <c r="W122" s="31"/>
      <c r="X122" s="31"/>
      <c r="Y122" s="31"/>
      <c r="Z122" s="31"/>
      <c r="AA122" s="31"/>
      <c r="AB122" s="31"/>
      <c r="AC122" s="31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55">
        <f t="shared" si="15"/>
        <v>33</v>
      </c>
      <c r="AZ122" s="56">
        <v>8</v>
      </c>
      <c r="BA122" s="57">
        <v>19</v>
      </c>
      <c r="BB122" s="57">
        <v>5</v>
      </c>
      <c r="BC122" s="57">
        <v>0</v>
      </c>
      <c r="BD122" s="57"/>
      <c r="BE122" s="57"/>
      <c r="BF122" s="57"/>
      <c r="BG122" s="57"/>
      <c r="BH122" s="57"/>
      <c r="BI122" s="55">
        <f t="shared" si="16"/>
        <v>32</v>
      </c>
      <c r="BJ122" s="69">
        <f t="shared" si="17"/>
        <v>1</v>
      </c>
      <c r="BK122" s="69">
        <f t="shared" si="14"/>
        <v>0</v>
      </c>
      <c r="BM122" s="75"/>
      <c r="BN122" s="57">
        <f t="shared" si="24"/>
        <v>0</v>
      </c>
      <c r="BO122" s="80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>
        <v>1</v>
      </c>
      <c r="BZ122" s="9">
        <f t="shared" si="25"/>
        <v>1</v>
      </c>
      <c r="CB122" s="148"/>
      <c r="CC122" s="2" t="str">
        <v>M42</v>
      </c>
      <c r="CD122" s="90">
        <v>63</v>
      </c>
      <c r="CE122" s="92">
        <f t="shared" si="27"/>
        <v>18.529411764705884</v>
      </c>
    </row>
    <row r="123" spans="1:83" s="2" customFormat="1" ht="19.5" thickBot="1" x14ac:dyDescent="0.35">
      <c r="A123" s="17">
        <v>141</v>
      </c>
      <c r="B123" s="135"/>
      <c r="C123" s="18" t="s">
        <v>66</v>
      </c>
      <c r="D123" s="19"/>
      <c r="E123" s="19"/>
      <c r="F123" s="19">
        <v>4</v>
      </c>
      <c r="G123" s="30"/>
      <c r="H123" s="31"/>
      <c r="I123" s="40"/>
      <c r="J123" s="31">
        <v>6</v>
      </c>
      <c r="K123" s="40"/>
      <c r="L123" s="31"/>
      <c r="M123" s="40"/>
      <c r="N123" s="31"/>
      <c r="O123" s="40"/>
      <c r="P123" s="31"/>
      <c r="Q123" s="40"/>
      <c r="R123" s="31"/>
      <c r="S123" s="31">
        <v>12</v>
      </c>
      <c r="T123" s="31"/>
      <c r="U123" s="40"/>
      <c r="V123" s="31"/>
      <c r="W123" s="31"/>
      <c r="X123" s="31"/>
      <c r="Y123" s="31"/>
      <c r="Z123" s="31"/>
      <c r="AA123" s="31"/>
      <c r="AB123" s="31"/>
      <c r="AC123" s="31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55">
        <f t="shared" si="15"/>
        <v>22</v>
      </c>
      <c r="AZ123" s="56">
        <v>5</v>
      </c>
      <c r="BA123" s="57">
        <v>15</v>
      </c>
      <c r="BB123" s="57">
        <v>1</v>
      </c>
      <c r="BC123" s="57">
        <v>0</v>
      </c>
      <c r="BD123" s="57"/>
      <c r="BE123" s="57"/>
      <c r="BF123" s="57"/>
      <c r="BG123" s="57"/>
      <c r="BH123" s="57"/>
      <c r="BI123" s="55">
        <f t="shared" si="16"/>
        <v>21</v>
      </c>
      <c r="BJ123" s="69">
        <f t="shared" si="17"/>
        <v>1</v>
      </c>
      <c r="BK123" s="69">
        <f t="shared" si="14"/>
        <v>0</v>
      </c>
      <c r="BM123" s="75"/>
      <c r="BN123" s="57">
        <f t="shared" si="24"/>
        <v>0</v>
      </c>
      <c r="BO123" s="80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>
        <v>1</v>
      </c>
      <c r="BZ123" s="9">
        <f t="shared" si="25"/>
        <v>1</v>
      </c>
      <c r="CB123" s="148"/>
      <c r="CC123" s="2" t="str">
        <v>M43</v>
      </c>
      <c r="CD123" s="90">
        <v>79</v>
      </c>
      <c r="CE123" s="92">
        <f t="shared" si="27"/>
        <v>23.235294117647058</v>
      </c>
    </row>
    <row r="124" spans="1:83" s="2" customFormat="1" ht="19.5" thickBot="1" x14ac:dyDescent="0.35">
      <c r="A124" s="17">
        <v>142</v>
      </c>
      <c r="B124" s="135"/>
      <c r="C124" s="18" t="s">
        <v>67</v>
      </c>
      <c r="D124" s="19"/>
      <c r="E124" s="19"/>
      <c r="F124" s="19">
        <v>3</v>
      </c>
      <c r="G124" s="30"/>
      <c r="H124" s="31"/>
      <c r="I124" s="40"/>
      <c r="J124" s="31"/>
      <c r="K124" s="40"/>
      <c r="L124" s="31"/>
      <c r="M124" s="40"/>
      <c r="N124" s="31"/>
      <c r="O124" s="40"/>
      <c r="P124" s="31">
        <v>2</v>
      </c>
      <c r="Q124" s="40"/>
      <c r="R124" s="31"/>
      <c r="S124" s="31">
        <v>12</v>
      </c>
      <c r="T124" s="31"/>
      <c r="U124" s="40"/>
      <c r="V124" s="31"/>
      <c r="W124" s="31"/>
      <c r="X124" s="31"/>
      <c r="Y124" s="31"/>
      <c r="Z124" s="31"/>
      <c r="AA124" s="31"/>
      <c r="AB124" s="31"/>
      <c r="AC124" s="31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55">
        <f t="shared" si="15"/>
        <v>17</v>
      </c>
      <c r="AZ124" s="56">
        <v>2</v>
      </c>
      <c r="BA124" s="57">
        <v>8</v>
      </c>
      <c r="BB124" s="57">
        <f>+'[1]25'!R201</f>
        <v>3</v>
      </c>
      <c r="BC124" s="57">
        <v>0</v>
      </c>
      <c r="BD124" s="57"/>
      <c r="BE124" s="57"/>
      <c r="BF124" s="57"/>
      <c r="BG124" s="57"/>
      <c r="BH124" s="57"/>
      <c r="BI124" s="55">
        <f t="shared" si="16"/>
        <v>13</v>
      </c>
      <c r="BJ124" s="69">
        <f t="shared" si="17"/>
        <v>4</v>
      </c>
      <c r="BK124" s="69">
        <f t="shared" si="14"/>
        <v>0</v>
      </c>
      <c r="BM124" s="75"/>
      <c r="BN124" s="57">
        <f t="shared" si="24"/>
        <v>4</v>
      </c>
      <c r="BO124" s="80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9">
        <f t="shared" si="25"/>
        <v>0</v>
      </c>
      <c r="CB124" s="148"/>
      <c r="CC124" s="2" t="str">
        <v>M44</v>
      </c>
      <c r="CD124" s="90">
        <v>55</v>
      </c>
      <c r="CE124" s="92">
        <f t="shared" si="27"/>
        <v>16.176470588235293</v>
      </c>
    </row>
    <row r="125" spans="1:83" s="2" customFormat="1" ht="19.5" thickBot="1" x14ac:dyDescent="0.35">
      <c r="A125" s="17">
        <v>143</v>
      </c>
      <c r="B125" s="135"/>
      <c r="C125" s="18" t="s">
        <v>68</v>
      </c>
      <c r="D125" s="19"/>
      <c r="E125" s="19"/>
      <c r="F125" s="19">
        <v>3</v>
      </c>
      <c r="G125" s="30"/>
      <c r="H125" s="31"/>
      <c r="I125" s="40"/>
      <c r="J125" s="31"/>
      <c r="K125" s="40"/>
      <c r="L125" s="31"/>
      <c r="M125" s="40"/>
      <c r="N125" s="31"/>
      <c r="O125" s="40"/>
      <c r="P125" s="31">
        <v>2</v>
      </c>
      <c r="Q125" s="40"/>
      <c r="R125" s="31"/>
      <c r="S125" s="31">
        <v>9</v>
      </c>
      <c r="T125" s="31"/>
      <c r="U125" s="40"/>
      <c r="V125" s="31"/>
      <c r="W125" s="31"/>
      <c r="X125" s="31"/>
      <c r="Y125" s="31"/>
      <c r="Z125" s="31"/>
      <c r="AA125" s="31"/>
      <c r="AB125" s="31"/>
      <c r="AC125" s="31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55">
        <f t="shared" si="15"/>
        <v>14</v>
      </c>
      <c r="AZ125" s="56">
        <v>3</v>
      </c>
      <c r="BA125" s="57">
        <v>4</v>
      </c>
      <c r="BB125" s="57">
        <f>+'[1]25'!R202</f>
        <v>4</v>
      </c>
      <c r="BC125" s="57">
        <v>2</v>
      </c>
      <c r="BD125" s="57"/>
      <c r="BE125" s="57"/>
      <c r="BF125" s="57"/>
      <c r="BG125" s="57"/>
      <c r="BH125" s="57"/>
      <c r="BI125" s="55">
        <f t="shared" si="16"/>
        <v>13</v>
      </c>
      <c r="BJ125" s="69">
        <f t="shared" si="17"/>
        <v>1</v>
      </c>
      <c r="BK125" s="69">
        <f t="shared" si="14"/>
        <v>0</v>
      </c>
      <c r="BM125" s="75"/>
      <c r="BN125" s="57">
        <f t="shared" si="24"/>
        <v>0</v>
      </c>
      <c r="BO125" s="80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>
        <v>1</v>
      </c>
      <c r="BZ125" s="9">
        <f t="shared" si="25"/>
        <v>1</v>
      </c>
      <c r="CB125" s="148"/>
      <c r="CC125" s="2" t="str">
        <v>M45</v>
      </c>
      <c r="CD125" s="90">
        <v>37</v>
      </c>
      <c r="CE125" s="92">
        <f t="shared" si="27"/>
        <v>10.882352941176471</v>
      </c>
    </row>
    <row r="126" spans="1:83" s="2" customFormat="1" ht="19.5" thickBot="1" x14ac:dyDescent="0.35">
      <c r="A126" s="17">
        <v>144</v>
      </c>
      <c r="B126" s="135"/>
      <c r="C126" s="18" t="s">
        <v>69</v>
      </c>
      <c r="D126" s="19"/>
      <c r="E126" s="19"/>
      <c r="F126" s="19">
        <v>1</v>
      </c>
      <c r="G126" s="30"/>
      <c r="H126" s="31"/>
      <c r="I126" s="40"/>
      <c r="J126" s="31"/>
      <c r="K126" s="40"/>
      <c r="L126" s="31"/>
      <c r="M126" s="40"/>
      <c r="N126" s="31"/>
      <c r="O126" s="40"/>
      <c r="P126" s="31">
        <v>1</v>
      </c>
      <c r="Q126" s="40"/>
      <c r="R126" s="31"/>
      <c r="S126" s="31">
        <v>6</v>
      </c>
      <c r="T126" s="31"/>
      <c r="U126" s="40"/>
      <c r="V126" s="31"/>
      <c r="W126" s="31"/>
      <c r="X126" s="31"/>
      <c r="Y126" s="31"/>
      <c r="Z126" s="31"/>
      <c r="AA126" s="31"/>
      <c r="AB126" s="31"/>
      <c r="AC126" s="31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55">
        <f t="shared" si="15"/>
        <v>8</v>
      </c>
      <c r="AZ126" s="56">
        <v>1</v>
      </c>
      <c r="BA126" s="57">
        <v>1</v>
      </c>
      <c r="BB126" s="57">
        <f>+'[1]25'!R203</f>
        <v>1</v>
      </c>
      <c r="BC126" s="57">
        <v>5</v>
      </c>
      <c r="BD126" s="57"/>
      <c r="BE126" s="57"/>
      <c r="BF126" s="57"/>
      <c r="BG126" s="57"/>
      <c r="BH126" s="57"/>
      <c r="BI126" s="55">
        <f t="shared" si="16"/>
        <v>8</v>
      </c>
      <c r="BJ126" s="69">
        <f t="shared" si="17"/>
        <v>0</v>
      </c>
      <c r="BK126" s="69">
        <f t="shared" ref="BK126:BK188" si="28">SUM(AT126:AX126)</f>
        <v>0</v>
      </c>
      <c r="BM126" s="75"/>
      <c r="BN126" s="57">
        <f t="shared" si="24"/>
        <v>0</v>
      </c>
      <c r="BO126" s="80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9">
        <f t="shared" si="25"/>
        <v>0</v>
      </c>
      <c r="CB126" s="148"/>
      <c r="CC126" s="2" t="str">
        <v>M46</v>
      </c>
      <c r="CD126" s="90">
        <v>19</v>
      </c>
      <c r="CE126" s="92">
        <f t="shared" si="27"/>
        <v>5.5882352941176476</v>
      </c>
    </row>
    <row r="127" spans="1:83" s="2" customFormat="1" ht="19.5" thickBot="1" x14ac:dyDescent="0.35">
      <c r="A127" s="17">
        <v>145</v>
      </c>
      <c r="B127" s="135"/>
      <c r="C127" s="20" t="s">
        <v>70</v>
      </c>
      <c r="D127" s="21"/>
      <c r="E127" s="21"/>
      <c r="F127" s="21"/>
      <c r="G127" s="32"/>
      <c r="H127" s="33"/>
      <c r="I127" s="41"/>
      <c r="J127" s="33"/>
      <c r="K127" s="41"/>
      <c r="L127" s="33"/>
      <c r="M127" s="41"/>
      <c r="N127" s="33"/>
      <c r="O127" s="41"/>
      <c r="P127" s="33"/>
      <c r="Q127" s="41"/>
      <c r="R127" s="33"/>
      <c r="S127" s="33">
        <v>3</v>
      </c>
      <c r="T127" s="33"/>
      <c r="U127" s="41"/>
      <c r="V127" s="33"/>
      <c r="W127" s="33"/>
      <c r="X127" s="33"/>
      <c r="Y127" s="33"/>
      <c r="Z127" s="33"/>
      <c r="AA127" s="33"/>
      <c r="AB127" s="33"/>
      <c r="AC127" s="33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55">
        <f t="shared" ref="AY127:AY189" si="29">SUM(D127:AS127)</f>
        <v>3</v>
      </c>
      <c r="AZ127" s="59">
        <v>0</v>
      </c>
      <c r="BA127" s="60">
        <v>2</v>
      </c>
      <c r="BB127" s="60">
        <f>+'[1]25'!R204</f>
        <v>0</v>
      </c>
      <c r="BC127" s="60">
        <v>1</v>
      </c>
      <c r="BD127" s="60"/>
      <c r="BE127" s="60"/>
      <c r="BF127" s="60"/>
      <c r="BG127" s="60"/>
      <c r="BH127" s="60"/>
      <c r="BI127" s="58">
        <f t="shared" ref="BI127:BI189" si="30">SUM(AZ127:BH127)</f>
        <v>3</v>
      </c>
      <c r="BJ127" s="70">
        <f t="shared" ref="BJ127:BJ189" si="31">+AY127-BI127</f>
        <v>0</v>
      </c>
      <c r="BK127" s="70">
        <f t="shared" si="28"/>
        <v>0</v>
      </c>
      <c r="BL127" s="76"/>
      <c r="BM127" s="77"/>
      <c r="BN127" s="60">
        <f t="shared" si="24"/>
        <v>0</v>
      </c>
      <c r="BO127" s="82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9">
        <f t="shared" si="25"/>
        <v>0</v>
      </c>
      <c r="CB127" s="148"/>
      <c r="CC127" s="2" t="str">
        <v>M47</v>
      </c>
      <c r="CD127" s="90">
        <v>11</v>
      </c>
      <c r="CE127" s="92">
        <f t="shared" si="27"/>
        <v>3.2352941176470593</v>
      </c>
    </row>
    <row r="128" spans="1:83" s="2" customFormat="1" ht="19.5" thickBot="1" x14ac:dyDescent="0.35">
      <c r="A128" s="17">
        <v>146</v>
      </c>
      <c r="B128" s="134" t="s">
        <v>101</v>
      </c>
      <c r="C128" s="18" t="s">
        <v>61</v>
      </c>
      <c r="D128" s="19"/>
      <c r="E128" s="19"/>
      <c r="F128" s="19"/>
      <c r="G128" s="30"/>
      <c r="H128" s="31"/>
      <c r="I128" s="40"/>
      <c r="J128" s="31"/>
      <c r="K128" s="40"/>
      <c r="L128" s="31"/>
      <c r="M128" s="40"/>
      <c r="N128" s="31"/>
      <c r="O128" s="40"/>
      <c r="P128" s="31"/>
      <c r="Q128" s="40"/>
      <c r="R128" s="31"/>
      <c r="S128" s="31"/>
      <c r="T128" s="31"/>
      <c r="U128" s="40"/>
      <c r="V128" s="31"/>
      <c r="W128" s="31"/>
      <c r="X128" s="31"/>
      <c r="Y128" s="31"/>
      <c r="Z128" s="31"/>
      <c r="AA128" s="31"/>
      <c r="AB128" s="31">
        <v>3</v>
      </c>
      <c r="AC128" s="31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55">
        <f t="shared" si="29"/>
        <v>3</v>
      </c>
      <c r="AZ128" s="56">
        <v>0</v>
      </c>
      <c r="BA128" s="57">
        <v>0</v>
      </c>
      <c r="BB128" s="57">
        <v>3</v>
      </c>
      <c r="BC128" s="57">
        <v>0</v>
      </c>
      <c r="BD128" s="57"/>
      <c r="BE128" s="57"/>
      <c r="BF128" s="57"/>
      <c r="BG128" s="57"/>
      <c r="BH128" s="57"/>
      <c r="BI128" s="55">
        <f t="shared" si="30"/>
        <v>3</v>
      </c>
      <c r="BJ128" s="69">
        <f t="shared" si="31"/>
        <v>0</v>
      </c>
      <c r="BK128" s="69">
        <f t="shared" si="28"/>
        <v>0</v>
      </c>
      <c r="BM128" s="75"/>
      <c r="BN128" s="57">
        <f t="shared" si="24"/>
        <v>0</v>
      </c>
      <c r="BO128" s="80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9">
        <f t="shared" si="25"/>
        <v>0</v>
      </c>
      <c r="CB128" s="148"/>
      <c r="CC128" s="91" t="str">
        <v>Total</v>
      </c>
      <c r="CD128" s="88">
        <v>340</v>
      </c>
      <c r="CE128" s="93">
        <f>SUM(CE118:CE127)</f>
        <v>100.00000000000001</v>
      </c>
    </row>
    <row r="129" spans="1:83" s="2" customFormat="1" ht="19.5" thickBot="1" x14ac:dyDescent="0.35">
      <c r="A129" s="17">
        <v>147</v>
      </c>
      <c r="B129" s="135"/>
      <c r="C129" s="18" t="s">
        <v>62</v>
      </c>
      <c r="D129" s="19"/>
      <c r="E129" s="19"/>
      <c r="F129" s="19"/>
      <c r="G129" s="30"/>
      <c r="H129" s="31"/>
      <c r="I129" s="40"/>
      <c r="J129" s="31"/>
      <c r="K129" s="40"/>
      <c r="L129" s="31"/>
      <c r="M129" s="40"/>
      <c r="N129" s="31"/>
      <c r="O129" s="40"/>
      <c r="P129" s="31"/>
      <c r="Q129" s="40"/>
      <c r="R129" s="31"/>
      <c r="S129" s="31"/>
      <c r="T129" s="31"/>
      <c r="U129" s="40"/>
      <c r="V129" s="31"/>
      <c r="W129" s="31"/>
      <c r="X129" s="31"/>
      <c r="Y129" s="31"/>
      <c r="Z129" s="31"/>
      <c r="AA129" s="31"/>
      <c r="AB129" s="31">
        <v>9</v>
      </c>
      <c r="AC129" s="31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55">
        <f t="shared" si="29"/>
        <v>9</v>
      </c>
      <c r="AZ129" s="56">
        <v>0</v>
      </c>
      <c r="BA129" s="57">
        <v>0</v>
      </c>
      <c r="BB129" s="57">
        <f>+'[1]25'!R206</f>
        <v>8</v>
      </c>
      <c r="BC129" s="57">
        <v>0</v>
      </c>
      <c r="BD129" s="57"/>
      <c r="BE129" s="57"/>
      <c r="BF129" s="57"/>
      <c r="BG129" s="57"/>
      <c r="BH129" s="57"/>
      <c r="BI129" s="55">
        <f t="shared" si="30"/>
        <v>8</v>
      </c>
      <c r="BJ129" s="69">
        <f t="shared" si="31"/>
        <v>1</v>
      </c>
      <c r="BK129" s="69">
        <f t="shared" si="28"/>
        <v>0</v>
      </c>
      <c r="BM129" s="75"/>
      <c r="BN129" s="57">
        <f t="shared" si="24"/>
        <v>1</v>
      </c>
      <c r="BO129" s="80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9">
        <f t="shared" si="25"/>
        <v>0</v>
      </c>
      <c r="CB129" s="148" t="s">
        <v>100</v>
      </c>
      <c r="CC129" s="2" t="str" cm="1">
        <f t="array" ref="CC129:CD136">_xlfn.GROUPBY(C422:C434,BI422:BI434,_xleta.SUM)</f>
        <v>W36</v>
      </c>
      <c r="CD129" s="90">
        <v>10</v>
      </c>
      <c r="CE129" s="92">
        <f>+CD129/$CD$136*100</f>
        <v>4.7393364928909953</v>
      </c>
    </row>
    <row r="130" spans="1:83" s="2" customFormat="1" ht="19.5" thickBot="1" x14ac:dyDescent="0.35">
      <c r="A130" s="17">
        <v>148</v>
      </c>
      <c r="B130" s="135"/>
      <c r="C130" s="18" t="s">
        <v>63</v>
      </c>
      <c r="D130" s="19"/>
      <c r="E130" s="19"/>
      <c r="F130" s="19"/>
      <c r="G130" s="30"/>
      <c r="H130" s="31"/>
      <c r="I130" s="40"/>
      <c r="J130" s="31"/>
      <c r="K130" s="40"/>
      <c r="L130" s="31"/>
      <c r="M130" s="40"/>
      <c r="N130" s="31"/>
      <c r="O130" s="40"/>
      <c r="P130" s="31"/>
      <c r="Q130" s="40"/>
      <c r="R130" s="31"/>
      <c r="S130" s="31"/>
      <c r="T130" s="31"/>
      <c r="U130" s="40"/>
      <c r="V130" s="31"/>
      <c r="W130" s="31"/>
      <c r="X130" s="31"/>
      <c r="Y130" s="31"/>
      <c r="Z130" s="31"/>
      <c r="AA130" s="31"/>
      <c r="AB130" s="31">
        <v>12</v>
      </c>
      <c r="AC130" s="31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55">
        <f t="shared" si="29"/>
        <v>12</v>
      </c>
      <c r="AZ130" s="56">
        <v>0</v>
      </c>
      <c r="BA130" s="57">
        <v>0</v>
      </c>
      <c r="BB130" s="57">
        <f>+'[1]25'!R207</f>
        <v>8</v>
      </c>
      <c r="BC130" s="57">
        <v>3</v>
      </c>
      <c r="BD130" s="57"/>
      <c r="BE130" s="57"/>
      <c r="BF130" s="57"/>
      <c r="BG130" s="57"/>
      <c r="BH130" s="57"/>
      <c r="BI130" s="55">
        <f t="shared" si="30"/>
        <v>11</v>
      </c>
      <c r="BJ130" s="69">
        <f t="shared" si="31"/>
        <v>1</v>
      </c>
      <c r="BK130" s="69">
        <f t="shared" si="28"/>
        <v>0</v>
      </c>
      <c r="BM130" s="75"/>
      <c r="BN130" s="57">
        <f t="shared" si="24"/>
        <v>1</v>
      </c>
      <c r="BO130" s="80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9">
        <f t="shared" si="25"/>
        <v>0</v>
      </c>
      <c r="CB130" s="148"/>
      <c r="CC130" s="2" t="str">
        <v>W37</v>
      </c>
      <c r="CD130" s="90">
        <v>26</v>
      </c>
      <c r="CE130" s="92">
        <f t="shared" ref="CE130:CE135" si="32">+CD130/$CD$136*100</f>
        <v>12.322274881516588</v>
      </c>
    </row>
    <row r="131" spans="1:83" s="2" customFormat="1" ht="19.5" thickBot="1" x14ac:dyDescent="0.35">
      <c r="A131" s="17">
        <v>149</v>
      </c>
      <c r="B131" s="135"/>
      <c r="C131" s="18" t="s">
        <v>64</v>
      </c>
      <c r="D131" s="19"/>
      <c r="E131" s="19"/>
      <c r="F131" s="19"/>
      <c r="G131" s="30"/>
      <c r="H131" s="31"/>
      <c r="I131" s="40"/>
      <c r="J131" s="31"/>
      <c r="K131" s="40"/>
      <c r="L131" s="31"/>
      <c r="M131" s="40"/>
      <c r="N131" s="31"/>
      <c r="O131" s="40"/>
      <c r="P131" s="31"/>
      <c r="Q131" s="40"/>
      <c r="R131" s="31"/>
      <c r="S131" s="31"/>
      <c r="T131" s="31"/>
      <c r="U131" s="40"/>
      <c r="V131" s="31"/>
      <c r="W131" s="31"/>
      <c r="X131" s="31"/>
      <c r="Y131" s="31"/>
      <c r="Z131" s="31"/>
      <c r="AA131" s="31"/>
      <c r="AB131" s="31">
        <v>24</v>
      </c>
      <c r="AC131" s="31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55">
        <f t="shared" si="29"/>
        <v>24</v>
      </c>
      <c r="AZ131" s="56">
        <v>0</v>
      </c>
      <c r="BA131" s="57">
        <v>0</v>
      </c>
      <c r="BB131" s="57">
        <f>+'[1]25'!R208</f>
        <v>8</v>
      </c>
      <c r="BC131" s="57">
        <v>14</v>
      </c>
      <c r="BD131" s="57"/>
      <c r="BE131" s="57"/>
      <c r="BF131" s="57"/>
      <c r="BG131" s="57"/>
      <c r="BH131" s="57"/>
      <c r="BI131" s="55">
        <f t="shared" si="30"/>
        <v>22</v>
      </c>
      <c r="BJ131" s="69">
        <f t="shared" si="31"/>
        <v>2</v>
      </c>
      <c r="BK131" s="69">
        <f t="shared" si="28"/>
        <v>0</v>
      </c>
      <c r="BM131" s="75"/>
      <c r="BN131" s="57">
        <f t="shared" si="24"/>
        <v>0</v>
      </c>
      <c r="BO131" s="80"/>
      <c r="BP131" s="81">
        <v>2</v>
      </c>
      <c r="BQ131" s="81"/>
      <c r="BR131" s="81"/>
      <c r="BS131" s="81"/>
      <c r="BT131" s="81"/>
      <c r="BU131" s="81"/>
      <c r="BV131" s="81"/>
      <c r="BW131" s="81"/>
      <c r="BX131" s="81"/>
      <c r="BY131" s="81"/>
      <c r="BZ131" s="9">
        <f t="shared" si="25"/>
        <v>2</v>
      </c>
      <c r="CB131" s="148"/>
      <c r="CC131" s="2" t="str">
        <v>W38</v>
      </c>
      <c r="CD131" s="90">
        <v>52</v>
      </c>
      <c r="CE131" s="92">
        <f t="shared" si="32"/>
        <v>24.644549763033176</v>
      </c>
    </row>
    <row r="132" spans="1:83" s="2" customFormat="1" ht="19.5" thickBot="1" x14ac:dyDescent="0.35">
      <c r="A132" s="17">
        <v>150</v>
      </c>
      <c r="B132" s="135"/>
      <c r="C132" s="18" t="s">
        <v>65</v>
      </c>
      <c r="D132" s="19"/>
      <c r="E132" s="19"/>
      <c r="F132" s="19"/>
      <c r="G132" s="30"/>
      <c r="H132" s="31"/>
      <c r="I132" s="40"/>
      <c r="J132" s="31"/>
      <c r="K132" s="40"/>
      <c r="L132" s="31"/>
      <c r="M132" s="40"/>
      <c r="N132" s="31"/>
      <c r="O132" s="40"/>
      <c r="P132" s="31"/>
      <c r="Q132" s="40"/>
      <c r="R132" s="31"/>
      <c r="S132" s="31"/>
      <c r="T132" s="31"/>
      <c r="U132" s="40"/>
      <c r="V132" s="31"/>
      <c r="W132" s="31"/>
      <c r="X132" s="31"/>
      <c r="Y132" s="31"/>
      <c r="Z132" s="31"/>
      <c r="AA132" s="31"/>
      <c r="AB132" s="31">
        <v>21</v>
      </c>
      <c r="AC132" s="31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55">
        <f t="shared" si="29"/>
        <v>21</v>
      </c>
      <c r="AZ132" s="56">
        <v>0</v>
      </c>
      <c r="BA132" s="57">
        <v>0</v>
      </c>
      <c r="BB132" s="57">
        <f>+'[1]25'!R209</f>
        <v>14</v>
      </c>
      <c r="BC132" s="57">
        <v>5</v>
      </c>
      <c r="BD132" s="57"/>
      <c r="BE132" s="57"/>
      <c r="BF132" s="57"/>
      <c r="BG132" s="57"/>
      <c r="BH132" s="57"/>
      <c r="BI132" s="55">
        <f t="shared" si="30"/>
        <v>19</v>
      </c>
      <c r="BJ132" s="69">
        <f t="shared" si="31"/>
        <v>2</v>
      </c>
      <c r="BK132" s="69">
        <f t="shared" si="28"/>
        <v>0</v>
      </c>
      <c r="BM132" s="75"/>
      <c r="BN132" s="57">
        <f t="shared" si="24"/>
        <v>1</v>
      </c>
      <c r="BO132" s="80"/>
      <c r="BP132" s="81">
        <v>1</v>
      </c>
      <c r="BQ132" s="81"/>
      <c r="BR132" s="81"/>
      <c r="BS132" s="81"/>
      <c r="BT132" s="81"/>
      <c r="BU132" s="81"/>
      <c r="BV132" s="81"/>
      <c r="BW132" s="81"/>
      <c r="BX132" s="81"/>
      <c r="BY132" s="81"/>
      <c r="BZ132" s="9">
        <f t="shared" si="25"/>
        <v>1</v>
      </c>
      <c r="CB132" s="148"/>
      <c r="CC132" s="2" t="str">
        <v>W39</v>
      </c>
      <c r="CD132" s="90">
        <v>58</v>
      </c>
      <c r="CE132" s="92">
        <f t="shared" si="32"/>
        <v>27.488151658767773</v>
      </c>
    </row>
    <row r="133" spans="1:83" s="2" customFormat="1" ht="19.5" thickBot="1" x14ac:dyDescent="0.35">
      <c r="A133" s="17">
        <v>151</v>
      </c>
      <c r="B133" s="135"/>
      <c r="C133" s="18" t="s">
        <v>66</v>
      </c>
      <c r="D133" s="19"/>
      <c r="E133" s="19"/>
      <c r="F133" s="19"/>
      <c r="G133" s="30"/>
      <c r="H133" s="31"/>
      <c r="I133" s="40"/>
      <c r="J133" s="31"/>
      <c r="K133" s="40"/>
      <c r="L133" s="31"/>
      <c r="M133" s="40"/>
      <c r="N133" s="31"/>
      <c r="O133" s="40"/>
      <c r="P133" s="31"/>
      <c r="Q133" s="40"/>
      <c r="R133" s="31"/>
      <c r="S133" s="31"/>
      <c r="T133" s="31"/>
      <c r="U133" s="40"/>
      <c r="V133" s="31"/>
      <c r="W133" s="31"/>
      <c r="X133" s="31"/>
      <c r="Y133" s="31"/>
      <c r="Z133" s="31"/>
      <c r="AA133" s="31"/>
      <c r="AB133" s="31">
        <v>18</v>
      </c>
      <c r="AC133" s="31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55">
        <f t="shared" si="29"/>
        <v>18</v>
      </c>
      <c r="AZ133" s="56">
        <v>0</v>
      </c>
      <c r="BA133" s="57">
        <v>0</v>
      </c>
      <c r="BB133" s="57">
        <f>+'[1]25'!R210</f>
        <v>10</v>
      </c>
      <c r="BC133" s="57">
        <v>6</v>
      </c>
      <c r="BD133" s="57"/>
      <c r="BE133" s="57"/>
      <c r="BF133" s="57"/>
      <c r="BG133" s="57"/>
      <c r="BH133" s="57"/>
      <c r="BI133" s="55">
        <f t="shared" si="30"/>
        <v>16</v>
      </c>
      <c r="BJ133" s="69">
        <f t="shared" si="31"/>
        <v>2</v>
      </c>
      <c r="BK133" s="69">
        <f t="shared" si="28"/>
        <v>0</v>
      </c>
      <c r="BM133" s="75"/>
      <c r="BN133" s="57">
        <f t="shared" si="24"/>
        <v>2</v>
      </c>
      <c r="BO133" s="80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9">
        <f t="shared" si="25"/>
        <v>0</v>
      </c>
      <c r="CB133" s="148"/>
      <c r="CC133" s="2" t="str">
        <v>W40</v>
      </c>
      <c r="CD133" s="90">
        <v>35</v>
      </c>
      <c r="CE133" s="92">
        <f t="shared" si="32"/>
        <v>16.587677725118482</v>
      </c>
    </row>
    <row r="134" spans="1:83" s="2" customFormat="1" ht="19.5" thickBot="1" x14ac:dyDescent="0.35">
      <c r="A134" s="17">
        <v>152</v>
      </c>
      <c r="B134" s="135"/>
      <c r="C134" s="18" t="s">
        <v>67</v>
      </c>
      <c r="D134" s="19"/>
      <c r="E134" s="19"/>
      <c r="F134" s="19"/>
      <c r="G134" s="30"/>
      <c r="H134" s="31"/>
      <c r="I134" s="40"/>
      <c r="J134" s="31"/>
      <c r="K134" s="40"/>
      <c r="L134" s="31"/>
      <c r="M134" s="40"/>
      <c r="N134" s="31"/>
      <c r="O134" s="40"/>
      <c r="P134" s="31"/>
      <c r="Q134" s="40"/>
      <c r="R134" s="31"/>
      <c r="S134" s="31"/>
      <c r="T134" s="31"/>
      <c r="U134" s="40"/>
      <c r="V134" s="31"/>
      <c r="W134" s="31"/>
      <c r="X134" s="31"/>
      <c r="Y134" s="31"/>
      <c r="Z134" s="31"/>
      <c r="AA134" s="31"/>
      <c r="AB134" s="31">
        <v>12</v>
      </c>
      <c r="AC134" s="31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55">
        <f t="shared" si="29"/>
        <v>12</v>
      </c>
      <c r="AZ134" s="56">
        <v>0</v>
      </c>
      <c r="BA134" s="57">
        <v>0</v>
      </c>
      <c r="BB134" s="57">
        <f>+'[1]25'!R211</f>
        <v>4</v>
      </c>
      <c r="BC134" s="57">
        <v>6</v>
      </c>
      <c r="BD134" s="57"/>
      <c r="BE134" s="57"/>
      <c r="BF134" s="57"/>
      <c r="BG134" s="57"/>
      <c r="BH134" s="57"/>
      <c r="BI134" s="55">
        <f t="shared" si="30"/>
        <v>10</v>
      </c>
      <c r="BJ134" s="69">
        <f t="shared" si="31"/>
        <v>2</v>
      </c>
      <c r="BK134" s="69">
        <f t="shared" si="28"/>
        <v>0</v>
      </c>
      <c r="BM134" s="75"/>
      <c r="BN134" s="57">
        <f t="shared" si="24"/>
        <v>1</v>
      </c>
      <c r="BO134" s="80"/>
      <c r="BP134" s="81">
        <v>1</v>
      </c>
      <c r="BQ134" s="81"/>
      <c r="BR134" s="81"/>
      <c r="BS134" s="81"/>
      <c r="BT134" s="81"/>
      <c r="BU134" s="81"/>
      <c r="BV134" s="81"/>
      <c r="BW134" s="81"/>
      <c r="BX134" s="81"/>
      <c r="BY134" s="81"/>
      <c r="BZ134" s="9">
        <f t="shared" si="25"/>
        <v>1</v>
      </c>
      <c r="CB134" s="148"/>
      <c r="CC134" s="2" t="str">
        <v>W41</v>
      </c>
      <c r="CD134" s="90">
        <v>21</v>
      </c>
      <c r="CE134" s="92">
        <f t="shared" si="32"/>
        <v>9.9526066350710902</v>
      </c>
    </row>
    <row r="135" spans="1:83" s="2" customFormat="1" ht="19.5" thickBot="1" x14ac:dyDescent="0.35">
      <c r="A135" s="17">
        <v>153</v>
      </c>
      <c r="B135" s="135"/>
      <c r="C135" s="18" t="s">
        <v>68</v>
      </c>
      <c r="D135" s="19"/>
      <c r="E135" s="19"/>
      <c r="F135" s="19"/>
      <c r="G135" s="30"/>
      <c r="H135" s="31"/>
      <c r="I135" s="40"/>
      <c r="J135" s="31"/>
      <c r="K135" s="40"/>
      <c r="L135" s="31"/>
      <c r="M135" s="40"/>
      <c r="N135" s="31"/>
      <c r="O135" s="40"/>
      <c r="P135" s="31"/>
      <c r="Q135" s="40"/>
      <c r="R135" s="31"/>
      <c r="S135" s="31"/>
      <c r="T135" s="31"/>
      <c r="U135" s="40"/>
      <c r="V135" s="31"/>
      <c r="W135" s="31"/>
      <c r="X135" s="31"/>
      <c r="Y135" s="31"/>
      <c r="Z135" s="31"/>
      <c r="AA135" s="31"/>
      <c r="AB135" s="31">
        <v>6</v>
      </c>
      <c r="AC135" s="31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55">
        <f t="shared" si="29"/>
        <v>6</v>
      </c>
      <c r="AZ135" s="56">
        <v>0</v>
      </c>
      <c r="BA135" s="57">
        <v>0</v>
      </c>
      <c r="BB135" s="57">
        <f>+'[1]25'!R212</f>
        <v>0</v>
      </c>
      <c r="BC135" s="57">
        <v>1</v>
      </c>
      <c r="BD135" s="57"/>
      <c r="BE135" s="57"/>
      <c r="BF135" s="57"/>
      <c r="BG135" s="57"/>
      <c r="BH135" s="57"/>
      <c r="BI135" s="55">
        <f t="shared" si="30"/>
        <v>1</v>
      </c>
      <c r="BJ135" s="69">
        <f t="shared" si="31"/>
        <v>5</v>
      </c>
      <c r="BK135" s="69">
        <f t="shared" si="28"/>
        <v>0</v>
      </c>
      <c r="BM135" s="75"/>
      <c r="BN135" s="57">
        <f t="shared" si="24"/>
        <v>4</v>
      </c>
      <c r="BO135" s="80"/>
      <c r="BP135" s="81">
        <v>1</v>
      </c>
      <c r="BQ135" s="81"/>
      <c r="BR135" s="81"/>
      <c r="BS135" s="81"/>
      <c r="BT135" s="81"/>
      <c r="BU135" s="81"/>
      <c r="BV135" s="81"/>
      <c r="BW135" s="81"/>
      <c r="BX135" s="81"/>
      <c r="BY135" s="81"/>
      <c r="BZ135" s="9">
        <f t="shared" si="25"/>
        <v>1</v>
      </c>
      <c r="CB135" s="148"/>
      <c r="CC135" s="2" t="str">
        <v>W42</v>
      </c>
      <c r="CD135" s="90">
        <v>9</v>
      </c>
      <c r="CE135" s="92">
        <f t="shared" si="32"/>
        <v>4.2654028436018958</v>
      </c>
    </row>
    <row r="136" spans="1:83" s="2" customFormat="1" ht="19.5" thickBot="1" x14ac:dyDescent="0.35">
      <c r="A136" s="17">
        <v>154</v>
      </c>
      <c r="B136" s="135"/>
      <c r="C136" s="20" t="s">
        <v>69</v>
      </c>
      <c r="D136" s="21"/>
      <c r="E136" s="21"/>
      <c r="F136" s="21"/>
      <c r="G136" s="32"/>
      <c r="H136" s="33"/>
      <c r="I136" s="41"/>
      <c r="J136" s="33"/>
      <c r="K136" s="41"/>
      <c r="L136" s="33"/>
      <c r="M136" s="41"/>
      <c r="N136" s="33"/>
      <c r="O136" s="41"/>
      <c r="P136" s="33"/>
      <c r="Q136" s="41"/>
      <c r="R136" s="33"/>
      <c r="S136" s="33"/>
      <c r="T136" s="33"/>
      <c r="U136" s="41"/>
      <c r="V136" s="33"/>
      <c r="W136" s="33"/>
      <c r="X136" s="33"/>
      <c r="Y136" s="33"/>
      <c r="Z136" s="33"/>
      <c r="AA136" s="33"/>
      <c r="AB136" s="33">
        <v>3</v>
      </c>
      <c r="AC136" s="33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55">
        <f t="shared" si="29"/>
        <v>3</v>
      </c>
      <c r="AZ136" s="59">
        <v>0</v>
      </c>
      <c r="BA136" s="60">
        <v>0</v>
      </c>
      <c r="BB136" s="60">
        <f>+'[1]25'!R213</f>
        <v>1</v>
      </c>
      <c r="BC136" s="60">
        <v>1</v>
      </c>
      <c r="BD136" s="60"/>
      <c r="BE136" s="60"/>
      <c r="BF136" s="60"/>
      <c r="BG136" s="60"/>
      <c r="BH136" s="60"/>
      <c r="BI136" s="58">
        <f t="shared" si="30"/>
        <v>2</v>
      </c>
      <c r="BJ136" s="70">
        <f t="shared" si="31"/>
        <v>1</v>
      </c>
      <c r="BK136" s="70">
        <f t="shared" si="28"/>
        <v>0</v>
      </c>
      <c r="BL136" s="76"/>
      <c r="BM136" s="77"/>
      <c r="BN136" s="60">
        <f t="shared" si="24"/>
        <v>1</v>
      </c>
      <c r="BO136" s="82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9">
        <f t="shared" si="25"/>
        <v>0</v>
      </c>
      <c r="CB136" s="148"/>
      <c r="CC136" s="91" t="str">
        <v>Total</v>
      </c>
      <c r="CD136" s="88">
        <v>211</v>
      </c>
      <c r="CE136" s="93">
        <f>SUM(CE129:CE135)</f>
        <v>100</v>
      </c>
    </row>
    <row r="137" spans="1:83" s="2" customFormat="1" ht="19.5" thickBot="1" x14ac:dyDescent="0.35">
      <c r="A137" s="17">
        <v>155</v>
      </c>
      <c r="B137" s="134" t="s">
        <v>102</v>
      </c>
      <c r="C137" s="18" t="s">
        <v>82</v>
      </c>
      <c r="D137" s="19"/>
      <c r="E137" s="19"/>
      <c r="F137" s="19"/>
      <c r="G137" s="30"/>
      <c r="H137" s="31"/>
      <c r="I137" s="40"/>
      <c r="J137" s="31">
        <v>6</v>
      </c>
      <c r="K137" s="40"/>
      <c r="L137" s="31"/>
      <c r="M137" s="40"/>
      <c r="N137" s="31"/>
      <c r="O137" s="40"/>
      <c r="P137" s="31"/>
      <c r="Q137" s="40"/>
      <c r="R137" s="31"/>
      <c r="S137" s="31">
        <v>6</v>
      </c>
      <c r="T137" s="31"/>
      <c r="U137" s="40"/>
      <c r="V137" s="31"/>
      <c r="W137" s="31"/>
      <c r="X137" s="31"/>
      <c r="Y137" s="31"/>
      <c r="Z137" s="31"/>
      <c r="AA137" s="31"/>
      <c r="AB137" s="31"/>
      <c r="AC137" s="31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55">
        <f t="shared" si="29"/>
        <v>12</v>
      </c>
      <c r="AZ137" s="56">
        <v>0</v>
      </c>
      <c r="BA137" s="57">
        <v>5</v>
      </c>
      <c r="BB137" s="57">
        <f>+'[1]25'!R214</f>
        <v>5</v>
      </c>
      <c r="BC137" s="57">
        <v>2</v>
      </c>
      <c r="BD137" s="57"/>
      <c r="BE137" s="57"/>
      <c r="BF137" s="57"/>
      <c r="BG137" s="57"/>
      <c r="BH137" s="57"/>
      <c r="BI137" s="55">
        <f t="shared" si="30"/>
        <v>12</v>
      </c>
      <c r="BJ137" s="69">
        <f t="shared" si="31"/>
        <v>0</v>
      </c>
      <c r="BK137" s="69">
        <f t="shared" si="28"/>
        <v>0</v>
      </c>
      <c r="BM137" s="75"/>
      <c r="BN137" s="57">
        <f t="shared" si="24"/>
        <v>0</v>
      </c>
      <c r="BO137" s="80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9">
        <f t="shared" si="25"/>
        <v>0</v>
      </c>
      <c r="CB137" s="148" t="s">
        <v>103</v>
      </c>
      <c r="CC137" s="2" t="str" cm="1">
        <f t="array" ref="CC137:CD147">_xlfn.GROUPBY(C435:C460,BI435:BI460,_xleta.SUM)</f>
        <v>M39</v>
      </c>
      <c r="CD137" s="90">
        <v>15</v>
      </c>
      <c r="CE137" s="92">
        <f>+CD137/$CD$147*100</f>
        <v>4.1666666666666661</v>
      </c>
    </row>
    <row r="138" spans="1:83" s="2" customFormat="1" ht="19.5" thickBot="1" x14ac:dyDescent="0.35">
      <c r="A138" s="17">
        <v>156</v>
      </c>
      <c r="B138" s="135"/>
      <c r="C138" s="18" t="s">
        <v>83</v>
      </c>
      <c r="D138" s="19"/>
      <c r="E138" s="19"/>
      <c r="F138" s="19"/>
      <c r="G138" s="30"/>
      <c r="H138" s="31"/>
      <c r="I138" s="40"/>
      <c r="J138" s="31">
        <v>18</v>
      </c>
      <c r="K138" s="40"/>
      <c r="L138" s="31"/>
      <c r="M138" s="40"/>
      <c r="N138" s="31"/>
      <c r="O138" s="40"/>
      <c r="P138" s="31"/>
      <c r="Q138" s="40"/>
      <c r="R138" s="31"/>
      <c r="S138" s="31">
        <v>18</v>
      </c>
      <c r="T138" s="31"/>
      <c r="U138" s="40"/>
      <c r="V138" s="31"/>
      <c r="W138" s="31"/>
      <c r="X138" s="31"/>
      <c r="Y138" s="31"/>
      <c r="Z138" s="31"/>
      <c r="AA138" s="31"/>
      <c r="AB138" s="31"/>
      <c r="AC138" s="31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55">
        <f t="shared" si="29"/>
        <v>36</v>
      </c>
      <c r="AZ138" s="56">
        <v>3</v>
      </c>
      <c r="BA138" s="57">
        <v>5</v>
      </c>
      <c r="BB138" s="57">
        <f>+'[1]25'!R215</f>
        <v>26</v>
      </c>
      <c r="BC138" s="57">
        <v>1</v>
      </c>
      <c r="BD138" s="57"/>
      <c r="BE138" s="57"/>
      <c r="BF138" s="57"/>
      <c r="BG138" s="57"/>
      <c r="BH138" s="57"/>
      <c r="BI138" s="55">
        <f t="shared" si="30"/>
        <v>35</v>
      </c>
      <c r="BJ138" s="69">
        <f t="shared" si="31"/>
        <v>1</v>
      </c>
      <c r="BK138" s="69">
        <f t="shared" si="28"/>
        <v>0</v>
      </c>
      <c r="BM138" s="75"/>
      <c r="BN138" s="57">
        <f t="shared" si="24"/>
        <v>1</v>
      </c>
      <c r="BO138" s="80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9">
        <f t="shared" si="25"/>
        <v>0</v>
      </c>
      <c r="CB138" s="148"/>
      <c r="CC138" s="2" t="str">
        <v>M40</v>
      </c>
      <c r="CD138" s="90">
        <v>36</v>
      </c>
      <c r="CE138" s="92">
        <f t="shared" ref="CE138:CE146" si="33">+CD138/$CD$147*100</f>
        <v>10</v>
      </c>
    </row>
    <row r="139" spans="1:83" s="2" customFormat="1" ht="19.5" thickBot="1" x14ac:dyDescent="0.35">
      <c r="A139" s="17">
        <v>157</v>
      </c>
      <c r="B139" s="135"/>
      <c r="C139" s="18" t="s">
        <v>84</v>
      </c>
      <c r="D139" s="19"/>
      <c r="E139" s="19"/>
      <c r="F139" s="19"/>
      <c r="G139" s="30"/>
      <c r="H139" s="31"/>
      <c r="I139" s="40"/>
      <c r="J139" s="31">
        <v>30</v>
      </c>
      <c r="K139" s="40"/>
      <c r="L139" s="31"/>
      <c r="M139" s="40"/>
      <c r="N139" s="31"/>
      <c r="O139" s="40"/>
      <c r="P139" s="31"/>
      <c r="Q139" s="40"/>
      <c r="R139" s="31"/>
      <c r="S139" s="31">
        <v>30</v>
      </c>
      <c r="T139" s="31"/>
      <c r="U139" s="40"/>
      <c r="V139" s="31"/>
      <c r="W139" s="31"/>
      <c r="X139" s="31"/>
      <c r="Y139" s="31"/>
      <c r="Z139" s="31"/>
      <c r="AA139" s="31"/>
      <c r="AB139" s="31"/>
      <c r="AC139" s="31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55">
        <f t="shared" si="29"/>
        <v>60</v>
      </c>
      <c r="AZ139" s="56">
        <v>5</v>
      </c>
      <c r="BA139" s="57">
        <v>14</v>
      </c>
      <c r="BB139" s="57">
        <f>+'[1]25'!R216</f>
        <v>37</v>
      </c>
      <c r="BC139" s="57">
        <v>2</v>
      </c>
      <c r="BD139" s="57"/>
      <c r="BE139" s="57"/>
      <c r="BF139" s="57"/>
      <c r="BG139" s="57"/>
      <c r="BH139" s="57"/>
      <c r="BI139" s="55">
        <f t="shared" si="30"/>
        <v>58</v>
      </c>
      <c r="BJ139" s="69">
        <f t="shared" si="31"/>
        <v>2</v>
      </c>
      <c r="BK139" s="69">
        <f t="shared" si="28"/>
        <v>0</v>
      </c>
      <c r="BM139" s="75"/>
      <c r="BN139" s="57">
        <f t="shared" si="24"/>
        <v>1</v>
      </c>
      <c r="BO139" s="80"/>
      <c r="BP139" s="81"/>
      <c r="BQ139" s="81"/>
      <c r="BR139" s="81"/>
      <c r="BS139" s="81"/>
      <c r="BT139" s="81"/>
      <c r="BU139" s="81"/>
      <c r="BV139" s="81"/>
      <c r="BW139" s="81"/>
      <c r="BX139" s="81">
        <v>1</v>
      </c>
      <c r="BY139" s="81"/>
      <c r="BZ139" s="9">
        <f t="shared" si="25"/>
        <v>1</v>
      </c>
      <c r="CB139" s="148"/>
      <c r="CC139" s="2" t="str">
        <v>M41</v>
      </c>
      <c r="CD139" s="90">
        <v>48</v>
      </c>
      <c r="CE139" s="92">
        <f t="shared" si="33"/>
        <v>13.333333333333334</v>
      </c>
    </row>
    <row r="140" spans="1:83" s="2" customFormat="1" ht="19.5" thickBot="1" x14ac:dyDescent="0.35">
      <c r="A140" s="17">
        <v>158</v>
      </c>
      <c r="B140" s="135"/>
      <c r="C140" s="18" t="s">
        <v>85</v>
      </c>
      <c r="D140" s="19"/>
      <c r="E140" s="19"/>
      <c r="F140" s="19"/>
      <c r="G140" s="30"/>
      <c r="H140" s="31"/>
      <c r="I140" s="40"/>
      <c r="J140" s="31">
        <v>30</v>
      </c>
      <c r="K140" s="40"/>
      <c r="L140" s="31"/>
      <c r="M140" s="40"/>
      <c r="N140" s="31"/>
      <c r="O140" s="40"/>
      <c r="P140" s="31"/>
      <c r="Q140" s="40"/>
      <c r="R140" s="31"/>
      <c r="S140" s="31">
        <v>30</v>
      </c>
      <c r="T140" s="31"/>
      <c r="U140" s="40"/>
      <c r="V140" s="31"/>
      <c r="W140" s="31"/>
      <c r="X140" s="31"/>
      <c r="Y140" s="31"/>
      <c r="Z140" s="31"/>
      <c r="AA140" s="31"/>
      <c r="AB140" s="31"/>
      <c r="AC140" s="31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55">
        <f t="shared" si="29"/>
        <v>60</v>
      </c>
      <c r="AZ140" s="56">
        <v>4</v>
      </c>
      <c r="BA140" s="57">
        <v>13</v>
      </c>
      <c r="BB140" s="57">
        <f>+'[1]25'!R217</f>
        <v>41</v>
      </c>
      <c r="BC140" s="57">
        <v>1</v>
      </c>
      <c r="BD140" s="57"/>
      <c r="BE140" s="57"/>
      <c r="BF140" s="57"/>
      <c r="BG140" s="57"/>
      <c r="BH140" s="57"/>
      <c r="BI140" s="55">
        <f t="shared" si="30"/>
        <v>59</v>
      </c>
      <c r="BJ140" s="69">
        <f t="shared" si="31"/>
        <v>1</v>
      </c>
      <c r="BK140" s="69">
        <f t="shared" si="28"/>
        <v>0</v>
      </c>
      <c r="BM140" s="75"/>
      <c r="BN140" s="57">
        <f t="shared" si="24"/>
        <v>1</v>
      </c>
      <c r="BO140" s="80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9">
        <f t="shared" ref="BZ140:BZ143" si="34">SUM(BP140:BY140)</f>
        <v>0</v>
      </c>
      <c r="CB140" s="148"/>
      <c r="CC140" s="2" t="str">
        <v>M42</v>
      </c>
      <c r="CD140" s="90">
        <v>63</v>
      </c>
      <c r="CE140" s="92">
        <f t="shared" si="33"/>
        <v>17.5</v>
      </c>
    </row>
    <row r="141" spans="1:83" s="2" customFormat="1" ht="19.5" thickBot="1" x14ac:dyDescent="0.35">
      <c r="A141" s="17">
        <v>159</v>
      </c>
      <c r="B141" s="135"/>
      <c r="C141" s="18" t="s">
        <v>86</v>
      </c>
      <c r="D141" s="19"/>
      <c r="E141" s="19"/>
      <c r="F141" s="19"/>
      <c r="G141" s="30"/>
      <c r="H141" s="31"/>
      <c r="I141" s="40"/>
      <c r="J141" s="31">
        <v>18</v>
      </c>
      <c r="K141" s="40"/>
      <c r="L141" s="31"/>
      <c r="M141" s="40"/>
      <c r="N141" s="31"/>
      <c r="O141" s="40"/>
      <c r="P141" s="31"/>
      <c r="Q141" s="40"/>
      <c r="R141" s="31"/>
      <c r="S141" s="31">
        <v>21</v>
      </c>
      <c r="T141" s="31"/>
      <c r="U141" s="40"/>
      <c r="V141" s="31"/>
      <c r="W141" s="31"/>
      <c r="X141" s="31"/>
      <c r="Y141" s="31"/>
      <c r="Z141" s="31"/>
      <c r="AA141" s="31"/>
      <c r="AB141" s="31"/>
      <c r="AC141" s="31"/>
      <c r="AD141" s="46"/>
      <c r="AE141" s="46"/>
      <c r="AF141" s="46"/>
      <c r="AG141" s="46"/>
      <c r="AH141" s="46"/>
      <c r="AI141" s="46">
        <v>-1</v>
      </c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55">
        <f t="shared" si="29"/>
        <v>38</v>
      </c>
      <c r="AZ141" s="56">
        <v>7</v>
      </c>
      <c r="BA141" s="57">
        <v>9</v>
      </c>
      <c r="BB141" s="57">
        <f>+'[1]25'!R218</f>
        <v>20</v>
      </c>
      <c r="BC141" s="57">
        <v>1</v>
      </c>
      <c r="BD141" s="57"/>
      <c r="BE141" s="57"/>
      <c r="BF141" s="57"/>
      <c r="BG141" s="57"/>
      <c r="BH141" s="57"/>
      <c r="BI141" s="55">
        <f t="shared" si="30"/>
        <v>37</v>
      </c>
      <c r="BJ141" s="69">
        <f t="shared" si="31"/>
        <v>1</v>
      </c>
      <c r="BK141" s="69">
        <f t="shared" si="28"/>
        <v>0</v>
      </c>
      <c r="BM141" s="75"/>
      <c r="BN141" s="57">
        <f>+BJ141-BZ141</f>
        <v>1</v>
      </c>
      <c r="BO141" s="80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9">
        <f t="shared" si="34"/>
        <v>0</v>
      </c>
      <c r="CB141" s="148"/>
      <c r="CC141" s="2" t="str">
        <v>M43</v>
      </c>
      <c r="CD141" s="90">
        <v>71</v>
      </c>
      <c r="CE141" s="92">
        <f t="shared" si="33"/>
        <v>19.722222222222221</v>
      </c>
    </row>
    <row r="142" spans="1:83" s="2" customFormat="1" ht="19.5" thickBot="1" x14ac:dyDescent="0.35">
      <c r="A142" s="17">
        <v>160</v>
      </c>
      <c r="B142" s="135"/>
      <c r="C142" s="18" t="s">
        <v>87</v>
      </c>
      <c r="D142" s="19"/>
      <c r="E142" s="19"/>
      <c r="F142" s="19"/>
      <c r="G142" s="30"/>
      <c r="H142" s="31"/>
      <c r="I142" s="40"/>
      <c r="J142" s="31">
        <v>6</v>
      </c>
      <c r="K142" s="40"/>
      <c r="L142" s="31"/>
      <c r="M142" s="40"/>
      <c r="N142" s="31"/>
      <c r="O142" s="40"/>
      <c r="P142" s="31"/>
      <c r="Q142" s="40"/>
      <c r="R142" s="31"/>
      <c r="S142" s="31">
        <v>9</v>
      </c>
      <c r="T142" s="31"/>
      <c r="U142" s="40"/>
      <c r="V142" s="31"/>
      <c r="W142" s="31"/>
      <c r="X142" s="31"/>
      <c r="Y142" s="31"/>
      <c r="Z142" s="31"/>
      <c r="AA142" s="31"/>
      <c r="AB142" s="31"/>
      <c r="AC142" s="31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55">
        <f t="shared" si="29"/>
        <v>15</v>
      </c>
      <c r="AZ142" s="56">
        <v>0</v>
      </c>
      <c r="BA142" s="57">
        <v>6</v>
      </c>
      <c r="BB142" s="57">
        <f>+'[1]25'!R219</f>
        <v>9</v>
      </c>
      <c r="BC142" s="57">
        <v>0</v>
      </c>
      <c r="BD142" s="57"/>
      <c r="BE142" s="57"/>
      <c r="BF142" s="57"/>
      <c r="BG142" s="57"/>
      <c r="BH142" s="57"/>
      <c r="BI142" s="55">
        <f t="shared" si="30"/>
        <v>15</v>
      </c>
      <c r="BJ142" s="69">
        <f t="shared" si="31"/>
        <v>0</v>
      </c>
      <c r="BK142" s="69">
        <f t="shared" si="28"/>
        <v>0</v>
      </c>
      <c r="BM142" s="75"/>
      <c r="BN142" s="57">
        <f t="shared" si="24"/>
        <v>0</v>
      </c>
      <c r="BO142" s="80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9">
        <f t="shared" si="34"/>
        <v>0</v>
      </c>
      <c r="CB142" s="148"/>
      <c r="CC142" s="2" t="str">
        <v>M44</v>
      </c>
      <c r="CD142" s="90">
        <v>54</v>
      </c>
      <c r="CE142" s="92">
        <f t="shared" si="33"/>
        <v>15</v>
      </c>
    </row>
    <row r="143" spans="1:83" s="2" customFormat="1" ht="19.5" thickBot="1" x14ac:dyDescent="0.35">
      <c r="A143" s="17">
        <v>161</v>
      </c>
      <c r="B143" s="135"/>
      <c r="C143" s="20" t="s">
        <v>88</v>
      </c>
      <c r="D143" s="21"/>
      <c r="E143" s="21"/>
      <c r="F143" s="21"/>
      <c r="G143" s="32"/>
      <c r="H143" s="33"/>
      <c r="I143" s="41"/>
      <c r="J143" s="33"/>
      <c r="K143" s="41"/>
      <c r="L143" s="33"/>
      <c r="M143" s="41"/>
      <c r="N143" s="33"/>
      <c r="O143" s="41"/>
      <c r="P143" s="33"/>
      <c r="Q143" s="41"/>
      <c r="R143" s="33"/>
      <c r="S143" s="33">
        <v>6</v>
      </c>
      <c r="T143" s="33"/>
      <c r="U143" s="41"/>
      <c r="V143" s="33"/>
      <c r="W143" s="33"/>
      <c r="X143" s="33"/>
      <c r="Y143" s="33"/>
      <c r="Z143" s="33"/>
      <c r="AA143" s="33"/>
      <c r="AB143" s="33"/>
      <c r="AC143" s="33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55">
        <f t="shared" si="29"/>
        <v>6</v>
      </c>
      <c r="AZ143" s="59">
        <v>0</v>
      </c>
      <c r="BA143" s="60">
        <v>0</v>
      </c>
      <c r="BB143" s="60">
        <f>+'[1]25'!R220</f>
        <v>5</v>
      </c>
      <c r="BC143" s="60">
        <v>1</v>
      </c>
      <c r="BD143" s="60"/>
      <c r="BE143" s="60"/>
      <c r="BF143" s="60"/>
      <c r="BG143" s="60"/>
      <c r="BH143" s="60"/>
      <c r="BI143" s="58">
        <f t="shared" si="30"/>
        <v>6</v>
      </c>
      <c r="BJ143" s="70">
        <f t="shared" si="31"/>
        <v>0</v>
      </c>
      <c r="BK143" s="70">
        <f t="shared" si="28"/>
        <v>0</v>
      </c>
      <c r="BL143" s="76"/>
      <c r="BM143" s="77"/>
      <c r="BN143" s="60">
        <f t="shared" si="24"/>
        <v>0</v>
      </c>
      <c r="BO143" s="82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9">
        <f t="shared" si="34"/>
        <v>0</v>
      </c>
      <c r="CB143" s="148"/>
      <c r="CC143" s="2" t="str">
        <v>M45</v>
      </c>
      <c r="CD143" s="90">
        <v>44</v>
      </c>
      <c r="CE143" s="92">
        <f t="shared" si="33"/>
        <v>12.222222222222221</v>
      </c>
    </row>
    <row r="144" spans="1:83" s="2" customFormat="1" ht="19.5" thickBot="1" x14ac:dyDescent="0.35">
      <c r="A144" s="17"/>
      <c r="B144" s="134" t="s">
        <v>104</v>
      </c>
      <c r="C144" s="18" t="s">
        <v>82</v>
      </c>
      <c r="D144" s="25"/>
      <c r="E144" s="25"/>
      <c r="F144" s="25"/>
      <c r="G144" s="36"/>
      <c r="H144" s="37"/>
      <c r="I144" s="43"/>
      <c r="J144" s="37"/>
      <c r="K144" s="43"/>
      <c r="L144" s="37"/>
      <c r="M144" s="43"/>
      <c r="N144" s="37"/>
      <c r="O144" s="43"/>
      <c r="P144" s="37"/>
      <c r="Q144" s="43"/>
      <c r="R144" s="37"/>
      <c r="S144" s="37"/>
      <c r="T144" s="37"/>
      <c r="U144" s="43"/>
      <c r="V144" s="37"/>
      <c r="W144" s="37"/>
      <c r="X144" s="37"/>
      <c r="Y144" s="37"/>
      <c r="Z144" s="37"/>
      <c r="AA144" s="37"/>
      <c r="AB144" s="37"/>
      <c r="AC144" s="37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>
        <v>6</v>
      </c>
      <c r="AS144" s="49"/>
      <c r="AT144" s="49"/>
      <c r="AU144" s="49"/>
      <c r="AV144" s="49"/>
      <c r="AW144" s="49"/>
      <c r="AX144" s="49"/>
      <c r="AY144" s="55">
        <f t="shared" si="29"/>
        <v>6</v>
      </c>
      <c r="AZ144" s="64"/>
      <c r="BA144" s="65"/>
      <c r="BB144" s="65"/>
      <c r="BC144" s="65">
        <v>1</v>
      </c>
      <c r="BD144" s="65"/>
      <c r="BE144" s="65"/>
      <c r="BF144" s="65"/>
      <c r="BG144" s="65"/>
      <c r="BH144" s="65"/>
      <c r="BI144" s="55">
        <f t="shared" si="30"/>
        <v>1</v>
      </c>
      <c r="BJ144" s="69">
        <f t="shared" si="31"/>
        <v>5</v>
      </c>
      <c r="BK144" s="69">
        <f t="shared" si="28"/>
        <v>0</v>
      </c>
      <c r="BM144" s="75"/>
      <c r="BN144" s="57"/>
      <c r="BO144" s="84"/>
      <c r="BP144" s="85">
        <v>2</v>
      </c>
      <c r="BQ144" s="85"/>
      <c r="BR144" s="85">
        <v>1</v>
      </c>
      <c r="BS144" s="85"/>
      <c r="BT144" s="85"/>
      <c r="BU144" s="85"/>
      <c r="BV144" s="85"/>
      <c r="BW144" s="85"/>
      <c r="BX144" s="85"/>
      <c r="BY144" s="85"/>
      <c r="BZ144" s="9"/>
      <c r="CB144" s="148"/>
      <c r="CC144" s="2" t="str">
        <v>M46</v>
      </c>
      <c r="CD144" s="90">
        <v>21</v>
      </c>
      <c r="CE144" s="92">
        <f t="shared" si="33"/>
        <v>5.833333333333333</v>
      </c>
    </row>
    <row r="145" spans="1:83" s="2" customFormat="1" ht="19.5" thickBot="1" x14ac:dyDescent="0.35">
      <c r="A145" s="17"/>
      <c r="B145" s="135"/>
      <c r="C145" s="18" t="s">
        <v>83</v>
      </c>
      <c r="D145" s="25"/>
      <c r="E145" s="25"/>
      <c r="F145" s="25"/>
      <c r="G145" s="36"/>
      <c r="H145" s="37"/>
      <c r="I145" s="43"/>
      <c r="J145" s="37"/>
      <c r="K145" s="43"/>
      <c r="L145" s="37"/>
      <c r="M145" s="43"/>
      <c r="N145" s="37"/>
      <c r="O145" s="43"/>
      <c r="P145" s="37"/>
      <c r="Q145" s="43"/>
      <c r="R145" s="37"/>
      <c r="S145" s="37"/>
      <c r="T145" s="37"/>
      <c r="U145" s="43"/>
      <c r="V145" s="37"/>
      <c r="W145" s="37"/>
      <c r="X145" s="37"/>
      <c r="Y145" s="37"/>
      <c r="Z145" s="37"/>
      <c r="AA145" s="37"/>
      <c r="AB145" s="37"/>
      <c r="AC145" s="37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>
        <v>19</v>
      </c>
      <c r="AS145" s="49"/>
      <c r="AT145" s="49"/>
      <c r="AU145" s="49"/>
      <c r="AV145" s="49"/>
      <c r="AW145" s="49"/>
      <c r="AX145" s="49"/>
      <c r="AY145" s="55">
        <f t="shared" si="29"/>
        <v>19</v>
      </c>
      <c r="AZ145" s="64"/>
      <c r="BA145" s="65"/>
      <c r="BB145" s="65"/>
      <c r="BC145" s="65">
        <v>7</v>
      </c>
      <c r="BD145" s="65"/>
      <c r="BE145" s="65"/>
      <c r="BF145" s="65"/>
      <c r="BG145" s="65"/>
      <c r="BH145" s="65"/>
      <c r="BI145" s="55">
        <f t="shared" si="30"/>
        <v>7</v>
      </c>
      <c r="BJ145" s="69">
        <f t="shared" si="31"/>
        <v>12</v>
      </c>
      <c r="BK145" s="69">
        <f t="shared" si="28"/>
        <v>0</v>
      </c>
      <c r="BM145" s="75"/>
      <c r="BN145" s="57"/>
      <c r="BO145" s="84"/>
      <c r="BP145" s="85">
        <v>2</v>
      </c>
      <c r="BQ145" s="85"/>
      <c r="BR145" s="85">
        <v>1</v>
      </c>
      <c r="BS145" s="85">
        <v>1</v>
      </c>
      <c r="BT145" s="85">
        <v>2</v>
      </c>
      <c r="BU145" s="85"/>
      <c r="BV145" s="85"/>
      <c r="BW145" s="85"/>
      <c r="BX145" s="85"/>
      <c r="BY145" s="85"/>
      <c r="BZ145" s="9"/>
      <c r="CB145" s="148"/>
      <c r="CC145" s="2" t="str">
        <v>M47</v>
      </c>
      <c r="CD145" s="90">
        <v>6</v>
      </c>
      <c r="CE145" s="92">
        <f t="shared" si="33"/>
        <v>1.6666666666666667</v>
      </c>
    </row>
    <row r="146" spans="1:83" s="2" customFormat="1" ht="19.5" thickBot="1" x14ac:dyDescent="0.35">
      <c r="A146" s="17"/>
      <c r="B146" s="135"/>
      <c r="C146" s="18" t="s">
        <v>84</v>
      </c>
      <c r="D146" s="25"/>
      <c r="E146" s="25"/>
      <c r="F146" s="25"/>
      <c r="G146" s="36"/>
      <c r="H146" s="37"/>
      <c r="I146" s="43"/>
      <c r="J146" s="37"/>
      <c r="K146" s="43"/>
      <c r="L146" s="37"/>
      <c r="M146" s="43"/>
      <c r="N146" s="37"/>
      <c r="O146" s="43"/>
      <c r="P146" s="37"/>
      <c r="Q146" s="43"/>
      <c r="R146" s="37"/>
      <c r="S146" s="37"/>
      <c r="T146" s="37"/>
      <c r="U146" s="43"/>
      <c r="V146" s="37"/>
      <c r="W146" s="37"/>
      <c r="X146" s="37"/>
      <c r="Y146" s="37"/>
      <c r="Z146" s="37"/>
      <c r="AA146" s="37"/>
      <c r="AB146" s="37"/>
      <c r="AC146" s="37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>
        <v>31</v>
      </c>
      <c r="AS146" s="49"/>
      <c r="AT146" s="49"/>
      <c r="AU146" s="49"/>
      <c r="AV146" s="49"/>
      <c r="AW146" s="49"/>
      <c r="AX146" s="49"/>
      <c r="AY146" s="55">
        <f t="shared" si="29"/>
        <v>31</v>
      </c>
      <c r="AZ146" s="64"/>
      <c r="BA146" s="65"/>
      <c r="BB146" s="65"/>
      <c r="BC146" s="65">
        <v>3</v>
      </c>
      <c r="BD146" s="65"/>
      <c r="BE146" s="65"/>
      <c r="BF146" s="65"/>
      <c r="BG146" s="65"/>
      <c r="BH146" s="65"/>
      <c r="BI146" s="55">
        <f t="shared" si="30"/>
        <v>3</v>
      </c>
      <c r="BJ146" s="69">
        <f t="shared" si="31"/>
        <v>28</v>
      </c>
      <c r="BK146" s="69">
        <f t="shared" si="28"/>
        <v>0</v>
      </c>
      <c r="BM146" s="75"/>
      <c r="BN146" s="57"/>
      <c r="BO146" s="84"/>
      <c r="BP146" s="85">
        <v>2</v>
      </c>
      <c r="BQ146" s="85">
        <v>1</v>
      </c>
      <c r="BR146" s="85">
        <v>1</v>
      </c>
      <c r="BS146" s="85">
        <v>1</v>
      </c>
      <c r="BT146" s="85">
        <v>1</v>
      </c>
      <c r="BU146" s="85"/>
      <c r="BV146" s="85"/>
      <c r="BW146" s="85"/>
      <c r="BX146" s="85"/>
      <c r="BY146" s="85"/>
      <c r="BZ146" s="9"/>
      <c r="CB146" s="148"/>
      <c r="CC146" s="2" t="str">
        <v>M48</v>
      </c>
      <c r="CD146" s="90">
        <v>2</v>
      </c>
      <c r="CE146" s="92">
        <f t="shared" si="33"/>
        <v>0.55555555555555558</v>
      </c>
    </row>
    <row r="147" spans="1:83" s="2" customFormat="1" ht="19.5" thickBot="1" x14ac:dyDescent="0.35">
      <c r="A147" s="17"/>
      <c r="B147" s="135"/>
      <c r="C147" s="18" t="s">
        <v>85</v>
      </c>
      <c r="D147" s="25"/>
      <c r="E147" s="25"/>
      <c r="F147" s="25"/>
      <c r="G147" s="36"/>
      <c r="H147" s="37"/>
      <c r="I147" s="43"/>
      <c r="J147" s="37"/>
      <c r="K147" s="43"/>
      <c r="L147" s="37"/>
      <c r="M147" s="43"/>
      <c r="N147" s="37"/>
      <c r="O147" s="43"/>
      <c r="P147" s="37"/>
      <c r="Q147" s="43"/>
      <c r="R147" s="37"/>
      <c r="S147" s="37"/>
      <c r="T147" s="37"/>
      <c r="U147" s="43"/>
      <c r="V147" s="37"/>
      <c r="W147" s="37"/>
      <c r="X147" s="37"/>
      <c r="Y147" s="37"/>
      <c r="Z147" s="37"/>
      <c r="AA147" s="37"/>
      <c r="AB147" s="37"/>
      <c r="AC147" s="37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>
        <v>32</v>
      </c>
      <c r="AS147" s="49"/>
      <c r="AT147" s="49"/>
      <c r="AU147" s="49"/>
      <c r="AV147" s="49"/>
      <c r="AW147" s="49"/>
      <c r="AX147" s="49"/>
      <c r="AY147" s="55">
        <f t="shared" si="29"/>
        <v>32</v>
      </c>
      <c r="AZ147" s="64"/>
      <c r="BA147" s="65"/>
      <c r="BB147" s="65"/>
      <c r="BC147" s="65">
        <v>6</v>
      </c>
      <c r="BD147" s="65"/>
      <c r="BE147" s="65"/>
      <c r="BF147" s="65"/>
      <c r="BG147" s="65"/>
      <c r="BH147" s="65"/>
      <c r="BI147" s="55">
        <f t="shared" si="30"/>
        <v>6</v>
      </c>
      <c r="BJ147" s="69">
        <f t="shared" si="31"/>
        <v>26</v>
      </c>
      <c r="BK147" s="69">
        <f t="shared" si="28"/>
        <v>0</v>
      </c>
      <c r="BM147" s="75"/>
      <c r="BN147" s="57"/>
      <c r="BO147" s="84"/>
      <c r="BP147" s="85">
        <v>2</v>
      </c>
      <c r="BQ147" s="85"/>
      <c r="BR147" s="85">
        <v>2</v>
      </c>
      <c r="BS147" s="85">
        <v>1</v>
      </c>
      <c r="BT147" s="85">
        <v>2</v>
      </c>
      <c r="BU147" s="85"/>
      <c r="BV147" s="85"/>
      <c r="BW147" s="85"/>
      <c r="BX147" s="85"/>
      <c r="BY147" s="85"/>
      <c r="BZ147" s="9"/>
      <c r="CB147" s="148"/>
      <c r="CC147" s="91" t="str">
        <v>Total</v>
      </c>
      <c r="CD147" s="88">
        <v>360</v>
      </c>
      <c r="CE147" s="93">
        <f>SUM(CE137:CE146)</f>
        <v>100.00000000000001</v>
      </c>
    </row>
    <row r="148" spans="1:83" s="2" customFormat="1" ht="19.5" thickBot="1" x14ac:dyDescent="0.35">
      <c r="A148" s="17"/>
      <c r="B148" s="135"/>
      <c r="C148" s="18" t="s">
        <v>86</v>
      </c>
      <c r="D148" s="25"/>
      <c r="E148" s="25"/>
      <c r="F148" s="25"/>
      <c r="G148" s="36"/>
      <c r="H148" s="37"/>
      <c r="I148" s="43"/>
      <c r="J148" s="37"/>
      <c r="K148" s="43"/>
      <c r="L148" s="37"/>
      <c r="M148" s="43"/>
      <c r="N148" s="37"/>
      <c r="O148" s="43"/>
      <c r="P148" s="37"/>
      <c r="Q148" s="43"/>
      <c r="R148" s="37"/>
      <c r="S148" s="37"/>
      <c r="T148" s="37"/>
      <c r="U148" s="43"/>
      <c r="V148" s="37"/>
      <c r="W148" s="37"/>
      <c r="X148" s="37"/>
      <c r="Y148" s="37"/>
      <c r="Z148" s="37"/>
      <c r="AA148" s="37"/>
      <c r="AB148" s="37"/>
      <c r="AC148" s="37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>
        <v>20</v>
      </c>
      <c r="AS148" s="49"/>
      <c r="AT148" s="49"/>
      <c r="AU148" s="49"/>
      <c r="AV148" s="49"/>
      <c r="AW148" s="49"/>
      <c r="AX148" s="49"/>
      <c r="AY148" s="55">
        <f t="shared" si="29"/>
        <v>20</v>
      </c>
      <c r="AZ148" s="64"/>
      <c r="BA148" s="65"/>
      <c r="BB148" s="65"/>
      <c r="BC148" s="65">
        <v>2</v>
      </c>
      <c r="BD148" s="65"/>
      <c r="BE148" s="65"/>
      <c r="BF148" s="65"/>
      <c r="BG148" s="65"/>
      <c r="BH148" s="65"/>
      <c r="BI148" s="55">
        <f t="shared" si="30"/>
        <v>2</v>
      </c>
      <c r="BJ148" s="69">
        <f t="shared" si="31"/>
        <v>18</v>
      </c>
      <c r="BK148" s="69">
        <f t="shared" si="28"/>
        <v>0</v>
      </c>
      <c r="BM148" s="75"/>
      <c r="BN148" s="57"/>
      <c r="BO148" s="84"/>
      <c r="BP148" s="85">
        <v>1</v>
      </c>
      <c r="BQ148" s="85">
        <v>1</v>
      </c>
      <c r="BR148" s="85">
        <v>2</v>
      </c>
      <c r="BS148" s="85">
        <v>1</v>
      </c>
      <c r="BT148" s="85"/>
      <c r="BU148" s="85"/>
      <c r="BV148" s="85"/>
      <c r="BW148" s="85"/>
      <c r="BX148" s="85"/>
      <c r="BY148" s="85"/>
      <c r="BZ148" s="9"/>
      <c r="CB148" s="148" t="s">
        <v>103</v>
      </c>
      <c r="CC148" s="2" t="e" cm="1" vm="1">
        <f t="array" aca="1" ref="CC148" ca="1">_xlfn.GROUPBY(C461:C472,BI461:BI472,_xleta.SUM)</f>
        <v>#VALUE!</v>
      </c>
      <c r="CD148" s="90"/>
      <c r="CE148" s="92" t="e">
        <f>+CD148/$CD$153*100</f>
        <v>#DIV/0!</v>
      </c>
    </row>
    <row r="149" spans="1:83" s="2" customFormat="1" ht="19.5" thickBot="1" x14ac:dyDescent="0.35">
      <c r="A149" s="17"/>
      <c r="B149" s="135"/>
      <c r="C149" s="18" t="s">
        <v>87</v>
      </c>
      <c r="D149" s="25"/>
      <c r="E149" s="25"/>
      <c r="F149" s="25"/>
      <c r="G149" s="36"/>
      <c r="H149" s="37"/>
      <c r="I149" s="43"/>
      <c r="J149" s="37"/>
      <c r="K149" s="43"/>
      <c r="L149" s="37"/>
      <c r="M149" s="43"/>
      <c r="N149" s="37"/>
      <c r="O149" s="43"/>
      <c r="P149" s="37"/>
      <c r="Q149" s="43"/>
      <c r="R149" s="37"/>
      <c r="S149" s="37"/>
      <c r="T149" s="37"/>
      <c r="U149" s="43"/>
      <c r="V149" s="37"/>
      <c r="W149" s="37"/>
      <c r="X149" s="37"/>
      <c r="Y149" s="37"/>
      <c r="Z149" s="37"/>
      <c r="AA149" s="37"/>
      <c r="AB149" s="37"/>
      <c r="AC149" s="37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>
        <v>9</v>
      </c>
      <c r="AS149" s="49"/>
      <c r="AT149" s="49"/>
      <c r="AU149" s="49"/>
      <c r="AV149" s="49"/>
      <c r="AW149" s="49"/>
      <c r="AX149" s="49"/>
      <c r="AY149" s="55">
        <f t="shared" si="29"/>
        <v>9</v>
      </c>
      <c r="AZ149" s="64"/>
      <c r="BA149" s="65"/>
      <c r="BB149" s="65"/>
      <c r="BC149" s="65">
        <v>1</v>
      </c>
      <c r="BD149" s="65"/>
      <c r="BE149" s="65"/>
      <c r="BF149" s="65"/>
      <c r="BG149" s="65"/>
      <c r="BH149" s="65"/>
      <c r="BI149" s="55">
        <f t="shared" si="30"/>
        <v>1</v>
      </c>
      <c r="BJ149" s="69">
        <f t="shared" si="31"/>
        <v>8</v>
      </c>
      <c r="BK149" s="69">
        <f t="shared" si="28"/>
        <v>0</v>
      </c>
      <c r="BM149" s="75"/>
      <c r="BN149" s="57"/>
      <c r="BO149" s="84"/>
      <c r="BP149" s="85">
        <v>2</v>
      </c>
      <c r="BQ149" s="85"/>
      <c r="BR149" s="85">
        <v>2</v>
      </c>
      <c r="BS149" s="85"/>
      <c r="BT149" s="85">
        <v>2</v>
      </c>
      <c r="BU149" s="85"/>
      <c r="BV149" s="85"/>
      <c r="BW149" s="85"/>
      <c r="BX149" s="85"/>
      <c r="BY149" s="85"/>
      <c r="BZ149" s="9"/>
      <c r="CB149" s="148"/>
      <c r="CD149" s="90"/>
      <c r="CE149" s="92" t="e">
        <f>+CD149/$CD$153*100</f>
        <v>#DIV/0!</v>
      </c>
    </row>
    <row r="150" spans="1:83" s="2" customFormat="1" ht="19.5" thickBot="1" x14ac:dyDescent="0.35">
      <c r="A150" s="17"/>
      <c r="B150" s="135"/>
      <c r="C150" s="20" t="s">
        <v>88</v>
      </c>
      <c r="D150" s="21"/>
      <c r="E150" s="21"/>
      <c r="F150" s="21"/>
      <c r="G150" s="32"/>
      <c r="H150" s="33"/>
      <c r="I150" s="41"/>
      <c r="J150" s="33"/>
      <c r="K150" s="41"/>
      <c r="L150" s="33"/>
      <c r="M150" s="41"/>
      <c r="N150" s="33"/>
      <c r="O150" s="41"/>
      <c r="P150" s="33"/>
      <c r="Q150" s="41"/>
      <c r="R150" s="33"/>
      <c r="S150" s="33"/>
      <c r="T150" s="33"/>
      <c r="U150" s="41"/>
      <c r="V150" s="33"/>
      <c r="W150" s="33"/>
      <c r="X150" s="33"/>
      <c r="Y150" s="33"/>
      <c r="Z150" s="33"/>
      <c r="AA150" s="33"/>
      <c r="AB150" s="33"/>
      <c r="AC150" s="33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>
        <v>3</v>
      </c>
      <c r="AS150" s="47"/>
      <c r="AT150" s="47"/>
      <c r="AU150" s="47"/>
      <c r="AV150" s="47"/>
      <c r="AW150" s="47"/>
      <c r="AX150" s="47"/>
      <c r="AY150" s="55">
        <f t="shared" si="29"/>
        <v>3</v>
      </c>
      <c r="AZ150" s="59"/>
      <c r="BA150" s="60"/>
      <c r="BB150" s="60"/>
      <c r="BC150" s="60">
        <v>0</v>
      </c>
      <c r="BD150" s="60"/>
      <c r="BE150" s="60"/>
      <c r="BF150" s="60"/>
      <c r="BG150" s="60"/>
      <c r="BH150" s="60"/>
      <c r="BI150" s="58">
        <f t="shared" si="30"/>
        <v>0</v>
      </c>
      <c r="BJ150" s="70">
        <f t="shared" si="31"/>
        <v>3</v>
      </c>
      <c r="BK150" s="70">
        <f t="shared" si="28"/>
        <v>0</v>
      </c>
      <c r="BL150" s="76"/>
      <c r="BM150" s="77"/>
      <c r="BN150" s="60"/>
      <c r="BO150" s="82"/>
      <c r="BP150" s="83">
        <v>1</v>
      </c>
      <c r="BQ150" s="83"/>
      <c r="BR150" s="83">
        <v>1</v>
      </c>
      <c r="BS150" s="83"/>
      <c r="BT150" s="83"/>
      <c r="BU150" s="83"/>
      <c r="BV150" s="83"/>
      <c r="BW150" s="83"/>
      <c r="BX150" s="83"/>
      <c r="BY150" s="83"/>
      <c r="BZ150" s="9"/>
      <c r="CB150" s="148"/>
      <c r="CD150" s="90"/>
      <c r="CE150" s="92" t="e">
        <f>+CD150/$CD$153*100</f>
        <v>#DIV/0!</v>
      </c>
    </row>
    <row r="151" spans="1:83" s="2" customFormat="1" ht="18.75" customHeight="1" thickBot="1" x14ac:dyDescent="0.35">
      <c r="A151" s="17">
        <v>163</v>
      </c>
      <c r="B151" s="136" t="s">
        <v>105</v>
      </c>
      <c r="C151" s="18" t="s">
        <v>106</v>
      </c>
      <c r="D151" s="19"/>
      <c r="E151" s="19"/>
      <c r="F151" s="19">
        <v>2</v>
      </c>
      <c r="G151" s="30"/>
      <c r="H151" s="31"/>
      <c r="I151" s="40"/>
      <c r="J151" s="31"/>
      <c r="K151" s="40"/>
      <c r="L151" s="31"/>
      <c r="M151" s="40"/>
      <c r="N151" s="31"/>
      <c r="O151" s="40"/>
      <c r="P151" s="31"/>
      <c r="Q151" s="40"/>
      <c r="R151" s="31"/>
      <c r="S151" s="31"/>
      <c r="T151" s="31"/>
      <c r="U151" s="40"/>
      <c r="V151" s="31"/>
      <c r="W151" s="31"/>
      <c r="X151" s="31"/>
      <c r="Y151" s="31"/>
      <c r="Z151" s="31"/>
      <c r="AA151" s="31"/>
      <c r="AB151" s="31">
        <v>12</v>
      </c>
      <c r="AC151" s="31"/>
      <c r="AD151" s="46"/>
      <c r="AE151" s="46">
        <v>6</v>
      </c>
      <c r="AF151" s="46"/>
      <c r="AG151" s="46"/>
      <c r="AH151" s="46"/>
      <c r="AI151" s="46"/>
      <c r="AJ151" s="46">
        <v>12</v>
      </c>
      <c r="AK151" s="46"/>
      <c r="AL151" s="46"/>
      <c r="AM151" s="46"/>
      <c r="AN151" s="46">
        <v>12</v>
      </c>
      <c r="AO151" s="46"/>
      <c r="AP151" s="46"/>
      <c r="AQ151" s="46"/>
      <c r="AR151" s="46">
        <v>18</v>
      </c>
      <c r="AS151" s="46"/>
      <c r="AT151" s="46"/>
      <c r="AU151" s="46"/>
      <c r="AV151" s="46"/>
      <c r="AW151" s="46"/>
      <c r="AX151" s="46"/>
      <c r="AY151" s="55">
        <f t="shared" si="29"/>
        <v>62</v>
      </c>
      <c r="AZ151" s="56">
        <v>0</v>
      </c>
      <c r="BA151" s="57">
        <v>2</v>
      </c>
      <c r="BB151" s="57">
        <f>+'[1]25'!R252</f>
        <v>20</v>
      </c>
      <c r="BC151" s="57">
        <v>23</v>
      </c>
      <c r="BD151" s="57"/>
      <c r="BE151" s="57"/>
      <c r="BF151" s="57"/>
      <c r="BG151" s="57"/>
      <c r="BH151" s="57"/>
      <c r="BI151" s="55">
        <f t="shared" si="30"/>
        <v>45</v>
      </c>
      <c r="BJ151" s="69">
        <f t="shared" si="31"/>
        <v>17</v>
      </c>
      <c r="BK151" s="69">
        <f t="shared" si="28"/>
        <v>0</v>
      </c>
      <c r="BM151" s="75"/>
      <c r="BN151" s="57">
        <f t="shared" ref="BN151:BN174" si="35">+BJ151-BZ151</f>
        <v>14</v>
      </c>
      <c r="BO151" s="80"/>
      <c r="BP151" s="81"/>
      <c r="BQ151" s="81"/>
      <c r="BR151" s="81">
        <f>1+2</f>
        <v>3</v>
      </c>
      <c r="BS151" s="81"/>
      <c r="BT151" s="81"/>
      <c r="BU151" s="81"/>
      <c r="BV151" s="81"/>
      <c r="BW151" s="81"/>
      <c r="BX151" s="81"/>
      <c r="BY151" s="81"/>
      <c r="BZ151" s="9">
        <f t="shared" ref="BZ151:BZ175" si="36">SUM(BP151:BY151)</f>
        <v>3</v>
      </c>
      <c r="CB151" s="148"/>
      <c r="CD151" s="90"/>
      <c r="CE151" s="92" t="e">
        <f>+CD151/$CD$153*100</f>
        <v>#DIV/0!</v>
      </c>
    </row>
    <row r="152" spans="1:83" s="2" customFormat="1" ht="19.5" thickBot="1" x14ac:dyDescent="0.35">
      <c r="A152" s="17">
        <v>164</v>
      </c>
      <c r="B152" s="139"/>
      <c r="C152" s="18" t="s">
        <v>82</v>
      </c>
      <c r="D152" s="19"/>
      <c r="E152" s="19">
        <v>2</v>
      </c>
      <c r="F152" s="19">
        <v>3</v>
      </c>
      <c r="G152" s="30"/>
      <c r="H152" s="31"/>
      <c r="I152" s="40"/>
      <c r="J152" s="31"/>
      <c r="K152" s="40"/>
      <c r="L152" s="31"/>
      <c r="M152" s="40"/>
      <c r="N152" s="31"/>
      <c r="O152" s="40"/>
      <c r="P152" s="31">
        <v>5</v>
      </c>
      <c r="Q152" s="40"/>
      <c r="R152" s="31"/>
      <c r="S152" s="31">
        <v>6</v>
      </c>
      <c r="T152" s="31"/>
      <c r="U152" s="40"/>
      <c r="V152" s="31"/>
      <c r="W152" s="31"/>
      <c r="X152" s="31">
        <v>12</v>
      </c>
      <c r="Y152" s="31"/>
      <c r="Z152" s="31"/>
      <c r="AA152" s="31"/>
      <c r="AB152" s="31">
        <v>18</v>
      </c>
      <c r="AC152" s="31"/>
      <c r="AD152" s="46"/>
      <c r="AE152" s="46">
        <v>15</v>
      </c>
      <c r="AF152" s="46">
        <v>6</v>
      </c>
      <c r="AG152" s="46"/>
      <c r="AH152" s="46"/>
      <c r="AI152" s="46"/>
      <c r="AJ152" s="46">
        <v>72</v>
      </c>
      <c r="AK152" s="46"/>
      <c r="AL152" s="46"/>
      <c r="AM152" s="46"/>
      <c r="AN152" s="46">
        <v>36</v>
      </c>
      <c r="AO152" s="46"/>
      <c r="AP152" s="46"/>
      <c r="AQ152" s="46">
        <v>9</v>
      </c>
      <c r="AR152" s="46">
        <v>30</v>
      </c>
      <c r="AS152" s="46"/>
      <c r="AT152" s="46"/>
      <c r="AU152" s="46"/>
      <c r="AV152" s="46"/>
      <c r="AW152" s="46"/>
      <c r="AX152" s="46"/>
      <c r="AY152" s="55">
        <f t="shared" si="29"/>
        <v>214</v>
      </c>
      <c r="AZ152" s="56">
        <v>8</v>
      </c>
      <c r="BA152" s="57">
        <v>16</v>
      </c>
      <c r="BB152" s="57">
        <f>+'[1]25'!R253</f>
        <v>60</v>
      </c>
      <c r="BC152" s="57">
        <v>108</v>
      </c>
      <c r="BD152" s="57"/>
      <c r="BE152" s="57"/>
      <c r="BF152" s="57"/>
      <c r="BG152" s="57"/>
      <c r="BH152" s="57"/>
      <c r="BI152" s="55">
        <f t="shared" si="30"/>
        <v>192</v>
      </c>
      <c r="BJ152" s="69">
        <f t="shared" si="31"/>
        <v>22</v>
      </c>
      <c r="BK152" s="69">
        <f t="shared" si="28"/>
        <v>0</v>
      </c>
      <c r="BM152" s="75"/>
      <c r="BN152" s="57">
        <f t="shared" si="35"/>
        <v>12</v>
      </c>
      <c r="BO152" s="80"/>
      <c r="BP152" s="81">
        <v>2</v>
      </c>
      <c r="BQ152" s="81">
        <v>1</v>
      </c>
      <c r="BR152" s="81">
        <f>3+1</f>
        <v>4</v>
      </c>
      <c r="BS152" s="81"/>
      <c r="BT152" s="81">
        <v>1</v>
      </c>
      <c r="BU152" s="81">
        <v>1</v>
      </c>
      <c r="BV152" s="81"/>
      <c r="BW152" s="81"/>
      <c r="BX152" s="81"/>
      <c r="BY152" s="81">
        <v>1</v>
      </c>
      <c r="BZ152" s="9">
        <f t="shared" si="36"/>
        <v>10</v>
      </c>
      <c r="CB152" s="148"/>
      <c r="CD152" s="90"/>
      <c r="CE152" s="92" t="e">
        <f>+CD152/$CD$153*100</f>
        <v>#DIV/0!</v>
      </c>
    </row>
    <row r="153" spans="1:83" s="2" customFormat="1" ht="19.5" thickBot="1" x14ac:dyDescent="0.35">
      <c r="A153" s="17">
        <v>165</v>
      </c>
      <c r="B153" s="139"/>
      <c r="C153" s="18" t="s">
        <v>83</v>
      </c>
      <c r="D153" s="19"/>
      <c r="E153" s="19">
        <v>3</v>
      </c>
      <c r="F153" s="19">
        <v>3</v>
      </c>
      <c r="G153" s="30"/>
      <c r="H153" s="31"/>
      <c r="I153" s="40"/>
      <c r="J153" s="31"/>
      <c r="K153" s="40"/>
      <c r="L153" s="31"/>
      <c r="M153" s="40"/>
      <c r="N153" s="31">
        <v>8</v>
      </c>
      <c r="O153" s="40"/>
      <c r="P153" s="31">
        <v>5</v>
      </c>
      <c r="Q153" s="40"/>
      <c r="R153" s="31"/>
      <c r="S153" s="31">
        <v>18</v>
      </c>
      <c r="T153" s="31"/>
      <c r="U153" s="40"/>
      <c r="V153" s="31"/>
      <c r="W153" s="31"/>
      <c r="X153" s="31">
        <v>24</v>
      </c>
      <c r="Y153" s="31"/>
      <c r="Z153" s="31"/>
      <c r="AA153" s="31"/>
      <c r="AB153" s="31">
        <v>24</v>
      </c>
      <c r="AC153" s="31"/>
      <c r="AD153" s="46"/>
      <c r="AE153" s="46">
        <v>30</v>
      </c>
      <c r="AF153" s="46">
        <v>24</v>
      </c>
      <c r="AG153" s="46"/>
      <c r="AH153" s="46"/>
      <c r="AI153" s="46"/>
      <c r="AJ153" s="46">
        <v>108</v>
      </c>
      <c r="AK153" s="46"/>
      <c r="AL153" s="46"/>
      <c r="AM153" s="46"/>
      <c r="AN153" s="46">
        <v>48</v>
      </c>
      <c r="AO153" s="46"/>
      <c r="AP153" s="46"/>
      <c r="AQ153" s="46">
        <v>24</v>
      </c>
      <c r="AR153" s="46">
        <f>30+24</f>
        <v>54</v>
      </c>
      <c r="AS153" s="46"/>
      <c r="AT153" s="46"/>
      <c r="AU153" s="46"/>
      <c r="AV153" s="46"/>
      <c r="AW153" s="46"/>
      <c r="AX153" s="46"/>
      <c r="AY153" s="55">
        <f t="shared" si="29"/>
        <v>373</v>
      </c>
      <c r="AZ153" s="56">
        <v>11</v>
      </c>
      <c r="BA153" s="57">
        <v>36</v>
      </c>
      <c r="BB153" s="57">
        <f>+'[1]25'!R254</f>
        <v>117</v>
      </c>
      <c r="BC153" s="57">
        <v>172</v>
      </c>
      <c r="BD153" s="57"/>
      <c r="BE153" s="57"/>
      <c r="BF153" s="57"/>
      <c r="BG153" s="57"/>
      <c r="BH153" s="57"/>
      <c r="BI153" s="55">
        <f t="shared" si="30"/>
        <v>336</v>
      </c>
      <c r="BJ153" s="69">
        <f t="shared" si="31"/>
        <v>37</v>
      </c>
      <c r="BK153" s="69">
        <f t="shared" si="28"/>
        <v>0</v>
      </c>
      <c r="BM153" s="75"/>
      <c r="BN153" s="57">
        <f t="shared" si="35"/>
        <v>24</v>
      </c>
      <c r="BO153" s="80"/>
      <c r="BP153" s="81">
        <v>1</v>
      </c>
      <c r="BQ153" s="81">
        <v>1</v>
      </c>
      <c r="BR153" s="81">
        <v>3</v>
      </c>
      <c r="BS153" s="81">
        <v>2</v>
      </c>
      <c r="BT153" s="81">
        <v>4</v>
      </c>
      <c r="BU153" s="81"/>
      <c r="BV153" s="81"/>
      <c r="BW153" s="81"/>
      <c r="BX153" s="81"/>
      <c r="BY153" s="81">
        <v>2</v>
      </c>
      <c r="BZ153" s="9">
        <f t="shared" si="36"/>
        <v>13</v>
      </c>
      <c r="CB153" s="148"/>
      <c r="CC153" s="91"/>
      <c r="CD153" s="88"/>
      <c r="CE153" s="93" t="e">
        <f>SUM(CE148:CE152)</f>
        <v>#DIV/0!</v>
      </c>
    </row>
    <row r="154" spans="1:83" s="2" customFormat="1" ht="19.5" thickBot="1" x14ac:dyDescent="0.35">
      <c r="A154" s="17">
        <v>166</v>
      </c>
      <c r="B154" s="139"/>
      <c r="C154" s="18" t="s">
        <v>84</v>
      </c>
      <c r="D154" s="19"/>
      <c r="E154" s="19">
        <v>5</v>
      </c>
      <c r="F154" s="19">
        <v>12</v>
      </c>
      <c r="G154" s="30"/>
      <c r="H154" s="31"/>
      <c r="I154" s="40"/>
      <c r="J154" s="31"/>
      <c r="K154" s="40"/>
      <c r="L154" s="31"/>
      <c r="M154" s="40"/>
      <c r="N154" s="31">
        <v>5</v>
      </c>
      <c r="O154" s="40"/>
      <c r="P154" s="31"/>
      <c r="Q154" s="40"/>
      <c r="R154" s="31"/>
      <c r="S154" s="31">
        <v>36</v>
      </c>
      <c r="T154" s="31"/>
      <c r="U154" s="40"/>
      <c r="V154" s="31"/>
      <c r="W154" s="31"/>
      <c r="X154" s="31">
        <v>39</v>
      </c>
      <c r="Y154" s="31"/>
      <c r="Z154" s="31"/>
      <c r="AA154" s="31"/>
      <c r="AB154" s="31">
        <v>24</v>
      </c>
      <c r="AC154" s="31"/>
      <c r="AD154" s="46"/>
      <c r="AE154" s="46">
        <v>72</v>
      </c>
      <c r="AF154" s="46">
        <v>54</v>
      </c>
      <c r="AG154" s="46"/>
      <c r="AH154" s="46"/>
      <c r="AI154" s="46"/>
      <c r="AJ154" s="46">
        <v>120</v>
      </c>
      <c r="AK154" s="46"/>
      <c r="AL154" s="46"/>
      <c r="AM154" s="46"/>
      <c r="AN154" s="46">
        <v>84</v>
      </c>
      <c r="AO154" s="46"/>
      <c r="AP154" s="46"/>
      <c r="AQ154" s="46">
        <v>72</v>
      </c>
      <c r="AR154" s="46">
        <f>48+60</f>
        <v>108</v>
      </c>
      <c r="AS154" s="46"/>
      <c r="AT154" s="46"/>
      <c r="AU154" s="46"/>
      <c r="AV154" s="46"/>
      <c r="AW154" s="46"/>
      <c r="AX154" s="46"/>
      <c r="AY154" s="55">
        <f t="shared" si="29"/>
        <v>631</v>
      </c>
      <c r="AZ154" s="56">
        <v>22</v>
      </c>
      <c r="BA154" s="57">
        <v>54</v>
      </c>
      <c r="BB154" s="57">
        <f>+'[1]25'!R255</f>
        <v>210</v>
      </c>
      <c r="BC154" s="57">
        <v>250</v>
      </c>
      <c r="BD154" s="57"/>
      <c r="BE154" s="57"/>
      <c r="BF154" s="57"/>
      <c r="BG154" s="57"/>
      <c r="BH154" s="57"/>
      <c r="BI154" s="55">
        <f t="shared" si="30"/>
        <v>536</v>
      </c>
      <c r="BJ154" s="69">
        <f t="shared" si="31"/>
        <v>95</v>
      </c>
      <c r="BK154" s="69">
        <f t="shared" si="28"/>
        <v>0</v>
      </c>
      <c r="BM154" s="75"/>
      <c r="BN154" s="57">
        <f t="shared" si="35"/>
        <v>76</v>
      </c>
      <c r="BO154" s="80"/>
      <c r="BP154" s="81">
        <v>2</v>
      </c>
      <c r="BQ154" s="81">
        <v>1</v>
      </c>
      <c r="BR154" s="81">
        <v>4</v>
      </c>
      <c r="BS154" s="81">
        <v>5</v>
      </c>
      <c r="BT154" s="81">
        <v>4</v>
      </c>
      <c r="BU154" s="81"/>
      <c r="BV154" s="81"/>
      <c r="BW154" s="81"/>
      <c r="BX154" s="81"/>
      <c r="BY154" s="81">
        <v>3</v>
      </c>
      <c r="BZ154" s="9">
        <f t="shared" si="36"/>
        <v>19</v>
      </c>
      <c r="CB154" s="148" t="s">
        <v>107</v>
      </c>
      <c r="CC154" s="2" t="str" cm="1">
        <f t="array" ref="CC154:CD164">_xlfn.GROUPBY(C473:C490,BI473:BI490,_xleta.SUM)</f>
        <v>M39</v>
      </c>
      <c r="CD154" s="90">
        <v>5</v>
      </c>
      <c r="CE154" s="92">
        <f>+CD154/$CD$164*100</f>
        <v>1.824817518248175</v>
      </c>
    </row>
    <row r="155" spans="1:83" s="2" customFormat="1" ht="19.5" thickBot="1" x14ac:dyDescent="0.35">
      <c r="A155" s="17">
        <v>167</v>
      </c>
      <c r="B155" s="139"/>
      <c r="C155" s="18" t="s">
        <v>85</v>
      </c>
      <c r="D155" s="19"/>
      <c r="E155" s="19">
        <v>5</v>
      </c>
      <c r="F155" s="19">
        <v>10</v>
      </c>
      <c r="G155" s="30"/>
      <c r="H155" s="31"/>
      <c r="I155" s="40"/>
      <c r="J155" s="31"/>
      <c r="K155" s="40"/>
      <c r="L155" s="31"/>
      <c r="M155" s="40"/>
      <c r="N155" s="31">
        <v>5</v>
      </c>
      <c r="O155" s="40"/>
      <c r="P155" s="31">
        <v>5</v>
      </c>
      <c r="Q155" s="40"/>
      <c r="R155" s="31"/>
      <c r="S155" s="31">
        <v>42</v>
      </c>
      <c r="T155" s="31"/>
      <c r="U155" s="40"/>
      <c r="V155" s="31"/>
      <c r="W155" s="31"/>
      <c r="X155" s="31">
        <v>36</v>
      </c>
      <c r="Y155" s="31"/>
      <c r="Z155" s="31"/>
      <c r="AA155" s="31"/>
      <c r="AB155" s="31">
        <v>12</v>
      </c>
      <c r="AC155" s="31"/>
      <c r="AD155" s="46"/>
      <c r="AE155" s="46">
        <v>36</v>
      </c>
      <c r="AF155" s="46">
        <v>24</v>
      </c>
      <c r="AG155" s="46"/>
      <c r="AH155" s="46"/>
      <c r="AI155" s="46">
        <f>-2-1</f>
        <v>-3</v>
      </c>
      <c r="AJ155" s="46">
        <v>168</v>
      </c>
      <c r="AK155" s="46"/>
      <c r="AL155" s="46"/>
      <c r="AM155" s="46"/>
      <c r="AN155" s="46">
        <v>78</v>
      </c>
      <c r="AO155" s="46"/>
      <c r="AP155" s="46"/>
      <c r="AQ155" s="46">
        <v>48</v>
      </c>
      <c r="AR155" s="46">
        <v>44</v>
      </c>
      <c r="AS155" s="46"/>
      <c r="AT155" s="46"/>
      <c r="AU155" s="46"/>
      <c r="AV155" s="46"/>
      <c r="AW155" s="46"/>
      <c r="AX155" s="46"/>
      <c r="AY155" s="55">
        <f t="shared" si="29"/>
        <v>510</v>
      </c>
      <c r="AZ155" s="56">
        <v>20</v>
      </c>
      <c r="BA155" s="57">
        <v>43</v>
      </c>
      <c r="BB155" s="57">
        <f>+'[1]25'!R256</f>
        <v>152</v>
      </c>
      <c r="BC155" s="57">
        <v>275</v>
      </c>
      <c r="BD155" s="57"/>
      <c r="BE155" s="57"/>
      <c r="BF155" s="57"/>
      <c r="BG155" s="57"/>
      <c r="BH155" s="57"/>
      <c r="BI155" s="55">
        <f t="shared" si="30"/>
        <v>490</v>
      </c>
      <c r="BJ155" s="69">
        <f t="shared" si="31"/>
        <v>20</v>
      </c>
      <c r="BK155" s="69">
        <f t="shared" si="28"/>
        <v>0</v>
      </c>
      <c r="BM155" s="75"/>
      <c r="BN155" s="57">
        <f t="shared" si="35"/>
        <v>5</v>
      </c>
      <c r="BO155" s="80"/>
      <c r="BP155" s="81">
        <v>2</v>
      </c>
      <c r="BQ155" s="81">
        <v>1</v>
      </c>
      <c r="BR155" s="81">
        <f>2+1</f>
        <v>3</v>
      </c>
      <c r="BS155" s="81"/>
      <c r="BT155" s="81">
        <v>4</v>
      </c>
      <c r="BU155" s="81">
        <v>2</v>
      </c>
      <c r="BV155" s="81"/>
      <c r="BW155" s="81"/>
      <c r="BX155" s="81"/>
      <c r="BY155" s="81">
        <v>3</v>
      </c>
      <c r="BZ155" s="9">
        <f t="shared" si="36"/>
        <v>15</v>
      </c>
      <c r="CB155" s="148"/>
      <c r="CC155" s="2" t="str">
        <v>M40</v>
      </c>
      <c r="CD155" s="90">
        <v>17</v>
      </c>
      <c r="CE155" s="92">
        <f t="shared" ref="CE155:CE163" si="37">+CD155/$CD$164*100</f>
        <v>6.2043795620437958</v>
      </c>
    </row>
    <row r="156" spans="1:83" s="2" customFormat="1" ht="19.5" thickBot="1" x14ac:dyDescent="0.35">
      <c r="A156" s="17">
        <v>168</v>
      </c>
      <c r="B156" s="139"/>
      <c r="C156" s="18" t="s">
        <v>86</v>
      </c>
      <c r="D156" s="19"/>
      <c r="E156" s="19">
        <v>5</v>
      </c>
      <c r="F156" s="19">
        <v>4</v>
      </c>
      <c r="G156" s="30"/>
      <c r="H156" s="31"/>
      <c r="I156" s="40"/>
      <c r="J156" s="31"/>
      <c r="K156" s="40"/>
      <c r="L156" s="31"/>
      <c r="M156" s="40"/>
      <c r="N156" s="31">
        <v>2</v>
      </c>
      <c r="O156" s="40"/>
      <c r="P156" s="31">
        <v>2</v>
      </c>
      <c r="Q156" s="40"/>
      <c r="R156" s="31"/>
      <c r="S156" s="31">
        <v>36</v>
      </c>
      <c r="T156" s="31"/>
      <c r="U156" s="40"/>
      <c r="V156" s="31"/>
      <c r="W156" s="31"/>
      <c r="X156" s="31">
        <v>21</v>
      </c>
      <c r="Y156" s="31"/>
      <c r="Z156" s="31"/>
      <c r="AA156" s="31"/>
      <c r="AB156" s="31">
        <v>12</v>
      </c>
      <c r="AC156" s="31"/>
      <c r="AD156" s="46"/>
      <c r="AE156" s="46">
        <v>24</v>
      </c>
      <c r="AF156" s="46">
        <v>12</v>
      </c>
      <c r="AG156" s="46"/>
      <c r="AH156" s="46"/>
      <c r="AI156" s="46"/>
      <c r="AJ156" s="46">
        <v>120</v>
      </c>
      <c r="AK156" s="46"/>
      <c r="AL156" s="46"/>
      <c r="AM156" s="46"/>
      <c r="AN156" s="46">
        <v>48</v>
      </c>
      <c r="AO156" s="46"/>
      <c r="AP156" s="46"/>
      <c r="AQ156" s="46">
        <v>33</v>
      </c>
      <c r="AR156" s="46">
        <v>30</v>
      </c>
      <c r="AS156" s="46"/>
      <c r="AT156" s="46"/>
      <c r="AU156" s="46"/>
      <c r="AV156" s="46"/>
      <c r="AW156" s="46"/>
      <c r="AX156" s="46"/>
      <c r="AY156" s="55">
        <f t="shared" si="29"/>
        <v>349</v>
      </c>
      <c r="AZ156" s="56">
        <v>13</v>
      </c>
      <c r="BA156" s="57">
        <v>30</v>
      </c>
      <c r="BB156" s="57">
        <f>+'[1]25'!R257</f>
        <v>106</v>
      </c>
      <c r="BC156" s="57">
        <v>187</v>
      </c>
      <c r="BD156" s="57"/>
      <c r="BE156" s="57"/>
      <c r="BF156" s="57"/>
      <c r="BG156" s="57"/>
      <c r="BH156" s="57"/>
      <c r="BI156" s="55">
        <f t="shared" si="30"/>
        <v>336</v>
      </c>
      <c r="BJ156" s="69">
        <f t="shared" si="31"/>
        <v>13</v>
      </c>
      <c r="BK156" s="69">
        <f t="shared" si="28"/>
        <v>0</v>
      </c>
      <c r="BM156" s="75"/>
      <c r="BN156" s="57">
        <f t="shared" si="35"/>
        <v>0</v>
      </c>
      <c r="BO156" s="80"/>
      <c r="BP156" s="81"/>
      <c r="BQ156" s="81">
        <v>2</v>
      </c>
      <c r="BR156" s="81">
        <v>4</v>
      </c>
      <c r="BS156" s="81">
        <v>1</v>
      </c>
      <c r="BT156" s="81">
        <v>2</v>
      </c>
      <c r="BU156" s="81">
        <v>1</v>
      </c>
      <c r="BV156" s="81"/>
      <c r="BW156" s="81"/>
      <c r="BX156" s="81"/>
      <c r="BY156" s="81">
        <v>3</v>
      </c>
      <c r="BZ156" s="9">
        <f t="shared" si="36"/>
        <v>13</v>
      </c>
      <c r="CB156" s="148"/>
      <c r="CC156" s="2" t="str">
        <v>M41</v>
      </c>
      <c r="CD156" s="90">
        <v>38</v>
      </c>
      <c r="CE156" s="92">
        <f t="shared" si="37"/>
        <v>13.868613138686131</v>
      </c>
    </row>
    <row r="157" spans="1:83" s="2" customFormat="1" ht="19.5" thickBot="1" x14ac:dyDescent="0.35">
      <c r="A157" s="17">
        <v>169</v>
      </c>
      <c r="B157" s="139"/>
      <c r="C157" s="18" t="s">
        <v>87</v>
      </c>
      <c r="D157" s="19"/>
      <c r="E157" s="19">
        <v>3</v>
      </c>
      <c r="F157" s="19">
        <v>12</v>
      </c>
      <c r="G157" s="30"/>
      <c r="H157" s="31"/>
      <c r="I157" s="40"/>
      <c r="J157" s="31"/>
      <c r="K157" s="40"/>
      <c r="L157" s="31"/>
      <c r="M157" s="40"/>
      <c r="N157" s="31"/>
      <c r="O157" s="40"/>
      <c r="P157" s="31"/>
      <c r="Q157" s="40"/>
      <c r="R157" s="31"/>
      <c r="S157" s="31">
        <v>18</v>
      </c>
      <c r="T157" s="31"/>
      <c r="U157" s="40"/>
      <c r="V157" s="31"/>
      <c r="W157" s="31"/>
      <c r="X157" s="31">
        <v>12</v>
      </c>
      <c r="Y157" s="31"/>
      <c r="Z157" s="31"/>
      <c r="AA157" s="31"/>
      <c r="AB157" s="31">
        <v>6</v>
      </c>
      <c r="AC157" s="31"/>
      <c r="AD157" s="46"/>
      <c r="AE157" s="46">
        <v>12</v>
      </c>
      <c r="AF157" s="46">
        <v>12</v>
      </c>
      <c r="AG157" s="46"/>
      <c r="AH157" s="46"/>
      <c r="AI157" s="46"/>
      <c r="AJ157" s="46">
        <v>60</v>
      </c>
      <c r="AK157" s="46"/>
      <c r="AL157" s="46"/>
      <c r="AM157" s="46"/>
      <c r="AN157" s="46">
        <v>30</v>
      </c>
      <c r="AO157" s="46"/>
      <c r="AP157" s="46"/>
      <c r="AQ157" s="46">
        <v>24</v>
      </c>
      <c r="AR157" s="46">
        <f>36+24</f>
        <v>60</v>
      </c>
      <c r="AS157" s="46"/>
      <c r="AT157" s="46"/>
      <c r="AU157" s="46"/>
      <c r="AV157" s="46"/>
      <c r="AW157" s="46"/>
      <c r="AX157" s="46"/>
      <c r="AY157" s="55">
        <f t="shared" si="29"/>
        <v>249</v>
      </c>
      <c r="AZ157" s="56">
        <v>10</v>
      </c>
      <c r="BA157" s="57">
        <v>14</v>
      </c>
      <c r="BB157" s="57">
        <f>+'[1]25'!R258</f>
        <v>86</v>
      </c>
      <c r="BC157" s="57">
        <v>93</v>
      </c>
      <c r="BD157" s="57"/>
      <c r="BE157" s="57"/>
      <c r="BF157" s="57"/>
      <c r="BG157" s="57"/>
      <c r="BH157" s="57"/>
      <c r="BI157" s="55">
        <f t="shared" si="30"/>
        <v>203</v>
      </c>
      <c r="BJ157" s="69">
        <f t="shared" si="31"/>
        <v>46</v>
      </c>
      <c r="BK157" s="69">
        <f t="shared" si="28"/>
        <v>0</v>
      </c>
      <c r="BM157" s="75"/>
      <c r="BN157" s="57">
        <f t="shared" si="35"/>
        <v>36</v>
      </c>
      <c r="BO157" s="80"/>
      <c r="BP157" s="81">
        <v>2</v>
      </c>
      <c r="BQ157" s="81">
        <v>2</v>
      </c>
      <c r="BR157" s="81">
        <f>2+2</f>
        <v>4</v>
      </c>
      <c r="BS157" s="81"/>
      <c r="BT157" s="81">
        <v>2</v>
      </c>
      <c r="BU157" s="81"/>
      <c r="BV157" s="81"/>
      <c r="BW157" s="81"/>
      <c r="BX157" s="81"/>
      <c r="BY157" s="81"/>
      <c r="BZ157" s="9">
        <f t="shared" si="36"/>
        <v>10</v>
      </c>
      <c r="CB157" s="148"/>
      <c r="CC157" s="2" t="str">
        <v>M42</v>
      </c>
      <c r="CD157" s="90">
        <v>40</v>
      </c>
      <c r="CE157" s="92">
        <f t="shared" si="37"/>
        <v>14.5985401459854</v>
      </c>
    </row>
    <row r="158" spans="1:83" s="2" customFormat="1" ht="19.5" thickBot="1" x14ac:dyDescent="0.35">
      <c r="A158" s="17">
        <v>170</v>
      </c>
      <c r="B158" s="139"/>
      <c r="C158" s="18" t="s">
        <v>88</v>
      </c>
      <c r="D158" s="19"/>
      <c r="E158" s="19"/>
      <c r="F158" s="19"/>
      <c r="G158" s="30"/>
      <c r="H158" s="31"/>
      <c r="I158" s="40"/>
      <c r="J158" s="31"/>
      <c r="K158" s="40"/>
      <c r="L158" s="31"/>
      <c r="M158" s="40"/>
      <c r="N158" s="31"/>
      <c r="O158" s="40"/>
      <c r="P158" s="31"/>
      <c r="Q158" s="40"/>
      <c r="R158" s="31"/>
      <c r="S158" s="31">
        <v>12</v>
      </c>
      <c r="T158" s="31"/>
      <c r="U158" s="40"/>
      <c r="V158" s="31"/>
      <c r="W158" s="31"/>
      <c r="X158" s="31"/>
      <c r="Y158" s="31"/>
      <c r="Z158" s="31"/>
      <c r="AA158" s="31"/>
      <c r="AB158" s="31"/>
      <c r="AC158" s="31"/>
      <c r="AD158" s="46"/>
      <c r="AE158" s="46">
        <v>9</v>
      </c>
      <c r="AF158" s="46"/>
      <c r="AG158" s="46"/>
      <c r="AH158" s="46"/>
      <c r="AI158" s="46"/>
      <c r="AJ158" s="46">
        <v>12</v>
      </c>
      <c r="AK158" s="46"/>
      <c r="AL158" s="46"/>
      <c r="AM158" s="46"/>
      <c r="AN158" s="46">
        <v>12</v>
      </c>
      <c r="AO158" s="46"/>
      <c r="AP158" s="46"/>
      <c r="AQ158" s="46">
        <v>24</v>
      </c>
      <c r="AR158" s="46">
        <f>24+12</f>
        <v>36</v>
      </c>
      <c r="AS158" s="46"/>
      <c r="AT158" s="46"/>
      <c r="AU158" s="46"/>
      <c r="AV158" s="46"/>
      <c r="AW158" s="46"/>
      <c r="AX158" s="46"/>
      <c r="AY158" s="55">
        <f t="shared" si="29"/>
        <v>105</v>
      </c>
      <c r="AZ158" s="56">
        <v>0</v>
      </c>
      <c r="BA158" s="57">
        <v>8</v>
      </c>
      <c r="BB158" s="57">
        <f>+'[1]25'!R259</f>
        <v>25</v>
      </c>
      <c r="BC158" s="57">
        <v>39</v>
      </c>
      <c r="BD158" s="57"/>
      <c r="BE158" s="57"/>
      <c r="BF158" s="57"/>
      <c r="BG158" s="57"/>
      <c r="BH158" s="57"/>
      <c r="BI158" s="55">
        <f t="shared" si="30"/>
        <v>72</v>
      </c>
      <c r="BJ158" s="69">
        <f t="shared" si="31"/>
        <v>33</v>
      </c>
      <c r="BK158" s="69">
        <f t="shared" si="28"/>
        <v>0</v>
      </c>
      <c r="BM158" s="75"/>
      <c r="BN158" s="57">
        <f t="shared" si="35"/>
        <v>29</v>
      </c>
      <c r="BO158" s="80"/>
      <c r="BP158" s="81"/>
      <c r="BQ158" s="81">
        <v>2</v>
      </c>
      <c r="BR158" s="81">
        <f>1+1</f>
        <v>2</v>
      </c>
      <c r="BS158" s="81"/>
      <c r="BT158" s="81"/>
      <c r="BU158" s="81"/>
      <c r="BV158" s="81"/>
      <c r="BW158" s="81"/>
      <c r="BX158" s="81"/>
      <c r="BY158" s="81"/>
      <c r="BZ158" s="9">
        <f t="shared" si="36"/>
        <v>4</v>
      </c>
      <c r="CB158" s="148"/>
      <c r="CC158" s="2" t="str">
        <v>M43</v>
      </c>
      <c r="CD158" s="90">
        <v>62</v>
      </c>
      <c r="CE158" s="92">
        <f t="shared" si="37"/>
        <v>22.627737226277372</v>
      </c>
    </row>
    <row r="159" spans="1:83" s="2" customFormat="1" ht="19.5" thickBot="1" x14ac:dyDescent="0.35">
      <c r="A159" s="17">
        <v>171</v>
      </c>
      <c r="B159" s="140"/>
      <c r="C159" s="20" t="s">
        <v>108</v>
      </c>
      <c r="D159" s="21"/>
      <c r="E159" s="21"/>
      <c r="F159" s="21"/>
      <c r="G159" s="32"/>
      <c r="H159" s="33"/>
      <c r="I159" s="41"/>
      <c r="J159" s="33"/>
      <c r="K159" s="41"/>
      <c r="L159" s="33"/>
      <c r="M159" s="41"/>
      <c r="N159" s="33"/>
      <c r="O159" s="41"/>
      <c r="P159" s="33"/>
      <c r="Q159" s="41"/>
      <c r="R159" s="33"/>
      <c r="S159" s="33"/>
      <c r="T159" s="33"/>
      <c r="U159" s="41"/>
      <c r="V159" s="33"/>
      <c r="W159" s="33"/>
      <c r="X159" s="33"/>
      <c r="Y159" s="33"/>
      <c r="Z159" s="33"/>
      <c r="AA159" s="33"/>
      <c r="AB159" s="33"/>
      <c r="AC159" s="33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>
        <v>12</v>
      </c>
      <c r="AO159" s="47"/>
      <c r="AP159" s="47"/>
      <c r="AQ159" s="47">
        <v>6</v>
      </c>
      <c r="AR159" s="47">
        <v>16</v>
      </c>
      <c r="AS159" s="47"/>
      <c r="AT159" s="47"/>
      <c r="AU159" s="47"/>
      <c r="AV159" s="47"/>
      <c r="AW159" s="47"/>
      <c r="AX159" s="47"/>
      <c r="AY159" s="55">
        <f t="shared" si="29"/>
        <v>34</v>
      </c>
      <c r="AZ159" s="59"/>
      <c r="BA159" s="60"/>
      <c r="BB159" s="60">
        <f>+'[1]25'!R260</f>
        <v>0</v>
      </c>
      <c r="BC159" s="60">
        <v>23</v>
      </c>
      <c r="BD159" s="60"/>
      <c r="BE159" s="60"/>
      <c r="BF159" s="60"/>
      <c r="BG159" s="60"/>
      <c r="BH159" s="60"/>
      <c r="BI159" s="58">
        <f t="shared" si="30"/>
        <v>23</v>
      </c>
      <c r="BJ159" s="70">
        <f t="shared" si="31"/>
        <v>11</v>
      </c>
      <c r="BK159" s="70">
        <f t="shared" si="28"/>
        <v>0</v>
      </c>
      <c r="BL159" s="76"/>
      <c r="BM159" s="77"/>
      <c r="BN159" s="60">
        <f t="shared" si="35"/>
        <v>10</v>
      </c>
      <c r="BO159" s="82"/>
      <c r="BP159" s="83">
        <v>1</v>
      </c>
      <c r="BQ159" s="83"/>
      <c r="BR159" s="83"/>
      <c r="BS159" s="83"/>
      <c r="BT159" s="83"/>
      <c r="BU159" s="83"/>
      <c r="BV159" s="83"/>
      <c r="BW159" s="83"/>
      <c r="BX159" s="83"/>
      <c r="BY159" s="83"/>
      <c r="BZ159" s="9">
        <f t="shared" si="36"/>
        <v>1</v>
      </c>
      <c r="CB159" s="148"/>
      <c r="CC159" s="2" t="str">
        <v>M44</v>
      </c>
      <c r="CD159" s="90">
        <v>52</v>
      </c>
      <c r="CE159" s="92">
        <f t="shared" si="37"/>
        <v>18.978102189781019</v>
      </c>
    </row>
    <row r="160" spans="1:83" s="2" customFormat="1" ht="19.5" thickBot="1" x14ac:dyDescent="0.35">
      <c r="A160" s="17">
        <v>172</v>
      </c>
      <c r="B160" s="134" t="s">
        <v>109</v>
      </c>
      <c r="C160" s="18" t="s">
        <v>106</v>
      </c>
      <c r="D160" s="19"/>
      <c r="E160" s="19"/>
      <c r="F160" s="19"/>
      <c r="G160" s="30"/>
      <c r="H160" s="31"/>
      <c r="I160" s="40"/>
      <c r="J160" s="31"/>
      <c r="K160" s="40"/>
      <c r="L160" s="31"/>
      <c r="M160" s="40"/>
      <c r="N160" s="31"/>
      <c r="O160" s="40"/>
      <c r="P160" s="31"/>
      <c r="Q160" s="40"/>
      <c r="R160" s="31"/>
      <c r="S160" s="31"/>
      <c r="T160" s="31"/>
      <c r="U160" s="40"/>
      <c r="V160" s="31"/>
      <c r="W160" s="31"/>
      <c r="X160" s="31"/>
      <c r="Y160" s="31"/>
      <c r="Z160" s="31"/>
      <c r="AA160" s="31"/>
      <c r="AB160" s="31">
        <v>6</v>
      </c>
      <c r="AC160" s="31"/>
      <c r="AD160" s="46"/>
      <c r="AE160" s="46">
        <v>6</v>
      </c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55">
        <f t="shared" si="29"/>
        <v>12</v>
      </c>
      <c r="AZ160" s="56">
        <v>0</v>
      </c>
      <c r="BA160" s="57">
        <v>0</v>
      </c>
      <c r="BB160" s="57">
        <f>+'[1]25'!R261</f>
        <v>12</v>
      </c>
      <c r="BC160" s="57"/>
      <c r="BD160" s="57"/>
      <c r="BE160" s="57"/>
      <c r="BF160" s="57"/>
      <c r="BG160" s="57"/>
      <c r="BH160" s="57"/>
      <c r="BI160" s="55">
        <f t="shared" si="30"/>
        <v>12</v>
      </c>
      <c r="BJ160" s="69">
        <f t="shared" si="31"/>
        <v>0</v>
      </c>
      <c r="BK160" s="69">
        <f t="shared" si="28"/>
        <v>0</v>
      </c>
      <c r="BM160" s="75"/>
      <c r="BN160" s="57">
        <f t="shared" si="35"/>
        <v>0</v>
      </c>
      <c r="BO160" s="80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9">
        <f t="shared" si="36"/>
        <v>0</v>
      </c>
      <c r="CB160" s="148"/>
      <c r="CC160" s="2" t="str">
        <v>M45</v>
      </c>
      <c r="CD160" s="90">
        <v>33</v>
      </c>
      <c r="CE160" s="92">
        <f t="shared" si="37"/>
        <v>12.043795620437956</v>
      </c>
    </row>
    <row r="161" spans="1:83" s="2" customFormat="1" ht="19.5" thickBot="1" x14ac:dyDescent="0.35">
      <c r="A161" s="17">
        <v>173</v>
      </c>
      <c r="B161" s="135"/>
      <c r="C161" s="18" t="s">
        <v>82</v>
      </c>
      <c r="D161" s="19"/>
      <c r="E161" s="19"/>
      <c r="F161" s="19"/>
      <c r="G161" s="30"/>
      <c r="H161" s="31"/>
      <c r="I161" s="40"/>
      <c r="J161" s="31"/>
      <c r="K161" s="40"/>
      <c r="L161" s="31"/>
      <c r="M161" s="40"/>
      <c r="N161" s="31"/>
      <c r="O161" s="40"/>
      <c r="P161" s="31"/>
      <c r="Q161" s="40"/>
      <c r="R161" s="31"/>
      <c r="S161" s="31"/>
      <c r="T161" s="31"/>
      <c r="U161" s="40"/>
      <c r="V161" s="31"/>
      <c r="W161" s="31"/>
      <c r="X161" s="31"/>
      <c r="Y161" s="31"/>
      <c r="Z161" s="31"/>
      <c r="AA161" s="31"/>
      <c r="AB161" s="31">
        <v>9</v>
      </c>
      <c r="AC161" s="31"/>
      <c r="AD161" s="46"/>
      <c r="AE161" s="46">
        <v>12</v>
      </c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55">
        <f t="shared" si="29"/>
        <v>21</v>
      </c>
      <c r="AZ161" s="56">
        <v>0</v>
      </c>
      <c r="BA161" s="57">
        <v>0</v>
      </c>
      <c r="BB161" s="57">
        <v>21</v>
      </c>
      <c r="BC161" s="57"/>
      <c r="BD161" s="57"/>
      <c r="BE161" s="57"/>
      <c r="BF161" s="57"/>
      <c r="BG161" s="57"/>
      <c r="BH161" s="57"/>
      <c r="BI161" s="55">
        <f t="shared" si="30"/>
        <v>21</v>
      </c>
      <c r="BJ161" s="69">
        <f t="shared" si="31"/>
        <v>0</v>
      </c>
      <c r="BK161" s="69">
        <f t="shared" si="28"/>
        <v>0</v>
      </c>
      <c r="BM161" s="75"/>
      <c r="BN161" s="57">
        <f t="shared" si="35"/>
        <v>0</v>
      </c>
      <c r="BO161" s="80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9">
        <f t="shared" si="36"/>
        <v>0</v>
      </c>
      <c r="CB161" s="148"/>
      <c r="CC161" s="2" t="str">
        <v>M46</v>
      </c>
      <c r="CD161" s="90">
        <v>17</v>
      </c>
      <c r="CE161" s="92">
        <f t="shared" si="37"/>
        <v>6.2043795620437958</v>
      </c>
    </row>
    <row r="162" spans="1:83" s="2" customFormat="1" ht="19.5" thickBot="1" x14ac:dyDescent="0.35">
      <c r="A162" s="17">
        <v>174</v>
      </c>
      <c r="B162" s="135"/>
      <c r="C162" s="18" t="s">
        <v>83</v>
      </c>
      <c r="D162" s="19"/>
      <c r="E162" s="19"/>
      <c r="F162" s="19"/>
      <c r="G162" s="30"/>
      <c r="H162" s="31"/>
      <c r="I162" s="40"/>
      <c r="J162" s="31"/>
      <c r="K162" s="40"/>
      <c r="L162" s="31"/>
      <c r="M162" s="40"/>
      <c r="N162" s="31"/>
      <c r="O162" s="40"/>
      <c r="P162" s="31"/>
      <c r="Q162" s="40"/>
      <c r="R162" s="31"/>
      <c r="S162" s="31"/>
      <c r="T162" s="31"/>
      <c r="U162" s="40"/>
      <c r="V162" s="31"/>
      <c r="W162" s="31"/>
      <c r="X162" s="31"/>
      <c r="Y162" s="31"/>
      <c r="Z162" s="31"/>
      <c r="AA162" s="31"/>
      <c r="AB162" s="31">
        <v>21</v>
      </c>
      <c r="AC162" s="31"/>
      <c r="AD162" s="46"/>
      <c r="AE162" s="46">
        <v>18</v>
      </c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55">
        <f t="shared" si="29"/>
        <v>39</v>
      </c>
      <c r="AZ162" s="56">
        <v>0</v>
      </c>
      <c r="BA162" s="57">
        <v>0</v>
      </c>
      <c r="BB162" s="57">
        <v>39</v>
      </c>
      <c r="BC162" s="57"/>
      <c r="BD162" s="57"/>
      <c r="BE162" s="57"/>
      <c r="BF162" s="57"/>
      <c r="BG162" s="57"/>
      <c r="BH162" s="57"/>
      <c r="BI162" s="55">
        <f t="shared" si="30"/>
        <v>39</v>
      </c>
      <c r="BJ162" s="69">
        <f t="shared" si="31"/>
        <v>0</v>
      </c>
      <c r="BK162" s="69">
        <f t="shared" si="28"/>
        <v>0</v>
      </c>
      <c r="BM162" s="75"/>
      <c r="BN162" s="57">
        <f t="shared" si="35"/>
        <v>0</v>
      </c>
      <c r="BO162" s="80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9">
        <f t="shared" si="36"/>
        <v>0</v>
      </c>
      <c r="CB162" s="148"/>
      <c r="CC162" s="2" t="str">
        <v>M47</v>
      </c>
      <c r="CD162" s="90">
        <v>7</v>
      </c>
      <c r="CE162" s="92">
        <f t="shared" si="37"/>
        <v>2.5547445255474455</v>
      </c>
    </row>
    <row r="163" spans="1:83" s="2" customFormat="1" ht="19.5" thickBot="1" x14ac:dyDescent="0.35">
      <c r="A163" s="17">
        <v>175</v>
      </c>
      <c r="B163" s="135"/>
      <c r="C163" s="18" t="s">
        <v>84</v>
      </c>
      <c r="D163" s="19"/>
      <c r="E163" s="19"/>
      <c r="F163" s="19"/>
      <c r="G163" s="30"/>
      <c r="H163" s="31"/>
      <c r="I163" s="40"/>
      <c r="J163" s="31"/>
      <c r="K163" s="40"/>
      <c r="L163" s="31"/>
      <c r="M163" s="40"/>
      <c r="N163" s="31"/>
      <c r="O163" s="40"/>
      <c r="P163" s="31"/>
      <c r="Q163" s="40"/>
      <c r="R163" s="31"/>
      <c r="S163" s="31"/>
      <c r="T163" s="31"/>
      <c r="U163" s="40"/>
      <c r="V163" s="31"/>
      <c r="W163" s="31"/>
      <c r="X163" s="31"/>
      <c r="Y163" s="31"/>
      <c r="Z163" s="31"/>
      <c r="AA163" s="31"/>
      <c r="AB163" s="31">
        <v>24</v>
      </c>
      <c r="AC163" s="31"/>
      <c r="AD163" s="46"/>
      <c r="AE163" s="46">
        <v>48</v>
      </c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55">
        <f t="shared" si="29"/>
        <v>72</v>
      </c>
      <c r="AZ163" s="56">
        <v>0</v>
      </c>
      <c r="BA163" s="57">
        <v>0</v>
      </c>
      <c r="BB163" s="57">
        <v>72</v>
      </c>
      <c r="BC163" s="57"/>
      <c r="BD163" s="57"/>
      <c r="BE163" s="57"/>
      <c r="BF163" s="57"/>
      <c r="BG163" s="57"/>
      <c r="BH163" s="57"/>
      <c r="BI163" s="55">
        <f t="shared" si="30"/>
        <v>72</v>
      </c>
      <c r="BJ163" s="69">
        <f t="shared" si="31"/>
        <v>0</v>
      </c>
      <c r="BK163" s="69">
        <f t="shared" si="28"/>
        <v>0</v>
      </c>
      <c r="BM163" s="75"/>
      <c r="BN163" s="57">
        <f t="shared" si="35"/>
        <v>0</v>
      </c>
      <c r="BO163" s="80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9">
        <f t="shared" si="36"/>
        <v>0</v>
      </c>
      <c r="CB163" s="148"/>
      <c r="CC163" s="2" t="str">
        <v>M48</v>
      </c>
      <c r="CD163" s="90">
        <v>3</v>
      </c>
      <c r="CE163" s="92">
        <f t="shared" si="37"/>
        <v>1.0948905109489051</v>
      </c>
    </row>
    <row r="164" spans="1:83" s="2" customFormat="1" ht="19.5" thickBot="1" x14ac:dyDescent="0.35">
      <c r="A164" s="17">
        <v>176</v>
      </c>
      <c r="B164" s="135"/>
      <c r="C164" s="18" t="s">
        <v>85</v>
      </c>
      <c r="D164" s="19"/>
      <c r="E164" s="19"/>
      <c r="F164" s="19"/>
      <c r="G164" s="30"/>
      <c r="H164" s="31"/>
      <c r="I164" s="40"/>
      <c r="J164" s="31"/>
      <c r="K164" s="40"/>
      <c r="L164" s="31"/>
      <c r="M164" s="40"/>
      <c r="N164" s="31"/>
      <c r="O164" s="40"/>
      <c r="P164" s="31"/>
      <c r="Q164" s="40"/>
      <c r="R164" s="31"/>
      <c r="S164" s="31"/>
      <c r="T164" s="31"/>
      <c r="U164" s="40"/>
      <c r="V164" s="31"/>
      <c r="W164" s="31"/>
      <c r="X164" s="31"/>
      <c r="Y164" s="31"/>
      <c r="Z164" s="31"/>
      <c r="AA164" s="31"/>
      <c r="AB164" s="31">
        <v>24</v>
      </c>
      <c r="AC164" s="31"/>
      <c r="AD164" s="46"/>
      <c r="AE164" s="46">
        <v>42</v>
      </c>
      <c r="AF164" s="46"/>
      <c r="AG164" s="46"/>
      <c r="AH164" s="46"/>
      <c r="AI164" s="46">
        <v>-2</v>
      </c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55">
        <f t="shared" si="29"/>
        <v>64</v>
      </c>
      <c r="AZ164" s="56">
        <v>0</v>
      </c>
      <c r="BA164" s="57">
        <v>0</v>
      </c>
      <c r="BB164" s="57">
        <v>64</v>
      </c>
      <c r="BC164" s="57"/>
      <c r="BD164" s="57"/>
      <c r="BE164" s="57"/>
      <c r="BF164" s="57"/>
      <c r="BG164" s="57"/>
      <c r="BH164" s="57"/>
      <c r="BI164" s="55">
        <f t="shared" si="30"/>
        <v>64</v>
      </c>
      <c r="BJ164" s="69">
        <f t="shared" si="31"/>
        <v>0</v>
      </c>
      <c r="BK164" s="69">
        <f t="shared" si="28"/>
        <v>0</v>
      </c>
      <c r="BM164" s="75"/>
      <c r="BN164" s="57">
        <f t="shared" si="35"/>
        <v>0</v>
      </c>
      <c r="BO164" s="80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9">
        <f t="shared" si="36"/>
        <v>0</v>
      </c>
      <c r="CB164" s="148"/>
      <c r="CC164" s="91" t="str">
        <v>Total</v>
      </c>
      <c r="CD164" s="88">
        <v>274</v>
      </c>
      <c r="CE164" s="93">
        <f>SUM(CE154:CE163)</f>
        <v>100.00000000000001</v>
      </c>
    </row>
    <row r="165" spans="1:83" s="2" customFormat="1" ht="19.5" thickBot="1" x14ac:dyDescent="0.35">
      <c r="A165" s="17">
        <v>177</v>
      </c>
      <c r="B165" s="135"/>
      <c r="C165" s="18" t="s">
        <v>86</v>
      </c>
      <c r="D165" s="19"/>
      <c r="E165" s="19"/>
      <c r="F165" s="19"/>
      <c r="G165" s="30"/>
      <c r="H165" s="31"/>
      <c r="I165" s="40"/>
      <c r="J165" s="31"/>
      <c r="K165" s="40"/>
      <c r="L165" s="31"/>
      <c r="M165" s="40"/>
      <c r="N165" s="31"/>
      <c r="O165" s="40"/>
      <c r="P165" s="31"/>
      <c r="Q165" s="40"/>
      <c r="R165" s="31"/>
      <c r="S165" s="31"/>
      <c r="T165" s="31"/>
      <c r="U165" s="40"/>
      <c r="V165" s="31"/>
      <c r="W165" s="31"/>
      <c r="X165" s="31"/>
      <c r="Y165" s="31"/>
      <c r="Z165" s="31"/>
      <c r="AA165" s="31"/>
      <c r="AB165" s="31">
        <v>15</v>
      </c>
      <c r="AC165" s="31"/>
      <c r="AD165" s="46"/>
      <c r="AE165" s="46">
        <v>24</v>
      </c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55">
        <f t="shared" si="29"/>
        <v>39</v>
      </c>
      <c r="AZ165" s="56">
        <v>0</v>
      </c>
      <c r="BA165" s="57">
        <v>0</v>
      </c>
      <c r="BB165" s="57">
        <f>+'[1]25'!R266</f>
        <v>39</v>
      </c>
      <c r="BC165" s="57"/>
      <c r="BD165" s="57"/>
      <c r="BE165" s="57"/>
      <c r="BF165" s="57"/>
      <c r="BG165" s="57"/>
      <c r="BH165" s="57"/>
      <c r="BI165" s="55">
        <f t="shared" si="30"/>
        <v>39</v>
      </c>
      <c r="BJ165" s="69">
        <f t="shared" si="31"/>
        <v>0</v>
      </c>
      <c r="BK165" s="69">
        <f t="shared" si="28"/>
        <v>0</v>
      </c>
      <c r="BM165" s="75"/>
      <c r="BN165" s="57">
        <f t="shared" si="35"/>
        <v>0</v>
      </c>
      <c r="BO165" s="80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9">
        <f t="shared" si="36"/>
        <v>0</v>
      </c>
      <c r="CB165" s="148" t="s">
        <v>110</v>
      </c>
      <c r="CC165" s="2" t="str" cm="1">
        <f t="array" ref="CC165:CD174">_xlfn.GROUPBY(C491:C499,BI491:BI499,_xleta.SUM)</f>
        <v>M39</v>
      </c>
      <c r="CD165" s="90">
        <v>0</v>
      </c>
      <c r="CE165" s="92" t="e">
        <f>+CD165/$CD$174*100</f>
        <v>#DIV/0!</v>
      </c>
    </row>
    <row r="166" spans="1:83" s="2" customFormat="1" ht="19.5" thickBot="1" x14ac:dyDescent="0.35">
      <c r="A166" s="17">
        <v>178</v>
      </c>
      <c r="B166" s="135"/>
      <c r="C166" s="20" t="s">
        <v>87</v>
      </c>
      <c r="D166" s="21"/>
      <c r="E166" s="21"/>
      <c r="F166" s="21"/>
      <c r="G166" s="32"/>
      <c r="H166" s="33"/>
      <c r="I166" s="41"/>
      <c r="J166" s="33"/>
      <c r="K166" s="41"/>
      <c r="L166" s="33"/>
      <c r="M166" s="41"/>
      <c r="N166" s="33"/>
      <c r="O166" s="41"/>
      <c r="P166" s="33"/>
      <c r="Q166" s="41"/>
      <c r="R166" s="33"/>
      <c r="S166" s="33"/>
      <c r="T166" s="33"/>
      <c r="U166" s="41"/>
      <c r="V166" s="33"/>
      <c r="W166" s="33"/>
      <c r="X166" s="33"/>
      <c r="Y166" s="33"/>
      <c r="Z166" s="33"/>
      <c r="AA166" s="33"/>
      <c r="AB166" s="33">
        <v>9</v>
      </c>
      <c r="AC166" s="33"/>
      <c r="AD166" s="47"/>
      <c r="AE166" s="47">
        <v>6</v>
      </c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55">
        <f t="shared" si="29"/>
        <v>15</v>
      </c>
      <c r="AZ166" s="59">
        <v>0</v>
      </c>
      <c r="BA166" s="60">
        <v>0</v>
      </c>
      <c r="BB166" s="60">
        <f>+'[1]25'!R267</f>
        <v>15</v>
      </c>
      <c r="BC166" s="60"/>
      <c r="BD166" s="60"/>
      <c r="BE166" s="60"/>
      <c r="BF166" s="60"/>
      <c r="BG166" s="60"/>
      <c r="BH166" s="60"/>
      <c r="BI166" s="58">
        <f t="shared" si="30"/>
        <v>15</v>
      </c>
      <c r="BJ166" s="70">
        <f t="shared" si="31"/>
        <v>0</v>
      </c>
      <c r="BK166" s="70">
        <f t="shared" si="28"/>
        <v>0</v>
      </c>
      <c r="BL166" s="76"/>
      <c r="BM166" s="77"/>
      <c r="BN166" s="60">
        <f t="shared" si="35"/>
        <v>0</v>
      </c>
      <c r="BO166" s="82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9">
        <f t="shared" si="36"/>
        <v>0</v>
      </c>
      <c r="CB166" s="148"/>
      <c r="CC166" s="2" t="str">
        <v>M40</v>
      </c>
      <c r="CD166" s="90">
        <v>0</v>
      </c>
      <c r="CE166" s="92" t="e">
        <f t="shared" ref="CE166:CE173" si="38">+CD166/$CD$174*100</f>
        <v>#DIV/0!</v>
      </c>
    </row>
    <row r="167" spans="1:83" s="2" customFormat="1" ht="19.5" thickBot="1" x14ac:dyDescent="0.35">
      <c r="A167" s="17">
        <v>179</v>
      </c>
      <c r="B167" s="134" t="s">
        <v>111</v>
      </c>
      <c r="C167" s="18" t="s">
        <v>106</v>
      </c>
      <c r="D167" s="19"/>
      <c r="E167" s="19"/>
      <c r="F167" s="19"/>
      <c r="G167" s="30"/>
      <c r="H167" s="31"/>
      <c r="I167" s="40"/>
      <c r="J167" s="31"/>
      <c r="K167" s="40"/>
      <c r="L167" s="31"/>
      <c r="M167" s="40"/>
      <c r="N167" s="31"/>
      <c r="O167" s="40"/>
      <c r="P167" s="31"/>
      <c r="Q167" s="40"/>
      <c r="R167" s="31"/>
      <c r="S167" s="31"/>
      <c r="T167" s="31"/>
      <c r="U167" s="40"/>
      <c r="V167" s="31"/>
      <c r="W167" s="31"/>
      <c r="X167" s="31"/>
      <c r="Y167" s="31"/>
      <c r="Z167" s="31"/>
      <c r="AA167" s="31"/>
      <c r="AB167" s="31">
        <v>6</v>
      </c>
      <c r="AC167" s="31"/>
      <c r="AD167" s="46"/>
      <c r="AE167" s="46"/>
      <c r="AF167" s="46"/>
      <c r="AG167" s="46"/>
      <c r="AH167" s="46"/>
      <c r="AI167" s="46"/>
      <c r="AJ167" s="46">
        <v>18</v>
      </c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55">
        <f t="shared" si="29"/>
        <v>24</v>
      </c>
      <c r="AZ167" s="56">
        <v>0</v>
      </c>
      <c r="BA167" s="57">
        <v>0</v>
      </c>
      <c r="BB167" s="57">
        <f>+'[1]25'!R268</f>
        <v>17</v>
      </c>
      <c r="BC167" s="57">
        <v>7</v>
      </c>
      <c r="BD167" s="57"/>
      <c r="BE167" s="57"/>
      <c r="BF167" s="57"/>
      <c r="BG167" s="57"/>
      <c r="BH167" s="57"/>
      <c r="BI167" s="55">
        <f t="shared" si="30"/>
        <v>24</v>
      </c>
      <c r="BJ167" s="69">
        <f t="shared" si="31"/>
        <v>0</v>
      </c>
      <c r="BK167" s="69">
        <f t="shared" si="28"/>
        <v>0</v>
      </c>
      <c r="BM167" s="75"/>
      <c r="BN167" s="57">
        <f t="shared" si="35"/>
        <v>0</v>
      </c>
      <c r="BO167" s="80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9">
        <f t="shared" si="36"/>
        <v>0</v>
      </c>
      <c r="CB167" s="148"/>
      <c r="CC167" s="2" t="str">
        <v>M41</v>
      </c>
      <c r="CD167" s="90">
        <v>0</v>
      </c>
      <c r="CE167" s="92" t="e">
        <f t="shared" si="38"/>
        <v>#DIV/0!</v>
      </c>
    </row>
    <row r="168" spans="1:83" s="2" customFormat="1" ht="19.5" thickBot="1" x14ac:dyDescent="0.35">
      <c r="A168" s="17">
        <v>180</v>
      </c>
      <c r="B168" s="135"/>
      <c r="C168" s="18" t="s">
        <v>82</v>
      </c>
      <c r="D168" s="19"/>
      <c r="E168" s="19"/>
      <c r="F168" s="19"/>
      <c r="G168" s="30"/>
      <c r="H168" s="31"/>
      <c r="I168" s="40"/>
      <c r="J168" s="31"/>
      <c r="K168" s="40"/>
      <c r="L168" s="31"/>
      <c r="M168" s="40"/>
      <c r="N168" s="31"/>
      <c r="O168" s="40"/>
      <c r="P168" s="31"/>
      <c r="Q168" s="40"/>
      <c r="R168" s="31"/>
      <c r="S168" s="31"/>
      <c r="T168" s="31"/>
      <c r="U168" s="40"/>
      <c r="V168" s="31"/>
      <c r="W168" s="31"/>
      <c r="X168" s="31"/>
      <c r="Y168" s="31"/>
      <c r="Z168" s="31"/>
      <c r="AA168" s="31"/>
      <c r="AB168" s="31">
        <v>12</v>
      </c>
      <c r="AC168" s="31"/>
      <c r="AD168" s="46"/>
      <c r="AE168" s="46"/>
      <c r="AF168" s="46"/>
      <c r="AG168" s="46"/>
      <c r="AH168" s="46"/>
      <c r="AI168" s="46"/>
      <c r="AJ168" s="46">
        <v>60</v>
      </c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55">
        <f t="shared" si="29"/>
        <v>72</v>
      </c>
      <c r="AZ168" s="56">
        <v>0</v>
      </c>
      <c r="BA168" s="57">
        <v>0</v>
      </c>
      <c r="BB168" s="57">
        <f>+'[1]25'!R269</f>
        <v>36</v>
      </c>
      <c r="BC168" s="57">
        <v>36</v>
      </c>
      <c r="BD168" s="57"/>
      <c r="BE168" s="57"/>
      <c r="BF168" s="57"/>
      <c r="BG168" s="57"/>
      <c r="BH168" s="57"/>
      <c r="BI168" s="55">
        <f t="shared" si="30"/>
        <v>72</v>
      </c>
      <c r="BJ168" s="69">
        <f t="shared" si="31"/>
        <v>0</v>
      </c>
      <c r="BK168" s="69">
        <f t="shared" si="28"/>
        <v>0</v>
      </c>
      <c r="BM168" s="75"/>
      <c r="BN168" s="57">
        <f t="shared" si="35"/>
        <v>0</v>
      </c>
      <c r="BO168" s="80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9">
        <f t="shared" si="36"/>
        <v>0</v>
      </c>
      <c r="CB168" s="148"/>
      <c r="CC168" s="2" t="str">
        <v>M42</v>
      </c>
      <c r="CD168" s="90">
        <v>0</v>
      </c>
      <c r="CE168" s="92" t="e">
        <f t="shared" si="38"/>
        <v>#DIV/0!</v>
      </c>
    </row>
    <row r="169" spans="1:83" s="2" customFormat="1" ht="19.5" thickBot="1" x14ac:dyDescent="0.35">
      <c r="A169" s="17">
        <v>181</v>
      </c>
      <c r="B169" s="135"/>
      <c r="C169" s="18" t="s">
        <v>83</v>
      </c>
      <c r="D169" s="19"/>
      <c r="E169" s="19"/>
      <c r="F169" s="19"/>
      <c r="G169" s="30"/>
      <c r="H169" s="31"/>
      <c r="I169" s="40"/>
      <c r="J169" s="31"/>
      <c r="K169" s="40"/>
      <c r="L169" s="31"/>
      <c r="M169" s="40"/>
      <c r="N169" s="31"/>
      <c r="O169" s="40"/>
      <c r="P169" s="31"/>
      <c r="Q169" s="40"/>
      <c r="R169" s="31"/>
      <c r="S169" s="31"/>
      <c r="T169" s="31"/>
      <c r="U169" s="40"/>
      <c r="V169" s="31"/>
      <c r="W169" s="31"/>
      <c r="X169" s="31"/>
      <c r="Y169" s="31"/>
      <c r="Z169" s="31"/>
      <c r="AA169" s="31"/>
      <c r="AB169" s="31">
        <v>24</v>
      </c>
      <c r="AC169" s="31"/>
      <c r="AD169" s="46"/>
      <c r="AE169" s="46"/>
      <c r="AF169" s="46"/>
      <c r="AG169" s="46"/>
      <c r="AH169" s="46"/>
      <c r="AI169" s="46"/>
      <c r="AJ169" s="46">
        <v>114</v>
      </c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55">
        <f t="shared" si="29"/>
        <v>138</v>
      </c>
      <c r="AZ169" s="56">
        <v>0</v>
      </c>
      <c r="BA169" s="57">
        <v>0</v>
      </c>
      <c r="BB169" s="57">
        <f>+'[1]25'!R270</f>
        <v>63</v>
      </c>
      <c r="BC169" s="57">
        <v>75</v>
      </c>
      <c r="BD169" s="57"/>
      <c r="BE169" s="57"/>
      <c r="BF169" s="57"/>
      <c r="BG169" s="57"/>
      <c r="BH169" s="57"/>
      <c r="BI169" s="55">
        <f t="shared" si="30"/>
        <v>138</v>
      </c>
      <c r="BJ169" s="69">
        <f t="shared" si="31"/>
        <v>0</v>
      </c>
      <c r="BK169" s="69">
        <f t="shared" si="28"/>
        <v>0</v>
      </c>
      <c r="BM169" s="75"/>
      <c r="BN169" s="57">
        <f t="shared" si="35"/>
        <v>0</v>
      </c>
      <c r="BO169" s="80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9">
        <f t="shared" si="36"/>
        <v>0</v>
      </c>
      <c r="CB169" s="148"/>
      <c r="CC169" s="2" t="str">
        <v>M43</v>
      </c>
      <c r="CD169" s="90">
        <v>0</v>
      </c>
      <c r="CE169" s="92" t="e">
        <f t="shared" si="38"/>
        <v>#DIV/0!</v>
      </c>
    </row>
    <row r="170" spans="1:83" s="2" customFormat="1" ht="19.5" thickBot="1" x14ac:dyDescent="0.35">
      <c r="A170" s="17">
        <v>182</v>
      </c>
      <c r="B170" s="135"/>
      <c r="C170" s="18" t="s">
        <v>84</v>
      </c>
      <c r="D170" s="19"/>
      <c r="E170" s="19"/>
      <c r="F170" s="19"/>
      <c r="G170" s="30"/>
      <c r="H170" s="31"/>
      <c r="I170" s="40"/>
      <c r="J170" s="31"/>
      <c r="K170" s="40"/>
      <c r="L170" s="31"/>
      <c r="M170" s="40"/>
      <c r="N170" s="31"/>
      <c r="O170" s="40"/>
      <c r="P170" s="31"/>
      <c r="Q170" s="40"/>
      <c r="R170" s="31"/>
      <c r="S170" s="31"/>
      <c r="T170" s="31"/>
      <c r="U170" s="40"/>
      <c r="V170" s="31"/>
      <c r="W170" s="31"/>
      <c r="X170" s="31"/>
      <c r="Y170" s="31"/>
      <c r="Z170" s="31"/>
      <c r="AA170" s="31"/>
      <c r="AB170" s="31">
        <v>30</v>
      </c>
      <c r="AC170" s="31"/>
      <c r="AD170" s="46"/>
      <c r="AE170" s="46"/>
      <c r="AF170" s="46"/>
      <c r="AG170" s="46"/>
      <c r="AH170" s="46"/>
      <c r="AI170" s="46"/>
      <c r="AJ170" s="46">
        <v>132</v>
      </c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55">
        <f t="shared" si="29"/>
        <v>162</v>
      </c>
      <c r="AZ170" s="56">
        <v>0</v>
      </c>
      <c r="BA170" s="57">
        <v>0</v>
      </c>
      <c r="BB170" s="57">
        <f>+'[1]25'!R271</f>
        <v>64</v>
      </c>
      <c r="BC170" s="57">
        <v>98</v>
      </c>
      <c r="BD170" s="57"/>
      <c r="BE170" s="57"/>
      <c r="BF170" s="57"/>
      <c r="BG170" s="57"/>
      <c r="BH170" s="57"/>
      <c r="BI170" s="55">
        <f t="shared" si="30"/>
        <v>162</v>
      </c>
      <c r="BJ170" s="69">
        <f t="shared" si="31"/>
        <v>0</v>
      </c>
      <c r="BK170" s="69">
        <f t="shared" si="28"/>
        <v>0</v>
      </c>
      <c r="BM170" s="75"/>
      <c r="BN170" s="57">
        <f t="shared" si="35"/>
        <v>0</v>
      </c>
      <c r="BO170" s="80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9">
        <f t="shared" si="36"/>
        <v>0</v>
      </c>
      <c r="CB170" s="148"/>
      <c r="CC170" s="2" t="str">
        <v>M44</v>
      </c>
      <c r="CD170" s="90">
        <v>0</v>
      </c>
      <c r="CE170" s="92" t="e">
        <f t="shared" si="38"/>
        <v>#DIV/0!</v>
      </c>
    </row>
    <row r="171" spans="1:83" s="2" customFormat="1" ht="19.5" thickBot="1" x14ac:dyDescent="0.35">
      <c r="A171" s="17">
        <v>183</v>
      </c>
      <c r="B171" s="135"/>
      <c r="C171" s="18" t="s">
        <v>85</v>
      </c>
      <c r="D171" s="19"/>
      <c r="E171" s="19"/>
      <c r="F171" s="19"/>
      <c r="G171" s="30"/>
      <c r="H171" s="31"/>
      <c r="I171" s="40"/>
      <c r="J171" s="31"/>
      <c r="K171" s="40"/>
      <c r="L171" s="31"/>
      <c r="M171" s="40"/>
      <c r="N171" s="31"/>
      <c r="O171" s="40"/>
      <c r="P171" s="31"/>
      <c r="Q171" s="40"/>
      <c r="R171" s="31"/>
      <c r="S171" s="31"/>
      <c r="T171" s="31"/>
      <c r="U171" s="40"/>
      <c r="V171" s="31"/>
      <c r="W171" s="31"/>
      <c r="X171" s="31"/>
      <c r="Y171" s="31"/>
      <c r="Z171" s="31"/>
      <c r="AA171" s="31"/>
      <c r="AB171" s="31">
        <v>27</v>
      </c>
      <c r="AC171" s="31"/>
      <c r="AD171" s="46"/>
      <c r="AE171" s="46"/>
      <c r="AF171" s="46"/>
      <c r="AG171" s="46"/>
      <c r="AH171" s="46"/>
      <c r="AI171" s="46"/>
      <c r="AJ171" s="46">
        <v>120</v>
      </c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55">
        <f t="shared" si="29"/>
        <v>147</v>
      </c>
      <c r="AZ171" s="56">
        <v>0</v>
      </c>
      <c r="BA171" s="57">
        <v>0</v>
      </c>
      <c r="BB171" s="57">
        <f>+'[1]25'!R272</f>
        <v>65</v>
      </c>
      <c r="BC171" s="57">
        <v>82</v>
      </c>
      <c r="BD171" s="57"/>
      <c r="BE171" s="57"/>
      <c r="BF171" s="57"/>
      <c r="BG171" s="57"/>
      <c r="BH171" s="57"/>
      <c r="BI171" s="55">
        <f t="shared" si="30"/>
        <v>147</v>
      </c>
      <c r="BJ171" s="69">
        <f t="shared" si="31"/>
        <v>0</v>
      </c>
      <c r="BK171" s="69">
        <f t="shared" si="28"/>
        <v>0</v>
      </c>
      <c r="BM171" s="75"/>
      <c r="BN171" s="57">
        <f t="shared" si="35"/>
        <v>0</v>
      </c>
      <c r="BO171" s="80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9">
        <f t="shared" si="36"/>
        <v>0</v>
      </c>
      <c r="CB171" s="148"/>
      <c r="CC171" s="2" t="str">
        <v>M45</v>
      </c>
      <c r="CD171" s="90">
        <v>0</v>
      </c>
      <c r="CE171" s="92" t="e">
        <f t="shared" si="38"/>
        <v>#DIV/0!</v>
      </c>
    </row>
    <row r="172" spans="1:83" s="2" customFormat="1" ht="19.5" thickBot="1" x14ac:dyDescent="0.35">
      <c r="A172" s="17">
        <v>184</v>
      </c>
      <c r="B172" s="135"/>
      <c r="C172" s="18" t="s">
        <v>86</v>
      </c>
      <c r="D172" s="19"/>
      <c r="E172" s="19"/>
      <c r="F172" s="19"/>
      <c r="G172" s="30"/>
      <c r="H172" s="31"/>
      <c r="I172" s="40"/>
      <c r="J172" s="31"/>
      <c r="K172" s="40"/>
      <c r="L172" s="31"/>
      <c r="M172" s="40"/>
      <c r="N172" s="31"/>
      <c r="O172" s="40"/>
      <c r="P172" s="31"/>
      <c r="Q172" s="40"/>
      <c r="R172" s="31"/>
      <c r="S172" s="31"/>
      <c r="T172" s="31"/>
      <c r="U172" s="40"/>
      <c r="V172" s="31"/>
      <c r="W172" s="31"/>
      <c r="X172" s="31"/>
      <c r="Y172" s="31"/>
      <c r="Z172" s="31"/>
      <c r="AA172" s="31"/>
      <c r="AB172" s="31">
        <v>18</v>
      </c>
      <c r="AC172" s="31"/>
      <c r="AD172" s="46"/>
      <c r="AE172" s="46"/>
      <c r="AF172" s="46"/>
      <c r="AG172" s="46"/>
      <c r="AH172" s="46"/>
      <c r="AI172" s="46"/>
      <c r="AJ172" s="46">
        <v>72</v>
      </c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55">
        <f t="shared" si="29"/>
        <v>90</v>
      </c>
      <c r="AZ172" s="56">
        <v>0</v>
      </c>
      <c r="BA172" s="57">
        <v>0</v>
      </c>
      <c r="BB172" s="57">
        <f>+'[1]25'!R273</f>
        <v>43</v>
      </c>
      <c r="BC172" s="57">
        <v>43</v>
      </c>
      <c r="BD172" s="57"/>
      <c r="BE172" s="57"/>
      <c r="BF172" s="57"/>
      <c r="BG172" s="57"/>
      <c r="BH172" s="57"/>
      <c r="BI172" s="55">
        <f t="shared" si="30"/>
        <v>86</v>
      </c>
      <c r="BJ172" s="69">
        <f t="shared" si="31"/>
        <v>4</v>
      </c>
      <c r="BK172" s="69">
        <f t="shared" si="28"/>
        <v>0</v>
      </c>
      <c r="BM172" s="75"/>
      <c r="BN172" s="57">
        <f t="shared" si="35"/>
        <v>4</v>
      </c>
      <c r="BO172" s="80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9">
        <f t="shared" si="36"/>
        <v>0</v>
      </c>
      <c r="CB172" s="148"/>
      <c r="CC172" s="2" t="str">
        <v>M46</v>
      </c>
      <c r="CD172" s="90">
        <v>0</v>
      </c>
      <c r="CE172" s="92" t="e">
        <f t="shared" si="38"/>
        <v>#DIV/0!</v>
      </c>
    </row>
    <row r="173" spans="1:83" s="2" customFormat="1" ht="19.5" thickBot="1" x14ac:dyDescent="0.35">
      <c r="A173" s="17">
        <v>185</v>
      </c>
      <c r="B173" s="135"/>
      <c r="C173" s="18" t="s">
        <v>87</v>
      </c>
      <c r="D173" s="19"/>
      <c r="E173" s="19"/>
      <c r="F173" s="19"/>
      <c r="G173" s="30"/>
      <c r="H173" s="31"/>
      <c r="I173" s="40"/>
      <c r="J173" s="31"/>
      <c r="K173" s="40"/>
      <c r="L173" s="31"/>
      <c r="M173" s="40"/>
      <c r="N173" s="31"/>
      <c r="O173" s="40"/>
      <c r="P173" s="31"/>
      <c r="Q173" s="40"/>
      <c r="R173" s="31"/>
      <c r="S173" s="31"/>
      <c r="T173" s="31"/>
      <c r="U173" s="40"/>
      <c r="V173" s="31"/>
      <c r="W173" s="31"/>
      <c r="X173" s="31"/>
      <c r="Y173" s="31"/>
      <c r="Z173" s="31"/>
      <c r="AA173" s="31"/>
      <c r="AB173" s="31">
        <v>9</v>
      </c>
      <c r="AC173" s="31"/>
      <c r="AD173" s="46"/>
      <c r="AE173" s="46"/>
      <c r="AF173" s="46"/>
      <c r="AG173" s="46"/>
      <c r="AH173" s="46"/>
      <c r="AI173" s="46"/>
      <c r="AJ173" s="46">
        <v>36</v>
      </c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55">
        <f t="shared" si="29"/>
        <v>45</v>
      </c>
      <c r="AZ173" s="56">
        <v>0</v>
      </c>
      <c r="BA173" s="57">
        <v>0</v>
      </c>
      <c r="BB173" s="57">
        <f>+'[1]25'!R274</f>
        <v>22</v>
      </c>
      <c r="BC173" s="57">
        <v>23</v>
      </c>
      <c r="BD173" s="57"/>
      <c r="BE173" s="57"/>
      <c r="BF173" s="57"/>
      <c r="BG173" s="57"/>
      <c r="BH173" s="57"/>
      <c r="BI173" s="55">
        <f t="shared" si="30"/>
        <v>45</v>
      </c>
      <c r="BJ173" s="69">
        <f t="shared" si="31"/>
        <v>0</v>
      </c>
      <c r="BK173" s="69">
        <f t="shared" si="28"/>
        <v>0</v>
      </c>
      <c r="BM173" s="75"/>
      <c r="BN173" s="57">
        <f t="shared" si="35"/>
        <v>0</v>
      </c>
      <c r="BO173" s="80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9">
        <f t="shared" si="36"/>
        <v>0</v>
      </c>
      <c r="CB173" s="148"/>
      <c r="CC173" s="2" t="str">
        <v>M47</v>
      </c>
      <c r="CD173" s="90">
        <v>0</v>
      </c>
      <c r="CE173" s="92" t="e">
        <f t="shared" si="38"/>
        <v>#DIV/0!</v>
      </c>
    </row>
    <row r="174" spans="1:83" s="2" customFormat="1" ht="19.5" thickBot="1" x14ac:dyDescent="0.35">
      <c r="A174" s="17">
        <v>186</v>
      </c>
      <c r="B174" s="135"/>
      <c r="C174" s="20" t="s">
        <v>88</v>
      </c>
      <c r="D174" s="21"/>
      <c r="E174" s="21"/>
      <c r="F174" s="21"/>
      <c r="G174" s="32"/>
      <c r="H174" s="33"/>
      <c r="I174" s="41"/>
      <c r="J174" s="33"/>
      <c r="K174" s="41"/>
      <c r="L174" s="33"/>
      <c r="M174" s="41"/>
      <c r="N174" s="33"/>
      <c r="O174" s="41"/>
      <c r="P174" s="33"/>
      <c r="Q174" s="41"/>
      <c r="R174" s="33"/>
      <c r="S174" s="33"/>
      <c r="T174" s="33"/>
      <c r="U174" s="41"/>
      <c r="V174" s="33"/>
      <c r="W174" s="33"/>
      <c r="X174" s="33"/>
      <c r="Y174" s="33"/>
      <c r="Z174" s="33"/>
      <c r="AA174" s="33"/>
      <c r="AB174" s="33">
        <v>6</v>
      </c>
      <c r="AC174" s="33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55">
        <f t="shared" si="29"/>
        <v>6</v>
      </c>
      <c r="AZ174" s="59">
        <v>0</v>
      </c>
      <c r="BA174" s="60">
        <v>0</v>
      </c>
      <c r="BB174" s="60">
        <f>+'[1]25'!R275</f>
        <v>6</v>
      </c>
      <c r="BC174" s="60">
        <v>0</v>
      </c>
      <c r="BD174" s="60"/>
      <c r="BE174" s="60"/>
      <c r="BF174" s="60"/>
      <c r="BG174" s="60"/>
      <c r="BH174" s="60"/>
      <c r="BI174" s="58">
        <f t="shared" si="30"/>
        <v>6</v>
      </c>
      <c r="BJ174" s="70">
        <f t="shared" si="31"/>
        <v>0</v>
      </c>
      <c r="BK174" s="70">
        <f t="shared" si="28"/>
        <v>0</v>
      </c>
      <c r="BL174" s="76"/>
      <c r="BM174" s="77"/>
      <c r="BN174" s="60">
        <f t="shared" si="35"/>
        <v>0</v>
      </c>
      <c r="BO174" s="82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9">
        <f t="shared" si="36"/>
        <v>0</v>
      </c>
      <c r="CB174" s="148"/>
      <c r="CC174" s="91" t="str">
        <v>Total</v>
      </c>
      <c r="CD174" s="88">
        <v>0</v>
      </c>
      <c r="CE174" s="93" t="e">
        <f>SUM(CE165:CE173)</f>
        <v>#DIV/0!</v>
      </c>
    </row>
    <row r="175" spans="1:83" s="2" customFormat="1" ht="19.5" thickBot="1" x14ac:dyDescent="0.35">
      <c r="A175" s="17"/>
      <c r="B175" s="134" t="s">
        <v>112</v>
      </c>
      <c r="C175" s="18" t="s">
        <v>106</v>
      </c>
      <c r="D175" s="25"/>
      <c r="E175" s="25"/>
      <c r="F175" s="25"/>
      <c r="G175" s="36"/>
      <c r="H175" s="37"/>
      <c r="I175" s="43"/>
      <c r="J175" s="37"/>
      <c r="K175" s="43"/>
      <c r="L175" s="37"/>
      <c r="M175" s="43"/>
      <c r="N175" s="37"/>
      <c r="O175" s="43"/>
      <c r="P175" s="37"/>
      <c r="Q175" s="43"/>
      <c r="R175" s="37"/>
      <c r="S175" s="37"/>
      <c r="T175" s="37"/>
      <c r="U175" s="43"/>
      <c r="V175" s="37"/>
      <c r="W175" s="37"/>
      <c r="X175" s="37"/>
      <c r="Y175" s="37"/>
      <c r="Z175" s="37"/>
      <c r="AA175" s="37"/>
      <c r="AB175" s="37"/>
      <c r="AC175" s="37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>
        <v>6</v>
      </c>
      <c r="AS175" s="49"/>
      <c r="AT175" s="49"/>
      <c r="AU175" s="49"/>
      <c r="AV175" s="49"/>
      <c r="AW175" s="49"/>
      <c r="AX175" s="49"/>
      <c r="AY175" s="55">
        <f t="shared" si="29"/>
        <v>6</v>
      </c>
      <c r="AZ175" s="64"/>
      <c r="BA175" s="65"/>
      <c r="BB175" s="65"/>
      <c r="BC175" s="65">
        <v>2</v>
      </c>
      <c r="BD175" s="65"/>
      <c r="BE175" s="65"/>
      <c r="BF175" s="65"/>
      <c r="BG175" s="65"/>
      <c r="BH175" s="65"/>
      <c r="BI175" s="55">
        <f t="shared" si="30"/>
        <v>2</v>
      </c>
      <c r="BJ175" s="69">
        <f t="shared" si="31"/>
        <v>4</v>
      </c>
      <c r="BK175" s="69">
        <f t="shared" si="28"/>
        <v>0</v>
      </c>
      <c r="BM175" s="75"/>
      <c r="BN175" s="57"/>
      <c r="BO175" s="84"/>
      <c r="BP175" s="85">
        <v>1</v>
      </c>
      <c r="BQ175" s="85"/>
      <c r="BR175" s="85">
        <v>2</v>
      </c>
      <c r="BS175" s="85"/>
      <c r="BT175" s="85"/>
      <c r="BU175" s="85"/>
      <c r="BV175" s="85"/>
      <c r="BW175" s="85"/>
      <c r="BX175" s="85"/>
      <c r="BY175" s="85"/>
      <c r="BZ175" s="9">
        <f t="shared" si="36"/>
        <v>3</v>
      </c>
      <c r="CB175" s="148" t="s">
        <v>113</v>
      </c>
      <c r="CC175" s="2" cm="1">
        <f t="array" ref="CC175:CD188">_xlfn.GROUPBY(C500:C520,BI500:BI520,_xleta.SUM)</f>
        <v>36</v>
      </c>
      <c r="CD175" s="90">
        <v>3</v>
      </c>
      <c r="CE175" s="92">
        <f>+CD175/$CD$188*100</f>
        <v>2.4193548387096775</v>
      </c>
    </row>
    <row r="176" spans="1:83" s="2" customFormat="1" ht="19.5" thickBot="1" x14ac:dyDescent="0.35">
      <c r="A176" s="17"/>
      <c r="B176" s="134"/>
      <c r="C176" s="18" t="s">
        <v>82</v>
      </c>
      <c r="D176" s="25"/>
      <c r="E176" s="25"/>
      <c r="F176" s="25"/>
      <c r="G176" s="36"/>
      <c r="H176" s="37"/>
      <c r="I176" s="43"/>
      <c r="J176" s="37"/>
      <c r="K176" s="43"/>
      <c r="L176" s="37"/>
      <c r="M176" s="43"/>
      <c r="N176" s="37"/>
      <c r="O176" s="43"/>
      <c r="P176" s="37"/>
      <c r="Q176" s="43"/>
      <c r="R176" s="37"/>
      <c r="S176" s="37"/>
      <c r="T176" s="37"/>
      <c r="U176" s="43"/>
      <c r="V176" s="37"/>
      <c r="W176" s="37"/>
      <c r="X176" s="37"/>
      <c r="Y176" s="37"/>
      <c r="Z176" s="37"/>
      <c r="AA176" s="37"/>
      <c r="AB176" s="37"/>
      <c r="AC176" s="37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>
        <v>12</v>
      </c>
      <c r="AS176" s="49"/>
      <c r="AT176" s="49"/>
      <c r="AU176" s="49"/>
      <c r="AV176" s="49"/>
      <c r="AW176" s="49"/>
      <c r="AX176" s="49"/>
      <c r="AY176" s="55">
        <f t="shared" si="29"/>
        <v>12</v>
      </c>
      <c r="AZ176" s="64"/>
      <c r="BA176" s="65"/>
      <c r="BB176" s="65"/>
      <c r="BC176" s="65">
        <v>4</v>
      </c>
      <c r="BD176" s="65"/>
      <c r="BE176" s="65"/>
      <c r="BF176" s="65"/>
      <c r="BG176" s="65"/>
      <c r="BH176" s="65"/>
      <c r="BI176" s="55">
        <f t="shared" si="30"/>
        <v>4</v>
      </c>
      <c r="BJ176" s="69">
        <f t="shared" si="31"/>
        <v>8</v>
      </c>
      <c r="BK176" s="69">
        <f t="shared" si="28"/>
        <v>0</v>
      </c>
      <c r="BM176" s="75"/>
      <c r="BN176" s="57"/>
      <c r="BO176" s="84"/>
      <c r="BP176" s="85">
        <v>1</v>
      </c>
      <c r="BQ176" s="85"/>
      <c r="BR176" s="85">
        <v>2</v>
      </c>
      <c r="BS176" s="85"/>
      <c r="BT176" s="85"/>
      <c r="BU176" s="85"/>
      <c r="BV176" s="85"/>
      <c r="BW176" s="85"/>
      <c r="BX176" s="85"/>
      <c r="BY176" s="85"/>
      <c r="BZ176" s="9">
        <f t="shared" ref="BZ176:BZ184" si="39">SUM(BP176:BY176)</f>
        <v>3</v>
      </c>
      <c r="CB176" s="148"/>
      <c r="CC176" s="2">
        <v>37</v>
      </c>
      <c r="CD176" s="90">
        <v>4</v>
      </c>
      <c r="CE176" s="92">
        <f t="shared" ref="CE176:CE187" si="40">+CD176/$CD$188*100</f>
        <v>3.225806451612903</v>
      </c>
    </row>
    <row r="177" spans="1:83" s="2" customFormat="1" ht="19.5" thickBot="1" x14ac:dyDescent="0.35">
      <c r="A177" s="17"/>
      <c r="B177" s="134"/>
      <c r="C177" s="18" t="s">
        <v>83</v>
      </c>
      <c r="D177" s="25"/>
      <c r="E177" s="25"/>
      <c r="F177" s="25"/>
      <c r="G177" s="36"/>
      <c r="H177" s="37"/>
      <c r="I177" s="43"/>
      <c r="J177" s="37"/>
      <c r="K177" s="43"/>
      <c r="L177" s="37"/>
      <c r="M177" s="43"/>
      <c r="N177" s="37"/>
      <c r="O177" s="43"/>
      <c r="P177" s="37"/>
      <c r="Q177" s="43"/>
      <c r="R177" s="37"/>
      <c r="S177" s="37"/>
      <c r="T177" s="37"/>
      <c r="U177" s="43"/>
      <c r="V177" s="37"/>
      <c r="W177" s="37"/>
      <c r="X177" s="37"/>
      <c r="Y177" s="37"/>
      <c r="Z177" s="37"/>
      <c r="AA177" s="37"/>
      <c r="AB177" s="37"/>
      <c r="AC177" s="37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>
        <v>18</v>
      </c>
      <c r="AS177" s="49"/>
      <c r="AT177" s="49"/>
      <c r="AU177" s="49"/>
      <c r="AV177" s="49"/>
      <c r="AW177" s="49"/>
      <c r="AX177" s="49"/>
      <c r="AY177" s="55">
        <f t="shared" si="29"/>
        <v>18</v>
      </c>
      <c r="AZ177" s="64"/>
      <c r="BA177" s="65"/>
      <c r="BB177" s="65"/>
      <c r="BC177" s="65">
        <v>13</v>
      </c>
      <c r="BD177" s="65"/>
      <c r="BE177" s="65"/>
      <c r="BF177" s="65"/>
      <c r="BG177" s="65"/>
      <c r="BH177" s="65"/>
      <c r="BI177" s="55">
        <f t="shared" si="30"/>
        <v>13</v>
      </c>
      <c r="BJ177" s="69">
        <f t="shared" si="31"/>
        <v>5</v>
      </c>
      <c r="BK177" s="69">
        <f t="shared" si="28"/>
        <v>0</v>
      </c>
      <c r="BM177" s="75"/>
      <c r="BN177" s="57"/>
      <c r="BO177" s="84"/>
      <c r="BP177" s="85"/>
      <c r="BQ177" s="85"/>
      <c r="BR177" s="85">
        <v>1</v>
      </c>
      <c r="BS177" s="85"/>
      <c r="BT177" s="85"/>
      <c r="BU177" s="85"/>
      <c r="BV177" s="85"/>
      <c r="BW177" s="85"/>
      <c r="BX177" s="85"/>
      <c r="BY177" s="85"/>
      <c r="BZ177" s="9">
        <f t="shared" si="39"/>
        <v>1</v>
      </c>
      <c r="CB177" s="148"/>
      <c r="CC177" s="2">
        <v>38</v>
      </c>
      <c r="CD177" s="90">
        <v>7</v>
      </c>
      <c r="CE177" s="92">
        <f t="shared" si="40"/>
        <v>5.6451612903225801</v>
      </c>
    </row>
    <row r="178" spans="1:83" s="2" customFormat="1" ht="19.5" thickBot="1" x14ac:dyDescent="0.35">
      <c r="A178" s="17"/>
      <c r="B178" s="134"/>
      <c r="C178" s="18" t="s">
        <v>84</v>
      </c>
      <c r="D178" s="25"/>
      <c r="E178" s="25"/>
      <c r="F178" s="25"/>
      <c r="G178" s="36"/>
      <c r="H178" s="37"/>
      <c r="I178" s="43"/>
      <c r="J178" s="37"/>
      <c r="K178" s="43"/>
      <c r="L178" s="37"/>
      <c r="M178" s="43"/>
      <c r="N178" s="37"/>
      <c r="O178" s="43"/>
      <c r="P178" s="37"/>
      <c r="Q178" s="43"/>
      <c r="R178" s="37"/>
      <c r="S178" s="37"/>
      <c r="T178" s="37"/>
      <c r="U178" s="43"/>
      <c r="V178" s="37"/>
      <c r="W178" s="37"/>
      <c r="X178" s="37"/>
      <c r="Y178" s="37"/>
      <c r="Z178" s="37"/>
      <c r="AA178" s="37"/>
      <c r="AB178" s="37"/>
      <c r="AC178" s="37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>
        <v>29</v>
      </c>
      <c r="AS178" s="49"/>
      <c r="AT178" s="49"/>
      <c r="AU178" s="49"/>
      <c r="AV178" s="49"/>
      <c r="AW178" s="49"/>
      <c r="AX178" s="49"/>
      <c r="AY178" s="55">
        <f t="shared" si="29"/>
        <v>29</v>
      </c>
      <c r="AZ178" s="64"/>
      <c r="BA178" s="65"/>
      <c r="BB178" s="65"/>
      <c r="BC178" s="65">
        <v>14</v>
      </c>
      <c r="BD178" s="65"/>
      <c r="BE178" s="65"/>
      <c r="BF178" s="65"/>
      <c r="BG178" s="65"/>
      <c r="BH178" s="65"/>
      <c r="BI178" s="55">
        <f t="shared" si="30"/>
        <v>14</v>
      </c>
      <c r="BJ178" s="69">
        <f t="shared" si="31"/>
        <v>15</v>
      </c>
      <c r="BK178" s="69">
        <f t="shared" si="28"/>
        <v>0</v>
      </c>
      <c r="BM178" s="75"/>
      <c r="BN178" s="57"/>
      <c r="BO178" s="84"/>
      <c r="BP178" s="85">
        <v>4</v>
      </c>
      <c r="BQ178" s="85"/>
      <c r="BR178" s="85">
        <v>1</v>
      </c>
      <c r="BS178" s="85"/>
      <c r="BT178" s="85"/>
      <c r="BU178" s="85"/>
      <c r="BV178" s="85"/>
      <c r="BW178" s="85"/>
      <c r="BX178" s="85"/>
      <c r="BY178" s="85"/>
      <c r="BZ178" s="9">
        <f t="shared" si="39"/>
        <v>5</v>
      </c>
      <c r="CB178" s="148"/>
      <c r="CC178" s="2">
        <v>39</v>
      </c>
      <c r="CD178" s="90">
        <v>4</v>
      </c>
      <c r="CE178" s="92">
        <f t="shared" si="40"/>
        <v>3.225806451612903</v>
      </c>
    </row>
    <row r="179" spans="1:83" s="2" customFormat="1" ht="19.5" thickBot="1" x14ac:dyDescent="0.35">
      <c r="A179" s="17"/>
      <c r="B179" s="134"/>
      <c r="C179" s="18" t="s">
        <v>85</v>
      </c>
      <c r="D179" s="25"/>
      <c r="E179" s="25"/>
      <c r="F179" s="25"/>
      <c r="G179" s="36"/>
      <c r="H179" s="37"/>
      <c r="I179" s="43"/>
      <c r="J179" s="37"/>
      <c r="K179" s="43"/>
      <c r="L179" s="37"/>
      <c r="M179" s="43"/>
      <c r="N179" s="37"/>
      <c r="O179" s="43"/>
      <c r="P179" s="37"/>
      <c r="Q179" s="43"/>
      <c r="R179" s="37"/>
      <c r="S179" s="37"/>
      <c r="T179" s="37"/>
      <c r="U179" s="43"/>
      <c r="V179" s="37"/>
      <c r="W179" s="37"/>
      <c r="X179" s="37"/>
      <c r="Y179" s="37"/>
      <c r="Z179" s="37"/>
      <c r="AA179" s="37"/>
      <c r="AB179" s="37"/>
      <c r="AC179" s="37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>
        <v>27</v>
      </c>
      <c r="AS179" s="49"/>
      <c r="AT179" s="49"/>
      <c r="AU179" s="49"/>
      <c r="AV179" s="49"/>
      <c r="AW179" s="49"/>
      <c r="AX179" s="49"/>
      <c r="AY179" s="55">
        <f t="shared" si="29"/>
        <v>27</v>
      </c>
      <c r="AZ179" s="64"/>
      <c r="BA179" s="65"/>
      <c r="BB179" s="65"/>
      <c r="BC179" s="65">
        <v>6</v>
      </c>
      <c r="BD179" s="65"/>
      <c r="BE179" s="65"/>
      <c r="BF179" s="65"/>
      <c r="BG179" s="65"/>
      <c r="BH179" s="65"/>
      <c r="BI179" s="55">
        <f t="shared" si="30"/>
        <v>6</v>
      </c>
      <c r="BJ179" s="69">
        <f t="shared" si="31"/>
        <v>21</v>
      </c>
      <c r="BK179" s="69">
        <f t="shared" si="28"/>
        <v>0</v>
      </c>
      <c r="BM179" s="75"/>
      <c r="BN179" s="57"/>
      <c r="BO179" s="84"/>
      <c r="BP179" s="85">
        <v>1</v>
      </c>
      <c r="BQ179" s="85"/>
      <c r="BR179" s="85">
        <v>3</v>
      </c>
      <c r="BS179" s="85">
        <v>1</v>
      </c>
      <c r="BT179" s="85"/>
      <c r="BU179" s="85"/>
      <c r="BV179" s="85"/>
      <c r="BW179" s="85"/>
      <c r="BX179" s="85"/>
      <c r="BY179" s="85"/>
      <c r="BZ179" s="9">
        <f t="shared" si="39"/>
        <v>5</v>
      </c>
      <c r="CB179" s="148"/>
      <c r="CC179" s="2">
        <v>40</v>
      </c>
      <c r="CD179" s="90">
        <v>9</v>
      </c>
      <c r="CE179" s="92">
        <f t="shared" si="40"/>
        <v>7.2580645161290329</v>
      </c>
    </row>
    <row r="180" spans="1:83" s="2" customFormat="1" ht="19.5" thickBot="1" x14ac:dyDescent="0.35">
      <c r="A180" s="17"/>
      <c r="B180" s="134"/>
      <c r="C180" s="18" t="s">
        <v>86</v>
      </c>
      <c r="D180" s="25"/>
      <c r="E180" s="25"/>
      <c r="F180" s="25"/>
      <c r="G180" s="36"/>
      <c r="H180" s="37"/>
      <c r="I180" s="43"/>
      <c r="J180" s="37"/>
      <c r="K180" s="43"/>
      <c r="L180" s="37"/>
      <c r="M180" s="43"/>
      <c r="N180" s="37"/>
      <c r="O180" s="43"/>
      <c r="P180" s="37"/>
      <c r="Q180" s="43"/>
      <c r="R180" s="37"/>
      <c r="S180" s="37"/>
      <c r="T180" s="37"/>
      <c r="U180" s="43"/>
      <c r="V180" s="37"/>
      <c r="W180" s="37"/>
      <c r="X180" s="37"/>
      <c r="Y180" s="37"/>
      <c r="Z180" s="37"/>
      <c r="AA180" s="37"/>
      <c r="AB180" s="37"/>
      <c r="AC180" s="37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>
        <v>18</v>
      </c>
      <c r="AS180" s="49"/>
      <c r="AT180" s="49"/>
      <c r="AU180" s="49"/>
      <c r="AV180" s="49"/>
      <c r="AW180" s="49"/>
      <c r="AX180" s="49"/>
      <c r="AY180" s="55">
        <f t="shared" si="29"/>
        <v>18</v>
      </c>
      <c r="AZ180" s="64"/>
      <c r="BA180" s="65"/>
      <c r="BB180" s="65"/>
      <c r="BC180" s="65">
        <v>5</v>
      </c>
      <c r="BD180" s="65"/>
      <c r="BE180" s="65"/>
      <c r="BF180" s="65"/>
      <c r="BG180" s="65"/>
      <c r="BH180" s="65"/>
      <c r="BI180" s="55">
        <f t="shared" si="30"/>
        <v>5</v>
      </c>
      <c r="BJ180" s="69">
        <f t="shared" si="31"/>
        <v>13</v>
      </c>
      <c r="BK180" s="69">
        <f t="shared" si="28"/>
        <v>0</v>
      </c>
      <c r="BM180" s="75"/>
      <c r="BN180" s="57"/>
      <c r="BO180" s="84"/>
      <c r="BP180" s="85">
        <v>2</v>
      </c>
      <c r="BQ180" s="85"/>
      <c r="BR180" s="85">
        <v>2</v>
      </c>
      <c r="BS180" s="85"/>
      <c r="BT180" s="85"/>
      <c r="BU180" s="85"/>
      <c r="BV180" s="85"/>
      <c r="BW180" s="85"/>
      <c r="BX180" s="85"/>
      <c r="BY180" s="85"/>
      <c r="BZ180" s="9">
        <f t="shared" si="39"/>
        <v>4</v>
      </c>
      <c r="CB180" s="148"/>
      <c r="CC180" s="2">
        <v>41</v>
      </c>
      <c r="CD180" s="90">
        <v>19</v>
      </c>
      <c r="CE180" s="92">
        <f t="shared" si="40"/>
        <v>15.32258064516129</v>
      </c>
    </row>
    <row r="181" spans="1:83" s="2" customFormat="1" ht="19.5" thickBot="1" x14ac:dyDescent="0.35">
      <c r="A181" s="17"/>
      <c r="B181" s="134"/>
      <c r="C181" s="18" t="s">
        <v>87</v>
      </c>
      <c r="D181" s="25"/>
      <c r="E181" s="25"/>
      <c r="F181" s="25"/>
      <c r="G181" s="36"/>
      <c r="H181" s="37"/>
      <c r="I181" s="43"/>
      <c r="J181" s="37"/>
      <c r="K181" s="43"/>
      <c r="L181" s="37"/>
      <c r="M181" s="43"/>
      <c r="N181" s="37"/>
      <c r="O181" s="43"/>
      <c r="P181" s="37"/>
      <c r="Q181" s="43"/>
      <c r="R181" s="37"/>
      <c r="S181" s="37"/>
      <c r="T181" s="37"/>
      <c r="U181" s="43"/>
      <c r="V181" s="37"/>
      <c r="W181" s="37"/>
      <c r="X181" s="37"/>
      <c r="Y181" s="37"/>
      <c r="Z181" s="37"/>
      <c r="AA181" s="37"/>
      <c r="AB181" s="37"/>
      <c r="AC181" s="37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>
        <v>10</v>
      </c>
      <c r="AS181" s="49"/>
      <c r="AT181" s="49"/>
      <c r="AU181" s="49"/>
      <c r="AV181" s="49"/>
      <c r="AW181" s="49"/>
      <c r="AX181" s="49"/>
      <c r="AY181" s="55">
        <f t="shared" si="29"/>
        <v>10</v>
      </c>
      <c r="AZ181" s="64"/>
      <c r="BA181" s="65"/>
      <c r="BB181" s="65"/>
      <c r="BC181" s="65">
        <v>0</v>
      </c>
      <c r="BD181" s="65"/>
      <c r="BE181" s="65"/>
      <c r="BF181" s="65"/>
      <c r="BG181" s="65"/>
      <c r="BH181" s="65"/>
      <c r="BI181" s="55">
        <f t="shared" si="30"/>
        <v>0</v>
      </c>
      <c r="BJ181" s="69">
        <f t="shared" si="31"/>
        <v>10</v>
      </c>
      <c r="BK181" s="69">
        <f t="shared" si="28"/>
        <v>0</v>
      </c>
      <c r="BM181" s="75"/>
      <c r="BN181" s="57"/>
      <c r="BO181" s="84"/>
      <c r="BP181" s="85">
        <v>1</v>
      </c>
      <c r="BQ181" s="85"/>
      <c r="BR181" s="85">
        <v>2</v>
      </c>
      <c r="BS181" s="85"/>
      <c r="BT181" s="85"/>
      <c r="BU181" s="85"/>
      <c r="BV181" s="85"/>
      <c r="BW181" s="85"/>
      <c r="BX181" s="85"/>
      <c r="BY181" s="85"/>
      <c r="BZ181" s="9">
        <f t="shared" si="39"/>
        <v>3</v>
      </c>
      <c r="CB181" s="148"/>
      <c r="CC181" s="2">
        <v>42</v>
      </c>
      <c r="CD181" s="90">
        <v>19</v>
      </c>
      <c r="CE181" s="92">
        <f t="shared" si="40"/>
        <v>15.32258064516129</v>
      </c>
    </row>
    <row r="182" spans="1:83" s="2" customFormat="1" ht="19.5" thickBot="1" x14ac:dyDescent="0.35">
      <c r="A182" s="17"/>
      <c r="B182" s="134"/>
      <c r="C182" s="20" t="s">
        <v>88</v>
      </c>
      <c r="D182" s="21"/>
      <c r="E182" s="21"/>
      <c r="F182" s="21"/>
      <c r="G182" s="32"/>
      <c r="H182" s="33"/>
      <c r="I182" s="41"/>
      <c r="J182" s="33"/>
      <c r="K182" s="41"/>
      <c r="L182" s="33"/>
      <c r="M182" s="41"/>
      <c r="N182" s="33"/>
      <c r="O182" s="41"/>
      <c r="P182" s="33"/>
      <c r="Q182" s="41"/>
      <c r="R182" s="33"/>
      <c r="S182" s="33"/>
      <c r="T182" s="33"/>
      <c r="U182" s="41"/>
      <c r="V182" s="33"/>
      <c r="W182" s="33"/>
      <c r="X182" s="33"/>
      <c r="Y182" s="33"/>
      <c r="Z182" s="33"/>
      <c r="AA182" s="33"/>
      <c r="AB182" s="33"/>
      <c r="AC182" s="33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>
        <v>7</v>
      </c>
      <c r="AS182" s="47"/>
      <c r="AT182" s="47"/>
      <c r="AU182" s="47"/>
      <c r="AV182" s="47"/>
      <c r="AW182" s="47"/>
      <c r="AX182" s="47"/>
      <c r="AY182" s="55">
        <f t="shared" si="29"/>
        <v>7</v>
      </c>
      <c r="AZ182" s="59"/>
      <c r="BA182" s="60"/>
      <c r="BB182" s="60"/>
      <c r="BC182" s="60"/>
      <c r="BD182" s="60"/>
      <c r="BE182" s="60"/>
      <c r="BF182" s="60"/>
      <c r="BG182" s="60"/>
      <c r="BH182" s="60"/>
      <c r="BI182" s="58">
        <f t="shared" si="30"/>
        <v>0</v>
      </c>
      <c r="BJ182" s="70">
        <f t="shared" si="31"/>
        <v>7</v>
      </c>
      <c r="BK182" s="70">
        <f t="shared" si="28"/>
        <v>0</v>
      </c>
      <c r="BL182" s="76"/>
      <c r="BM182" s="77"/>
      <c r="BN182" s="60"/>
      <c r="BO182" s="82"/>
      <c r="BP182" s="83">
        <v>1</v>
      </c>
      <c r="BQ182" s="83"/>
      <c r="BR182" s="83">
        <v>2</v>
      </c>
      <c r="BS182" s="83"/>
      <c r="BT182" s="83"/>
      <c r="BU182" s="83"/>
      <c r="BV182" s="83"/>
      <c r="BW182" s="83"/>
      <c r="BX182" s="83"/>
      <c r="BY182" s="83"/>
      <c r="BZ182" s="9">
        <f t="shared" si="39"/>
        <v>3</v>
      </c>
      <c r="CB182" s="148"/>
      <c r="CC182" s="2">
        <v>43</v>
      </c>
      <c r="CD182" s="90">
        <v>17</v>
      </c>
      <c r="CE182" s="92">
        <f t="shared" si="40"/>
        <v>13.709677419354838</v>
      </c>
    </row>
    <row r="183" spans="1:83" s="2" customFormat="1" ht="19.5" thickBot="1" x14ac:dyDescent="0.35">
      <c r="A183" s="17">
        <v>187</v>
      </c>
      <c r="B183" s="134" t="s">
        <v>114</v>
      </c>
      <c r="C183" s="18" t="s">
        <v>106</v>
      </c>
      <c r="D183" s="19"/>
      <c r="E183" s="19"/>
      <c r="F183" s="19"/>
      <c r="G183" s="30"/>
      <c r="H183" s="31"/>
      <c r="I183" s="40"/>
      <c r="J183" s="31"/>
      <c r="K183" s="40"/>
      <c r="L183" s="31"/>
      <c r="M183" s="40"/>
      <c r="N183" s="31"/>
      <c r="O183" s="40"/>
      <c r="P183" s="31"/>
      <c r="Q183" s="40"/>
      <c r="R183" s="31"/>
      <c r="S183" s="31"/>
      <c r="T183" s="31"/>
      <c r="U183" s="40"/>
      <c r="V183" s="31"/>
      <c r="W183" s="31"/>
      <c r="X183" s="31"/>
      <c r="Y183" s="31"/>
      <c r="Z183" s="31"/>
      <c r="AA183" s="31"/>
      <c r="AB183" s="31"/>
      <c r="AC183" s="31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>
        <v>12</v>
      </c>
      <c r="AR183" s="46"/>
      <c r="AS183" s="46"/>
      <c r="AT183" s="46"/>
      <c r="AU183" s="46"/>
      <c r="AV183" s="46"/>
      <c r="AW183" s="46"/>
      <c r="AX183" s="46"/>
      <c r="AY183" s="55">
        <f t="shared" si="29"/>
        <v>12</v>
      </c>
      <c r="AZ183" s="56"/>
      <c r="BA183" s="57"/>
      <c r="BB183" s="57"/>
      <c r="BC183" s="57">
        <v>8</v>
      </c>
      <c r="BD183" s="57"/>
      <c r="BE183" s="57"/>
      <c r="BF183" s="57"/>
      <c r="BG183" s="57"/>
      <c r="BH183" s="57"/>
      <c r="BI183" s="55">
        <f t="shared" si="30"/>
        <v>8</v>
      </c>
      <c r="BJ183" s="69">
        <f t="shared" si="31"/>
        <v>4</v>
      </c>
      <c r="BK183" s="69">
        <f t="shared" si="28"/>
        <v>0</v>
      </c>
      <c r="BM183" s="75"/>
      <c r="BN183" s="57">
        <f t="shared" ref="BN183:BN246" si="41">+BJ183-BZ183</f>
        <v>0</v>
      </c>
      <c r="BO183" s="80"/>
      <c r="BP183" s="81">
        <v>2</v>
      </c>
      <c r="BQ183" s="81">
        <v>1</v>
      </c>
      <c r="BR183" s="81">
        <v>1</v>
      </c>
      <c r="BS183" s="81"/>
      <c r="BT183" s="81"/>
      <c r="BU183" s="81"/>
      <c r="BV183" s="81"/>
      <c r="BW183" s="81"/>
      <c r="BX183" s="81"/>
      <c r="BY183" s="81"/>
      <c r="BZ183" s="9">
        <f t="shared" si="39"/>
        <v>4</v>
      </c>
      <c r="CB183" s="148"/>
      <c r="CC183" s="2">
        <v>44</v>
      </c>
      <c r="CD183" s="90">
        <v>23</v>
      </c>
      <c r="CE183" s="92">
        <f t="shared" si="40"/>
        <v>18.548387096774192</v>
      </c>
    </row>
    <row r="184" spans="1:83" s="2" customFormat="1" ht="18.75" customHeight="1" thickBot="1" x14ac:dyDescent="0.35">
      <c r="A184" s="17">
        <v>188</v>
      </c>
      <c r="B184" s="134"/>
      <c r="C184" s="18" t="s">
        <v>82</v>
      </c>
      <c r="D184" s="19"/>
      <c r="E184" s="19"/>
      <c r="F184" s="19">
        <v>3</v>
      </c>
      <c r="G184" s="30">
        <v>-1</v>
      </c>
      <c r="H184" s="31"/>
      <c r="I184" s="40"/>
      <c r="J184" s="31"/>
      <c r="K184" s="40"/>
      <c r="L184" s="31"/>
      <c r="M184" s="40"/>
      <c r="N184" s="31"/>
      <c r="O184" s="40"/>
      <c r="P184" s="31">
        <v>3</v>
      </c>
      <c r="Q184" s="40"/>
      <c r="R184" s="31"/>
      <c r="S184" s="31">
        <v>6</v>
      </c>
      <c r="T184" s="31"/>
      <c r="U184" s="40"/>
      <c r="V184" s="31"/>
      <c r="W184" s="31"/>
      <c r="X184" s="31"/>
      <c r="Y184" s="31"/>
      <c r="Z184" s="31"/>
      <c r="AA184" s="31"/>
      <c r="AB184" s="31"/>
      <c r="AC184" s="31"/>
      <c r="AD184" s="46"/>
      <c r="AE184" s="46"/>
      <c r="AF184" s="46"/>
      <c r="AG184" s="46"/>
      <c r="AH184" s="46"/>
      <c r="AI184" s="46"/>
      <c r="AJ184" s="46">
        <v>30</v>
      </c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55">
        <f t="shared" si="29"/>
        <v>41</v>
      </c>
      <c r="AZ184" s="56">
        <v>3</v>
      </c>
      <c r="BA184" s="57">
        <v>7</v>
      </c>
      <c r="BB184" s="57">
        <f>+'[1]25'!R288</f>
        <v>14</v>
      </c>
      <c r="BC184" s="57">
        <v>11</v>
      </c>
      <c r="BD184" s="57"/>
      <c r="BE184" s="57"/>
      <c r="BF184" s="57"/>
      <c r="BG184" s="57"/>
      <c r="BH184" s="57"/>
      <c r="BI184" s="55">
        <f t="shared" si="30"/>
        <v>35</v>
      </c>
      <c r="BJ184" s="69">
        <f t="shared" si="31"/>
        <v>6</v>
      </c>
      <c r="BK184" s="69">
        <f t="shared" si="28"/>
        <v>0</v>
      </c>
      <c r="BM184" s="75"/>
      <c r="BN184" s="57">
        <f t="shared" si="41"/>
        <v>6</v>
      </c>
      <c r="BO184" s="80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9">
        <f t="shared" si="39"/>
        <v>0</v>
      </c>
      <c r="CB184" s="148"/>
      <c r="CC184" s="2">
        <v>45</v>
      </c>
      <c r="CD184" s="90">
        <v>14</v>
      </c>
      <c r="CE184" s="92">
        <f t="shared" si="40"/>
        <v>11.29032258064516</v>
      </c>
    </row>
    <row r="185" spans="1:83" s="2" customFormat="1" ht="19.5" thickBot="1" x14ac:dyDescent="0.35">
      <c r="A185" s="17">
        <v>189</v>
      </c>
      <c r="B185" s="134"/>
      <c r="C185" s="18" t="s">
        <v>83</v>
      </c>
      <c r="D185" s="19"/>
      <c r="E185" s="19">
        <v>3</v>
      </c>
      <c r="F185" s="19">
        <v>7</v>
      </c>
      <c r="G185" s="30"/>
      <c r="H185" s="31"/>
      <c r="I185" s="40"/>
      <c r="J185" s="31"/>
      <c r="K185" s="40"/>
      <c r="L185" s="31"/>
      <c r="M185" s="40"/>
      <c r="N185" s="31">
        <v>5</v>
      </c>
      <c r="O185" s="40"/>
      <c r="P185" s="31">
        <v>5</v>
      </c>
      <c r="Q185" s="40"/>
      <c r="R185" s="31"/>
      <c r="S185" s="31">
        <v>24</v>
      </c>
      <c r="T185" s="31"/>
      <c r="U185" s="40"/>
      <c r="V185" s="31"/>
      <c r="W185" s="31"/>
      <c r="X185" s="31"/>
      <c r="Y185" s="31"/>
      <c r="Z185" s="31"/>
      <c r="AA185" s="31"/>
      <c r="AB185" s="31"/>
      <c r="AC185" s="31"/>
      <c r="AD185" s="46"/>
      <c r="AE185" s="46"/>
      <c r="AF185" s="46"/>
      <c r="AG185" s="46"/>
      <c r="AH185" s="46"/>
      <c r="AI185" s="46"/>
      <c r="AJ185" s="46">
        <v>48</v>
      </c>
      <c r="AK185" s="46"/>
      <c r="AL185" s="46"/>
      <c r="AM185" s="46"/>
      <c r="AN185" s="46"/>
      <c r="AO185" s="46"/>
      <c r="AP185" s="46"/>
      <c r="AQ185" s="46">
        <v>18</v>
      </c>
      <c r="AR185" s="46"/>
      <c r="AS185" s="46"/>
      <c r="AT185" s="46"/>
      <c r="AU185" s="46"/>
      <c r="AV185" s="46"/>
      <c r="AW185" s="46"/>
      <c r="AX185" s="46"/>
      <c r="AY185" s="55">
        <f t="shared" si="29"/>
        <v>110</v>
      </c>
      <c r="AZ185" s="56">
        <v>13</v>
      </c>
      <c r="BA185" s="57">
        <v>29</v>
      </c>
      <c r="BB185" s="57">
        <f>+'[1]25'!R289</f>
        <v>18</v>
      </c>
      <c r="BC185" s="57">
        <v>45</v>
      </c>
      <c r="BD185" s="57"/>
      <c r="BE185" s="57"/>
      <c r="BF185" s="57"/>
      <c r="BG185" s="57"/>
      <c r="BH185" s="57"/>
      <c r="BI185" s="55">
        <f t="shared" si="30"/>
        <v>105</v>
      </c>
      <c r="BJ185" s="69">
        <f t="shared" si="31"/>
        <v>5</v>
      </c>
      <c r="BK185" s="69">
        <f t="shared" si="28"/>
        <v>0</v>
      </c>
      <c r="BM185" s="75"/>
      <c r="BN185" s="57">
        <f t="shared" si="41"/>
        <v>1</v>
      </c>
      <c r="BO185" s="80"/>
      <c r="BP185" s="81">
        <v>1</v>
      </c>
      <c r="BQ185" s="81"/>
      <c r="BR185" s="81">
        <v>3</v>
      </c>
      <c r="BS185" s="81"/>
      <c r="BT185" s="81"/>
      <c r="BU185" s="81"/>
      <c r="BV185" s="81"/>
      <c r="BW185" s="81"/>
      <c r="BX185" s="81"/>
      <c r="BY185" s="81"/>
      <c r="BZ185" s="9">
        <f t="shared" ref="BZ185:BZ248" si="42">SUM(BP185:BY185)</f>
        <v>4</v>
      </c>
      <c r="CB185" s="148"/>
      <c r="CC185" s="2">
        <v>46</v>
      </c>
      <c r="CD185" s="90">
        <v>4</v>
      </c>
      <c r="CE185" s="92">
        <f t="shared" si="40"/>
        <v>3.225806451612903</v>
      </c>
    </row>
    <row r="186" spans="1:83" s="2" customFormat="1" ht="19.5" thickBot="1" x14ac:dyDescent="0.35">
      <c r="A186" s="17">
        <v>190</v>
      </c>
      <c r="B186" s="134"/>
      <c r="C186" s="18" t="s">
        <v>84</v>
      </c>
      <c r="D186" s="19"/>
      <c r="E186" s="19">
        <v>5</v>
      </c>
      <c r="F186" s="19">
        <v>10</v>
      </c>
      <c r="G186" s="30">
        <v>-1</v>
      </c>
      <c r="H186" s="31"/>
      <c r="I186" s="40"/>
      <c r="J186" s="31"/>
      <c r="K186" s="40"/>
      <c r="L186" s="31"/>
      <c r="M186" s="40"/>
      <c r="N186" s="31"/>
      <c r="O186" s="40"/>
      <c r="P186" s="31"/>
      <c r="Q186" s="40"/>
      <c r="R186" s="31"/>
      <c r="S186" s="31">
        <v>48</v>
      </c>
      <c r="T186" s="31"/>
      <c r="U186" s="40"/>
      <c r="V186" s="31"/>
      <c r="W186" s="31"/>
      <c r="X186" s="31"/>
      <c r="Y186" s="31"/>
      <c r="Z186" s="31"/>
      <c r="AA186" s="31"/>
      <c r="AB186" s="31"/>
      <c r="AC186" s="31"/>
      <c r="AD186" s="46"/>
      <c r="AE186" s="46"/>
      <c r="AF186" s="46"/>
      <c r="AG186" s="46"/>
      <c r="AH186" s="46"/>
      <c r="AI186" s="46"/>
      <c r="AJ186" s="46">
        <f>84+18</f>
        <v>102</v>
      </c>
      <c r="AK186" s="46"/>
      <c r="AL186" s="46"/>
      <c r="AM186" s="46"/>
      <c r="AN186" s="46"/>
      <c r="AO186" s="46"/>
      <c r="AP186" s="46"/>
      <c r="AQ186" s="46">
        <v>18</v>
      </c>
      <c r="AR186" s="46"/>
      <c r="AS186" s="46"/>
      <c r="AT186" s="46"/>
      <c r="AU186" s="46"/>
      <c r="AV186" s="46"/>
      <c r="AW186" s="46"/>
      <c r="AX186" s="46"/>
      <c r="AY186" s="55">
        <f t="shared" si="29"/>
        <v>182</v>
      </c>
      <c r="AZ186" s="56">
        <v>13</v>
      </c>
      <c r="BA186" s="57">
        <v>29</v>
      </c>
      <c r="BB186" s="57">
        <f>+'[1]25'!R290</f>
        <v>36</v>
      </c>
      <c r="BC186" s="57">
        <v>96</v>
      </c>
      <c r="BD186" s="57"/>
      <c r="BE186" s="57"/>
      <c r="BF186" s="57"/>
      <c r="BG186" s="57"/>
      <c r="BH186" s="57"/>
      <c r="BI186" s="55">
        <f t="shared" si="30"/>
        <v>174</v>
      </c>
      <c r="BJ186" s="69">
        <f t="shared" si="31"/>
        <v>8</v>
      </c>
      <c r="BK186" s="69">
        <f t="shared" si="28"/>
        <v>0</v>
      </c>
      <c r="BM186" s="75"/>
      <c r="BN186" s="57">
        <f t="shared" si="41"/>
        <v>3</v>
      </c>
      <c r="BO186" s="80"/>
      <c r="BP186" s="81">
        <v>1</v>
      </c>
      <c r="BQ186" s="81"/>
      <c r="BR186" s="81">
        <v>2</v>
      </c>
      <c r="BS186" s="81"/>
      <c r="BT186" s="81"/>
      <c r="BU186" s="81">
        <v>2</v>
      </c>
      <c r="BV186" s="81"/>
      <c r="BW186" s="81"/>
      <c r="BX186" s="81"/>
      <c r="BY186" s="81"/>
      <c r="BZ186" s="9">
        <f t="shared" si="42"/>
        <v>5</v>
      </c>
      <c r="CB186" s="148"/>
      <c r="CC186" s="2">
        <v>47</v>
      </c>
      <c r="CD186" s="90">
        <v>1</v>
      </c>
      <c r="CE186" s="92">
        <f t="shared" si="40"/>
        <v>0.80645161290322576</v>
      </c>
    </row>
    <row r="187" spans="1:83" s="2" customFormat="1" ht="19.5" thickBot="1" x14ac:dyDescent="0.35">
      <c r="A187" s="17">
        <v>191</v>
      </c>
      <c r="B187" s="134"/>
      <c r="C187" s="18" t="s">
        <v>85</v>
      </c>
      <c r="D187" s="19"/>
      <c r="E187" s="19">
        <v>5</v>
      </c>
      <c r="F187" s="19">
        <v>10</v>
      </c>
      <c r="G187" s="30"/>
      <c r="H187" s="31"/>
      <c r="I187" s="40"/>
      <c r="J187" s="31"/>
      <c r="K187" s="40"/>
      <c r="L187" s="31"/>
      <c r="M187" s="40"/>
      <c r="N187" s="31"/>
      <c r="O187" s="40"/>
      <c r="P187" s="31"/>
      <c r="Q187" s="40"/>
      <c r="R187" s="31"/>
      <c r="S187" s="31">
        <v>54</v>
      </c>
      <c r="T187" s="31"/>
      <c r="U187" s="40"/>
      <c r="V187" s="31"/>
      <c r="W187" s="31"/>
      <c r="X187" s="31"/>
      <c r="Y187" s="31"/>
      <c r="Z187" s="31"/>
      <c r="AA187" s="31"/>
      <c r="AB187" s="31"/>
      <c r="AC187" s="31"/>
      <c r="AD187" s="46"/>
      <c r="AE187" s="46"/>
      <c r="AF187" s="46"/>
      <c r="AG187" s="46"/>
      <c r="AH187" s="46"/>
      <c r="AI187" s="46"/>
      <c r="AJ187" s="46">
        <f>72+24</f>
        <v>96</v>
      </c>
      <c r="AK187" s="46"/>
      <c r="AL187" s="46"/>
      <c r="AM187" s="46"/>
      <c r="AN187" s="46"/>
      <c r="AO187" s="46"/>
      <c r="AP187" s="46"/>
      <c r="AQ187" s="46">
        <v>18</v>
      </c>
      <c r="AR187" s="46"/>
      <c r="AS187" s="46"/>
      <c r="AT187" s="46"/>
      <c r="AU187" s="46"/>
      <c r="AV187" s="46"/>
      <c r="AW187" s="46"/>
      <c r="AX187" s="46"/>
      <c r="AY187" s="55">
        <f t="shared" si="29"/>
        <v>183</v>
      </c>
      <c r="AZ187" s="56">
        <v>15</v>
      </c>
      <c r="BA187" s="57">
        <v>36</v>
      </c>
      <c r="BB187" s="57">
        <f>+'[1]25'!R291</f>
        <v>34</v>
      </c>
      <c r="BC187" s="57">
        <v>70</v>
      </c>
      <c r="BD187" s="57"/>
      <c r="BE187" s="57"/>
      <c r="BF187" s="57"/>
      <c r="BG187" s="57"/>
      <c r="BH187" s="57"/>
      <c r="BI187" s="55">
        <f t="shared" si="30"/>
        <v>155</v>
      </c>
      <c r="BJ187" s="69">
        <f t="shared" si="31"/>
        <v>28</v>
      </c>
      <c r="BK187" s="69">
        <f t="shared" si="28"/>
        <v>0</v>
      </c>
      <c r="BM187" s="75"/>
      <c r="BN187" s="57">
        <f t="shared" si="41"/>
        <v>12</v>
      </c>
      <c r="BO187" s="80"/>
      <c r="BP187" s="81">
        <v>2</v>
      </c>
      <c r="BQ187" s="81">
        <v>4</v>
      </c>
      <c r="BR187" s="81">
        <v>5</v>
      </c>
      <c r="BS187" s="81">
        <v>1</v>
      </c>
      <c r="BT187" s="81">
        <v>3</v>
      </c>
      <c r="BU187" s="81">
        <v>1</v>
      </c>
      <c r="BV187" s="81"/>
      <c r="BW187" s="81"/>
      <c r="BX187" s="81"/>
      <c r="BY187" s="81"/>
      <c r="BZ187" s="9">
        <f t="shared" si="42"/>
        <v>16</v>
      </c>
      <c r="CB187" s="148"/>
      <c r="CC187" s="2">
        <v>48</v>
      </c>
      <c r="CD187" s="90">
        <v>0</v>
      </c>
      <c r="CE187" s="92">
        <f t="shared" si="40"/>
        <v>0</v>
      </c>
    </row>
    <row r="188" spans="1:83" s="2" customFormat="1" ht="19.5" thickBot="1" x14ac:dyDescent="0.35">
      <c r="A188" s="17">
        <v>192</v>
      </c>
      <c r="B188" s="134"/>
      <c r="C188" s="18" t="s">
        <v>86</v>
      </c>
      <c r="D188" s="19"/>
      <c r="E188" s="19">
        <v>4</v>
      </c>
      <c r="F188" s="19">
        <v>12</v>
      </c>
      <c r="G188" s="30"/>
      <c r="H188" s="31"/>
      <c r="I188" s="40"/>
      <c r="J188" s="31"/>
      <c r="K188" s="40"/>
      <c r="L188" s="31"/>
      <c r="M188" s="40"/>
      <c r="N188" s="31">
        <v>5</v>
      </c>
      <c r="O188" s="40"/>
      <c r="P188" s="31"/>
      <c r="Q188" s="40"/>
      <c r="R188" s="31"/>
      <c r="S188" s="31">
        <v>48</v>
      </c>
      <c r="T188" s="31"/>
      <c r="U188" s="40"/>
      <c r="V188" s="31"/>
      <c r="W188" s="31"/>
      <c r="X188" s="31"/>
      <c r="Y188" s="31"/>
      <c r="Z188" s="31"/>
      <c r="AA188" s="31"/>
      <c r="AB188" s="31"/>
      <c r="AC188" s="31"/>
      <c r="AD188" s="46"/>
      <c r="AE188" s="46"/>
      <c r="AF188" s="46"/>
      <c r="AG188" s="46"/>
      <c r="AH188" s="46"/>
      <c r="AI188" s="46"/>
      <c r="AJ188" s="46">
        <f>30+30</f>
        <v>60</v>
      </c>
      <c r="AK188" s="46"/>
      <c r="AL188" s="46"/>
      <c r="AM188" s="46"/>
      <c r="AN188" s="46"/>
      <c r="AO188" s="46"/>
      <c r="AP188" s="46"/>
      <c r="AQ188" s="46">
        <v>18</v>
      </c>
      <c r="AR188" s="46"/>
      <c r="AS188" s="46"/>
      <c r="AT188" s="46"/>
      <c r="AU188" s="46"/>
      <c r="AV188" s="46"/>
      <c r="AW188" s="46"/>
      <c r="AX188" s="46"/>
      <c r="AY188" s="55">
        <f t="shared" si="29"/>
        <v>147</v>
      </c>
      <c r="AZ188" s="56">
        <v>10</v>
      </c>
      <c r="BA188" s="57">
        <v>28</v>
      </c>
      <c r="BB188" s="57">
        <f>+'[1]25'!R292</f>
        <v>36</v>
      </c>
      <c r="BC188" s="57">
        <v>68</v>
      </c>
      <c r="BD188" s="57"/>
      <c r="BE188" s="57"/>
      <c r="BF188" s="57"/>
      <c r="BG188" s="57"/>
      <c r="BH188" s="57"/>
      <c r="BI188" s="55">
        <f t="shared" si="30"/>
        <v>142</v>
      </c>
      <c r="BJ188" s="69">
        <f t="shared" si="31"/>
        <v>5</v>
      </c>
      <c r="BK188" s="69">
        <f t="shared" si="28"/>
        <v>0</v>
      </c>
      <c r="BM188" s="75"/>
      <c r="BN188" s="57">
        <f t="shared" si="41"/>
        <v>0</v>
      </c>
      <c r="BO188" s="80"/>
      <c r="BP188" s="81">
        <v>1</v>
      </c>
      <c r="BQ188" s="81">
        <v>1</v>
      </c>
      <c r="BR188" s="81">
        <v>2</v>
      </c>
      <c r="BS188" s="81"/>
      <c r="BT188" s="81"/>
      <c r="BU188" s="81">
        <v>1</v>
      </c>
      <c r="BV188" s="81"/>
      <c r="BW188" s="81"/>
      <c r="BX188" s="81"/>
      <c r="BY188" s="81"/>
      <c r="BZ188" s="9">
        <f t="shared" si="42"/>
        <v>5</v>
      </c>
      <c r="CB188" s="148"/>
      <c r="CC188" s="91" t="str">
        <v>Total</v>
      </c>
      <c r="CD188" s="88">
        <v>124</v>
      </c>
      <c r="CE188" s="93">
        <f>SUM(CE175:CE187)</f>
        <v>100</v>
      </c>
    </row>
    <row r="189" spans="1:83" s="2" customFormat="1" ht="19.5" thickBot="1" x14ac:dyDescent="0.35">
      <c r="A189" s="17">
        <v>193</v>
      </c>
      <c r="B189" s="134"/>
      <c r="C189" s="18" t="s">
        <v>87</v>
      </c>
      <c r="D189" s="19"/>
      <c r="E189" s="19"/>
      <c r="F189" s="19"/>
      <c r="G189" s="30"/>
      <c r="H189" s="31"/>
      <c r="I189" s="40"/>
      <c r="J189" s="31"/>
      <c r="K189" s="40"/>
      <c r="L189" s="31"/>
      <c r="M189" s="40"/>
      <c r="N189" s="31"/>
      <c r="O189" s="40"/>
      <c r="P189" s="31">
        <v>3</v>
      </c>
      <c r="Q189" s="40"/>
      <c r="R189" s="31"/>
      <c r="S189" s="31">
        <v>42</v>
      </c>
      <c r="T189" s="31"/>
      <c r="U189" s="40"/>
      <c r="V189" s="31"/>
      <c r="W189" s="31"/>
      <c r="X189" s="31"/>
      <c r="Y189" s="31"/>
      <c r="Z189" s="31"/>
      <c r="AA189" s="31"/>
      <c r="AB189" s="31"/>
      <c r="AC189" s="31"/>
      <c r="AD189" s="46"/>
      <c r="AE189" s="46"/>
      <c r="AF189" s="46"/>
      <c r="AG189" s="46"/>
      <c r="AH189" s="46"/>
      <c r="AI189" s="46"/>
      <c r="AJ189" s="46">
        <v>36</v>
      </c>
      <c r="AK189" s="46"/>
      <c r="AL189" s="46"/>
      <c r="AM189" s="46"/>
      <c r="AN189" s="46"/>
      <c r="AO189" s="46"/>
      <c r="AP189" s="46"/>
      <c r="AQ189" s="46">
        <v>12</v>
      </c>
      <c r="AR189" s="46"/>
      <c r="AS189" s="46"/>
      <c r="AT189" s="46"/>
      <c r="AU189" s="46"/>
      <c r="AV189" s="46"/>
      <c r="AW189" s="46"/>
      <c r="AX189" s="46"/>
      <c r="AY189" s="55">
        <f t="shared" si="29"/>
        <v>93</v>
      </c>
      <c r="AZ189" s="56">
        <v>1</v>
      </c>
      <c r="BA189" s="57">
        <v>4</v>
      </c>
      <c r="BB189" s="57">
        <f>+'[1]25'!R293</f>
        <v>48</v>
      </c>
      <c r="BC189" s="57">
        <v>38</v>
      </c>
      <c r="BD189" s="57"/>
      <c r="BE189" s="57"/>
      <c r="BF189" s="57"/>
      <c r="BG189" s="57"/>
      <c r="BH189" s="57"/>
      <c r="BI189" s="55">
        <f t="shared" si="30"/>
        <v>91</v>
      </c>
      <c r="BJ189" s="69">
        <f t="shared" si="31"/>
        <v>2</v>
      </c>
      <c r="BK189" s="69">
        <f t="shared" ref="BK189:BK251" si="43">SUM(AT189:AX189)</f>
        <v>0</v>
      </c>
      <c r="BM189" s="75"/>
      <c r="BN189" s="57">
        <f t="shared" si="41"/>
        <v>0</v>
      </c>
      <c r="BO189" s="80"/>
      <c r="BP189" s="81"/>
      <c r="BQ189" s="81"/>
      <c r="BR189" s="81">
        <v>1</v>
      </c>
      <c r="BS189" s="81"/>
      <c r="BT189" s="81"/>
      <c r="BU189" s="81">
        <v>1</v>
      </c>
      <c r="BV189" s="81"/>
      <c r="BW189" s="81"/>
      <c r="BX189" s="81"/>
      <c r="BY189" s="81"/>
      <c r="BZ189" s="9">
        <f t="shared" si="42"/>
        <v>2</v>
      </c>
      <c r="CB189" s="148" t="s">
        <v>115</v>
      </c>
      <c r="CC189" s="2" t="str" cm="1">
        <f t="array" ref="CC189:CD198">_xlfn.GROUPBY(C521:C545,BI521:BI545,_xleta.SUM)</f>
        <v>M39</v>
      </c>
      <c r="CD189" s="90">
        <v>0</v>
      </c>
      <c r="CE189" s="92">
        <f>+CD189/$CD$198*100</f>
        <v>0</v>
      </c>
    </row>
    <row r="190" spans="1:83" s="2" customFormat="1" ht="19.5" thickBot="1" x14ac:dyDescent="0.35">
      <c r="A190" s="17">
        <v>194</v>
      </c>
      <c r="B190" s="134"/>
      <c r="C190" s="20" t="s">
        <v>88</v>
      </c>
      <c r="D190" s="21"/>
      <c r="E190" s="21"/>
      <c r="F190" s="21"/>
      <c r="G190" s="32"/>
      <c r="H190" s="33"/>
      <c r="I190" s="41"/>
      <c r="J190" s="33"/>
      <c r="K190" s="41"/>
      <c r="L190" s="33"/>
      <c r="M190" s="41"/>
      <c r="N190" s="33"/>
      <c r="O190" s="41"/>
      <c r="P190" s="33"/>
      <c r="Q190" s="41"/>
      <c r="R190" s="33"/>
      <c r="S190" s="33">
        <v>18</v>
      </c>
      <c r="T190" s="33"/>
      <c r="U190" s="41"/>
      <c r="V190" s="33"/>
      <c r="W190" s="33"/>
      <c r="X190" s="33"/>
      <c r="Y190" s="33"/>
      <c r="Z190" s="33"/>
      <c r="AA190" s="33"/>
      <c r="AB190" s="33"/>
      <c r="AC190" s="33"/>
      <c r="AD190" s="47"/>
      <c r="AE190" s="47"/>
      <c r="AF190" s="47"/>
      <c r="AG190" s="47"/>
      <c r="AH190" s="47"/>
      <c r="AI190" s="47"/>
      <c r="AJ190" s="47">
        <v>12</v>
      </c>
      <c r="AK190" s="47"/>
      <c r="AL190" s="47"/>
      <c r="AM190" s="47"/>
      <c r="AN190" s="47"/>
      <c r="AO190" s="47"/>
      <c r="AP190" s="47"/>
      <c r="AQ190" s="47">
        <v>12</v>
      </c>
      <c r="AR190" s="47"/>
      <c r="AS190" s="47"/>
      <c r="AT190" s="47"/>
      <c r="AU190" s="47"/>
      <c r="AV190" s="47"/>
      <c r="AW190" s="47"/>
      <c r="AX190" s="47"/>
      <c r="AY190" s="55">
        <f t="shared" ref="AY190:AY252" si="44">SUM(D190:AS190)</f>
        <v>42</v>
      </c>
      <c r="AZ190" s="59">
        <v>0</v>
      </c>
      <c r="BA190" s="60">
        <v>8</v>
      </c>
      <c r="BB190" s="60">
        <f>+'[1]25'!R294</f>
        <v>14</v>
      </c>
      <c r="BC190" s="60">
        <v>18</v>
      </c>
      <c r="BD190" s="60"/>
      <c r="BE190" s="60"/>
      <c r="BF190" s="60"/>
      <c r="BG190" s="60"/>
      <c r="BH190" s="60"/>
      <c r="BI190" s="58">
        <f t="shared" ref="BI190:BI252" si="45">SUM(AZ190:BH190)</f>
        <v>40</v>
      </c>
      <c r="BJ190" s="70">
        <f t="shared" ref="BJ190:BJ252" si="46">+AY190-BI190</f>
        <v>2</v>
      </c>
      <c r="BK190" s="70">
        <f t="shared" si="43"/>
        <v>0</v>
      </c>
      <c r="BL190" s="76"/>
      <c r="BM190" s="77"/>
      <c r="BN190" s="60">
        <f t="shared" si="41"/>
        <v>0</v>
      </c>
      <c r="BO190" s="82"/>
      <c r="BP190" s="83">
        <v>1</v>
      </c>
      <c r="BQ190" s="83"/>
      <c r="BR190" s="83">
        <v>1</v>
      </c>
      <c r="BS190" s="83"/>
      <c r="BT190" s="83"/>
      <c r="BU190" s="83"/>
      <c r="BV190" s="83"/>
      <c r="BW190" s="83"/>
      <c r="BX190" s="83"/>
      <c r="BY190" s="83"/>
      <c r="BZ190" s="9">
        <f t="shared" si="42"/>
        <v>2</v>
      </c>
      <c r="CB190" s="148"/>
      <c r="CC190" s="2" t="str">
        <v>M40</v>
      </c>
      <c r="CD190" s="90">
        <v>12</v>
      </c>
      <c r="CE190" s="92">
        <f t="shared" ref="CE190:CE197" si="47">+CD190/$CD$198*100</f>
        <v>6.4171122994652414</v>
      </c>
    </row>
    <row r="191" spans="1:83" s="2" customFormat="1" ht="19.5" thickBot="1" x14ac:dyDescent="0.35">
      <c r="A191" s="17">
        <v>195</v>
      </c>
      <c r="B191" s="134" t="s">
        <v>116</v>
      </c>
      <c r="C191" s="18" t="s">
        <v>106</v>
      </c>
      <c r="D191" s="19"/>
      <c r="E191" s="19"/>
      <c r="F191" s="19"/>
      <c r="G191" s="30"/>
      <c r="H191" s="31"/>
      <c r="I191" s="40"/>
      <c r="J191" s="31"/>
      <c r="K191" s="40"/>
      <c r="L191" s="31"/>
      <c r="M191" s="40"/>
      <c r="N191" s="31"/>
      <c r="O191" s="40"/>
      <c r="P191" s="31"/>
      <c r="Q191" s="40"/>
      <c r="R191" s="31"/>
      <c r="S191" s="31"/>
      <c r="T191" s="31"/>
      <c r="U191" s="40"/>
      <c r="V191" s="31"/>
      <c r="W191" s="31"/>
      <c r="X191" s="31"/>
      <c r="Y191" s="31"/>
      <c r="Z191" s="31"/>
      <c r="AA191" s="31"/>
      <c r="AB191" s="31"/>
      <c r="AC191" s="31"/>
      <c r="AD191" s="46"/>
      <c r="AE191" s="46">
        <v>3</v>
      </c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55">
        <f t="shared" si="44"/>
        <v>3</v>
      </c>
      <c r="AZ191" s="56">
        <v>0</v>
      </c>
      <c r="BA191" s="57">
        <v>0</v>
      </c>
      <c r="BB191" s="57">
        <f>+'[1]25'!R295</f>
        <v>3</v>
      </c>
      <c r="BC191" s="57">
        <v>0</v>
      </c>
      <c r="BD191" s="57"/>
      <c r="BE191" s="57"/>
      <c r="BF191" s="57"/>
      <c r="BG191" s="57"/>
      <c r="BH191" s="57"/>
      <c r="BI191" s="55">
        <f t="shared" si="45"/>
        <v>3</v>
      </c>
      <c r="BJ191" s="69">
        <f t="shared" si="46"/>
        <v>0</v>
      </c>
      <c r="BK191" s="69">
        <f t="shared" si="43"/>
        <v>0</v>
      </c>
      <c r="BM191" s="75"/>
      <c r="BN191" s="57">
        <f t="shared" si="41"/>
        <v>0</v>
      </c>
      <c r="BO191" s="80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9">
        <f t="shared" si="42"/>
        <v>0</v>
      </c>
      <c r="CB191" s="148"/>
      <c r="CC191" s="2" t="str">
        <v>M41</v>
      </c>
      <c r="CD191" s="90">
        <v>26</v>
      </c>
      <c r="CE191" s="92">
        <f t="shared" si="47"/>
        <v>13.903743315508022</v>
      </c>
    </row>
    <row r="192" spans="1:83" s="2" customFormat="1" ht="19.5" thickBot="1" x14ac:dyDescent="0.35">
      <c r="A192" s="17">
        <v>196</v>
      </c>
      <c r="B192" s="135"/>
      <c r="C192" s="18" t="s">
        <v>82</v>
      </c>
      <c r="D192" s="19"/>
      <c r="E192" s="19"/>
      <c r="F192" s="19"/>
      <c r="G192" s="30"/>
      <c r="H192" s="31"/>
      <c r="I192" s="40"/>
      <c r="J192" s="31"/>
      <c r="K192" s="40"/>
      <c r="L192" s="31"/>
      <c r="M192" s="40"/>
      <c r="N192" s="31"/>
      <c r="O192" s="40"/>
      <c r="P192" s="31"/>
      <c r="Q192" s="40"/>
      <c r="R192" s="31"/>
      <c r="S192" s="31"/>
      <c r="T192" s="31"/>
      <c r="U192" s="40"/>
      <c r="V192" s="31"/>
      <c r="W192" s="31"/>
      <c r="X192" s="31"/>
      <c r="Y192" s="31"/>
      <c r="Z192" s="31"/>
      <c r="AA192" s="31"/>
      <c r="AB192" s="31"/>
      <c r="AC192" s="31"/>
      <c r="AD192" s="46"/>
      <c r="AE192" s="46">
        <v>6</v>
      </c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>
        <v>12</v>
      </c>
      <c r="AR192" s="46"/>
      <c r="AS192" s="46"/>
      <c r="AT192" s="46"/>
      <c r="AU192" s="46"/>
      <c r="AV192" s="46"/>
      <c r="AW192" s="46"/>
      <c r="AX192" s="46"/>
      <c r="AY192" s="55">
        <f t="shared" si="44"/>
        <v>18</v>
      </c>
      <c r="AZ192" s="56">
        <v>0</v>
      </c>
      <c r="BA192" s="57">
        <v>0</v>
      </c>
      <c r="BB192" s="57">
        <f>+'[1]25'!R296</f>
        <v>6</v>
      </c>
      <c r="BC192" s="57">
        <v>12</v>
      </c>
      <c r="BD192" s="57"/>
      <c r="BE192" s="57"/>
      <c r="BF192" s="57"/>
      <c r="BG192" s="57"/>
      <c r="BH192" s="57"/>
      <c r="BI192" s="55">
        <f t="shared" si="45"/>
        <v>18</v>
      </c>
      <c r="BJ192" s="69">
        <f t="shared" si="46"/>
        <v>0</v>
      </c>
      <c r="BK192" s="69">
        <f t="shared" si="43"/>
        <v>0</v>
      </c>
      <c r="BM192" s="75"/>
      <c r="BN192" s="57">
        <f t="shared" si="41"/>
        <v>0</v>
      </c>
      <c r="BO192" s="80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9">
        <f t="shared" si="42"/>
        <v>0</v>
      </c>
      <c r="CB192" s="148"/>
      <c r="CC192" s="2" t="str">
        <v>M42</v>
      </c>
      <c r="CD192" s="90">
        <v>38</v>
      </c>
      <c r="CE192" s="92">
        <f t="shared" si="47"/>
        <v>20.320855614973262</v>
      </c>
    </row>
    <row r="193" spans="1:83" s="2" customFormat="1" ht="19.5" thickBot="1" x14ac:dyDescent="0.35">
      <c r="A193" s="17">
        <v>197</v>
      </c>
      <c r="B193" s="135"/>
      <c r="C193" s="18" t="s">
        <v>83</v>
      </c>
      <c r="D193" s="19"/>
      <c r="E193" s="19"/>
      <c r="F193" s="19"/>
      <c r="G193" s="30"/>
      <c r="H193" s="31"/>
      <c r="I193" s="40"/>
      <c r="J193" s="31"/>
      <c r="K193" s="40"/>
      <c r="L193" s="31"/>
      <c r="M193" s="40"/>
      <c r="N193" s="31"/>
      <c r="O193" s="40"/>
      <c r="P193" s="31"/>
      <c r="Q193" s="40"/>
      <c r="R193" s="31"/>
      <c r="S193" s="31"/>
      <c r="T193" s="31"/>
      <c r="U193" s="40"/>
      <c r="V193" s="31"/>
      <c r="W193" s="31"/>
      <c r="X193" s="31"/>
      <c r="Y193" s="31"/>
      <c r="Z193" s="31"/>
      <c r="AA193" s="31"/>
      <c r="AB193" s="31"/>
      <c r="AC193" s="31"/>
      <c r="AD193" s="46"/>
      <c r="AE193" s="46">
        <v>21</v>
      </c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>
        <v>18</v>
      </c>
      <c r="AR193" s="46"/>
      <c r="AS193" s="46"/>
      <c r="AT193" s="46"/>
      <c r="AU193" s="46"/>
      <c r="AV193" s="46"/>
      <c r="AW193" s="46"/>
      <c r="AX193" s="46"/>
      <c r="AY193" s="55">
        <f t="shared" si="44"/>
        <v>39</v>
      </c>
      <c r="AZ193" s="56">
        <v>0</v>
      </c>
      <c r="BA193" s="57">
        <v>0</v>
      </c>
      <c r="BB193" s="57">
        <f>+'[1]25'!R297</f>
        <v>21</v>
      </c>
      <c r="BC193" s="57">
        <v>14</v>
      </c>
      <c r="BD193" s="57"/>
      <c r="BE193" s="57"/>
      <c r="BF193" s="57"/>
      <c r="BG193" s="57"/>
      <c r="BH193" s="57"/>
      <c r="BI193" s="55">
        <f t="shared" si="45"/>
        <v>35</v>
      </c>
      <c r="BJ193" s="69">
        <f t="shared" si="46"/>
        <v>4</v>
      </c>
      <c r="BK193" s="69">
        <f t="shared" si="43"/>
        <v>0</v>
      </c>
      <c r="BM193" s="75"/>
      <c r="BN193" s="57">
        <f t="shared" si="41"/>
        <v>1</v>
      </c>
      <c r="BO193" s="80"/>
      <c r="BP193" s="81">
        <v>1</v>
      </c>
      <c r="BQ193" s="81">
        <v>1</v>
      </c>
      <c r="BR193" s="81">
        <v>1</v>
      </c>
      <c r="BS193" s="81"/>
      <c r="BT193" s="81"/>
      <c r="BU193" s="81"/>
      <c r="BV193" s="81"/>
      <c r="BW193" s="81"/>
      <c r="BX193" s="81"/>
      <c r="BY193" s="81"/>
      <c r="BZ193" s="9">
        <f t="shared" si="42"/>
        <v>3</v>
      </c>
      <c r="CB193" s="148"/>
      <c r="CC193" s="2" t="str">
        <v>M43</v>
      </c>
      <c r="CD193" s="90">
        <v>48</v>
      </c>
      <c r="CE193" s="92">
        <f t="shared" si="47"/>
        <v>25.668449197860966</v>
      </c>
    </row>
    <row r="194" spans="1:83" s="2" customFormat="1" ht="19.5" thickBot="1" x14ac:dyDescent="0.35">
      <c r="A194" s="17">
        <v>198</v>
      </c>
      <c r="B194" s="135"/>
      <c r="C194" s="18" t="s">
        <v>84</v>
      </c>
      <c r="D194" s="19"/>
      <c r="E194" s="19"/>
      <c r="F194" s="19"/>
      <c r="G194" s="30"/>
      <c r="H194" s="31"/>
      <c r="I194" s="40"/>
      <c r="J194" s="31"/>
      <c r="K194" s="40"/>
      <c r="L194" s="31"/>
      <c r="M194" s="40"/>
      <c r="N194" s="31"/>
      <c r="O194" s="40"/>
      <c r="P194" s="31"/>
      <c r="Q194" s="40"/>
      <c r="R194" s="31"/>
      <c r="S194" s="31"/>
      <c r="T194" s="31"/>
      <c r="U194" s="40"/>
      <c r="V194" s="31"/>
      <c r="W194" s="31"/>
      <c r="X194" s="31"/>
      <c r="Y194" s="31"/>
      <c r="Z194" s="31"/>
      <c r="AA194" s="31"/>
      <c r="AB194" s="31"/>
      <c r="AC194" s="31"/>
      <c r="AD194" s="46"/>
      <c r="AE194" s="46">
        <v>27</v>
      </c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>
        <v>24</v>
      </c>
      <c r="AR194" s="46"/>
      <c r="AS194" s="46"/>
      <c r="AT194" s="46"/>
      <c r="AU194" s="46"/>
      <c r="AV194" s="46"/>
      <c r="AW194" s="46"/>
      <c r="AX194" s="46"/>
      <c r="AY194" s="55">
        <f t="shared" si="44"/>
        <v>51</v>
      </c>
      <c r="AZ194" s="56">
        <v>0</v>
      </c>
      <c r="BA194" s="57">
        <v>0</v>
      </c>
      <c r="BB194" s="57">
        <f>+'[1]25'!R298</f>
        <v>27</v>
      </c>
      <c r="BC194" s="57">
        <v>24</v>
      </c>
      <c r="BD194" s="57"/>
      <c r="BE194" s="57"/>
      <c r="BF194" s="57"/>
      <c r="BG194" s="57"/>
      <c r="BH194" s="57"/>
      <c r="BI194" s="55">
        <f t="shared" si="45"/>
        <v>51</v>
      </c>
      <c r="BJ194" s="69">
        <f t="shared" si="46"/>
        <v>0</v>
      </c>
      <c r="BK194" s="69">
        <f t="shared" si="43"/>
        <v>0</v>
      </c>
      <c r="BM194" s="75"/>
      <c r="BN194" s="57">
        <f t="shared" si="41"/>
        <v>0</v>
      </c>
      <c r="BO194" s="80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9">
        <f t="shared" si="42"/>
        <v>0</v>
      </c>
      <c r="CB194" s="148"/>
      <c r="CC194" s="2" t="str">
        <v>M44</v>
      </c>
      <c r="CD194" s="90">
        <v>28</v>
      </c>
      <c r="CE194" s="92">
        <f t="shared" si="47"/>
        <v>14.973262032085561</v>
      </c>
    </row>
    <row r="195" spans="1:83" s="2" customFormat="1" ht="19.5" thickBot="1" x14ac:dyDescent="0.35">
      <c r="A195" s="17">
        <v>199</v>
      </c>
      <c r="B195" s="135"/>
      <c r="C195" s="18" t="s">
        <v>85</v>
      </c>
      <c r="D195" s="19"/>
      <c r="E195" s="19"/>
      <c r="F195" s="19"/>
      <c r="G195" s="30"/>
      <c r="H195" s="31"/>
      <c r="I195" s="40"/>
      <c r="J195" s="31"/>
      <c r="K195" s="40"/>
      <c r="L195" s="31"/>
      <c r="M195" s="40"/>
      <c r="N195" s="31"/>
      <c r="O195" s="40"/>
      <c r="P195" s="31"/>
      <c r="Q195" s="40"/>
      <c r="R195" s="31"/>
      <c r="S195" s="31"/>
      <c r="T195" s="31"/>
      <c r="U195" s="40"/>
      <c r="V195" s="31"/>
      <c r="W195" s="31"/>
      <c r="X195" s="31"/>
      <c r="Y195" s="31"/>
      <c r="Z195" s="31"/>
      <c r="AA195" s="31"/>
      <c r="AB195" s="31"/>
      <c r="AC195" s="31"/>
      <c r="AD195" s="46"/>
      <c r="AE195" s="46">
        <v>27</v>
      </c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>
        <v>24</v>
      </c>
      <c r="AR195" s="46"/>
      <c r="AS195" s="46"/>
      <c r="AT195" s="46"/>
      <c r="AU195" s="46"/>
      <c r="AV195" s="46"/>
      <c r="AW195" s="46"/>
      <c r="AX195" s="46"/>
      <c r="AY195" s="55">
        <f t="shared" si="44"/>
        <v>51</v>
      </c>
      <c r="AZ195" s="56">
        <v>0</v>
      </c>
      <c r="BA195" s="57">
        <v>0</v>
      </c>
      <c r="BB195" s="57">
        <f>+'[1]25'!R299</f>
        <v>27</v>
      </c>
      <c r="BC195" s="57">
        <v>24</v>
      </c>
      <c r="BD195" s="57"/>
      <c r="BE195" s="57"/>
      <c r="BF195" s="57"/>
      <c r="BG195" s="57"/>
      <c r="BH195" s="57"/>
      <c r="BI195" s="55">
        <f t="shared" si="45"/>
        <v>51</v>
      </c>
      <c r="BJ195" s="69">
        <f t="shared" si="46"/>
        <v>0</v>
      </c>
      <c r="BK195" s="69">
        <f t="shared" si="43"/>
        <v>0</v>
      </c>
      <c r="BM195" s="75"/>
      <c r="BN195" s="57">
        <f t="shared" si="41"/>
        <v>0</v>
      </c>
      <c r="BO195" s="80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9">
        <f t="shared" si="42"/>
        <v>0</v>
      </c>
      <c r="CB195" s="148"/>
      <c r="CC195" s="2" t="str">
        <v>M45</v>
      </c>
      <c r="CD195" s="90">
        <v>22</v>
      </c>
      <c r="CE195" s="92">
        <f t="shared" si="47"/>
        <v>11.76470588235294</v>
      </c>
    </row>
    <row r="196" spans="1:83" s="2" customFormat="1" ht="19.5" thickBot="1" x14ac:dyDescent="0.35">
      <c r="A196" s="17">
        <v>200</v>
      </c>
      <c r="B196" s="135"/>
      <c r="C196" s="18" t="s">
        <v>86</v>
      </c>
      <c r="D196" s="19"/>
      <c r="E196" s="19"/>
      <c r="F196" s="19"/>
      <c r="G196" s="30"/>
      <c r="H196" s="31"/>
      <c r="I196" s="40"/>
      <c r="J196" s="31"/>
      <c r="K196" s="40"/>
      <c r="L196" s="31"/>
      <c r="M196" s="40"/>
      <c r="N196" s="31"/>
      <c r="O196" s="40"/>
      <c r="P196" s="31"/>
      <c r="Q196" s="40"/>
      <c r="R196" s="31"/>
      <c r="S196" s="31"/>
      <c r="T196" s="31"/>
      <c r="U196" s="40"/>
      <c r="V196" s="31"/>
      <c r="W196" s="31"/>
      <c r="X196" s="31"/>
      <c r="Y196" s="31"/>
      <c r="Z196" s="31"/>
      <c r="AA196" s="31"/>
      <c r="AB196" s="31"/>
      <c r="AC196" s="31"/>
      <c r="AD196" s="46"/>
      <c r="AE196" s="46">
        <v>18</v>
      </c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>
        <v>18</v>
      </c>
      <c r="AR196" s="46"/>
      <c r="AS196" s="46"/>
      <c r="AT196" s="46"/>
      <c r="AU196" s="46"/>
      <c r="AV196" s="46"/>
      <c r="AW196" s="46"/>
      <c r="AX196" s="46"/>
      <c r="AY196" s="55">
        <f t="shared" si="44"/>
        <v>36</v>
      </c>
      <c r="AZ196" s="56">
        <v>0</v>
      </c>
      <c r="BA196" s="57">
        <v>0</v>
      </c>
      <c r="BB196" s="57">
        <f>+'[1]25'!R300</f>
        <v>17</v>
      </c>
      <c r="BC196" s="57">
        <v>15</v>
      </c>
      <c r="BD196" s="57"/>
      <c r="BE196" s="57"/>
      <c r="BF196" s="57"/>
      <c r="BG196" s="57"/>
      <c r="BH196" s="57"/>
      <c r="BI196" s="55">
        <f t="shared" si="45"/>
        <v>32</v>
      </c>
      <c r="BJ196" s="69">
        <f t="shared" si="46"/>
        <v>4</v>
      </c>
      <c r="BK196" s="69">
        <f t="shared" si="43"/>
        <v>0</v>
      </c>
      <c r="BM196" s="75"/>
      <c r="BN196" s="57">
        <f t="shared" si="41"/>
        <v>0</v>
      </c>
      <c r="BO196" s="80"/>
      <c r="BP196" s="81">
        <v>2</v>
      </c>
      <c r="BQ196" s="81">
        <v>2</v>
      </c>
      <c r="BR196" s="81"/>
      <c r="BS196" s="81"/>
      <c r="BT196" s="81"/>
      <c r="BU196" s="81"/>
      <c r="BV196" s="81"/>
      <c r="BW196" s="81"/>
      <c r="BX196" s="81"/>
      <c r="BY196" s="81"/>
      <c r="BZ196" s="9">
        <f t="shared" si="42"/>
        <v>4</v>
      </c>
      <c r="CB196" s="148"/>
      <c r="CC196" s="2" t="str">
        <v>M46</v>
      </c>
      <c r="CD196" s="90">
        <v>11</v>
      </c>
      <c r="CE196" s="92">
        <f t="shared" si="47"/>
        <v>5.8823529411764701</v>
      </c>
    </row>
    <row r="197" spans="1:83" s="2" customFormat="1" ht="19.5" thickBot="1" x14ac:dyDescent="0.35">
      <c r="A197" s="17">
        <v>201</v>
      </c>
      <c r="B197" s="135"/>
      <c r="C197" s="20" t="s">
        <v>87</v>
      </c>
      <c r="D197" s="21"/>
      <c r="E197" s="21"/>
      <c r="F197" s="21"/>
      <c r="G197" s="32"/>
      <c r="H197" s="33"/>
      <c r="I197" s="41"/>
      <c r="J197" s="33"/>
      <c r="K197" s="41"/>
      <c r="L197" s="33"/>
      <c r="M197" s="41"/>
      <c r="N197" s="33"/>
      <c r="O197" s="41"/>
      <c r="P197" s="33"/>
      <c r="Q197" s="41"/>
      <c r="R197" s="33"/>
      <c r="S197" s="33"/>
      <c r="T197" s="33"/>
      <c r="U197" s="41"/>
      <c r="V197" s="33"/>
      <c r="W197" s="33"/>
      <c r="X197" s="33"/>
      <c r="Y197" s="33"/>
      <c r="Z197" s="33"/>
      <c r="AA197" s="33"/>
      <c r="AB197" s="33"/>
      <c r="AC197" s="33"/>
      <c r="AD197" s="47"/>
      <c r="AE197" s="47">
        <v>6</v>
      </c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>
        <v>12</v>
      </c>
      <c r="AR197" s="47"/>
      <c r="AS197" s="47"/>
      <c r="AT197" s="47"/>
      <c r="AU197" s="47"/>
      <c r="AV197" s="47"/>
      <c r="AW197" s="47"/>
      <c r="AX197" s="47"/>
      <c r="AY197" s="55">
        <f t="shared" si="44"/>
        <v>18</v>
      </c>
      <c r="AZ197" s="59">
        <v>0</v>
      </c>
      <c r="BA197" s="60">
        <v>0</v>
      </c>
      <c r="BB197" s="60">
        <f>+'[1]25'!R301</f>
        <v>6</v>
      </c>
      <c r="BC197" s="60">
        <v>6</v>
      </c>
      <c r="BD197" s="60"/>
      <c r="BE197" s="60"/>
      <c r="BF197" s="60"/>
      <c r="BG197" s="60"/>
      <c r="BH197" s="60"/>
      <c r="BI197" s="58">
        <f t="shared" si="45"/>
        <v>12</v>
      </c>
      <c r="BJ197" s="70">
        <f t="shared" si="46"/>
        <v>6</v>
      </c>
      <c r="BK197" s="70">
        <f t="shared" si="43"/>
        <v>0</v>
      </c>
      <c r="BL197" s="76"/>
      <c r="BM197" s="77"/>
      <c r="BN197" s="60">
        <f t="shared" si="41"/>
        <v>0</v>
      </c>
      <c r="BO197" s="82"/>
      <c r="BP197" s="83">
        <v>5</v>
      </c>
      <c r="BQ197" s="83"/>
      <c r="BR197" s="83">
        <v>1</v>
      </c>
      <c r="BS197" s="83"/>
      <c r="BT197" s="83"/>
      <c r="BU197" s="83"/>
      <c r="BV197" s="83"/>
      <c r="BW197" s="83"/>
      <c r="BX197" s="83"/>
      <c r="BY197" s="83"/>
      <c r="BZ197" s="9">
        <f t="shared" si="42"/>
        <v>6</v>
      </c>
      <c r="CB197" s="148"/>
      <c r="CC197" s="2" t="str">
        <v>M47</v>
      </c>
      <c r="CD197" s="90">
        <v>2</v>
      </c>
      <c r="CE197" s="92">
        <f t="shared" si="47"/>
        <v>1.0695187165775399</v>
      </c>
    </row>
    <row r="198" spans="1:83" s="2" customFormat="1" ht="18.75" customHeight="1" thickBot="1" x14ac:dyDescent="0.35">
      <c r="A198" s="17">
        <v>202</v>
      </c>
      <c r="B198" s="134" t="s">
        <v>117</v>
      </c>
      <c r="C198" s="18" t="s">
        <v>82</v>
      </c>
      <c r="D198" s="19"/>
      <c r="E198" s="19"/>
      <c r="F198" s="19"/>
      <c r="G198" s="30"/>
      <c r="H198" s="31"/>
      <c r="I198" s="40"/>
      <c r="J198" s="31"/>
      <c r="K198" s="40"/>
      <c r="L198" s="31"/>
      <c r="M198" s="40"/>
      <c r="N198" s="31"/>
      <c r="O198" s="40"/>
      <c r="P198" s="31"/>
      <c r="Q198" s="40"/>
      <c r="R198" s="31"/>
      <c r="S198" s="31"/>
      <c r="T198" s="31"/>
      <c r="U198" s="40"/>
      <c r="V198" s="31"/>
      <c r="W198" s="31"/>
      <c r="X198" s="31"/>
      <c r="Y198" s="31"/>
      <c r="Z198" s="31"/>
      <c r="AA198" s="31"/>
      <c r="AB198" s="31"/>
      <c r="AC198" s="31"/>
      <c r="AD198" s="46"/>
      <c r="AE198" s="46"/>
      <c r="AF198" s="46"/>
      <c r="AG198" s="46"/>
      <c r="AH198" s="46"/>
      <c r="AI198" s="46"/>
      <c r="AJ198" s="46">
        <v>12</v>
      </c>
      <c r="AK198" s="46"/>
      <c r="AL198" s="46"/>
      <c r="AM198" s="46"/>
      <c r="AN198" s="46">
        <v>12</v>
      </c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55">
        <f t="shared" si="44"/>
        <v>24</v>
      </c>
      <c r="AZ198" s="56"/>
      <c r="BA198" s="57"/>
      <c r="BB198" s="57">
        <f>+'[1]25'!R302</f>
        <v>4</v>
      </c>
      <c r="BC198" s="57">
        <v>11</v>
      </c>
      <c r="BD198" s="57"/>
      <c r="BE198" s="57"/>
      <c r="BF198" s="57"/>
      <c r="BG198" s="57"/>
      <c r="BH198" s="57"/>
      <c r="BI198" s="55">
        <f t="shared" si="45"/>
        <v>15</v>
      </c>
      <c r="BJ198" s="69">
        <f t="shared" si="46"/>
        <v>9</v>
      </c>
      <c r="BK198" s="69">
        <f t="shared" si="43"/>
        <v>0</v>
      </c>
      <c r="BM198" s="75"/>
      <c r="BN198" s="57">
        <f t="shared" si="41"/>
        <v>1</v>
      </c>
      <c r="BO198" s="80"/>
      <c r="BP198" s="81">
        <v>1</v>
      </c>
      <c r="BQ198" s="81">
        <v>2</v>
      </c>
      <c r="BR198" s="81">
        <v>4</v>
      </c>
      <c r="BS198" s="81">
        <v>1</v>
      </c>
      <c r="BT198" s="81"/>
      <c r="BU198" s="81"/>
      <c r="BV198" s="81"/>
      <c r="BW198" s="81"/>
      <c r="BX198" s="81"/>
      <c r="BY198" s="81"/>
      <c r="BZ198" s="9">
        <f t="shared" si="42"/>
        <v>8</v>
      </c>
      <c r="CB198" s="148"/>
      <c r="CC198" s="91" t="str">
        <v>Total</v>
      </c>
      <c r="CD198" s="88">
        <v>187</v>
      </c>
      <c r="CE198" s="93">
        <f>SUM(CE189:CE197)</f>
        <v>99.999999999999986</v>
      </c>
    </row>
    <row r="199" spans="1:83" s="2" customFormat="1" ht="19.5" thickBot="1" x14ac:dyDescent="0.35">
      <c r="A199" s="17">
        <v>203</v>
      </c>
      <c r="B199" s="134"/>
      <c r="C199" s="18" t="s">
        <v>83</v>
      </c>
      <c r="D199" s="19"/>
      <c r="E199" s="19"/>
      <c r="F199" s="19"/>
      <c r="G199" s="30"/>
      <c r="H199" s="31"/>
      <c r="I199" s="40"/>
      <c r="J199" s="31"/>
      <c r="K199" s="40"/>
      <c r="L199" s="31"/>
      <c r="M199" s="40"/>
      <c r="N199" s="31"/>
      <c r="O199" s="40"/>
      <c r="P199" s="31"/>
      <c r="Q199" s="40"/>
      <c r="R199" s="31"/>
      <c r="S199" s="31"/>
      <c r="T199" s="31"/>
      <c r="U199" s="40"/>
      <c r="V199" s="31"/>
      <c r="W199" s="31"/>
      <c r="X199" s="31"/>
      <c r="Y199" s="31"/>
      <c r="Z199" s="31"/>
      <c r="AA199" s="31"/>
      <c r="AB199" s="31"/>
      <c r="AC199" s="31"/>
      <c r="AD199" s="46"/>
      <c r="AE199" s="46"/>
      <c r="AF199" s="46"/>
      <c r="AG199" s="46"/>
      <c r="AH199" s="46"/>
      <c r="AI199" s="46"/>
      <c r="AJ199" s="46">
        <v>27</v>
      </c>
      <c r="AK199" s="46"/>
      <c r="AL199" s="46"/>
      <c r="AM199" s="46"/>
      <c r="AN199" s="46">
        <v>27</v>
      </c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55">
        <f t="shared" si="44"/>
        <v>54</v>
      </c>
      <c r="AZ199" s="56"/>
      <c r="BA199" s="57"/>
      <c r="BB199" s="57">
        <f>+'[1]25'!R303</f>
        <v>3</v>
      </c>
      <c r="BC199" s="57">
        <v>35</v>
      </c>
      <c r="BD199" s="57"/>
      <c r="BE199" s="57"/>
      <c r="BF199" s="57"/>
      <c r="BG199" s="57"/>
      <c r="BH199" s="57"/>
      <c r="BI199" s="55">
        <f t="shared" si="45"/>
        <v>38</v>
      </c>
      <c r="BJ199" s="69">
        <f t="shared" si="46"/>
        <v>16</v>
      </c>
      <c r="BK199" s="69">
        <f t="shared" si="43"/>
        <v>0</v>
      </c>
      <c r="BM199" s="75"/>
      <c r="BN199" s="57">
        <f t="shared" si="41"/>
        <v>6</v>
      </c>
      <c r="BO199" s="80"/>
      <c r="BP199" s="81">
        <v>2</v>
      </c>
      <c r="BQ199" s="81">
        <v>1</v>
      </c>
      <c r="BR199" s="81">
        <v>3</v>
      </c>
      <c r="BS199" s="81">
        <v>2</v>
      </c>
      <c r="BT199" s="81">
        <v>2</v>
      </c>
      <c r="BU199" s="81"/>
      <c r="BV199" s="81"/>
      <c r="BW199" s="81"/>
      <c r="BX199" s="81"/>
      <c r="BY199" s="81"/>
      <c r="BZ199" s="9">
        <f t="shared" si="42"/>
        <v>10</v>
      </c>
      <c r="CB199" s="148" t="s">
        <v>115</v>
      </c>
      <c r="CC199" s="2" t="str" cm="1">
        <f t="array" ref="CC199:CD206">_xlfn.GROUPBY(C546:C558,BI546:BI558,_xleta.SUM)</f>
        <v>W36</v>
      </c>
      <c r="CD199" s="90">
        <v>2</v>
      </c>
      <c r="CE199" s="92">
        <f>+CD199/$CD$206*100</f>
        <v>2.666666666666667</v>
      </c>
    </row>
    <row r="200" spans="1:83" s="2" customFormat="1" ht="19.5" thickBot="1" x14ac:dyDescent="0.35">
      <c r="A200" s="17">
        <v>204</v>
      </c>
      <c r="B200" s="134"/>
      <c r="C200" s="18" t="s">
        <v>84</v>
      </c>
      <c r="D200" s="19"/>
      <c r="E200" s="19"/>
      <c r="F200" s="19"/>
      <c r="G200" s="30"/>
      <c r="H200" s="31"/>
      <c r="I200" s="40"/>
      <c r="J200" s="31"/>
      <c r="K200" s="40"/>
      <c r="L200" s="31"/>
      <c r="M200" s="40"/>
      <c r="N200" s="31"/>
      <c r="O200" s="40"/>
      <c r="P200" s="31"/>
      <c r="Q200" s="40"/>
      <c r="R200" s="31"/>
      <c r="S200" s="31"/>
      <c r="T200" s="31"/>
      <c r="U200" s="40"/>
      <c r="V200" s="31"/>
      <c r="W200" s="31"/>
      <c r="X200" s="31"/>
      <c r="Y200" s="31"/>
      <c r="Z200" s="31"/>
      <c r="AA200" s="31"/>
      <c r="AB200" s="31"/>
      <c r="AC200" s="31"/>
      <c r="AD200" s="46"/>
      <c r="AE200" s="46"/>
      <c r="AF200" s="46"/>
      <c r="AG200" s="46"/>
      <c r="AH200" s="46"/>
      <c r="AI200" s="46"/>
      <c r="AJ200" s="46">
        <v>42</v>
      </c>
      <c r="AK200" s="46"/>
      <c r="AL200" s="46"/>
      <c r="AM200" s="46"/>
      <c r="AN200" s="46">
        <v>39</v>
      </c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55">
        <f t="shared" si="44"/>
        <v>81</v>
      </c>
      <c r="AZ200" s="56"/>
      <c r="BA200" s="57"/>
      <c r="BB200" s="57">
        <f>+'[1]25'!R304</f>
        <v>3</v>
      </c>
      <c r="BC200" s="57">
        <v>46</v>
      </c>
      <c r="BD200" s="57"/>
      <c r="BE200" s="57"/>
      <c r="BF200" s="57"/>
      <c r="BG200" s="57"/>
      <c r="BH200" s="57"/>
      <c r="BI200" s="55">
        <f t="shared" si="45"/>
        <v>49</v>
      </c>
      <c r="BJ200" s="69">
        <f t="shared" si="46"/>
        <v>32</v>
      </c>
      <c r="BK200" s="69">
        <f t="shared" si="43"/>
        <v>0</v>
      </c>
      <c r="BM200" s="75"/>
      <c r="BN200" s="57">
        <f t="shared" si="41"/>
        <v>25</v>
      </c>
      <c r="BO200" s="80"/>
      <c r="BP200" s="81">
        <v>2</v>
      </c>
      <c r="BQ200" s="81"/>
      <c r="BR200" s="81">
        <v>2</v>
      </c>
      <c r="BS200" s="81">
        <v>1</v>
      </c>
      <c r="BT200" s="81">
        <v>2</v>
      </c>
      <c r="BU200" s="81"/>
      <c r="BV200" s="81"/>
      <c r="BW200" s="81"/>
      <c r="BX200" s="81"/>
      <c r="BY200" s="81"/>
      <c r="BZ200" s="9">
        <f t="shared" si="42"/>
        <v>7</v>
      </c>
      <c r="CB200" s="148"/>
      <c r="CC200" s="2" t="str">
        <v>W37</v>
      </c>
      <c r="CD200" s="90">
        <v>14</v>
      </c>
      <c r="CE200" s="92">
        <f t="shared" ref="CE200:CE205" si="48">+CD200/$CD$206*100</f>
        <v>18.666666666666668</v>
      </c>
    </row>
    <row r="201" spans="1:83" s="2" customFormat="1" ht="19.5" thickBot="1" x14ac:dyDescent="0.35">
      <c r="A201" s="17">
        <v>205</v>
      </c>
      <c r="B201" s="134"/>
      <c r="C201" s="18" t="s">
        <v>85</v>
      </c>
      <c r="D201" s="19"/>
      <c r="E201" s="19"/>
      <c r="F201" s="19"/>
      <c r="G201" s="30"/>
      <c r="H201" s="31"/>
      <c r="I201" s="40"/>
      <c r="J201" s="31"/>
      <c r="K201" s="40"/>
      <c r="L201" s="31"/>
      <c r="M201" s="40"/>
      <c r="N201" s="31"/>
      <c r="O201" s="40"/>
      <c r="P201" s="31"/>
      <c r="Q201" s="40"/>
      <c r="R201" s="31"/>
      <c r="S201" s="31"/>
      <c r="T201" s="31"/>
      <c r="U201" s="40"/>
      <c r="V201" s="31"/>
      <c r="W201" s="31"/>
      <c r="X201" s="31"/>
      <c r="Y201" s="31"/>
      <c r="Z201" s="31"/>
      <c r="AA201" s="31"/>
      <c r="AB201" s="31"/>
      <c r="AC201" s="31"/>
      <c r="AD201" s="46"/>
      <c r="AE201" s="46"/>
      <c r="AF201" s="46"/>
      <c r="AG201" s="46"/>
      <c r="AH201" s="46"/>
      <c r="AI201" s="46"/>
      <c r="AJ201" s="46">
        <v>39</v>
      </c>
      <c r="AK201" s="46"/>
      <c r="AL201" s="46"/>
      <c r="AM201" s="46"/>
      <c r="AN201" s="46">
        <v>36</v>
      </c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55">
        <f t="shared" si="44"/>
        <v>75</v>
      </c>
      <c r="AZ201" s="56"/>
      <c r="BA201" s="57"/>
      <c r="BB201" s="57">
        <f>+'[1]25'!R305</f>
        <v>9</v>
      </c>
      <c r="BC201" s="57">
        <v>35</v>
      </c>
      <c r="BD201" s="57"/>
      <c r="BE201" s="57"/>
      <c r="BF201" s="57"/>
      <c r="BG201" s="57"/>
      <c r="BH201" s="57"/>
      <c r="BI201" s="55">
        <f t="shared" si="45"/>
        <v>44</v>
      </c>
      <c r="BJ201" s="69">
        <f t="shared" si="46"/>
        <v>31</v>
      </c>
      <c r="BK201" s="69">
        <f t="shared" si="43"/>
        <v>0</v>
      </c>
      <c r="BM201" s="75"/>
      <c r="BN201" s="57">
        <f t="shared" si="41"/>
        <v>15</v>
      </c>
      <c r="BO201" s="80"/>
      <c r="BP201" s="81">
        <v>2</v>
      </c>
      <c r="BQ201" s="81">
        <v>3</v>
      </c>
      <c r="BR201" s="81">
        <v>4</v>
      </c>
      <c r="BS201" s="81">
        <v>3</v>
      </c>
      <c r="BT201" s="81">
        <v>4</v>
      </c>
      <c r="BU201" s="81"/>
      <c r="BV201" s="81"/>
      <c r="BW201" s="81"/>
      <c r="BX201" s="81"/>
      <c r="BY201" s="81"/>
      <c r="BZ201" s="9">
        <f t="shared" si="42"/>
        <v>16</v>
      </c>
      <c r="CB201" s="148"/>
      <c r="CC201" s="2" t="str">
        <v>W38</v>
      </c>
      <c r="CD201" s="90">
        <v>20</v>
      </c>
      <c r="CE201" s="92">
        <f t="shared" si="48"/>
        <v>26.666666666666668</v>
      </c>
    </row>
    <row r="202" spans="1:83" s="2" customFormat="1" ht="19.5" thickBot="1" x14ac:dyDescent="0.35">
      <c r="A202" s="17">
        <v>206</v>
      </c>
      <c r="B202" s="134"/>
      <c r="C202" s="18" t="s">
        <v>86</v>
      </c>
      <c r="D202" s="19"/>
      <c r="E202" s="19"/>
      <c r="F202" s="19"/>
      <c r="G202" s="30"/>
      <c r="H202" s="31"/>
      <c r="I202" s="40"/>
      <c r="J202" s="31"/>
      <c r="K202" s="40"/>
      <c r="L202" s="31"/>
      <c r="M202" s="40"/>
      <c r="N202" s="31"/>
      <c r="O202" s="40"/>
      <c r="P202" s="31"/>
      <c r="Q202" s="40"/>
      <c r="R202" s="31"/>
      <c r="S202" s="31"/>
      <c r="T202" s="31"/>
      <c r="U202" s="40"/>
      <c r="V202" s="31"/>
      <c r="W202" s="31"/>
      <c r="X202" s="31"/>
      <c r="Y202" s="31"/>
      <c r="Z202" s="31"/>
      <c r="AA202" s="31"/>
      <c r="AB202" s="31"/>
      <c r="AC202" s="31"/>
      <c r="AD202" s="46"/>
      <c r="AE202" s="46"/>
      <c r="AF202" s="46"/>
      <c r="AG202" s="46"/>
      <c r="AH202" s="46"/>
      <c r="AI202" s="46"/>
      <c r="AJ202" s="46">
        <v>24</v>
      </c>
      <c r="AK202" s="46"/>
      <c r="AL202" s="46"/>
      <c r="AM202" s="46"/>
      <c r="AN202" s="46">
        <v>24</v>
      </c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55">
        <f t="shared" si="44"/>
        <v>48</v>
      </c>
      <c r="AZ202" s="56"/>
      <c r="BA202" s="57"/>
      <c r="BB202" s="57">
        <f>+'[1]25'!R306</f>
        <v>4</v>
      </c>
      <c r="BC202" s="57">
        <v>26</v>
      </c>
      <c r="BD202" s="57"/>
      <c r="BE202" s="57"/>
      <c r="BF202" s="57"/>
      <c r="BG202" s="57"/>
      <c r="BH202" s="57"/>
      <c r="BI202" s="55">
        <f t="shared" si="45"/>
        <v>30</v>
      </c>
      <c r="BJ202" s="69">
        <f t="shared" si="46"/>
        <v>18</v>
      </c>
      <c r="BK202" s="69">
        <f t="shared" si="43"/>
        <v>0</v>
      </c>
      <c r="BM202" s="75"/>
      <c r="BN202" s="57">
        <f t="shared" si="41"/>
        <v>12</v>
      </c>
      <c r="BO202" s="80"/>
      <c r="BP202" s="81"/>
      <c r="BQ202" s="81">
        <v>1</v>
      </c>
      <c r="BR202" s="81">
        <v>1</v>
      </c>
      <c r="BS202" s="81">
        <v>2</v>
      </c>
      <c r="BT202" s="81">
        <v>2</v>
      </c>
      <c r="BU202" s="81"/>
      <c r="BV202" s="81"/>
      <c r="BW202" s="81"/>
      <c r="BX202" s="81"/>
      <c r="BY202" s="81"/>
      <c r="BZ202" s="9">
        <f t="shared" si="42"/>
        <v>6</v>
      </c>
      <c r="CB202" s="148"/>
      <c r="CC202" s="2" t="str">
        <v>W39</v>
      </c>
      <c r="CD202" s="90">
        <v>19</v>
      </c>
      <c r="CE202" s="92">
        <f t="shared" si="48"/>
        <v>25.333333333333336</v>
      </c>
    </row>
    <row r="203" spans="1:83" s="2" customFormat="1" ht="19.5" thickBot="1" x14ac:dyDescent="0.35">
      <c r="A203" s="17">
        <v>207</v>
      </c>
      <c r="B203" s="134"/>
      <c r="C203" s="18" t="s">
        <v>87</v>
      </c>
      <c r="D203" s="19"/>
      <c r="E203" s="19"/>
      <c r="F203" s="19"/>
      <c r="G203" s="30"/>
      <c r="H203" s="31"/>
      <c r="I203" s="40"/>
      <c r="J203" s="31"/>
      <c r="K203" s="40"/>
      <c r="L203" s="31"/>
      <c r="M203" s="40"/>
      <c r="N203" s="31"/>
      <c r="O203" s="40"/>
      <c r="P203" s="31"/>
      <c r="Q203" s="40"/>
      <c r="R203" s="31"/>
      <c r="S203" s="31"/>
      <c r="T203" s="31"/>
      <c r="U203" s="40"/>
      <c r="V203" s="31"/>
      <c r="W203" s="31"/>
      <c r="X203" s="31"/>
      <c r="Y203" s="31"/>
      <c r="Z203" s="31"/>
      <c r="AA203" s="31"/>
      <c r="AB203" s="31"/>
      <c r="AC203" s="31"/>
      <c r="AD203" s="46"/>
      <c r="AE203" s="46"/>
      <c r="AF203" s="46"/>
      <c r="AG203" s="46"/>
      <c r="AH203" s="46"/>
      <c r="AI203" s="46"/>
      <c r="AJ203" s="46">
        <v>12</v>
      </c>
      <c r="AK203" s="46"/>
      <c r="AL203" s="46"/>
      <c r="AM203" s="46"/>
      <c r="AN203" s="46">
        <v>12</v>
      </c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55">
        <f t="shared" si="44"/>
        <v>24</v>
      </c>
      <c r="AZ203" s="56"/>
      <c r="BA203" s="57"/>
      <c r="BB203" s="57">
        <f>+'[1]25'!R307</f>
        <v>3</v>
      </c>
      <c r="BC203" s="57">
        <v>11</v>
      </c>
      <c r="BD203" s="57"/>
      <c r="BE203" s="57"/>
      <c r="BF203" s="57"/>
      <c r="BG203" s="57"/>
      <c r="BH203" s="57"/>
      <c r="BI203" s="55">
        <f t="shared" si="45"/>
        <v>14</v>
      </c>
      <c r="BJ203" s="69">
        <f t="shared" si="46"/>
        <v>10</v>
      </c>
      <c r="BK203" s="69">
        <f t="shared" si="43"/>
        <v>0</v>
      </c>
      <c r="BM203" s="75"/>
      <c r="BN203" s="57">
        <f t="shared" si="41"/>
        <v>2</v>
      </c>
      <c r="BO203" s="80"/>
      <c r="BP203" s="81">
        <v>2</v>
      </c>
      <c r="BQ203" s="81">
        <v>1</v>
      </c>
      <c r="BR203" s="81">
        <v>3</v>
      </c>
      <c r="BS203" s="81">
        <v>1</v>
      </c>
      <c r="BT203" s="81">
        <v>1</v>
      </c>
      <c r="BU203" s="81"/>
      <c r="BV203" s="81"/>
      <c r="BW203" s="81"/>
      <c r="BX203" s="81"/>
      <c r="BY203" s="81"/>
      <c r="BZ203" s="9">
        <f t="shared" si="42"/>
        <v>8</v>
      </c>
      <c r="CB203" s="148"/>
      <c r="CC203" s="2" t="str">
        <v>W40</v>
      </c>
      <c r="CD203" s="90">
        <v>14</v>
      </c>
      <c r="CE203" s="92">
        <f t="shared" si="48"/>
        <v>18.666666666666668</v>
      </c>
    </row>
    <row r="204" spans="1:83" s="2" customFormat="1" ht="19.5" thickBot="1" x14ac:dyDescent="0.35">
      <c r="A204" s="17">
        <v>208</v>
      </c>
      <c r="B204" s="134"/>
      <c r="C204" s="20" t="s">
        <v>88</v>
      </c>
      <c r="D204" s="21"/>
      <c r="E204" s="21"/>
      <c r="F204" s="21"/>
      <c r="G204" s="32"/>
      <c r="H204" s="33"/>
      <c r="I204" s="41"/>
      <c r="J204" s="33"/>
      <c r="K204" s="41"/>
      <c r="L204" s="33"/>
      <c r="M204" s="41"/>
      <c r="N204" s="33"/>
      <c r="O204" s="41"/>
      <c r="P204" s="33"/>
      <c r="Q204" s="41"/>
      <c r="R204" s="33"/>
      <c r="S204" s="33"/>
      <c r="T204" s="33"/>
      <c r="U204" s="41"/>
      <c r="V204" s="33"/>
      <c r="W204" s="33"/>
      <c r="X204" s="33"/>
      <c r="Y204" s="33"/>
      <c r="Z204" s="33"/>
      <c r="AA204" s="33"/>
      <c r="AB204" s="33"/>
      <c r="AC204" s="33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>
        <v>6</v>
      </c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55">
        <f t="shared" si="44"/>
        <v>6</v>
      </c>
      <c r="AZ204" s="59"/>
      <c r="BA204" s="60"/>
      <c r="BB204" s="60">
        <f>+'[1]25'!R308</f>
        <v>0</v>
      </c>
      <c r="BC204" s="60">
        <v>1</v>
      </c>
      <c r="BD204" s="60"/>
      <c r="BE204" s="60"/>
      <c r="BF204" s="60"/>
      <c r="BG204" s="60"/>
      <c r="BH204" s="60"/>
      <c r="BI204" s="58">
        <f t="shared" si="45"/>
        <v>1</v>
      </c>
      <c r="BJ204" s="70">
        <f t="shared" si="46"/>
        <v>5</v>
      </c>
      <c r="BK204" s="70">
        <f t="shared" si="43"/>
        <v>0</v>
      </c>
      <c r="BL204" s="76"/>
      <c r="BM204" s="77"/>
      <c r="BN204" s="60">
        <f t="shared" si="41"/>
        <v>5</v>
      </c>
      <c r="BO204" s="82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9">
        <f t="shared" si="42"/>
        <v>0</v>
      </c>
      <c r="CB204" s="148"/>
      <c r="CC204" s="2" t="str">
        <v>W41</v>
      </c>
      <c r="CD204" s="90">
        <v>5</v>
      </c>
      <c r="CE204" s="92">
        <f t="shared" si="48"/>
        <v>6.666666666666667</v>
      </c>
    </row>
    <row r="205" spans="1:83" s="2" customFormat="1" ht="18.75" customHeight="1" thickBot="1" x14ac:dyDescent="0.35">
      <c r="A205" s="17">
        <v>209</v>
      </c>
      <c r="B205" s="134" t="s">
        <v>118</v>
      </c>
      <c r="C205" s="18" t="s">
        <v>82</v>
      </c>
      <c r="D205" s="19"/>
      <c r="E205" s="19"/>
      <c r="F205" s="19"/>
      <c r="G205" s="30"/>
      <c r="H205" s="31"/>
      <c r="I205" s="40"/>
      <c r="J205" s="31"/>
      <c r="K205" s="40"/>
      <c r="L205" s="31"/>
      <c r="M205" s="40"/>
      <c r="N205" s="31"/>
      <c r="O205" s="40"/>
      <c r="P205" s="31"/>
      <c r="Q205" s="40"/>
      <c r="R205" s="31"/>
      <c r="S205" s="31"/>
      <c r="T205" s="31"/>
      <c r="U205" s="40"/>
      <c r="V205" s="31"/>
      <c r="W205" s="31"/>
      <c r="X205" s="31"/>
      <c r="Y205" s="31"/>
      <c r="Z205" s="31"/>
      <c r="AA205" s="31"/>
      <c r="AB205" s="31"/>
      <c r="AC205" s="31"/>
      <c r="AD205" s="46"/>
      <c r="AE205" s="46"/>
      <c r="AF205" s="46"/>
      <c r="AG205" s="46"/>
      <c r="AH205" s="46"/>
      <c r="AI205" s="46"/>
      <c r="AJ205" s="46">
        <v>12</v>
      </c>
      <c r="AK205" s="46"/>
      <c r="AL205" s="46"/>
      <c r="AM205" s="46"/>
      <c r="AN205" s="46">
        <v>12</v>
      </c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55">
        <f t="shared" si="44"/>
        <v>24</v>
      </c>
      <c r="AZ205" s="56"/>
      <c r="BA205" s="57"/>
      <c r="BB205" s="57">
        <f>+'[1]25'!R309</f>
        <v>7</v>
      </c>
      <c r="BC205" s="57">
        <v>11</v>
      </c>
      <c r="BD205" s="57"/>
      <c r="BE205" s="57"/>
      <c r="BF205" s="57"/>
      <c r="BG205" s="57"/>
      <c r="BH205" s="57"/>
      <c r="BI205" s="55">
        <f t="shared" si="45"/>
        <v>18</v>
      </c>
      <c r="BJ205" s="69">
        <f t="shared" si="46"/>
        <v>6</v>
      </c>
      <c r="BK205" s="69">
        <f t="shared" si="43"/>
        <v>0</v>
      </c>
      <c r="BM205" s="75"/>
      <c r="BN205" s="57">
        <f t="shared" si="41"/>
        <v>0</v>
      </c>
      <c r="BO205" s="80"/>
      <c r="BP205" s="81"/>
      <c r="BQ205" s="81"/>
      <c r="BR205" s="81">
        <v>5</v>
      </c>
      <c r="BS205" s="81">
        <v>1</v>
      </c>
      <c r="BT205" s="81"/>
      <c r="BU205" s="81"/>
      <c r="BV205" s="81"/>
      <c r="BW205" s="81"/>
      <c r="BX205" s="81"/>
      <c r="BY205" s="81"/>
      <c r="BZ205" s="9">
        <f t="shared" si="42"/>
        <v>6</v>
      </c>
      <c r="CB205" s="148"/>
      <c r="CC205" s="2" t="str">
        <v>W42</v>
      </c>
      <c r="CD205" s="90">
        <v>1</v>
      </c>
      <c r="CE205" s="92">
        <f t="shared" si="48"/>
        <v>1.3333333333333335</v>
      </c>
    </row>
    <row r="206" spans="1:83" s="2" customFormat="1" ht="19.5" thickBot="1" x14ac:dyDescent="0.35">
      <c r="A206" s="17">
        <v>210</v>
      </c>
      <c r="B206" s="134"/>
      <c r="C206" s="18" t="s">
        <v>83</v>
      </c>
      <c r="D206" s="19"/>
      <c r="E206" s="19"/>
      <c r="F206" s="19"/>
      <c r="G206" s="30"/>
      <c r="H206" s="31"/>
      <c r="I206" s="40"/>
      <c r="J206" s="31"/>
      <c r="K206" s="40"/>
      <c r="L206" s="31"/>
      <c r="M206" s="40"/>
      <c r="N206" s="31"/>
      <c r="O206" s="40"/>
      <c r="P206" s="31"/>
      <c r="Q206" s="40"/>
      <c r="R206" s="31"/>
      <c r="S206" s="31"/>
      <c r="T206" s="31"/>
      <c r="U206" s="40"/>
      <c r="V206" s="31"/>
      <c r="W206" s="31"/>
      <c r="X206" s="31"/>
      <c r="Y206" s="31"/>
      <c r="Z206" s="31"/>
      <c r="AA206" s="31"/>
      <c r="AB206" s="31"/>
      <c r="AC206" s="31"/>
      <c r="AD206" s="46"/>
      <c r="AE206" s="46"/>
      <c r="AF206" s="46"/>
      <c r="AG206" s="46"/>
      <c r="AH206" s="46"/>
      <c r="AI206" s="46"/>
      <c r="AJ206" s="46">
        <v>27</v>
      </c>
      <c r="AK206" s="46"/>
      <c r="AL206" s="46"/>
      <c r="AM206" s="46"/>
      <c r="AN206" s="46">
        <v>27</v>
      </c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55">
        <f t="shared" si="44"/>
        <v>54</v>
      </c>
      <c r="AZ206" s="56"/>
      <c r="BA206" s="57"/>
      <c r="BB206" s="57">
        <f>+'[1]25'!R310</f>
        <v>5</v>
      </c>
      <c r="BC206" s="57">
        <v>40</v>
      </c>
      <c r="BD206" s="57"/>
      <c r="BE206" s="57"/>
      <c r="BF206" s="57"/>
      <c r="BG206" s="57"/>
      <c r="BH206" s="57"/>
      <c r="BI206" s="55">
        <f t="shared" si="45"/>
        <v>45</v>
      </c>
      <c r="BJ206" s="69">
        <f t="shared" si="46"/>
        <v>9</v>
      </c>
      <c r="BK206" s="69">
        <f t="shared" si="43"/>
        <v>0</v>
      </c>
      <c r="BM206" s="75"/>
      <c r="BN206" s="57">
        <f t="shared" si="41"/>
        <v>0</v>
      </c>
      <c r="BO206" s="80"/>
      <c r="BP206" s="81">
        <v>2</v>
      </c>
      <c r="BQ206" s="81">
        <v>2</v>
      </c>
      <c r="BR206" s="81">
        <v>2</v>
      </c>
      <c r="BS206" s="81">
        <v>3</v>
      </c>
      <c r="BT206" s="81"/>
      <c r="BU206" s="81"/>
      <c r="BV206" s="81"/>
      <c r="BW206" s="81"/>
      <c r="BX206" s="81"/>
      <c r="BY206" s="81"/>
      <c r="BZ206" s="9">
        <f t="shared" si="42"/>
        <v>9</v>
      </c>
      <c r="CB206" s="148"/>
      <c r="CC206" s="91" t="str">
        <v>Total</v>
      </c>
      <c r="CD206" s="88">
        <v>75</v>
      </c>
      <c r="CE206" s="93">
        <f>SUM(CE199:CE205)</f>
        <v>100.00000000000001</v>
      </c>
    </row>
    <row r="207" spans="1:83" s="2" customFormat="1" ht="19.5" thickBot="1" x14ac:dyDescent="0.35">
      <c r="A207" s="17">
        <v>211</v>
      </c>
      <c r="B207" s="134"/>
      <c r="C207" s="18" t="s">
        <v>84</v>
      </c>
      <c r="D207" s="19"/>
      <c r="E207" s="19"/>
      <c r="F207" s="19"/>
      <c r="G207" s="30"/>
      <c r="H207" s="31"/>
      <c r="I207" s="40"/>
      <c r="J207" s="31"/>
      <c r="K207" s="40"/>
      <c r="L207" s="31"/>
      <c r="M207" s="40"/>
      <c r="N207" s="31"/>
      <c r="O207" s="40"/>
      <c r="P207" s="31"/>
      <c r="Q207" s="40"/>
      <c r="R207" s="31"/>
      <c r="S207" s="31"/>
      <c r="T207" s="31"/>
      <c r="U207" s="40"/>
      <c r="V207" s="31"/>
      <c r="W207" s="31"/>
      <c r="X207" s="31"/>
      <c r="Y207" s="31"/>
      <c r="Z207" s="31"/>
      <c r="AA207" s="31"/>
      <c r="AB207" s="31"/>
      <c r="AC207" s="31"/>
      <c r="AD207" s="46"/>
      <c r="AE207" s="46"/>
      <c r="AF207" s="46"/>
      <c r="AG207" s="46"/>
      <c r="AH207" s="46"/>
      <c r="AI207" s="46"/>
      <c r="AJ207" s="46">
        <v>42</v>
      </c>
      <c r="AK207" s="46"/>
      <c r="AL207" s="46"/>
      <c r="AM207" s="46"/>
      <c r="AN207" s="46">
        <v>39</v>
      </c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55">
        <f t="shared" si="44"/>
        <v>81</v>
      </c>
      <c r="AZ207" s="56"/>
      <c r="BA207" s="57"/>
      <c r="BB207" s="57">
        <f>+'[1]25'!R311</f>
        <v>12</v>
      </c>
      <c r="BC207" s="57">
        <v>61</v>
      </c>
      <c r="BD207" s="57"/>
      <c r="BE207" s="57"/>
      <c r="BF207" s="57"/>
      <c r="BG207" s="57"/>
      <c r="BH207" s="57"/>
      <c r="BI207" s="55">
        <f t="shared" si="45"/>
        <v>73</v>
      </c>
      <c r="BJ207" s="69">
        <f t="shared" si="46"/>
        <v>8</v>
      </c>
      <c r="BK207" s="69">
        <f t="shared" si="43"/>
        <v>0</v>
      </c>
      <c r="BM207" s="75"/>
      <c r="BN207" s="57">
        <f t="shared" si="41"/>
        <v>0</v>
      </c>
      <c r="BO207" s="80"/>
      <c r="BP207" s="81">
        <v>1</v>
      </c>
      <c r="BQ207" s="81">
        <v>2</v>
      </c>
      <c r="BR207" s="81">
        <v>2</v>
      </c>
      <c r="BS207" s="81">
        <v>2</v>
      </c>
      <c r="BT207" s="81">
        <v>1</v>
      </c>
      <c r="BU207" s="81"/>
      <c r="BV207" s="81"/>
      <c r="BW207" s="81"/>
      <c r="BX207" s="81"/>
      <c r="BY207" s="81"/>
      <c r="BZ207" s="9">
        <f t="shared" si="42"/>
        <v>8</v>
      </c>
      <c r="CB207" s="151" t="s">
        <v>119</v>
      </c>
      <c r="CC207" s="89" t="str" cm="1">
        <f t="array" ref="CC207:CD215">_xlfn.GROUPBY(C559:C590,BI559:BI590,_xleta.SUM)</f>
        <v>M40</v>
      </c>
      <c r="CD207" s="89">
        <v>5</v>
      </c>
      <c r="CE207" s="94">
        <f>+CD207/$CD$215*100</f>
        <v>13.888888888888889</v>
      </c>
    </row>
    <row r="208" spans="1:83" s="2" customFormat="1" ht="19.5" thickBot="1" x14ac:dyDescent="0.35">
      <c r="A208" s="17">
        <v>212</v>
      </c>
      <c r="B208" s="134"/>
      <c r="C208" s="18" t="s">
        <v>85</v>
      </c>
      <c r="D208" s="19"/>
      <c r="E208" s="19"/>
      <c r="F208" s="19"/>
      <c r="G208" s="30"/>
      <c r="H208" s="31"/>
      <c r="I208" s="40"/>
      <c r="J208" s="31"/>
      <c r="K208" s="40"/>
      <c r="L208" s="31"/>
      <c r="M208" s="40"/>
      <c r="N208" s="31"/>
      <c r="O208" s="40"/>
      <c r="P208" s="31"/>
      <c r="Q208" s="40"/>
      <c r="R208" s="31"/>
      <c r="S208" s="31"/>
      <c r="T208" s="31"/>
      <c r="U208" s="40"/>
      <c r="V208" s="31"/>
      <c r="W208" s="31"/>
      <c r="X208" s="31"/>
      <c r="Y208" s="31"/>
      <c r="Z208" s="31"/>
      <c r="AA208" s="31"/>
      <c r="AB208" s="31"/>
      <c r="AC208" s="31"/>
      <c r="AD208" s="46"/>
      <c r="AE208" s="46"/>
      <c r="AF208" s="46"/>
      <c r="AG208" s="46"/>
      <c r="AH208" s="46"/>
      <c r="AI208" s="46"/>
      <c r="AJ208" s="46">
        <v>39</v>
      </c>
      <c r="AK208" s="46"/>
      <c r="AL208" s="46"/>
      <c r="AM208" s="46"/>
      <c r="AN208" s="46">
        <v>36</v>
      </c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55">
        <f t="shared" si="44"/>
        <v>75</v>
      </c>
      <c r="AZ208" s="56"/>
      <c r="BA208" s="57"/>
      <c r="BB208" s="57">
        <f>+'[1]25'!R312</f>
        <v>2</v>
      </c>
      <c r="BC208" s="57">
        <v>61</v>
      </c>
      <c r="BD208" s="57"/>
      <c r="BE208" s="57"/>
      <c r="BF208" s="57"/>
      <c r="BG208" s="57"/>
      <c r="BH208" s="57"/>
      <c r="BI208" s="55">
        <f t="shared" si="45"/>
        <v>63</v>
      </c>
      <c r="BJ208" s="69">
        <f t="shared" si="46"/>
        <v>12</v>
      </c>
      <c r="BK208" s="69">
        <f t="shared" si="43"/>
        <v>0</v>
      </c>
      <c r="BM208" s="75"/>
      <c r="BN208" s="57">
        <f t="shared" si="41"/>
        <v>5</v>
      </c>
      <c r="BO208" s="80"/>
      <c r="BP208" s="81">
        <v>1</v>
      </c>
      <c r="BQ208" s="81"/>
      <c r="BR208" s="81">
        <v>3</v>
      </c>
      <c r="BS208" s="81">
        <v>1</v>
      </c>
      <c r="BT208" s="81">
        <v>2</v>
      </c>
      <c r="BU208" s="81"/>
      <c r="BV208" s="81"/>
      <c r="BW208" s="81"/>
      <c r="BX208" s="81"/>
      <c r="BY208" s="81"/>
      <c r="BZ208" s="9">
        <f t="shared" si="42"/>
        <v>7</v>
      </c>
      <c r="CB208" s="152"/>
      <c r="CC208" s="90" t="str">
        <v>M41</v>
      </c>
      <c r="CD208" s="90">
        <v>8</v>
      </c>
      <c r="CE208" s="92">
        <f t="shared" ref="CE208:CE214" si="49">+CD208/$CD$215*100</f>
        <v>22.222222222222221</v>
      </c>
    </row>
    <row r="209" spans="1:83" s="2" customFormat="1" ht="19.5" thickBot="1" x14ac:dyDescent="0.35">
      <c r="A209" s="17">
        <v>213</v>
      </c>
      <c r="B209" s="134"/>
      <c r="C209" s="18" t="s">
        <v>86</v>
      </c>
      <c r="D209" s="19"/>
      <c r="E209" s="19"/>
      <c r="F209" s="19"/>
      <c r="G209" s="30"/>
      <c r="H209" s="31"/>
      <c r="I209" s="40"/>
      <c r="J209" s="31"/>
      <c r="K209" s="40"/>
      <c r="L209" s="31"/>
      <c r="M209" s="40"/>
      <c r="N209" s="31"/>
      <c r="O209" s="40"/>
      <c r="P209" s="31"/>
      <c r="Q209" s="40"/>
      <c r="R209" s="31"/>
      <c r="S209" s="31"/>
      <c r="T209" s="31"/>
      <c r="U209" s="40"/>
      <c r="V209" s="31"/>
      <c r="W209" s="31"/>
      <c r="X209" s="31"/>
      <c r="Y209" s="31"/>
      <c r="Z209" s="31"/>
      <c r="AA209" s="31"/>
      <c r="AB209" s="31"/>
      <c r="AC209" s="31"/>
      <c r="AD209" s="46"/>
      <c r="AE209" s="46"/>
      <c r="AF209" s="46"/>
      <c r="AG209" s="46"/>
      <c r="AH209" s="46"/>
      <c r="AI209" s="46"/>
      <c r="AJ209" s="46">
        <v>24</v>
      </c>
      <c r="AK209" s="46"/>
      <c r="AL209" s="46"/>
      <c r="AM209" s="46"/>
      <c r="AN209" s="46">
        <v>24</v>
      </c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55">
        <f t="shared" si="44"/>
        <v>48</v>
      </c>
      <c r="AZ209" s="56"/>
      <c r="BA209" s="57"/>
      <c r="BB209" s="57">
        <f>+'[1]25'!R313</f>
        <v>4</v>
      </c>
      <c r="BC209" s="57">
        <v>36</v>
      </c>
      <c r="BD209" s="57"/>
      <c r="BE209" s="57"/>
      <c r="BF209" s="57"/>
      <c r="BG209" s="57"/>
      <c r="BH209" s="57"/>
      <c r="BI209" s="55">
        <f t="shared" si="45"/>
        <v>40</v>
      </c>
      <c r="BJ209" s="69">
        <f t="shared" si="46"/>
        <v>8</v>
      </c>
      <c r="BK209" s="69">
        <f t="shared" si="43"/>
        <v>0</v>
      </c>
      <c r="BM209" s="75"/>
      <c r="BN209" s="57">
        <f t="shared" si="41"/>
        <v>0</v>
      </c>
      <c r="BO209" s="80"/>
      <c r="BP209" s="81">
        <v>2</v>
      </c>
      <c r="BQ209" s="81"/>
      <c r="BR209" s="81">
        <v>2</v>
      </c>
      <c r="BS209" s="81">
        <v>2</v>
      </c>
      <c r="BT209" s="81">
        <v>2</v>
      </c>
      <c r="BU209" s="81"/>
      <c r="BV209" s="81"/>
      <c r="BW209" s="81"/>
      <c r="BX209" s="81"/>
      <c r="BY209" s="81"/>
      <c r="BZ209" s="9">
        <f t="shared" si="42"/>
        <v>8</v>
      </c>
      <c r="CB209" s="152"/>
      <c r="CC209" s="90" t="str">
        <v>M42</v>
      </c>
      <c r="CD209" s="90">
        <v>5</v>
      </c>
      <c r="CE209" s="92">
        <f t="shared" si="49"/>
        <v>13.888888888888889</v>
      </c>
    </row>
    <row r="210" spans="1:83" s="2" customFormat="1" ht="19.5" thickBot="1" x14ac:dyDescent="0.35">
      <c r="A210" s="17">
        <v>214</v>
      </c>
      <c r="B210" s="134"/>
      <c r="C210" s="18" t="s">
        <v>87</v>
      </c>
      <c r="D210" s="19"/>
      <c r="E210" s="19"/>
      <c r="F210" s="19"/>
      <c r="G210" s="30"/>
      <c r="H210" s="31"/>
      <c r="I210" s="40"/>
      <c r="J210" s="31"/>
      <c r="K210" s="40"/>
      <c r="L210" s="31"/>
      <c r="M210" s="40"/>
      <c r="N210" s="31"/>
      <c r="O210" s="40"/>
      <c r="P210" s="31"/>
      <c r="Q210" s="40"/>
      <c r="R210" s="31"/>
      <c r="S210" s="31"/>
      <c r="T210" s="31"/>
      <c r="U210" s="40"/>
      <c r="V210" s="31"/>
      <c r="W210" s="31"/>
      <c r="X210" s="31"/>
      <c r="Y210" s="31"/>
      <c r="Z210" s="31"/>
      <c r="AA210" s="31"/>
      <c r="AB210" s="31"/>
      <c r="AC210" s="31"/>
      <c r="AD210" s="46"/>
      <c r="AE210" s="46"/>
      <c r="AF210" s="46"/>
      <c r="AG210" s="46"/>
      <c r="AH210" s="46"/>
      <c r="AI210" s="46"/>
      <c r="AJ210" s="46">
        <v>12</v>
      </c>
      <c r="AK210" s="46"/>
      <c r="AL210" s="46"/>
      <c r="AM210" s="46"/>
      <c r="AN210" s="46">
        <v>12</v>
      </c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55">
        <f t="shared" si="44"/>
        <v>24</v>
      </c>
      <c r="AZ210" s="56"/>
      <c r="BA210" s="57"/>
      <c r="BB210" s="57">
        <f>+'[1]25'!R314</f>
        <v>6</v>
      </c>
      <c r="BC210" s="57">
        <v>15</v>
      </c>
      <c r="BD210" s="57"/>
      <c r="BE210" s="57"/>
      <c r="BF210" s="57"/>
      <c r="BG210" s="57"/>
      <c r="BH210" s="57"/>
      <c r="BI210" s="55">
        <f t="shared" si="45"/>
        <v>21</v>
      </c>
      <c r="BJ210" s="69">
        <f t="shared" si="46"/>
        <v>3</v>
      </c>
      <c r="BK210" s="69">
        <f t="shared" si="43"/>
        <v>0</v>
      </c>
      <c r="BM210" s="75"/>
      <c r="BN210" s="57">
        <f t="shared" si="41"/>
        <v>2</v>
      </c>
      <c r="BO210" s="80"/>
      <c r="BP210" s="81"/>
      <c r="BQ210" s="81"/>
      <c r="BR210" s="81">
        <v>1</v>
      </c>
      <c r="BS210" s="81"/>
      <c r="BT210" s="81"/>
      <c r="BU210" s="81"/>
      <c r="BV210" s="81"/>
      <c r="BW210" s="81"/>
      <c r="BX210" s="81"/>
      <c r="BY210" s="81"/>
      <c r="BZ210" s="9">
        <f t="shared" si="42"/>
        <v>1</v>
      </c>
      <c r="CB210" s="152"/>
      <c r="CC210" s="90" t="str">
        <v>M43</v>
      </c>
      <c r="CD210" s="90">
        <v>10</v>
      </c>
      <c r="CE210" s="92">
        <f t="shared" si="49"/>
        <v>27.777777777777779</v>
      </c>
    </row>
    <row r="211" spans="1:83" s="2" customFormat="1" ht="19.5" thickBot="1" x14ac:dyDescent="0.35">
      <c r="A211" s="17">
        <v>215</v>
      </c>
      <c r="B211" s="134"/>
      <c r="C211" s="20" t="s">
        <v>88</v>
      </c>
      <c r="D211" s="21"/>
      <c r="E211" s="21"/>
      <c r="F211" s="21"/>
      <c r="G211" s="32"/>
      <c r="H211" s="33"/>
      <c r="I211" s="41"/>
      <c r="J211" s="33"/>
      <c r="K211" s="41"/>
      <c r="L211" s="33"/>
      <c r="M211" s="41"/>
      <c r="N211" s="33"/>
      <c r="O211" s="41"/>
      <c r="P211" s="33"/>
      <c r="Q211" s="41"/>
      <c r="R211" s="33"/>
      <c r="S211" s="33"/>
      <c r="T211" s="33"/>
      <c r="U211" s="41"/>
      <c r="V211" s="33"/>
      <c r="W211" s="33"/>
      <c r="X211" s="33"/>
      <c r="Y211" s="33"/>
      <c r="Z211" s="33"/>
      <c r="AA211" s="33"/>
      <c r="AB211" s="33"/>
      <c r="AC211" s="33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>
        <v>6</v>
      </c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55">
        <f t="shared" si="44"/>
        <v>6</v>
      </c>
      <c r="AZ211" s="59"/>
      <c r="BA211" s="60"/>
      <c r="BB211" s="60">
        <f>+'[1]25'!R315</f>
        <v>0</v>
      </c>
      <c r="BC211" s="60">
        <v>3</v>
      </c>
      <c r="BD211" s="60"/>
      <c r="BE211" s="60"/>
      <c r="BF211" s="60"/>
      <c r="BG211" s="60"/>
      <c r="BH211" s="60"/>
      <c r="BI211" s="58">
        <f t="shared" si="45"/>
        <v>3</v>
      </c>
      <c r="BJ211" s="70">
        <f t="shared" si="46"/>
        <v>3</v>
      </c>
      <c r="BK211" s="70">
        <f t="shared" si="43"/>
        <v>0</v>
      </c>
      <c r="BL211" s="76"/>
      <c r="BM211" s="77"/>
      <c r="BN211" s="60">
        <f t="shared" si="41"/>
        <v>3</v>
      </c>
      <c r="BO211" s="82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9">
        <f t="shared" si="42"/>
        <v>0</v>
      </c>
      <c r="CB211" s="152"/>
      <c r="CC211" s="90" t="str">
        <v>M44</v>
      </c>
      <c r="CD211" s="90">
        <v>6</v>
      </c>
      <c r="CE211" s="92">
        <f t="shared" si="49"/>
        <v>16.666666666666664</v>
      </c>
    </row>
    <row r="212" spans="1:83" s="2" customFormat="1" ht="19.5" thickBot="1" x14ac:dyDescent="0.35">
      <c r="A212" s="17">
        <v>216</v>
      </c>
      <c r="B212" s="134" t="s">
        <v>120</v>
      </c>
      <c r="C212" s="18" t="s">
        <v>82</v>
      </c>
      <c r="D212" s="19"/>
      <c r="E212" s="19"/>
      <c r="F212" s="19"/>
      <c r="G212" s="30"/>
      <c r="H212" s="31"/>
      <c r="I212" s="40"/>
      <c r="J212" s="31"/>
      <c r="K212" s="40"/>
      <c r="L212" s="31"/>
      <c r="M212" s="40"/>
      <c r="N212" s="31"/>
      <c r="O212" s="40"/>
      <c r="P212" s="31"/>
      <c r="Q212" s="40"/>
      <c r="R212" s="31"/>
      <c r="S212" s="31"/>
      <c r="T212" s="31"/>
      <c r="U212" s="40"/>
      <c r="V212" s="31"/>
      <c r="W212" s="31"/>
      <c r="X212" s="31"/>
      <c r="Y212" s="31"/>
      <c r="Z212" s="31"/>
      <c r="AA212" s="31"/>
      <c r="AB212" s="31"/>
      <c r="AC212" s="31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>
        <v>9</v>
      </c>
      <c r="AR212" s="46"/>
      <c r="AS212" s="46"/>
      <c r="AT212" s="46"/>
      <c r="AU212" s="46"/>
      <c r="AV212" s="46"/>
      <c r="AW212" s="46"/>
      <c r="AX212" s="46"/>
      <c r="AY212" s="55">
        <f t="shared" si="44"/>
        <v>9</v>
      </c>
      <c r="AZ212" s="56"/>
      <c r="BA212" s="57"/>
      <c r="BB212" s="57"/>
      <c r="BC212" s="57">
        <v>8</v>
      </c>
      <c r="BD212" s="57"/>
      <c r="BE212" s="57"/>
      <c r="BF212" s="57"/>
      <c r="BG212" s="57"/>
      <c r="BH212" s="57"/>
      <c r="BI212" s="55">
        <f t="shared" si="45"/>
        <v>8</v>
      </c>
      <c r="BJ212" s="69">
        <f t="shared" si="46"/>
        <v>1</v>
      </c>
      <c r="BK212" s="69">
        <f t="shared" si="43"/>
        <v>0</v>
      </c>
      <c r="BM212" s="75"/>
      <c r="BN212" s="57">
        <f t="shared" si="41"/>
        <v>1</v>
      </c>
      <c r="BO212" s="80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9">
        <f t="shared" si="42"/>
        <v>0</v>
      </c>
      <c r="CB212" s="152"/>
      <c r="CC212" s="90" t="str">
        <v>M45</v>
      </c>
      <c r="CD212" s="90">
        <v>2</v>
      </c>
      <c r="CE212" s="92">
        <f t="shared" si="49"/>
        <v>5.5555555555555554</v>
      </c>
    </row>
    <row r="213" spans="1:83" s="2" customFormat="1" ht="19.5" thickBot="1" x14ac:dyDescent="0.35">
      <c r="A213" s="17">
        <v>217</v>
      </c>
      <c r="B213" s="134"/>
      <c r="C213" s="18" t="s">
        <v>83</v>
      </c>
      <c r="D213" s="19"/>
      <c r="E213" s="19"/>
      <c r="F213" s="19"/>
      <c r="G213" s="30"/>
      <c r="H213" s="31"/>
      <c r="I213" s="40"/>
      <c r="J213" s="31"/>
      <c r="K213" s="40"/>
      <c r="L213" s="31"/>
      <c r="M213" s="40"/>
      <c r="N213" s="31"/>
      <c r="O213" s="40"/>
      <c r="P213" s="31"/>
      <c r="Q213" s="40"/>
      <c r="R213" s="31"/>
      <c r="S213" s="31"/>
      <c r="T213" s="31"/>
      <c r="U213" s="40"/>
      <c r="V213" s="31"/>
      <c r="W213" s="31"/>
      <c r="X213" s="31"/>
      <c r="Y213" s="31"/>
      <c r="Z213" s="31"/>
      <c r="AA213" s="31"/>
      <c r="AB213" s="31"/>
      <c r="AC213" s="31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>
        <v>24</v>
      </c>
      <c r="AR213" s="46"/>
      <c r="AS213" s="46"/>
      <c r="AT213" s="46"/>
      <c r="AU213" s="46"/>
      <c r="AV213" s="46"/>
      <c r="AW213" s="46"/>
      <c r="AX213" s="46"/>
      <c r="AY213" s="55">
        <f t="shared" si="44"/>
        <v>24</v>
      </c>
      <c r="AZ213" s="56"/>
      <c r="BA213" s="57"/>
      <c r="BB213" s="57"/>
      <c r="BC213" s="57">
        <v>23</v>
      </c>
      <c r="BD213" s="57"/>
      <c r="BE213" s="57"/>
      <c r="BF213" s="57"/>
      <c r="BG213" s="57"/>
      <c r="BH213" s="57"/>
      <c r="BI213" s="55">
        <f t="shared" si="45"/>
        <v>23</v>
      </c>
      <c r="BJ213" s="69">
        <f t="shared" si="46"/>
        <v>1</v>
      </c>
      <c r="BK213" s="69">
        <f t="shared" si="43"/>
        <v>0</v>
      </c>
      <c r="BM213" s="75"/>
      <c r="BN213" s="57">
        <f t="shared" si="41"/>
        <v>1</v>
      </c>
      <c r="BO213" s="80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9">
        <f t="shared" si="42"/>
        <v>0</v>
      </c>
      <c r="CB213" s="152"/>
      <c r="CC213" s="90" t="str">
        <v>M46</v>
      </c>
      <c r="CD213" s="90">
        <v>0</v>
      </c>
      <c r="CE213" s="92">
        <f t="shared" si="49"/>
        <v>0</v>
      </c>
    </row>
    <row r="214" spans="1:83" s="2" customFormat="1" ht="19.5" thickBot="1" x14ac:dyDescent="0.35">
      <c r="A214" s="17">
        <v>218</v>
      </c>
      <c r="B214" s="134"/>
      <c r="C214" s="18" t="s">
        <v>84</v>
      </c>
      <c r="D214" s="19"/>
      <c r="E214" s="19"/>
      <c r="F214" s="19"/>
      <c r="G214" s="30"/>
      <c r="H214" s="31"/>
      <c r="I214" s="40"/>
      <c r="J214" s="31"/>
      <c r="K214" s="40"/>
      <c r="L214" s="31"/>
      <c r="M214" s="40"/>
      <c r="N214" s="31"/>
      <c r="O214" s="40"/>
      <c r="P214" s="31"/>
      <c r="Q214" s="40"/>
      <c r="R214" s="31"/>
      <c r="S214" s="31"/>
      <c r="T214" s="31"/>
      <c r="U214" s="40"/>
      <c r="V214" s="31"/>
      <c r="W214" s="31"/>
      <c r="X214" s="31"/>
      <c r="Y214" s="31"/>
      <c r="Z214" s="31"/>
      <c r="AA214" s="31"/>
      <c r="AB214" s="31"/>
      <c r="AC214" s="31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>
        <v>39</v>
      </c>
      <c r="AR214" s="46"/>
      <c r="AS214" s="46"/>
      <c r="AT214" s="46"/>
      <c r="AU214" s="46"/>
      <c r="AV214" s="46"/>
      <c r="AW214" s="46"/>
      <c r="AX214" s="46"/>
      <c r="AY214" s="55">
        <f t="shared" si="44"/>
        <v>39</v>
      </c>
      <c r="AZ214" s="56"/>
      <c r="BA214" s="57"/>
      <c r="BB214" s="57"/>
      <c r="BC214" s="57">
        <v>38</v>
      </c>
      <c r="BD214" s="57"/>
      <c r="BE214" s="57"/>
      <c r="BF214" s="57"/>
      <c r="BG214" s="57"/>
      <c r="BH214" s="57"/>
      <c r="BI214" s="55">
        <f t="shared" si="45"/>
        <v>38</v>
      </c>
      <c r="BJ214" s="69">
        <f t="shared" si="46"/>
        <v>1</v>
      </c>
      <c r="BK214" s="69">
        <f t="shared" si="43"/>
        <v>0</v>
      </c>
      <c r="BM214" s="75"/>
      <c r="BN214" s="57">
        <f t="shared" si="41"/>
        <v>1</v>
      </c>
      <c r="BO214" s="80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9">
        <f t="shared" si="42"/>
        <v>0</v>
      </c>
      <c r="CB214" s="152"/>
      <c r="CC214" s="90" t="str">
        <v>M47</v>
      </c>
      <c r="CD214" s="90">
        <v>0</v>
      </c>
      <c r="CE214" s="92">
        <f t="shared" si="49"/>
        <v>0</v>
      </c>
    </row>
    <row r="215" spans="1:83" s="2" customFormat="1" ht="19.5" thickBot="1" x14ac:dyDescent="0.35">
      <c r="A215" s="17">
        <v>219</v>
      </c>
      <c r="B215" s="134"/>
      <c r="C215" s="18" t="s">
        <v>85</v>
      </c>
      <c r="D215" s="19"/>
      <c r="E215" s="19"/>
      <c r="F215" s="19"/>
      <c r="G215" s="30"/>
      <c r="H215" s="31"/>
      <c r="I215" s="40"/>
      <c r="J215" s="31"/>
      <c r="K215" s="40"/>
      <c r="L215" s="31"/>
      <c r="M215" s="40"/>
      <c r="N215" s="31"/>
      <c r="O215" s="40"/>
      <c r="P215" s="31"/>
      <c r="Q215" s="40"/>
      <c r="R215" s="31"/>
      <c r="S215" s="31"/>
      <c r="T215" s="31"/>
      <c r="U215" s="40"/>
      <c r="V215" s="31"/>
      <c r="W215" s="31"/>
      <c r="X215" s="31"/>
      <c r="Y215" s="31"/>
      <c r="Z215" s="31"/>
      <c r="AA215" s="31"/>
      <c r="AB215" s="31"/>
      <c r="AC215" s="31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>
        <v>36</v>
      </c>
      <c r="AR215" s="46"/>
      <c r="AS215" s="46"/>
      <c r="AT215" s="46"/>
      <c r="AU215" s="46"/>
      <c r="AV215" s="46"/>
      <c r="AW215" s="46"/>
      <c r="AX215" s="46"/>
      <c r="AY215" s="55">
        <f t="shared" si="44"/>
        <v>36</v>
      </c>
      <c r="AZ215" s="56"/>
      <c r="BA215" s="57"/>
      <c r="BB215" s="57"/>
      <c r="BC215" s="57">
        <v>32</v>
      </c>
      <c r="BD215" s="57"/>
      <c r="BE215" s="57"/>
      <c r="BF215" s="57"/>
      <c r="BG215" s="57"/>
      <c r="BH215" s="57"/>
      <c r="BI215" s="55">
        <f t="shared" si="45"/>
        <v>32</v>
      </c>
      <c r="BJ215" s="69">
        <f t="shared" si="46"/>
        <v>4</v>
      </c>
      <c r="BK215" s="69">
        <f t="shared" si="43"/>
        <v>0</v>
      </c>
      <c r="BM215" s="75"/>
      <c r="BN215" s="57">
        <f t="shared" si="41"/>
        <v>1</v>
      </c>
      <c r="BO215" s="80"/>
      <c r="BP215" s="81"/>
      <c r="BQ215" s="81"/>
      <c r="BR215" s="81">
        <v>3</v>
      </c>
      <c r="BS215" s="81"/>
      <c r="BT215" s="81"/>
      <c r="BU215" s="81"/>
      <c r="BV215" s="81"/>
      <c r="BW215" s="81"/>
      <c r="BX215" s="81"/>
      <c r="BY215" s="81"/>
      <c r="BZ215" s="9">
        <f t="shared" si="42"/>
        <v>3</v>
      </c>
      <c r="CB215" s="153"/>
      <c r="CC215" s="88" t="str">
        <v>Total</v>
      </c>
      <c r="CD215" s="88">
        <v>36</v>
      </c>
      <c r="CE215" s="93">
        <f>SUM(CE207:CE214)</f>
        <v>99.999999999999986</v>
      </c>
    </row>
    <row r="216" spans="1:83" s="2" customFormat="1" ht="19.5" thickBot="1" x14ac:dyDescent="0.35">
      <c r="A216" s="17">
        <v>220</v>
      </c>
      <c r="B216" s="134"/>
      <c r="C216" s="18" t="s">
        <v>86</v>
      </c>
      <c r="D216" s="19"/>
      <c r="E216" s="19"/>
      <c r="F216" s="19"/>
      <c r="G216" s="30"/>
      <c r="H216" s="31"/>
      <c r="I216" s="40"/>
      <c r="J216" s="31"/>
      <c r="K216" s="40"/>
      <c r="L216" s="31"/>
      <c r="M216" s="40"/>
      <c r="N216" s="31"/>
      <c r="O216" s="40"/>
      <c r="P216" s="31"/>
      <c r="Q216" s="40"/>
      <c r="R216" s="31"/>
      <c r="S216" s="31"/>
      <c r="T216" s="31"/>
      <c r="U216" s="40"/>
      <c r="V216" s="31"/>
      <c r="W216" s="31"/>
      <c r="X216" s="31"/>
      <c r="Y216" s="31"/>
      <c r="Z216" s="31"/>
      <c r="AA216" s="31"/>
      <c r="AB216" s="31"/>
      <c r="AC216" s="31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>
        <v>24</v>
      </c>
      <c r="AR216" s="46"/>
      <c r="AS216" s="46"/>
      <c r="AT216" s="46"/>
      <c r="AU216" s="46"/>
      <c r="AV216" s="46"/>
      <c r="AW216" s="46"/>
      <c r="AX216" s="46"/>
      <c r="AY216" s="55">
        <f t="shared" si="44"/>
        <v>24</v>
      </c>
      <c r="AZ216" s="56"/>
      <c r="BA216" s="57"/>
      <c r="BB216" s="57"/>
      <c r="BC216" s="57">
        <v>20</v>
      </c>
      <c r="BD216" s="57"/>
      <c r="BE216" s="57"/>
      <c r="BF216" s="57"/>
      <c r="BG216" s="57"/>
      <c r="BH216" s="57"/>
      <c r="BI216" s="55">
        <f t="shared" si="45"/>
        <v>20</v>
      </c>
      <c r="BJ216" s="69">
        <f t="shared" si="46"/>
        <v>4</v>
      </c>
      <c r="BK216" s="69">
        <f t="shared" si="43"/>
        <v>0</v>
      </c>
      <c r="BM216" s="75"/>
      <c r="BN216" s="57">
        <f t="shared" si="41"/>
        <v>0</v>
      </c>
      <c r="BO216" s="80"/>
      <c r="BP216" s="81">
        <v>3</v>
      </c>
      <c r="BQ216" s="81"/>
      <c r="BR216" s="81">
        <v>1</v>
      </c>
      <c r="BS216" s="81"/>
      <c r="BT216" s="81"/>
      <c r="BU216" s="81"/>
      <c r="BV216" s="81"/>
      <c r="BW216" s="81"/>
      <c r="BX216" s="81"/>
      <c r="BY216" s="81"/>
      <c r="BZ216" s="9">
        <f t="shared" si="42"/>
        <v>4</v>
      </c>
      <c r="CB216" s="3"/>
      <c r="CD216" s="2" t="e">
        <f>+CD206+CD198+CD188+CD174+CD164+CD153+CD147+CD136+CD128+CD117+CD109+CD100+CD91+CD84+CD75+#REF!+CD62+CD53+CD42+CD34+CD23+CD15+CD215</f>
        <v>#REF!</v>
      </c>
      <c r="CE216" s="95"/>
    </row>
    <row r="217" spans="1:83" s="2" customFormat="1" ht="19.5" thickBot="1" x14ac:dyDescent="0.35">
      <c r="A217" s="17">
        <v>221</v>
      </c>
      <c r="B217" s="134"/>
      <c r="C217" s="18" t="s">
        <v>87</v>
      </c>
      <c r="D217" s="19"/>
      <c r="E217" s="19"/>
      <c r="F217" s="19"/>
      <c r="G217" s="30"/>
      <c r="H217" s="31"/>
      <c r="I217" s="40"/>
      <c r="J217" s="31"/>
      <c r="K217" s="40"/>
      <c r="L217" s="31"/>
      <c r="M217" s="40"/>
      <c r="N217" s="31"/>
      <c r="O217" s="40"/>
      <c r="P217" s="31"/>
      <c r="Q217" s="40"/>
      <c r="R217" s="31"/>
      <c r="S217" s="31"/>
      <c r="T217" s="31"/>
      <c r="U217" s="40"/>
      <c r="V217" s="31"/>
      <c r="W217" s="31"/>
      <c r="X217" s="31"/>
      <c r="Y217" s="31"/>
      <c r="Z217" s="31"/>
      <c r="AA217" s="31"/>
      <c r="AB217" s="31"/>
      <c r="AC217" s="31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>
        <v>12</v>
      </c>
      <c r="AR217" s="46"/>
      <c r="AS217" s="46"/>
      <c r="AT217" s="46"/>
      <c r="AU217" s="46"/>
      <c r="AV217" s="46"/>
      <c r="AW217" s="46"/>
      <c r="AX217" s="46"/>
      <c r="AY217" s="55">
        <f t="shared" si="44"/>
        <v>12</v>
      </c>
      <c r="AZ217" s="56"/>
      <c r="BA217" s="57"/>
      <c r="BB217" s="57"/>
      <c r="BC217" s="57">
        <v>7</v>
      </c>
      <c r="BD217" s="57"/>
      <c r="BE217" s="57"/>
      <c r="BF217" s="57"/>
      <c r="BG217" s="57"/>
      <c r="BH217" s="57"/>
      <c r="BI217" s="55">
        <f t="shared" si="45"/>
        <v>7</v>
      </c>
      <c r="BJ217" s="69">
        <f t="shared" si="46"/>
        <v>5</v>
      </c>
      <c r="BK217" s="69">
        <f t="shared" si="43"/>
        <v>0</v>
      </c>
      <c r="BM217" s="75"/>
      <c r="BN217" s="57">
        <f t="shared" si="41"/>
        <v>0</v>
      </c>
      <c r="BO217" s="80"/>
      <c r="BP217" s="81">
        <v>3</v>
      </c>
      <c r="BQ217" s="81"/>
      <c r="BR217" s="81">
        <v>2</v>
      </c>
      <c r="BS217" s="81"/>
      <c r="BT217" s="81"/>
      <c r="BU217" s="81"/>
      <c r="BV217" s="81"/>
      <c r="BW217" s="81"/>
      <c r="BX217" s="81"/>
      <c r="BY217" s="81"/>
      <c r="BZ217" s="9">
        <f t="shared" si="42"/>
        <v>5</v>
      </c>
      <c r="CB217" s="3"/>
      <c r="CE217" s="95"/>
    </row>
    <row r="218" spans="1:83" s="2" customFormat="1" ht="19.5" thickBot="1" x14ac:dyDescent="0.35">
      <c r="A218" s="17">
        <v>222</v>
      </c>
      <c r="B218" s="134"/>
      <c r="C218" s="20" t="s">
        <v>88</v>
      </c>
      <c r="D218" s="21"/>
      <c r="E218" s="21"/>
      <c r="F218" s="21"/>
      <c r="G218" s="32"/>
      <c r="H218" s="33"/>
      <c r="I218" s="41"/>
      <c r="J218" s="33"/>
      <c r="K218" s="41"/>
      <c r="L218" s="33"/>
      <c r="M218" s="41"/>
      <c r="N218" s="33"/>
      <c r="O218" s="41"/>
      <c r="P218" s="33"/>
      <c r="Q218" s="41"/>
      <c r="R218" s="33"/>
      <c r="S218" s="33"/>
      <c r="T218" s="33"/>
      <c r="U218" s="41"/>
      <c r="V218" s="33"/>
      <c r="W218" s="33"/>
      <c r="X218" s="33"/>
      <c r="Y218" s="33"/>
      <c r="Z218" s="33"/>
      <c r="AA218" s="33"/>
      <c r="AB218" s="33"/>
      <c r="AC218" s="33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55">
        <f t="shared" si="44"/>
        <v>0</v>
      </c>
      <c r="AZ218" s="59"/>
      <c r="BA218" s="60"/>
      <c r="BB218" s="60"/>
      <c r="BC218" s="60">
        <v>0</v>
      </c>
      <c r="BD218" s="60"/>
      <c r="BE218" s="60"/>
      <c r="BF218" s="60"/>
      <c r="BG218" s="60"/>
      <c r="BH218" s="60"/>
      <c r="BI218" s="58">
        <f t="shared" si="45"/>
        <v>0</v>
      </c>
      <c r="BJ218" s="70">
        <f t="shared" si="46"/>
        <v>0</v>
      </c>
      <c r="BK218" s="70">
        <f t="shared" si="43"/>
        <v>0</v>
      </c>
      <c r="BL218" s="76"/>
      <c r="BM218" s="77"/>
      <c r="BN218" s="60">
        <f t="shared" si="41"/>
        <v>0</v>
      </c>
      <c r="BO218" s="82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9">
        <f t="shared" si="42"/>
        <v>0</v>
      </c>
      <c r="CB218" s="3"/>
      <c r="CE218" s="95"/>
    </row>
    <row r="219" spans="1:83" s="2" customFormat="1" ht="18.75" customHeight="1" thickBot="1" x14ac:dyDescent="0.35">
      <c r="A219" s="17">
        <v>223</v>
      </c>
      <c r="B219" s="134" t="s">
        <v>121</v>
      </c>
      <c r="C219" s="18" t="s">
        <v>106</v>
      </c>
      <c r="D219" s="19"/>
      <c r="E219" s="19"/>
      <c r="F219" s="19"/>
      <c r="G219" s="30"/>
      <c r="H219" s="31"/>
      <c r="I219" s="40"/>
      <c r="J219" s="31"/>
      <c r="K219" s="40"/>
      <c r="L219" s="31"/>
      <c r="M219" s="40"/>
      <c r="N219" s="31"/>
      <c r="O219" s="40"/>
      <c r="P219" s="31"/>
      <c r="Q219" s="40"/>
      <c r="R219" s="31"/>
      <c r="S219" s="31"/>
      <c r="T219" s="31"/>
      <c r="U219" s="40"/>
      <c r="V219" s="31"/>
      <c r="W219" s="31"/>
      <c r="X219" s="31"/>
      <c r="Y219" s="31"/>
      <c r="Z219" s="31"/>
      <c r="AA219" s="31"/>
      <c r="AB219" s="31"/>
      <c r="AC219" s="31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>
        <v>6</v>
      </c>
      <c r="AR219" s="46">
        <v>12</v>
      </c>
      <c r="AS219" s="46"/>
      <c r="AT219" s="46"/>
      <c r="AU219" s="46"/>
      <c r="AV219" s="46"/>
      <c r="AW219" s="46"/>
      <c r="AX219" s="46"/>
      <c r="AY219" s="55">
        <f t="shared" si="44"/>
        <v>18</v>
      </c>
      <c r="AZ219" s="56"/>
      <c r="BA219" s="57"/>
      <c r="BB219" s="57"/>
      <c r="BC219" s="57">
        <v>7</v>
      </c>
      <c r="BD219" s="57"/>
      <c r="BE219" s="57"/>
      <c r="BF219" s="57"/>
      <c r="BG219" s="57"/>
      <c r="BH219" s="57"/>
      <c r="BI219" s="55">
        <f t="shared" si="45"/>
        <v>7</v>
      </c>
      <c r="BJ219" s="69">
        <f t="shared" si="46"/>
        <v>11</v>
      </c>
      <c r="BK219" s="69">
        <f t="shared" si="43"/>
        <v>0</v>
      </c>
      <c r="BM219" s="75"/>
      <c r="BN219" s="57">
        <f t="shared" si="41"/>
        <v>10</v>
      </c>
      <c r="BO219" s="80"/>
      <c r="BP219" s="81"/>
      <c r="BQ219" s="81"/>
      <c r="BR219" s="81">
        <v>1</v>
      </c>
      <c r="BS219" s="81"/>
      <c r="BT219" s="81"/>
      <c r="BU219" s="81"/>
      <c r="BV219" s="81"/>
      <c r="BW219" s="81"/>
      <c r="BX219" s="81"/>
      <c r="BY219" s="81"/>
      <c r="BZ219" s="9">
        <f t="shared" si="42"/>
        <v>1</v>
      </c>
      <c r="CB219" s="3"/>
      <c r="CE219" s="95"/>
    </row>
    <row r="220" spans="1:83" s="2" customFormat="1" ht="19.5" thickBot="1" x14ac:dyDescent="0.35">
      <c r="A220" s="17">
        <v>224</v>
      </c>
      <c r="B220" s="134"/>
      <c r="C220" s="18" t="s">
        <v>82</v>
      </c>
      <c r="D220" s="19"/>
      <c r="E220" s="19"/>
      <c r="F220" s="19"/>
      <c r="G220" s="30"/>
      <c r="H220" s="31"/>
      <c r="I220" s="40"/>
      <c r="J220" s="31"/>
      <c r="K220" s="40"/>
      <c r="L220" s="31"/>
      <c r="M220" s="40"/>
      <c r="N220" s="31"/>
      <c r="O220" s="40"/>
      <c r="P220" s="31"/>
      <c r="Q220" s="40"/>
      <c r="R220" s="31"/>
      <c r="S220" s="31"/>
      <c r="T220" s="31"/>
      <c r="U220" s="40"/>
      <c r="V220" s="31"/>
      <c r="W220" s="31"/>
      <c r="X220" s="31"/>
      <c r="Y220" s="31"/>
      <c r="Z220" s="31"/>
      <c r="AA220" s="31"/>
      <c r="AB220" s="31"/>
      <c r="AC220" s="31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>
        <v>15</v>
      </c>
      <c r="AR220" s="46">
        <v>12</v>
      </c>
      <c r="AS220" s="46"/>
      <c r="AT220" s="46"/>
      <c r="AU220" s="46"/>
      <c r="AV220" s="46"/>
      <c r="AW220" s="46"/>
      <c r="AX220" s="46"/>
      <c r="AY220" s="55">
        <f t="shared" si="44"/>
        <v>27</v>
      </c>
      <c r="AZ220" s="56"/>
      <c r="BA220" s="57"/>
      <c r="BB220" s="57"/>
      <c r="BC220" s="57">
        <v>21</v>
      </c>
      <c r="BD220" s="57"/>
      <c r="BE220" s="57"/>
      <c r="BF220" s="57"/>
      <c r="BG220" s="57"/>
      <c r="BH220" s="57"/>
      <c r="BI220" s="55">
        <f t="shared" si="45"/>
        <v>21</v>
      </c>
      <c r="BJ220" s="69">
        <f t="shared" si="46"/>
        <v>6</v>
      </c>
      <c r="BK220" s="69">
        <f t="shared" si="43"/>
        <v>0</v>
      </c>
      <c r="BM220" s="75"/>
      <c r="BN220" s="57">
        <f t="shared" si="41"/>
        <v>4</v>
      </c>
      <c r="BO220" s="80"/>
      <c r="BP220" s="81">
        <v>1</v>
      </c>
      <c r="BQ220" s="81"/>
      <c r="BR220" s="81">
        <v>1</v>
      </c>
      <c r="BS220" s="81"/>
      <c r="BT220" s="81"/>
      <c r="BU220" s="81"/>
      <c r="BV220" s="81"/>
      <c r="BW220" s="81"/>
      <c r="BX220" s="81"/>
      <c r="BY220" s="81"/>
      <c r="BZ220" s="9">
        <f t="shared" si="42"/>
        <v>2</v>
      </c>
      <c r="CB220" s="3"/>
      <c r="CE220" s="95"/>
    </row>
    <row r="221" spans="1:83" s="2" customFormat="1" ht="19.5" thickBot="1" x14ac:dyDescent="0.35">
      <c r="A221" s="17">
        <v>225</v>
      </c>
      <c r="B221" s="134"/>
      <c r="C221" s="18" t="s">
        <v>83</v>
      </c>
      <c r="D221" s="19"/>
      <c r="E221" s="19"/>
      <c r="F221" s="19"/>
      <c r="G221" s="30"/>
      <c r="H221" s="31"/>
      <c r="I221" s="40"/>
      <c r="J221" s="31"/>
      <c r="K221" s="40"/>
      <c r="L221" s="31"/>
      <c r="M221" s="40"/>
      <c r="N221" s="31"/>
      <c r="O221" s="40"/>
      <c r="P221" s="31"/>
      <c r="Q221" s="40"/>
      <c r="R221" s="31"/>
      <c r="S221" s="31"/>
      <c r="T221" s="31"/>
      <c r="U221" s="40"/>
      <c r="V221" s="31"/>
      <c r="W221" s="31"/>
      <c r="X221" s="31"/>
      <c r="Y221" s="31"/>
      <c r="Z221" s="31"/>
      <c r="AA221" s="31"/>
      <c r="AB221" s="31"/>
      <c r="AC221" s="31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>
        <v>40</v>
      </c>
      <c r="AR221" s="46">
        <v>24</v>
      </c>
      <c r="AS221" s="46"/>
      <c r="AT221" s="46"/>
      <c r="AU221" s="46"/>
      <c r="AV221" s="46"/>
      <c r="AW221" s="46"/>
      <c r="AX221" s="46"/>
      <c r="AY221" s="55">
        <f t="shared" si="44"/>
        <v>64</v>
      </c>
      <c r="AZ221" s="56"/>
      <c r="BA221" s="57"/>
      <c r="BB221" s="57"/>
      <c r="BC221" s="57">
        <v>54</v>
      </c>
      <c r="BD221" s="57"/>
      <c r="BE221" s="57"/>
      <c r="BF221" s="57"/>
      <c r="BG221" s="57"/>
      <c r="BH221" s="57"/>
      <c r="BI221" s="55">
        <f t="shared" si="45"/>
        <v>54</v>
      </c>
      <c r="BJ221" s="69">
        <f t="shared" si="46"/>
        <v>10</v>
      </c>
      <c r="BK221" s="69">
        <f t="shared" si="43"/>
        <v>0</v>
      </c>
      <c r="BM221" s="75"/>
      <c r="BN221" s="57">
        <f t="shared" si="41"/>
        <v>4</v>
      </c>
      <c r="BO221" s="80"/>
      <c r="BP221" s="81">
        <v>2</v>
      </c>
      <c r="BQ221" s="81"/>
      <c r="BR221" s="81">
        <v>3</v>
      </c>
      <c r="BS221" s="81">
        <v>1</v>
      </c>
      <c r="BT221" s="81"/>
      <c r="BU221" s="81"/>
      <c r="BV221" s="81"/>
      <c r="BW221" s="81"/>
      <c r="BX221" s="81"/>
      <c r="BY221" s="81"/>
      <c r="BZ221" s="9">
        <f t="shared" si="42"/>
        <v>6</v>
      </c>
      <c r="CB221" s="3"/>
      <c r="CE221" s="95"/>
    </row>
    <row r="222" spans="1:83" s="2" customFormat="1" ht="19.5" thickBot="1" x14ac:dyDescent="0.35">
      <c r="A222" s="17">
        <v>226</v>
      </c>
      <c r="B222" s="134"/>
      <c r="C222" s="18" t="s">
        <v>84</v>
      </c>
      <c r="D222" s="19"/>
      <c r="E222" s="19"/>
      <c r="F222" s="19"/>
      <c r="G222" s="30"/>
      <c r="H222" s="31"/>
      <c r="I222" s="40"/>
      <c r="J222" s="31"/>
      <c r="K222" s="40"/>
      <c r="L222" s="31"/>
      <c r="M222" s="40"/>
      <c r="N222" s="31"/>
      <c r="O222" s="40"/>
      <c r="P222" s="31"/>
      <c r="Q222" s="40"/>
      <c r="R222" s="31"/>
      <c r="S222" s="31"/>
      <c r="T222" s="31"/>
      <c r="U222" s="40"/>
      <c r="V222" s="31"/>
      <c r="W222" s="31"/>
      <c r="X222" s="31"/>
      <c r="Y222" s="31"/>
      <c r="Z222" s="31"/>
      <c r="AA222" s="31"/>
      <c r="AB222" s="31"/>
      <c r="AC222" s="31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>
        <v>65</v>
      </c>
      <c r="AR222" s="46">
        <v>36</v>
      </c>
      <c r="AS222" s="46"/>
      <c r="AT222" s="46"/>
      <c r="AU222" s="46"/>
      <c r="AV222" s="46"/>
      <c r="AW222" s="46"/>
      <c r="AX222" s="46"/>
      <c r="AY222" s="55">
        <f t="shared" si="44"/>
        <v>101</v>
      </c>
      <c r="AZ222" s="56"/>
      <c r="BA222" s="57"/>
      <c r="BB222" s="57"/>
      <c r="BC222" s="57">
        <v>67</v>
      </c>
      <c r="BD222" s="57"/>
      <c r="BE222" s="57"/>
      <c r="BF222" s="57"/>
      <c r="BG222" s="57"/>
      <c r="BH222" s="57"/>
      <c r="BI222" s="55">
        <f t="shared" si="45"/>
        <v>67</v>
      </c>
      <c r="BJ222" s="69">
        <f t="shared" si="46"/>
        <v>34</v>
      </c>
      <c r="BK222" s="69">
        <f t="shared" si="43"/>
        <v>0</v>
      </c>
      <c r="BM222" s="75"/>
      <c r="BN222" s="57">
        <f t="shared" si="41"/>
        <v>25</v>
      </c>
      <c r="BO222" s="80"/>
      <c r="BP222" s="81">
        <v>1</v>
      </c>
      <c r="BQ222" s="81"/>
      <c r="BR222" s="81">
        <v>6</v>
      </c>
      <c r="BS222" s="81">
        <v>2</v>
      </c>
      <c r="BT222" s="81"/>
      <c r="BU222" s="81"/>
      <c r="BV222" s="81"/>
      <c r="BW222" s="81"/>
      <c r="BX222" s="81"/>
      <c r="BY222" s="81"/>
      <c r="BZ222" s="9">
        <f t="shared" si="42"/>
        <v>9</v>
      </c>
      <c r="CB222" s="3"/>
      <c r="CE222" s="95"/>
    </row>
    <row r="223" spans="1:83" s="2" customFormat="1" ht="19.5" thickBot="1" x14ac:dyDescent="0.35">
      <c r="A223" s="17">
        <v>227</v>
      </c>
      <c r="B223" s="134"/>
      <c r="C223" s="18" t="s">
        <v>85</v>
      </c>
      <c r="D223" s="19"/>
      <c r="E223" s="19"/>
      <c r="F223" s="19"/>
      <c r="G223" s="30"/>
      <c r="H223" s="31"/>
      <c r="I223" s="40"/>
      <c r="J223" s="31"/>
      <c r="K223" s="40"/>
      <c r="L223" s="31"/>
      <c r="M223" s="40"/>
      <c r="N223" s="31"/>
      <c r="O223" s="40"/>
      <c r="P223" s="31"/>
      <c r="Q223" s="40"/>
      <c r="R223" s="31"/>
      <c r="S223" s="31"/>
      <c r="T223" s="31"/>
      <c r="U223" s="40"/>
      <c r="V223" s="31"/>
      <c r="W223" s="31"/>
      <c r="X223" s="31"/>
      <c r="Y223" s="31"/>
      <c r="Z223" s="31"/>
      <c r="AA223" s="31"/>
      <c r="AB223" s="31"/>
      <c r="AC223" s="31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>
        <v>54</v>
      </c>
      <c r="AR223" s="46">
        <v>36</v>
      </c>
      <c r="AS223" s="46"/>
      <c r="AT223" s="46"/>
      <c r="AU223" s="46"/>
      <c r="AV223" s="46"/>
      <c r="AW223" s="46"/>
      <c r="AX223" s="46"/>
      <c r="AY223" s="55">
        <f t="shared" si="44"/>
        <v>90</v>
      </c>
      <c r="AZ223" s="56"/>
      <c r="BA223" s="57"/>
      <c r="BB223" s="57"/>
      <c r="BC223" s="57">
        <v>52</v>
      </c>
      <c r="BD223" s="57"/>
      <c r="BE223" s="57"/>
      <c r="BF223" s="57"/>
      <c r="BG223" s="57"/>
      <c r="BH223" s="57"/>
      <c r="BI223" s="55">
        <f t="shared" si="45"/>
        <v>52</v>
      </c>
      <c r="BJ223" s="69">
        <f t="shared" si="46"/>
        <v>38</v>
      </c>
      <c r="BK223" s="69">
        <f t="shared" si="43"/>
        <v>0</v>
      </c>
      <c r="BM223" s="75"/>
      <c r="BN223" s="57">
        <f t="shared" si="41"/>
        <v>28</v>
      </c>
      <c r="BO223" s="80"/>
      <c r="BP223" s="81">
        <v>1</v>
      </c>
      <c r="BQ223" s="81">
        <v>1</v>
      </c>
      <c r="BR223" s="81">
        <v>6</v>
      </c>
      <c r="BS223" s="81">
        <v>2</v>
      </c>
      <c r="BT223" s="81"/>
      <c r="BU223" s="81"/>
      <c r="BV223" s="81"/>
      <c r="BW223" s="81"/>
      <c r="BX223" s="81"/>
      <c r="BY223" s="81"/>
      <c r="BZ223" s="9">
        <f t="shared" si="42"/>
        <v>10</v>
      </c>
      <c r="CB223" s="3"/>
      <c r="CE223" s="95"/>
    </row>
    <row r="224" spans="1:83" s="2" customFormat="1" ht="19.5" thickBot="1" x14ac:dyDescent="0.35">
      <c r="A224" s="17">
        <v>228</v>
      </c>
      <c r="B224" s="134"/>
      <c r="C224" s="18" t="s">
        <v>86</v>
      </c>
      <c r="D224" s="19"/>
      <c r="E224" s="19"/>
      <c r="F224" s="19"/>
      <c r="G224" s="30"/>
      <c r="H224" s="31"/>
      <c r="I224" s="40"/>
      <c r="J224" s="31"/>
      <c r="K224" s="40"/>
      <c r="L224" s="31"/>
      <c r="M224" s="40"/>
      <c r="N224" s="31"/>
      <c r="O224" s="40"/>
      <c r="P224" s="31"/>
      <c r="Q224" s="40"/>
      <c r="R224" s="31"/>
      <c r="S224" s="31"/>
      <c r="T224" s="31"/>
      <c r="U224" s="40"/>
      <c r="V224" s="31"/>
      <c r="W224" s="31"/>
      <c r="X224" s="31"/>
      <c r="Y224" s="31"/>
      <c r="Z224" s="31"/>
      <c r="AA224" s="31"/>
      <c r="AB224" s="31"/>
      <c r="AC224" s="31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>
        <v>36</v>
      </c>
      <c r="AR224" s="46">
        <v>24</v>
      </c>
      <c r="AS224" s="46"/>
      <c r="AT224" s="46"/>
      <c r="AU224" s="46"/>
      <c r="AV224" s="46"/>
      <c r="AW224" s="46"/>
      <c r="AX224" s="46"/>
      <c r="AY224" s="55">
        <f t="shared" si="44"/>
        <v>60</v>
      </c>
      <c r="AZ224" s="56"/>
      <c r="BA224" s="57"/>
      <c r="BB224" s="57"/>
      <c r="BC224" s="57">
        <v>29</v>
      </c>
      <c r="BD224" s="57"/>
      <c r="BE224" s="57"/>
      <c r="BF224" s="57"/>
      <c r="BG224" s="57"/>
      <c r="BH224" s="57"/>
      <c r="BI224" s="55">
        <f t="shared" si="45"/>
        <v>29</v>
      </c>
      <c r="BJ224" s="69">
        <f t="shared" si="46"/>
        <v>31</v>
      </c>
      <c r="BK224" s="69">
        <f t="shared" si="43"/>
        <v>0</v>
      </c>
      <c r="BM224" s="75"/>
      <c r="BN224" s="57">
        <f t="shared" si="41"/>
        <v>17</v>
      </c>
      <c r="BO224" s="80"/>
      <c r="BP224" s="81">
        <v>4</v>
      </c>
      <c r="BQ224" s="81">
        <v>3</v>
      </c>
      <c r="BR224" s="81">
        <v>4</v>
      </c>
      <c r="BS224" s="81">
        <v>3</v>
      </c>
      <c r="BT224" s="81"/>
      <c r="BU224" s="81"/>
      <c r="BV224" s="81"/>
      <c r="BW224" s="81"/>
      <c r="BX224" s="81"/>
      <c r="BY224" s="81"/>
      <c r="BZ224" s="9">
        <f t="shared" si="42"/>
        <v>14</v>
      </c>
      <c r="CB224" s="3"/>
      <c r="CE224" s="95"/>
    </row>
    <row r="225" spans="1:83" s="2" customFormat="1" ht="19.5" thickBot="1" x14ac:dyDescent="0.35">
      <c r="A225" s="17">
        <v>229</v>
      </c>
      <c r="B225" s="134"/>
      <c r="C225" s="18" t="s">
        <v>87</v>
      </c>
      <c r="D225" s="19"/>
      <c r="E225" s="19"/>
      <c r="F225" s="19"/>
      <c r="G225" s="30"/>
      <c r="H225" s="31"/>
      <c r="I225" s="40"/>
      <c r="J225" s="31"/>
      <c r="K225" s="40"/>
      <c r="L225" s="31"/>
      <c r="M225" s="40"/>
      <c r="N225" s="31"/>
      <c r="O225" s="40"/>
      <c r="P225" s="31"/>
      <c r="Q225" s="40"/>
      <c r="R225" s="31"/>
      <c r="S225" s="31"/>
      <c r="T225" s="31"/>
      <c r="U225" s="40"/>
      <c r="V225" s="31"/>
      <c r="W225" s="31"/>
      <c r="X225" s="31"/>
      <c r="Y225" s="31"/>
      <c r="Z225" s="31"/>
      <c r="AA225" s="31"/>
      <c r="AB225" s="31"/>
      <c r="AC225" s="31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>
        <v>18</v>
      </c>
      <c r="AR225" s="46">
        <v>18</v>
      </c>
      <c r="AS225" s="46"/>
      <c r="AT225" s="46"/>
      <c r="AU225" s="46"/>
      <c r="AV225" s="46"/>
      <c r="AW225" s="46"/>
      <c r="AX225" s="46"/>
      <c r="AY225" s="55">
        <f t="shared" si="44"/>
        <v>36</v>
      </c>
      <c r="AZ225" s="56"/>
      <c r="BA225" s="57"/>
      <c r="BB225" s="57"/>
      <c r="BC225" s="57">
        <v>19</v>
      </c>
      <c r="BD225" s="57"/>
      <c r="BE225" s="57"/>
      <c r="BF225" s="57"/>
      <c r="BG225" s="57"/>
      <c r="BH225" s="57"/>
      <c r="BI225" s="55">
        <f t="shared" si="45"/>
        <v>19</v>
      </c>
      <c r="BJ225" s="69">
        <f t="shared" si="46"/>
        <v>17</v>
      </c>
      <c r="BK225" s="69">
        <f t="shared" si="43"/>
        <v>0</v>
      </c>
      <c r="BM225" s="75"/>
      <c r="BN225" s="57">
        <f t="shared" si="41"/>
        <v>12</v>
      </c>
      <c r="BO225" s="80"/>
      <c r="BP225" s="81">
        <v>1</v>
      </c>
      <c r="BQ225" s="81">
        <v>2</v>
      </c>
      <c r="BR225" s="81">
        <v>2</v>
      </c>
      <c r="BS225" s="81"/>
      <c r="BT225" s="81"/>
      <c r="BU225" s="81"/>
      <c r="BV225" s="81"/>
      <c r="BW225" s="81"/>
      <c r="BX225" s="81"/>
      <c r="BY225" s="81"/>
      <c r="BZ225" s="9">
        <f t="shared" si="42"/>
        <v>5</v>
      </c>
      <c r="CB225" s="3"/>
      <c r="CE225" s="95"/>
    </row>
    <row r="226" spans="1:83" s="2" customFormat="1" ht="19.5" thickBot="1" x14ac:dyDescent="0.35">
      <c r="A226" s="17">
        <v>230</v>
      </c>
      <c r="B226" s="134"/>
      <c r="C226" s="18" t="s">
        <v>88</v>
      </c>
      <c r="D226" s="19"/>
      <c r="E226" s="19"/>
      <c r="F226" s="19"/>
      <c r="G226" s="30"/>
      <c r="H226" s="31"/>
      <c r="I226" s="40"/>
      <c r="J226" s="31"/>
      <c r="K226" s="40"/>
      <c r="L226" s="31"/>
      <c r="M226" s="40"/>
      <c r="N226" s="31"/>
      <c r="O226" s="40"/>
      <c r="P226" s="31"/>
      <c r="Q226" s="40"/>
      <c r="R226" s="31"/>
      <c r="S226" s="31"/>
      <c r="T226" s="31"/>
      <c r="U226" s="40"/>
      <c r="V226" s="31"/>
      <c r="W226" s="31"/>
      <c r="X226" s="31"/>
      <c r="Y226" s="31"/>
      <c r="Z226" s="31"/>
      <c r="AA226" s="31"/>
      <c r="AB226" s="31"/>
      <c r="AC226" s="31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>
        <v>6</v>
      </c>
      <c r="AR226" s="46">
        <v>12</v>
      </c>
      <c r="AS226" s="46"/>
      <c r="AT226" s="46"/>
      <c r="AU226" s="46"/>
      <c r="AV226" s="46"/>
      <c r="AW226" s="46"/>
      <c r="AX226" s="46"/>
      <c r="AY226" s="55">
        <f t="shared" si="44"/>
        <v>18</v>
      </c>
      <c r="AZ226" s="56"/>
      <c r="BA226" s="57"/>
      <c r="BB226" s="57"/>
      <c r="BC226" s="57">
        <v>7</v>
      </c>
      <c r="BD226" s="57"/>
      <c r="BE226" s="57"/>
      <c r="BF226" s="57"/>
      <c r="BG226" s="57"/>
      <c r="BH226" s="57"/>
      <c r="BI226" s="55">
        <f t="shared" si="45"/>
        <v>7</v>
      </c>
      <c r="BJ226" s="69">
        <f t="shared" si="46"/>
        <v>11</v>
      </c>
      <c r="BK226" s="69">
        <f t="shared" si="43"/>
        <v>0</v>
      </c>
      <c r="BM226" s="75"/>
      <c r="BN226" s="57">
        <f t="shared" si="41"/>
        <v>7</v>
      </c>
      <c r="BO226" s="80"/>
      <c r="BP226" s="81">
        <v>1</v>
      </c>
      <c r="BQ226" s="81">
        <v>1</v>
      </c>
      <c r="BR226" s="81">
        <v>2</v>
      </c>
      <c r="BS226" s="81"/>
      <c r="BT226" s="81"/>
      <c r="BU226" s="81"/>
      <c r="BV226" s="81"/>
      <c r="BW226" s="81"/>
      <c r="BX226" s="81"/>
      <c r="BY226" s="81"/>
      <c r="BZ226" s="9">
        <f t="shared" si="42"/>
        <v>4</v>
      </c>
      <c r="CB226" s="3"/>
      <c r="CE226" s="95"/>
    </row>
    <row r="227" spans="1:83" s="2" customFormat="1" ht="19.5" thickBot="1" x14ac:dyDescent="0.35">
      <c r="A227" s="17">
        <v>231</v>
      </c>
      <c r="B227" s="134"/>
      <c r="C227" s="20" t="s">
        <v>108</v>
      </c>
      <c r="D227" s="21"/>
      <c r="E227" s="21"/>
      <c r="F227" s="21"/>
      <c r="G227" s="32"/>
      <c r="H227" s="33"/>
      <c r="I227" s="41"/>
      <c r="J227" s="33"/>
      <c r="K227" s="41"/>
      <c r="L227" s="33"/>
      <c r="M227" s="41"/>
      <c r="N227" s="33"/>
      <c r="O227" s="41"/>
      <c r="P227" s="33"/>
      <c r="Q227" s="41"/>
      <c r="R227" s="33"/>
      <c r="S227" s="33"/>
      <c r="T227" s="33"/>
      <c r="U227" s="41"/>
      <c r="V227" s="33"/>
      <c r="W227" s="33"/>
      <c r="X227" s="33"/>
      <c r="Y227" s="33"/>
      <c r="Z227" s="33"/>
      <c r="AA227" s="33"/>
      <c r="AB227" s="33"/>
      <c r="AC227" s="33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>
        <v>6</v>
      </c>
      <c r="AS227" s="47"/>
      <c r="AT227" s="47"/>
      <c r="AU227" s="47"/>
      <c r="AV227" s="47"/>
      <c r="AW227" s="47"/>
      <c r="AX227" s="47"/>
      <c r="AY227" s="55">
        <f t="shared" si="44"/>
        <v>6</v>
      </c>
      <c r="AZ227" s="59"/>
      <c r="BA227" s="60"/>
      <c r="BB227" s="60"/>
      <c r="BC227" s="60">
        <v>2</v>
      </c>
      <c r="BD227" s="60"/>
      <c r="BE227" s="60"/>
      <c r="BF227" s="60"/>
      <c r="BG227" s="60"/>
      <c r="BH227" s="60"/>
      <c r="BI227" s="58">
        <f t="shared" si="45"/>
        <v>2</v>
      </c>
      <c r="BJ227" s="70">
        <f t="shared" si="46"/>
        <v>4</v>
      </c>
      <c r="BK227" s="70">
        <f t="shared" si="43"/>
        <v>0</v>
      </c>
      <c r="BL227" s="76"/>
      <c r="BM227" s="77"/>
      <c r="BN227" s="60">
        <f t="shared" si="41"/>
        <v>1</v>
      </c>
      <c r="BO227" s="82"/>
      <c r="BP227" s="83">
        <v>1</v>
      </c>
      <c r="BQ227" s="83"/>
      <c r="BR227" s="83">
        <v>2</v>
      </c>
      <c r="BS227" s="83"/>
      <c r="BT227" s="83"/>
      <c r="BU227" s="83"/>
      <c r="BV227" s="83"/>
      <c r="BW227" s="83"/>
      <c r="BX227" s="83"/>
      <c r="BY227" s="83"/>
      <c r="BZ227" s="9">
        <f t="shared" si="42"/>
        <v>3</v>
      </c>
      <c r="CB227" s="3"/>
      <c r="CE227" s="95"/>
    </row>
    <row r="228" spans="1:83" s="2" customFormat="1" x14ac:dyDescent="0.3">
      <c r="A228" s="17">
        <v>233</v>
      </c>
      <c r="B228" s="136" t="s">
        <v>122</v>
      </c>
      <c r="C228" s="18" t="s">
        <v>106</v>
      </c>
      <c r="D228" s="19"/>
      <c r="E228" s="19"/>
      <c r="F228" s="19"/>
      <c r="G228" s="30"/>
      <c r="H228" s="31"/>
      <c r="I228" s="40"/>
      <c r="J228" s="31"/>
      <c r="K228" s="40"/>
      <c r="L228" s="31"/>
      <c r="M228" s="40"/>
      <c r="N228" s="31"/>
      <c r="O228" s="40"/>
      <c r="P228" s="31"/>
      <c r="Q228" s="40"/>
      <c r="R228" s="31"/>
      <c r="S228" s="31"/>
      <c r="T228" s="31"/>
      <c r="U228" s="40"/>
      <c r="V228" s="31"/>
      <c r="W228" s="31"/>
      <c r="X228" s="31"/>
      <c r="Y228" s="31"/>
      <c r="Z228" s="31"/>
      <c r="AA228" s="31"/>
      <c r="AB228" s="31"/>
      <c r="AC228" s="31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>
        <v>0</v>
      </c>
      <c r="AR228" s="46"/>
      <c r="AS228" s="46"/>
      <c r="AT228" s="46"/>
      <c r="AU228" s="46"/>
      <c r="AV228" s="46"/>
      <c r="AW228" s="46"/>
      <c r="AX228" s="46"/>
      <c r="AY228" s="55">
        <f t="shared" si="44"/>
        <v>0</v>
      </c>
      <c r="AZ228" s="56"/>
      <c r="BA228" s="57"/>
      <c r="BB228" s="57"/>
      <c r="BC228" s="57"/>
      <c r="BD228" s="57"/>
      <c r="BE228" s="57"/>
      <c r="BF228" s="57"/>
      <c r="BG228" s="57"/>
      <c r="BH228" s="57"/>
      <c r="BI228" s="55">
        <f t="shared" si="45"/>
        <v>0</v>
      </c>
      <c r="BJ228" s="69">
        <f t="shared" si="46"/>
        <v>0</v>
      </c>
      <c r="BK228" s="69">
        <f t="shared" si="43"/>
        <v>0</v>
      </c>
      <c r="BM228" s="75"/>
      <c r="BN228" s="57">
        <f t="shared" si="41"/>
        <v>0</v>
      </c>
      <c r="BO228" s="80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9">
        <f t="shared" si="42"/>
        <v>0</v>
      </c>
      <c r="CB228" s="3"/>
      <c r="CE228" s="95"/>
    </row>
    <row r="229" spans="1:83" s="2" customFormat="1" ht="18.75" customHeight="1" x14ac:dyDescent="0.3">
      <c r="A229" s="17">
        <v>234</v>
      </c>
      <c r="B229" s="139"/>
      <c r="C229" s="18" t="s">
        <v>82</v>
      </c>
      <c r="D229" s="19"/>
      <c r="E229" s="19"/>
      <c r="F229" s="19"/>
      <c r="G229" s="30"/>
      <c r="H229" s="31"/>
      <c r="I229" s="40"/>
      <c r="J229" s="31"/>
      <c r="K229" s="40"/>
      <c r="L229" s="31"/>
      <c r="M229" s="40"/>
      <c r="N229" s="31"/>
      <c r="O229" s="40"/>
      <c r="P229" s="31"/>
      <c r="Q229" s="40"/>
      <c r="R229" s="31"/>
      <c r="S229" s="31"/>
      <c r="T229" s="31"/>
      <c r="U229" s="40"/>
      <c r="V229" s="31"/>
      <c r="W229" s="31"/>
      <c r="X229" s="31"/>
      <c r="Y229" s="31"/>
      <c r="Z229" s="31"/>
      <c r="AA229" s="31"/>
      <c r="AB229" s="31"/>
      <c r="AC229" s="31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>
        <v>18</v>
      </c>
      <c r="AR229" s="46"/>
      <c r="AS229" s="46"/>
      <c r="AT229" s="46"/>
      <c r="AU229" s="46"/>
      <c r="AV229" s="46"/>
      <c r="AW229" s="46"/>
      <c r="AX229" s="46"/>
      <c r="AY229" s="55">
        <f t="shared" si="44"/>
        <v>18</v>
      </c>
      <c r="AZ229" s="56"/>
      <c r="BA229" s="57"/>
      <c r="BB229" s="57"/>
      <c r="BC229" s="57">
        <v>7</v>
      </c>
      <c r="BD229" s="57"/>
      <c r="BE229" s="57"/>
      <c r="BF229" s="57"/>
      <c r="BG229" s="57"/>
      <c r="BH229" s="57"/>
      <c r="BI229" s="55">
        <f t="shared" si="45"/>
        <v>7</v>
      </c>
      <c r="BJ229" s="69">
        <f t="shared" si="46"/>
        <v>11</v>
      </c>
      <c r="BK229" s="69">
        <f t="shared" si="43"/>
        <v>0</v>
      </c>
      <c r="BM229" s="75"/>
      <c r="BN229" s="57">
        <f t="shared" si="41"/>
        <v>7</v>
      </c>
      <c r="BO229" s="80"/>
      <c r="BP229" s="81">
        <v>1</v>
      </c>
      <c r="BQ229" s="81">
        <v>1</v>
      </c>
      <c r="BR229" s="81"/>
      <c r="BS229" s="81">
        <v>2</v>
      </c>
      <c r="BT229" s="81"/>
      <c r="BU229" s="81"/>
      <c r="BV229" s="81"/>
      <c r="BW229" s="81"/>
      <c r="BX229" s="81"/>
      <c r="BY229" s="81"/>
      <c r="BZ229" s="9">
        <f t="shared" si="42"/>
        <v>4</v>
      </c>
      <c r="CB229" s="3"/>
      <c r="CE229" s="95"/>
    </row>
    <row r="230" spans="1:83" s="2" customFormat="1" x14ac:dyDescent="0.3">
      <c r="A230" s="17">
        <v>235</v>
      </c>
      <c r="B230" s="139"/>
      <c r="C230" s="18" t="s">
        <v>83</v>
      </c>
      <c r="D230" s="19"/>
      <c r="E230" s="19"/>
      <c r="F230" s="19"/>
      <c r="G230" s="30"/>
      <c r="H230" s="31"/>
      <c r="I230" s="40"/>
      <c r="J230" s="31"/>
      <c r="K230" s="40"/>
      <c r="L230" s="31"/>
      <c r="M230" s="40"/>
      <c r="N230" s="31"/>
      <c r="O230" s="40"/>
      <c r="P230" s="31"/>
      <c r="Q230" s="40"/>
      <c r="R230" s="31"/>
      <c r="S230" s="31"/>
      <c r="T230" s="31"/>
      <c r="U230" s="40"/>
      <c r="V230" s="31"/>
      <c r="W230" s="31"/>
      <c r="X230" s="31"/>
      <c r="Y230" s="31"/>
      <c r="Z230" s="31"/>
      <c r="AA230" s="31"/>
      <c r="AB230" s="31"/>
      <c r="AC230" s="31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>
        <v>42</v>
      </c>
      <c r="AR230" s="46"/>
      <c r="AS230" s="46"/>
      <c r="AT230" s="46"/>
      <c r="AU230" s="46"/>
      <c r="AV230" s="46"/>
      <c r="AW230" s="46"/>
      <c r="AX230" s="46"/>
      <c r="AY230" s="55">
        <f t="shared" si="44"/>
        <v>42</v>
      </c>
      <c r="AZ230" s="56"/>
      <c r="BA230" s="57"/>
      <c r="BB230" s="57"/>
      <c r="BC230" s="57">
        <v>18</v>
      </c>
      <c r="BD230" s="57"/>
      <c r="BE230" s="57"/>
      <c r="BF230" s="57"/>
      <c r="BG230" s="57"/>
      <c r="BH230" s="57"/>
      <c r="BI230" s="55">
        <f t="shared" si="45"/>
        <v>18</v>
      </c>
      <c r="BJ230" s="69">
        <f t="shared" si="46"/>
        <v>24</v>
      </c>
      <c r="BK230" s="69">
        <f t="shared" si="43"/>
        <v>0</v>
      </c>
      <c r="BM230" s="75"/>
      <c r="BN230" s="57">
        <f t="shared" si="41"/>
        <v>16</v>
      </c>
      <c r="BO230" s="80"/>
      <c r="BP230" s="81">
        <v>1</v>
      </c>
      <c r="BQ230" s="81"/>
      <c r="BR230" s="81">
        <v>2</v>
      </c>
      <c r="BS230" s="81">
        <v>2</v>
      </c>
      <c r="BT230" s="81">
        <v>3</v>
      </c>
      <c r="BU230" s="81"/>
      <c r="BV230" s="81"/>
      <c r="BW230" s="81"/>
      <c r="BX230" s="81"/>
      <c r="BY230" s="81"/>
      <c r="BZ230" s="9">
        <f t="shared" si="42"/>
        <v>8</v>
      </c>
      <c r="CB230" s="3"/>
      <c r="CE230" s="95"/>
    </row>
    <row r="231" spans="1:83" s="2" customFormat="1" x14ac:dyDescent="0.3">
      <c r="A231" s="17">
        <v>236</v>
      </c>
      <c r="B231" s="139"/>
      <c r="C231" s="18" t="s">
        <v>84</v>
      </c>
      <c r="D231" s="19"/>
      <c r="E231" s="19"/>
      <c r="F231" s="19"/>
      <c r="G231" s="30"/>
      <c r="H231" s="31"/>
      <c r="I231" s="40"/>
      <c r="J231" s="31"/>
      <c r="K231" s="40"/>
      <c r="L231" s="31"/>
      <c r="M231" s="40"/>
      <c r="N231" s="31"/>
      <c r="O231" s="40"/>
      <c r="P231" s="31"/>
      <c r="Q231" s="40"/>
      <c r="R231" s="31"/>
      <c r="S231" s="31"/>
      <c r="T231" s="31"/>
      <c r="U231" s="40"/>
      <c r="V231" s="31"/>
      <c r="W231" s="31"/>
      <c r="X231" s="31"/>
      <c r="Y231" s="31"/>
      <c r="Z231" s="31"/>
      <c r="AA231" s="31"/>
      <c r="AB231" s="31"/>
      <c r="AC231" s="31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>
        <v>72</v>
      </c>
      <c r="AR231" s="46"/>
      <c r="AS231" s="46"/>
      <c r="AT231" s="46"/>
      <c r="AU231" s="46"/>
      <c r="AV231" s="46"/>
      <c r="AW231" s="46"/>
      <c r="AX231" s="46"/>
      <c r="AY231" s="55">
        <f t="shared" si="44"/>
        <v>72</v>
      </c>
      <c r="AZ231" s="56"/>
      <c r="BA231" s="57"/>
      <c r="BB231" s="57"/>
      <c r="BC231" s="57">
        <v>26</v>
      </c>
      <c r="BD231" s="57"/>
      <c r="BE231" s="57"/>
      <c r="BF231" s="57"/>
      <c r="BG231" s="57"/>
      <c r="BH231" s="57"/>
      <c r="BI231" s="55">
        <f t="shared" si="45"/>
        <v>26</v>
      </c>
      <c r="BJ231" s="69">
        <f t="shared" si="46"/>
        <v>46</v>
      </c>
      <c r="BK231" s="69">
        <f t="shared" si="43"/>
        <v>0</v>
      </c>
      <c r="BM231" s="75"/>
      <c r="BN231" s="57">
        <f t="shared" si="41"/>
        <v>32</v>
      </c>
      <c r="BO231" s="80"/>
      <c r="BP231" s="81">
        <v>2</v>
      </c>
      <c r="BQ231" s="81">
        <v>1</v>
      </c>
      <c r="BR231" s="81">
        <v>4</v>
      </c>
      <c r="BS231" s="81">
        <v>4</v>
      </c>
      <c r="BT231" s="81">
        <v>3</v>
      </c>
      <c r="BU231" s="81"/>
      <c r="BV231" s="81"/>
      <c r="BW231" s="81"/>
      <c r="BX231" s="81"/>
      <c r="BY231" s="81"/>
      <c r="BZ231" s="9">
        <f t="shared" si="42"/>
        <v>14</v>
      </c>
      <c r="CB231" s="3"/>
      <c r="CE231" s="95"/>
    </row>
    <row r="232" spans="1:83" s="2" customFormat="1" x14ac:dyDescent="0.3">
      <c r="A232" s="17">
        <v>237</v>
      </c>
      <c r="B232" s="139"/>
      <c r="C232" s="18" t="s">
        <v>85</v>
      </c>
      <c r="D232" s="19"/>
      <c r="E232" s="19"/>
      <c r="F232" s="19"/>
      <c r="G232" s="30"/>
      <c r="H232" s="31"/>
      <c r="I232" s="40"/>
      <c r="J232" s="31"/>
      <c r="K232" s="40"/>
      <c r="L232" s="31"/>
      <c r="M232" s="40"/>
      <c r="N232" s="31"/>
      <c r="O232" s="40"/>
      <c r="P232" s="31"/>
      <c r="Q232" s="40"/>
      <c r="R232" s="31"/>
      <c r="S232" s="31"/>
      <c r="T232" s="31"/>
      <c r="U232" s="40"/>
      <c r="V232" s="31"/>
      <c r="W232" s="31"/>
      <c r="X232" s="31"/>
      <c r="Y232" s="31"/>
      <c r="Z232" s="31"/>
      <c r="AA232" s="31"/>
      <c r="AB232" s="31"/>
      <c r="AC232" s="31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>
        <v>60</v>
      </c>
      <c r="AR232" s="46"/>
      <c r="AS232" s="46"/>
      <c r="AT232" s="46"/>
      <c r="AU232" s="46"/>
      <c r="AV232" s="46"/>
      <c r="AW232" s="46"/>
      <c r="AX232" s="46"/>
      <c r="AY232" s="55">
        <f t="shared" si="44"/>
        <v>60</v>
      </c>
      <c r="AZ232" s="56"/>
      <c r="BA232" s="57"/>
      <c r="BB232" s="57"/>
      <c r="BC232" s="57">
        <v>18</v>
      </c>
      <c r="BD232" s="57"/>
      <c r="BE232" s="57"/>
      <c r="BF232" s="57"/>
      <c r="BG232" s="57"/>
      <c r="BH232" s="57"/>
      <c r="BI232" s="55">
        <f t="shared" si="45"/>
        <v>18</v>
      </c>
      <c r="BJ232" s="69">
        <f t="shared" si="46"/>
        <v>42</v>
      </c>
      <c r="BK232" s="69">
        <f t="shared" si="43"/>
        <v>0</v>
      </c>
      <c r="BM232" s="75"/>
      <c r="BN232" s="57">
        <f t="shared" si="41"/>
        <v>26</v>
      </c>
      <c r="BO232" s="80"/>
      <c r="BP232" s="81">
        <v>3</v>
      </c>
      <c r="BQ232" s="81">
        <v>2</v>
      </c>
      <c r="BR232" s="81">
        <v>4</v>
      </c>
      <c r="BS232" s="81">
        <v>5</v>
      </c>
      <c r="BT232" s="81">
        <v>2</v>
      </c>
      <c r="BU232" s="81"/>
      <c r="BV232" s="81"/>
      <c r="BW232" s="81"/>
      <c r="BX232" s="81"/>
      <c r="BY232" s="81"/>
      <c r="BZ232" s="9">
        <f t="shared" si="42"/>
        <v>16</v>
      </c>
      <c r="CB232" s="3"/>
      <c r="CE232" s="95"/>
    </row>
    <row r="233" spans="1:83" s="2" customFormat="1" x14ac:dyDescent="0.3">
      <c r="A233" s="17">
        <v>238</v>
      </c>
      <c r="B233" s="139"/>
      <c r="C233" s="18" t="s">
        <v>86</v>
      </c>
      <c r="D233" s="19"/>
      <c r="E233" s="19"/>
      <c r="F233" s="19"/>
      <c r="G233" s="30"/>
      <c r="H233" s="31"/>
      <c r="I233" s="40"/>
      <c r="J233" s="31"/>
      <c r="K233" s="40"/>
      <c r="L233" s="31"/>
      <c r="M233" s="40"/>
      <c r="N233" s="31"/>
      <c r="O233" s="40"/>
      <c r="P233" s="31"/>
      <c r="Q233" s="40"/>
      <c r="R233" s="31"/>
      <c r="S233" s="31"/>
      <c r="T233" s="31"/>
      <c r="U233" s="40"/>
      <c r="V233" s="31"/>
      <c r="W233" s="31"/>
      <c r="X233" s="31"/>
      <c r="Y233" s="31"/>
      <c r="Z233" s="31"/>
      <c r="AA233" s="31"/>
      <c r="AB233" s="31"/>
      <c r="AC233" s="31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>
        <v>39</v>
      </c>
      <c r="AR233" s="46"/>
      <c r="AS233" s="46"/>
      <c r="AT233" s="46"/>
      <c r="AU233" s="46"/>
      <c r="AV233" s="46"/>
      <c r="AW233" s="46"/>
      <c r="AX233" s="46"/>
      <c r="AY233" s="55">
        <f t="shared" si="44"/>
        <v>39</v>
      </c>
      <c r="AZ233" s="56"/>
      <c r="BA233" s="57"/>
      <c r="BB233" s="57"/>
      <c r="BC233" s="57">
        <v>12</v>
      </c>
      <c r="BD233" s="57"/>
      <c r="BE233" s="57"/>
      <c r="BF233" s="57"/>
      <c r="BG233" s="57"/>
      <c r="BH233" s="57"/>
      <c r="BI233" s="55">
        <f t="shared" si="45"/>
        <v>12</v>
      </c>
      <c r="BJ233" s="69">
        <f t="shared" si="46"/>
        <v>27</v>
      </c>
      <c r="BK233" s="69">
        <f t="shared" si="43"/>
        <v>0</v>
      </c>
      <c r="BM233" s="75"/>
      <c r="BN233" s="57">
        <f t="shared" si="41"/>
        <v>19</v>
      </c>
      <c r="BO233" s="80"/>
      <c r="BP233" s="81">
        <v>1</v>
      </c>
      <c r="BQ233" s="81">
        <v>1</v>
      </c>
      <c r="BR233" s="81">
        <v>2</v>
      </c>
      <c r="BS233" s="81">
        <v>2</v>
      </c>
      <c r="BT233" s="81">
        <v>2</v>
      </c>
      <c r="BU233" s="81"/>
      <c r="BV233" s="81"/>
      <c r="BW233" s="81"/>
      <c r="BX233" s="81"/>
      <c r="BY233" s="81"/>
      <c r="BZ233" s="9">
        <f t="shared" si="42"/>
        <v>8</v>
      </c>
      <c r="CB233" s="3"/>
      <c r="CE233" s="95"/>
    </row>
    <row r="234" spans="1:83" s="2" customFormat="1" ht="19.5" thickBot="1" x14ac:dyDescent="0.35">
      <c r="A234" s="17">
        <v>239</v>
      </c>
      <c r="B234" s="140"/>
      <c r="C234" s="20" t="s">
        <v>87</v>
      </c>
      <c r="D234" s="21"/>
      <c r="E234" s="21"/>
      <c r="F234" s="21"/>
      <c r="G234" s="32"/>
      <c r="H234" s="33"/>
      <c r="I234" s="41"/>
      <c r="J234" s="33"/>
      <c r="K234" s="41"/>
      <c r="L234" s="33"/>
      <c r="M234" s="41"/>
      <c r="N234" s="33"/>
      <c r="O234" s="41"/>
      <c r="P234" s="33"/>
      <c r="Q234" s="41"/>
      <c r="R234" s="33"/>
      <c r="S234" s="33"/>
      <c r="T234" s="33"/>
      <c r="U234" s="41"/>
      <c r="V234" s="33"/>
      <c r="W234" s="33"/>
      <c r="X234" s="33"/>
      <c r="Y234" s="33"/>
      <c r="Z234" s="33"/>
      <c r="AA234" s="33"/>
      <c r="AB234" s="33"/>
      <c r="AC234" s="33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>
        <v>21</v>
      </c>
      <c r="AR234" s="47"/>
      <c r="AS234" s="47"/>
      <c r="AT234" s="47"/>
      <c r="AU234" s="47"/>
      <c r="AV234" s="47"/>
      <c r="AW234" s="47"/>
      <c r="AX234" s="47"/>
      <c r="AY234" s="55">
        <f t="shared" si="44"/>
        <v>21</v>
      </c>
      <c r="AZ234" s="59"/>
      <c r="BA234" s="60"/>
      <c r="BB234" s="60"/>
      <c r="BC234" s="60">
        <v>5</v>
      </c>
      <c r="BD234" s="60"/>
      <c r="BE234" s="60"/>
      <c r="BF234" s="60"/>
      <c r="BG234" s="60"/>
      <c r="BH234" s="60"/>
      <c r="BI234" s="58">
        <f t="shared" si="45"/>
        <v>5</v>
      </c>
      <c r="BJ234" s="70">
        <f t="shared" si="46"/>
        <v>16</v>
      </c>
      <c r="BK234" s="70">
        <f t="shared" si="43"/>
        <v>0</v>
      </c>
      <c r="BL234" s="76"/>
      <c r="BM234" s="77"/>
      <c r="BN234" s="60">
        <f t="shared" si="41"/>
        <v>11</v>
      </c>
      <c r="BO234" s="82"/>
      <c r="BP234" s="83"/>
      <c r="BQ234" s="83">
        <v>1</v>
      </c>
      <c r="BR234" s="83">
        <v>2</v>
      </c>
      <c r="BS234" s="83">
        <v>1</v>
      </c>
      <c r="BT234" s="83">
        <v>1</v>
      </c>
      <c r="BU234" s="83"/>
      <c r="BV234" s="83"/>
      <c r="BW234" s="83"/>
      <c r="BX234" s="83"/>
      <c r="BY234" s="83"/>
      <c r="BZ234" s="9">
        <f t="shared" si="42"/>
        <v>5</v>
      </c>
      <c r="CB234" s="3"/>
      <c r="CE234" s="95"/>
    </row>
    <row r="235" spans="1:83" s="2" customFormat="1" ht="19.5" thickBot="1" x14ac:dyDescent="0.35">
      <c r="A235" s="17">
        <v>240</v>
      </c>
      <c r="B235" s="134" t="s">
        <v>123</v>
      </c>
      <c r="C235" s="18" t="s">
        <v>62</v>
      </c>
      <c r="D235" s="19"/>
      <c r="E235" s="19"/>
      <c r="F235" s="19"/>
      <c r="G235" s="30"/>
      <c r="H235" s="31"/>
      <c r="I235" s="40"/>
      <c r="J235" s="31"/>
      <c r="K235" s="40"/>
      <c r="L235" s="31"/>
      <c r="M235" s="40"/>
      <c r="N235" s="31"/>
      <c r="O235" s="40"/>
      <c r="P235" s="31"/>
      <c r="Q235" s="40"/>
      <c r="R235" s="31"/>
      <c r="S235" s="31"/>
      <c r="T235" s="31"/>
      <c r="U235" s="40"/>
      <c r="V235" s="31"/>
      <c r="W235" s="31"/>
      <c r="X235" s="31"/>
      <c r="Y235" s="31"/>
      <c r="Z235" s="31"/>
      <c r="AA235" s="31">
        <v>6</v>
      </c>
      <c r="AB235" s="31"/>
      <c r="AC235" s="31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55">
        <f t="shared" si="44"/>
        <v>6</v>
      </c>
      <c r="AZ235" s="56">
        <v>0</v>
      </c>
      <c r="BA235" s="57">
        <v>0</v>
      </c>
      <c r="BB235" s="57">
        <f>+'[1]25'!R316</f>
        <v>5</v>
      </c>
      <c r="BC235" s="57">
        <v>1</v>
      </c>
      <c r="BD235" s="57"/>
      <c r="BE235" s="57"/>
      <c r="BF235" s="57"/>
      <c r="BG235" s="57"/>
      <c r="BH235" s="57"/>
      <c r="BI235" s="55">
        <f t="shared" si="45"/>
        <v>6</v>
      </c>
      <c r="BJ235" s="69">
        <f t="shared" si="46"/>
        <v>0</v>
      </c>
      <c r="BK235" s="69">
        <f t="shared" si="43"/>
        <v>0</v>
      </c>
      <c r="BM235" s="75"/>
      <c r="BN235" s="57">
        <f t="shared" si="41"/>
        <v>0</v>
      </c>
      <c r="BO235" s="80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9">
        <f t="shared" si="42"/>
        <v>0</v>
      </c>
      <c r="CB235" s="3"/>
      <c r="CE235" s="95"/>
    </row>
    <row r="236" spans="1:83" s="2" customFormat="1" ht="19.5" thickBot="1" x14ac:dyDescent="0.35">
      <c r="A236" s="17">
        <v>241</v>
      </c>
      <c r="B236" s="135"/>
      <c r="C236" s="18" t="s">
        <v>63</v>
      </c>
      <c r="D236" s="19"/>
      <c r="E236" s="19"/>
      <c r="F236" s="19"/>
      <c r="G236" s="30"/>
      <c r="H236" s="31"/>
      <c r="I236" s="40"/>
      <c r="J236" s="31"/>
      <c r="K236" s="40"/>
      <c r="L236" s="31"/>
      <c r="M236" s="40"/>
      <c r="N236" s="31"/>
      <c r="O236" s="40"/>
      <c r="P236" s="31"/>
      <c r="Q236" s="40"/>
      <c r="R236" s="31"/>
      <c r="S236" s="31"/>
      <c r="T236" s="31"/>
      <c r="U236" s="40"/>
      <c r="V236" s="31"/>
      <c r="W236" s="31"/>
      <c r="X236" s="31"/>
      <c r="Y236" s="31"/>
      <c r="Z236" s="31"/>
      <c r="AA236" s="31">
        <v>12</v>
      </c>
      <c r="AB236" s="31"/>
      <c r="AC236" s="31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55">
        <f t="shared" si="44"/>
        <v>12</v>
      </c>
      <c r="AZ236" s="56">
        <v>0</v>
      </c>
      <c r="BA236" s="57">
        <v>0</v>
      </c>
      <c r="BB236" s="57">
        <f>+'[1]25'!R317</f>
        <v>10</v>
      </c>
      <c r="BC236" s="57">
        <v>2</v>
      </c>
      <c r="BD236" s="57"/>
      <c r="BE236" s="57"/>
      <c r="BF236" s="57"/>
      <c r="BG236" s="57"/>
      <c r="BH236" s="57"/>
      <c r="BI236" s="55">
        <f t="shared" si="45"/>
        <v>12</v>
      </c>
      <c r="BJ236" s="69">
        <f t="shared" si="46"/>
        <v>0</v>
      </c>
      <c r="BK236" s="69">
        <f t="shared" si="43"/>
        <v>0</v>
      </c>
      <c r="BM236" s="75"/>
      <c r="BN236" s="57">
        <f t="shared" si="41"/>
        <v>0</v>
      </c>
      <c r="BO236" s="80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9">
        <f t="shared" si="42"/>
        <v>0</v>
      </c>
      <c r="CB236" s="3"/>
      <c r="CE236" s="95"/>
    </row>
    <row r="237" spans="1:83" s="2" customFormat="1" ht="19.5" thickBot="1" x14ac:dyDescent="0.35">
      <c r="A237" s="17">
        <v>242</v>
      </c>
      <c r="B237" s="135"/>
      <c r="C237" s="18" t="s">
        <v>64</v>
      </c>
      <c r="D237" s="19"/>
      <c r="E237" s="19"/>
      <c r="F237" s="19"/>
      <c r="G237" s="30"/>
      <c r="H237" s="31"/>
      <c r="I237" s="40"/>
      <c r="J237" s="31"/>
      <c r="K237" s="40"/>
      <c r="L237" s="31"/>
      <c r="M237" s="40"/>
      <c r="N237" s="31"/>
      <c r="O237" s="40"/>
      <c r="P237" s="31"/>
      <c r="Q237" s="40"/>
      <c r="R237" s="31"/>
      <c r="S237" s="31"/>
      <c r="T237" s="31"/>
      <c r="U237" s="40"/>
      <c r="V237" s="31"/>
      <c r="W237" s="31"/>
      <c r="X237" s="31"/>
      <c r="Y237" s="31"/>
      <c r="Z237" s="31"/>
      <c r="AA237" s="31">
        <v>24</v>
      </c>
      <c r="AB237" s="31"/>
      <c r="AC237" s="31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55">
        <f t="shared" si="44"/>
        <v>24</v>
      </c>
      <c r="AZ237" s="56">
        <v>0</v>
      </c>
      <c r="BA237" s="57">
        <v>0</v>
      </c>
      <c r="BB237" s="57">
        <f>+'[1]25'!R318</f>
        <v>20</v>
      </c>
      <c r="BC237" s="57">
        <v>3</v>
      </c>
      <c r="BD237" s="57"/>
      <c r="BE237" s="57"/>
      <c r="BF237" s="57"/>
      <c r="BG237" s="57"/>
      <c r="BH237" s="57"/>
      <c r="BI237" s="55">
        <f t="shared" si="45"/>
        <v>23</v>
      </c>
      <c r="BJ237" s="69">
        <f t="shared" si="46"/>
        <v>1</v>
      </c>
      <c r="BK237" s="69">
        <f t="shared" si="43"/>
        <v>0</v>
      </c>
      <c r="BM237" s="75"/>
      <c r="BN237" s="57">
        <f t="shared" si="41"/>
        <v>1</v>
      </c>
      <c r="BO237" s="80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9">
        <f t="shared" si="42"/>
        <v>0</v>
      </c>
      <c r="CB237" s="3"/>
      <c r="CE237" s="95"/>
    </row>
    <row r="238" spans="1:83" s="2" customFormat="1" ht="19.5" thickBot="1" x14ac:dyDescent="0.35">
      <c r="A238" s="17">
        <v>243</v>
      </c>
      <c r="B238" s="135"/>
      <c r="C238" s="18" t="s">
        <v>65</v>
      </c>
      <c r="D238" s="19"/>
      <c r="E238" s="19"/>
      <c r="F238" s="19"/>
      <c r="G238" s="30"/>
      <c r="H238" s="31"/>
      <c r="I238" s="40"/>
      <c r="J238" s="31"/>
      <c r="K238" s="40"/>
      <c r="L238" s="31"/>
      <c r="M238" s="40"/>
      <c r="N238" s="31"/>
      <c r="O238" s="40"/>
      <c r="P238" s="31"/>
      <c r="Q238" s="40"/>
      <c r="R238" s="31"/>
      <c r="S238" s="31"/>
      <c r="T238" s="31"/>
      <c r="U238" s="40"/>
      <c r="V238" s="31"/>
      <c r="W238" s="31"/>
      <c r="X238" s="31"/>
      <c r="Y238" s="31"/>
      <c r="Z238" s="31"/>
      <c r="AA238" s="31">
        <v>24</v>
      </c>
      <c r="AB238" s="31"/>
      <c r="AC238" s="31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55">
        <f t="shared" si="44"/>
        <v>24</v>
      </c>
      <c r="AZ238" s="56">
        <v>0</v>
      </c>
      <c r="BA238" s="57">
        <v>0</v>
      </c>
      <c r="BB238" s="57">
        <v>23</v>
      </c>
      <c r="BC238" s="57">
        <v>0</v>
      </c>
      <c r="BD238" s="57"/>
      <c r="BE238" s="57"/>
      <c r="BF238" s="57"/>
      <c r="BG238" s="57"/>
      <c r="BH238" s="57"/>
      <c r="BI238" s="55">
        <f t="shared" si="45"/>
        <v>23</v>
      </c>
      <c r="BJ238" s="69">
        <f t="shared" si="46"/>
        <v>1</v>
      </c>
      <c r="BK238" s="69">
        <f t="shared" si="43"/>
        <v>0</v>
      </c>
      <c r="BM238" s="75"/>
      <c r="BN238" s="57">
        <f t="shared" si="41"/>
        <v>1</v>
      </c>
      <c r="BO238" s="80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9">
        <f t="shared" si="42"/>
        <v>0</v>
      </c>
      <c r="CB238" s="3"/>
      <c r="CE238" s="95"/>
    </row>
    <row r="239" spans="1:83" s="2" customFormat="1" ht="19.5" thickBot="1" x14ac:dyDescent="0.35">
      <c r="A239" s="17">
        <v>244</v>
      </c>
      <c r="B239" s="135"/>
      <c r="C239" s="18" t="s">
        <v>66</v>
      </c>
      <c r="D239" s="19"/>
      <c r="E239" s="19"/>
      <c r="F239" s="19"/>
      <c r="G239" s="30"/>
      <c r="H239" s="31"/>
      <c r="I239" s="40"/>
      <c r="J239" s="31"/>
      <c r="K239" s="40"/>
      <c r="L239" s="31"/>
      <c r="M239" s="40"/>
      <c r="N239" s="31"/>
      <c r="O239" s="40"/>
      <c r="P239" s="31"/>
      <c r="Q239" s="40"/>
      <c r="R239" s="31"/>
      <c r="S239" s="31"/>
      <c r="T239" s="31"/>
      <c r="U239" s="40"/>
      <c r="V239" s="31"/>
      <c r="W239" s="31"/>
      <c r="X239" s="31"/>
      <c r="Y239" s="31"/>
      <c r="Z239" s="31"/>
      <c r="AA239" s="31">
        <v>15</v>
      </c>
      <c r="AB239" s="31"/>
      <c r="AC239" s="31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55">
        <f t="shared" si="44"/>
        <v>15</v>
      </c>
      <c r="AZ239" s="56">
        <v>0</v>
      </c>
      <c r="BA239" s="57">
        <v>0</v>
      </c>
      <c r="BB239" s="57">
        <f>+'[1]25'!R320</f>
        <v>12</v>
      </c>
      <c r="BC239" s="57">
        <v>1</v>
      </c>
      <c r="BD239" s="57"/>
      <c r="BE239" s="57"/>
      <c r="BF239" s="57"/>
      <c r="BG239" s="57"/>
      <c r="BH239" s="57"/>
      <c r="BI239" s="55">
        <f t="shared" si="45"/>
        <v>13</v>
      </c>
      <c r="BJ239" s="69">
        <f t="shared" si="46"/>
        <v>2</v>
      </c>
      <c r="BK239" s="69">
        <f t="shared" si="43"/>
        <v>0</v>
      </c>
      <c r="BM239" s="75"/>
      <c r="BN239" s="57">
        <f t="shared" si="41"/>
        <v>2</v>
      </c>
      <c r="BO239" s="80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9">
        <f t="shared" si="42"/>
        <v>0</v>
      </c>
      <c r="CB239" s="3"/>
      <c r="CE239" s="95"/>
    </row>
    <row r="240" spans="1:83" s="2" customFormat="1" ht="19.5" thickBot="1" x14ac:dyDescent="0.35">
      <c r="A240" s="17">
        <v>245</v>
      </c>
      <c r="B240" s="135"/>
      <c r="C240" s="18" t="s">
        <v>67</v>
      </c>
      <c r="D240" s="19"/>
      <c r="E240" s="19"/>
      <c r="F240" s="19"/>
      <c r="G240" s="30"/>
      <c r="H240" s="31"/>
      <c r="I240" s="40"/>
      <c r="J240" s="31"/>
      <c r="K240" s="40"/>
      <c r="L240" s="31"/>
      <c r="M240" s="40"/>
      <c r="N240" s="31"/>
      <c r="O240" s="40"/>
      <c r="P240" s="31"/>
      <c r="Q240" s="40"/>
      <c r="R240" s="31"/>
      <c r="S240" s="31"/>
      <c r="T240" s="31"/>
      <c r="U240" s="40"/>
      <c r="V240" s="31"/>
      <c r="W240" s="31"/>
      <c r="X240" s="31"/>
      <c r="Y240" s="31"/>
      <c r="Z240" s="31"/>
      <c r="AA240" s="31">
        <v>12</v>
      </c>
      <c r="AB240" s="31"/>
      <c r="AC240" s="31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55">
        <f t="shared" si="44"/>
        <v>12</v>
      </c>
      <c r="AZ240" s="56">
        <v>0</v>
      </c>
      <c r="BA240" s="57">
        <v>0</v>
      </c>
      <c r="BB240" s="57">
        <f>+'[1]25'!R321</f>
        <v>7</v>
      </c>
      <c r="BC240" s="57">
        <v>2</v>
      </c>
      <c r="BD240" s="57"/>
      <c r="BE240" s="57"/>
      <c r="BF240" s="57"/>
      <c r="BG240" s="57"/>
      <c r="BH240" s="57"/>
      <c r="BI240" s="55">
        <f t="shared" si="45"/>
        <v>9</v>
      </c>
      <c r="BJ240" s="69">
        <f t="shared" si="46"/>
        <v>3</v>
      </c>
      <c r="BK240" s="69">
        <f t="shared" si="43"/>
        <v>0</v>
      </c>
      <c r="BM240" s="75"/>
      <c r="BN240" s="57">
        <f t="shared" si="41"/>
        <v>3</v>
      </c>
      <c r="BO240" s="80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9">
        <f t="shared" si="42"/>
        <v>0</v>
      </c>
      <c r="CB240" s="3"/>
      <c r="CE240" s="95"/>
    </row>
    <row r="241" spans="1:83" s="2" customFormat="1" ht="19.5" thickBot="1" x14ac:dyDescent="0.35">
      <c r="A241" s="17">
        <v>246</v>
      </c>
      <c r="B241" s="135"/>
      <c r="C241" s="18" t="s">
        <v>68</v>
      </c>
      <c r="D241" s="19"/>
      <c r="E241" s="19"/>
      <c r="F241" s="19"/>
      <c r="G241" s="30"/>
      <c r="H241" s="31"/>
      <c r="I241" s="40"/>
      <c r="J241" s="31"/>
      <c r="K241" s="40"/>
      <c r="L241" s="31"/>
      <c r="M241" s="40"/>
      <c r="N241" s="31"/>
      <c r="O241" s="40"/>
      <c r="P241" s="31"/>
      <c r="Q241" s="40"/>
      <c r="R241" s="31"/>
      <c r="S241" s="31"/>
      <c r="T241" s="31"/>
      <c r="U241" s="40"/>
      <c r="V241" s="31"/>
      <c r="W241" s="31"/>
      <c r="X241" s="31"/>
      <c r="Y241" s="31"/>
      <c r="Z241" s="31"/>
      <c r="AA241" s="31">
        <v>9</v>
      </c>
      <c r="AB241" s="31"/>
      <c r="AC241" s="31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55">
        <f t="shared" si="44"/>
        <v>9</v>
      </c>
      <c r="AZ241" s="56">
        <v>0</v>
      </c>
      <c r="BA241" s="57">
        <v>0</v>
      </c>
      <c r="BB241" s="57">
        <f>+'[1]25'!R322</f>
        <v>3</v>
      </c>
      <c r="BC241" s="57">
        <v>1</v>
      </c>
      <c r="BD241" s="57"/>
      <c r="BE241" s="57"/>
      <c r="BF241" s="57"/>
      <c r="BG241" s="57"/>
      <c r="BH241" s="57"/>
      <c r="BI241" s="55">
        <f t="shared" si="45"/>
        <v>4</v>
      </c>
      <c r="BJ241" s="69">
        <f t="shared" si="46"/>
        <v>5</v>
      </c>
      <c r="BK241" s="69">
        <f t="shared" si="43"/>
        <v>0</v>
      </c>
      <c r="BM241" s="75"/>
      <c r="BN241" s="57">
        <f t="shared" si="41"/>
        <v>5</v>
      </c>
      <c r="BO241" s="80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9">
        <f t="shared" si="42"/>
        <v>0</v>
      </c>
      <c r="CB241" s="3"/>
      <c r="CE241" s="95"/>
    </row>
    <row r="242" spans="1:83" s="2" customFormat="1" ht="19.5" thickBot="1" x14ac:dyDescent="0.35">
      <c r="A242" s="17">
        <v>247</v>
      </c>
      <c r="B242" s="135"/>
      <c r="C242" s="20" t="s">
        <v>69</v>
      </c>
      <c r="D242" s="21"/>
      <c r="E242" s="21"/>
      <c r="F242" s="21"/>
      <c r="G242" s="32"/>
      <c r="H242" s="33"/>
      <c r="I242" s="41"/>
      <c r="J242" s="33"/>
      <c r="K242" s="41"/>
      <c r="L242" s="33"/>
      <c r="M242" s="41"/>
      <c r="N242" s="33"/>
      <c r="O242" s="41"/>
      <c r="P242" s="33"/>
      <c r="Q242" s="41"/>
      <c r="R242" s="33"/>
      <c r="S242" s="33"/>
      <c r="T242" s="33"/>
      <c r="U242" s="41"/>
      <c r="V242" s="33"/>
      <c r="W242" s="33"/>
      <c r="X242" s="33"/>
      <c r="Y242" s="33"/>
      <c r="Z242" s="33"/>
      <c r="AA242" s="33">
        <v>6</v>
      </c>
      <c r="AB242" s="33"/>
      <c r="AC242" s="33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55">
        <f t="shared" si="44"/>
        <v>6</v>
      </c>
      <c r="AZ242" s="59">
        <v>0</v>
      </c>
      <c r="BA242" s="60">
        <v>0</v>
      </c>
      <c r="BB242" s="60">
        <f>+'[1]25'!R323</f>
        <v>3</v>
      </c>
      <c r="BC242" s="60">
        <v>0</v>
      </c>
      <c r="BD242" s="60"/>
      <c r="BE242" s="60"/>
      <c r="BF242" s="60"/>
      <c r="BG242" s="60"/>
      <c r="BH242" s="60"/>
      <c r="BI242" s="58">
        <f t="shared" si="45"/>
        <v>3</v>
      </c>
      <c r="BJ242" s="70">
        <f t="shared" si="46"/>
        <v>3</v>
      </c>
      <c r="BK242" s="70">
        <f t="shared" si="43"/>
        <v>0</v>
      </c>
      <c r="BL242" s="76"/>
      <c r="BM242" s="77"/>
      <c r="BN242" s="60">
        <f t="shared" si="41"/>
        <v>3</v>
      </c>
      <c r="BO242" s="82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9">
        <f t="shared" si="42"/>
        <v>0</v>
      </c>
      <c r="CB242" s="3"/>
      <c r="CE242" s="95"/>
    </row>
    <row r="243" spans="1:83" s="2" customFormat="1" ht="19.5" thickBot="1" x14ac:dyDescent="0.35">
      <c r="A243" s="17">
        <v>248</v>
      </c>
      <c r="B243" s="134" t="s">
        <v>124</v>
      </c>
      <c r="C243" s="18" t="s">
        <v>61</v>
      </c>
      <c r="D243" s="19"/>
      <c r="E243" s="19"/>
      <c r="F243" s="19"/>
      <c r="G243" s="30"/>
      <c r="H243" s="31"/>
      <c r="I243" s="40"/>
      <c r="J243" s="31"/>
      <c r="K243" s="40"/>
      <c r="L243" s="31"/>
      <c r="M243" s="40"/>
      <c r="N243" s="31"/>
      <c r="O243" s="40"/>
      <c r="P243" s="31"/>
      <c r="Q243" s="40"/>
      <c r="R243" s="31"/>
      <c r="S243" s="31"/>
      <c r="T243" s="31"/>
      <c r="U243" s="40"/>
      <c r="V243" s="31"/>
      <c r="W243" s="31"/>
      <c r="X243" s="31"/>
      <c r="Y243" s="31"/>
      <c r="Z243" s="31"/>
      <c r="AA243" s="31"/>
      <c r="AB243" s="31"/>
      <c r="AC243" s="31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>
        <v>6</v>
      </c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55">
        <f t="shared" si="44"/>
        <v>6</v>
      </c>
      <c r="AZ243" s="56"/>
      <c r="BA243" s="57"/>
      <c r="BB243" s="57">
        <f>+'[1]25'!R324</f>
        <v>0</v>
      </c>
      <c r="BC243" s="57">
        <v>3</v>
      </c>
      <c r="BD243" s="57"/>
      <c r="BE243" s="57"/>
      <c r="BF243" s="57"/>
      <c r="BG243" s="57"/>
      <c r="BH243" s="57"/>
      <c r="BI243" s="55">
        <f t="shared" si="45"/>
        <v>3</v>
      </c>
      <c r="BJ243" s="69">
        <f t="shared" si="46"/>
        <v>3</v>
      </c>
      <c r="BK243" s="69">
        <f t="shared" si="43"/>
        <v>0</v>
      </c>
      <c r="BM243" s="75"/>
      <c r="BN243" s="57">
        <f t="shared" si="41"/>
        <v>0</v>
      </c>
      <c r="BO243" s="80"/>
      <c r="BP243" s="81">
        <v>2</v>
      </c>
      <c r="BQ243" s="81">
        <v>1</v>
      </c>
      <c r="BR243" s="81"/>
      <c r="BS243" s="81"/>
      <c r="BT243" s="81"/>
      <c r="BU243" s="81"/>
      <c r="BV243" s="81"/>
      <c r="BW243" s="81"/>
      <c r="BX243" s="81"/>
      <c r="BY243" s="81"/>
      <c r="BZ243" s="9">
        <f t="shared" si="42"/>
        <v>3</v>
      </c>
      <c r="CB243" s="3"/>
      <c r="CE243" s="95"/>
    </row>
    <row r="244" spans="1:83" s="2" customFormat="1" ht="18.75" customHeight="1" thickBot="1" x14ac:dyDescent="0.35">
      <c r="A244" s="17">
        <v>249</v>
      </c>
      <c r="B244" s="134"/>
      <c r="C244" s="18" t="s">
        <v>62</v>
      </c>
      <c r="D244" s="19"/>
      <c r="E244" s="19"/>
      <c r="F244" s="19"/>
      <c r="G244" s="30"/>
      <c r="H244" s="31"/>
      <c r="I244" s="40"/>
      <c r="J244" s="31"/>
      <c r="K244" s="40"/>
      <c r="L244" s="31">
        <v>18</v>
      </c>
      <c r="M244" s="40"/>
      <c r="N244" s="31"/>
      <c r="O244" s="40"/>
      <c r="P244" s="31"/>
      <c r="Q244" s="40"/>
      <c r="R244" s="31"/>
      <c r="S244" s="31"/>
      <c r="T244" s="31"/>
      <c r="U244" s="40"/>
      <c r="V244" s="31"/>
      <c r="W244" s="31"/>
      <c r="X244" s="31"/>
      <c r="Y244" s="31"/>
      <c r="Z244" s="31"/>
      <c r="AA244" s="31"/>
      <c r="AB244" s="31"/>
      <c r="AC244" s="31"/>
      <c r="AD244" s="46"/>
      <c r="AE244" s="46"/>
      <c r="AF244" s="46"/>
      <c r="AG244" s="46">
        <v>12</v>
      </c>
      <c r="AH244" s="46"/>
      <c r="AI244" s="46"/>
      <c r="AJ244" s="46"/>
      <c r="AK244" s="46"/>
      <c r="AL244" s="46"/>
      <c r="AM244" s="46">
        <v>15</v>
      </c>
      <c r="AN244" s="46"/>
      <c r="AO244" s="46"/>
      <c r="AP244" s="46">
        <v>6</v>
      </c>
      <c r="AQ244" s="46"/>
      <c r="AR244" s="46"/>
      <c r="AS244" s="46"/>
      <c r="AT244" s="46"/>
      <c r="AU244" s="46"/>
      <c r="AV244" s="46"/>
      <c r="AW244" s="46"/>
      <c r="AX244" s="46"/>
      <c r="AY244" s="55">
        <f t="shared" si="44"/>
        <v>51</v>
      </c>
      <c r="AZ244" s="56">
        <v>2</v>
      </c>
      <c r="BA244" s="57">
        <v>8</v>
      </c>
      <c r="BB244" s="57">
        <v>19</v>
      </c>
      <c r="BC244" s="57">
        <v>15</v>
      </c>
      <c r="BD244" s="57"/>
      <c r="BE244" s="57"/>
      <c r="BF244" s="57"/>
      <c r="BG244" s="57"/>
      <c r="BH244" s="57"/>
      <c r="BI244" s="55">
        <f t="shared" si="45"/>
        <v>44</v>
      </c>
      <c r="BJ244" s="69">
        <f t="shared" si="46"/>
        <v>7</v>
      </c>
      <c r="BK244" s="69">
        <f t="shared" si="43"/>
        <v>0</v>
      </c>
      <c r="BM244" s="75"/>
      <c r="BN244" s="57">
        <f t="shared" si="41"/>
        <v>2</v>
      </c>
      <c r="BO244" s="80"/>
      <c r="BP244" s="81">
        <v>2</v>
      </c>
      <c r="BQ244" s="81">
        <v>1</v>
      </c>
      <c r="BR244" s="81">
        <v>2</v>
      </c>
      <c r="BS244" s="81"/>
      <c r="BT244" s="81"/>
      <c r="BU244" s="81"/>
      <c r="BV244" s="81"/>
      <c r="BW244" s="81"/>
      <c r="BX244" s="81"/>
      <c r="BY244" s="81"/>
      <c r="BZ244" s="9">
        <f t="shared" si="42"/>
        <v>5</v>
      </c>
      <c r="CB244" s="3"/>
      <c r="CE244" s="95"/>
    </row>
    <row r="245" spans="1:83" s="2" customFormat="1" ht="19.5" thickBot="1" x14ac:dyDescent="0.35">
      <c r="A245" s="17">
        <v>250</v>
      </c>
      <c r="B245" s="134"/>
      <c r="C245" s="18" t="s">
        <v>63</v>
      </c>
      <c r="D245" s="19"/>
      <c r="E245" s="19"/>
      <c r="F245" s="19"/>
      <c r="G245" s="30"/>
      <c r="H245" s="31"/>
      <c r="I245" s="40"/>
      <c r="J245" s="31"/>
      <c r="K245" s="40"/>
      <c r="L245" s="31">
        <v>24</v>
      </c>
      <c r="M245" s="40"/>
      <c r="N245" s="31"/>
      <c r="O245" s="40"/>
      <c r="P245" s="31"/>
      <c r="Q245" s="40"/>
      <c r="R245" s="31">
        <v>9</v>
      </c>
      <c r="S245" s="31"/>
      <c r="T245" s="31"/>
      <c r="U245" s="40"/>
      <c r="V245" s="31"/>
      <c r="W245" s="31"/>
      <c r="X245" s="31"/>
      <c r="Y245" s="31"/>
      <c r="Z245" s="31"/>
      <c r="AA245" s="31"/>
      <c r="AB245" s="31"/>
      <c r="AC245" s="31"/>
      <c r="AD245" s="46"/>
      <c r="AE245" s="46"/>
      <c r="AF245" s="46"/>
      <c r="AG245" s="46">
        <v>12</v>
      </c>
      <c r="AH245" s="46"/>
      <c r="AI245" s="46"/>
      <c r="AJ245" s="46"/>
      <c r="AK245" s="46"/>
      <c r="AL245" s="46"/>
      <c r="AM245" s="46">
        <v>27</v>
      </c>
      <c r="AN245" s="46"/>
      <c r="AO245" s="46"/>
      <c r="AP245" s="46">
        <v>18</v>
      </c>
      <c r="AQ245" s="46"/>
      <c r="AR245" s="46"/>
      <c r="AS245" s="46"/>
      <c r="AT245" s="46"/>
      <c r="AU245" s="46"/>
      <c r="AV245" s="46"/>
      <c r="AW245" s="46"/>
      <c r="AX245" s="46"/>
      <c r="AY245" s="55">
        <f t="shared" si="44"/>
        <v>90</v>
      </c>
      <c r="AZ245" s="56">
        <v>2</v>
      </c>
      <c r="BA245" s="57">
        <v>14</v>
      </c>
      <c r="BB245" s="57">
        <f>+'[1]25'!R326</f>
        <v>26</v>
      </c>
      <c r="BC245" s="57">
        <v>26</v>
      </c>
      <c r="BD245" s="57"/>
      <c r="BE245" s="57"/>
      <c r="BF245" s="57"/>
      <c r="BG245" s="57"/>
      <c r="BH245" s="57"/>
      <c r="BI245" s="55">
        <f t="shared" si="45"/>
        <v>68</v>
      </c>
      <c r="BJ245" s="69">
        <f t="shared" si="46"/>
        <v>22</v>
      </c>
      <c r="BK245" s="69">
        <f t="shared" si="43"/>
        <v>0</v>
      </c>
      <c r="BM245" s="75"/>
      <c r="BN245" s="57">
        <f t="shared" si="41"/>
        <v>12</v>
      </c>
      <c r="BO245" s="80"/>
      <c r="BP245" s="81">
        <v>3</v>
      </c>
      <c r="BQ245" s="81">
        <v>1</v>
      </c>
      <c r="BR245" s="81">
        <v>2</v>
      </c>
      <c r="BS245" s="81">
        <v>1</v>
      </c>
      <c r="BT245" s="81">
        <v>2</v>
      </c>
      <c r="BU245" s="81">
        <v>1</v>
      </c>
      <c r="BV245" s="81"/>
      <c r="BW245" s="81"/>
      <c r="BX245" s="81"/>
      <c r="BY245" s="81"/>
      <c r="BZ245" s="9">
        <f t="shared" si="42"/>
        <v>10</v>
      </c>
      <c r="CB245" s="3"/>
      <c r="CE245" s="95"/>
    </row>
    <row r="246" spans="1:83" s="2" customFormat="1" ht="19.5" thickBot="1" x14ac:dyDescent="0.35">
      <c r="A246" s="17">
        <v>251</v>
      </c>
      <c r="B246" s="134"/>
      <c r="C246" s="18" t="s">
        <v>64</v>
      </c>
      <c r="D246" s="19"/>
      <c r="E246" s="19"/>
      <c r="F246" s="19"/>
      <c r="G246" s="30"/>
      <c r="H246" s="31"/>
      <c r="I246" s="40"/>
      <c r="J246" s="31"/>
      <c r="K246" s="40"/>
      <c r="L246" s="31">
        <v>30</v>
      </c>
      <c r="M246" s="40"/>
      <c r="N246" s="31"/>
      <c r="O246" s="40"/>
      <c r="P246" s="31"/>
      <c r="Q246" s="40"/>
      <c r="R246" s="31">
        <v>15</v>
      </c>
      <c r="S246" s="31"/>
      <c r="T246" s="31"/>
      <c r="U246" s="40"/>
      <c r="V246" s="31"/>
      <c r="W246" s="31"/>
      <c r="X246" s="31"/>
      <c r="Y246" s="31"/>
      <c r="Z246" s="31"/>
      <c r="AA246" s="31">
        <v>6</v>
      </c>
      <c r="AB246" s="31"/>
      <c r="AC246" s="31"/>
      <c r="AD246" s="46"/>
      <c r="AE246" s="46"/>
      <c r="AF246" s="46"/>
      <c r="AG246" s="46">
        <v>18</v>
      </c>
      <c r="AH246" s="46"/>
      <c r="AI246" s="46"/>
      <c r="AJ246" s="46"/>
      <c r="AK246" s="46"/>
      <c r="AL246" s="46"/>
      <c r="AM246" s="46">
        <v>48</v>
      </c>
      <c r="AN246" s="46"/>
      <c r="AO246" s="46"/>
      <c r="AP246" s="46">
        <v>24</v>
      </c>
      <c r="AQ246" s="46"/>
      <c r="AR246" s="46"/>
      <c r="AS246" s="46"/>
      <c r="AT246" s="46"/>
      <c r="AU246" s="46"/>
      <c r="AV246" s="46"/>
      <c r="AW246" s="46"/>
      <c r="AX246" s="46"/>
      <c r="AY246" s="55">
        <f t="shared" si="44"/>
        <v>141</v>
      </c>
      <c r="AZ246" s="56">
        <v>5</v>
      </c>
      <c r="BA246" s="57">
        <v>19</v>
      </c>
      <c r="BB246" s="57">
        <f>+'[1]25'!R327</f>
        <v>44</v>
      </c>
      <c r="BC246" s="57">
        <v>54</v>
      </c>
      <c r="BD246" s="57"/>
      <c r="BE246" s="57"/>
      <c r="BF246" s="57"/>
      <c r="BG246" s="57"/>
      <c r="BH246" s="57"/>
      <c r="BI246" s="55">
        <f t="shared" si="45"/>
        <v>122</v>
      </c>
      <c r="BJ246" s="69">
        <f t="shared" si="46"/>
        <v>19</v>
      </c>
      <c r="BK246" s="69">
        <f t="shared" si="43"/>
        <v>0</v>
      </c>
      <c r="BM246" s="75"/>
      <c r="BN246" s="57">
        <f t="shared" si="41"/>
        <v>7</v>
      </c>
      <c r="BO246" s="80"/>
      <c r="BP246" s="81">
        <v>2</v>
      </c>
      <c r="BQ246" s="81">
        <v>1</v>
      </c>
      <c r="BR246" s="81">
        <v>2</v>
      </c>
      <c r="BS246" s="81">
        <v>3</v>
      </c>
      <c r="BT246" s="81">
        <v>2</v>
      </c>
      <c r="BU246" s="81"/>
      <c r="BV246" s="81"/>
      <c r="BW246" s="81"/>
      <c r="BX246" s="81"/>
      <c r="BY246" s="81">
        <v>2</v>
      </c>
      <c r="BZ246" s="9">
        <f t="shared" si="42"/>
        <v>12</v>
      </c>
      <c r="CB246" s="3"/>
      <c r="CE246" s="95"/>
    </row>
    <row r="247" spans="1:83" s="2" customFormat="1" ht="19.5" thickBot="1" x14ac:dyDescent="0.35">
      <c r="A247" s="17">
        <v>252</v>
      </c>
      <c r="B247" s="134"/>
      <c r="C247" s="18" t="s">
        <v>65</v>
      </c>
      <c r="D247" s="19"/>
      <c r="E247" s="19"/>
      <c r="F247" s="19"/>
      <c r="G247" s="30"/>
      <c r="H247" s="31"/>
      <c r="I247" s="40"/>
      <c r="J247" s="31"/>
      <c r="K247" s="40"/>
      <c r="L247" s="31">
        <v>30</v>
      </c>
      <c r="M247" s="40"/>
      <c r="N247" s="31"/>
      <c r="O247" s="40"/>
      <c r="P247" s="31"/>
      <c r="Q247" s="40"/>
      <c r="R247" s="31">
        <v>18</v>
      </c>
      <c r="S247" s="31"/>
      <c r="T247" s="31"/>
      <c r="U247" s="40"/>
      <c r="V247" s="31"/>
      <c r="W247" s="31"/>
      <c r="X247" s="31"/>
      <c r="Y247" s="31"/>
      <c r="Z247" s="31"/>
      <c r="AA247" s="31">
        <v>30</v>
      </c>
      <c r="AB247" s="31"/>
      <c r="AC247" s="31"/>
      <c r="AD247" s="46"/>
      <c r="AE247" s="46"/>
      <c r="AF247" s="46"/>
      <c r="AG247" s="46">
        <v>36</v>
      </c>
      <c r="AH247" s="46"/>
      <c r="AI247" s="46">
        <v>-1</v>
      </c>
      <c r="AJ247" s="46"/>
      <c r="AK247" s="46"/>
      <c r="AL247" s="46"/>
      <c r="AM247" s="46">
        <v>57</v>
      </c>
      <c r="AN247" s="46"/>
      <c r="AO247" s="46"/>
      <c r="AP247" s="46">
        <v>48</v>
      </c>
      <c r="AQ247" s="46"/>
      <c r="AR247" s="46"/>
      <c r="AS247" s="46"/>
      <c r="AT247" s="46"/>
      <c r="AU247" s="46"/>
      <c r="AV247" s="46"/>
      <c r="AW247" s="46"/>
      <c r="AX247" s="46"/>
      <c r="AY247" s="55">
        <f t="shared" si="44"/>
        <v>218</v>
      </c>
      <c r="AZ247" s="56">
        <v>9</v>
      </c>
      <c r="BA247" s="57">
        <v>31</v>
      </c>
      <c r="BB247" s="57">
        <f>+'[1]25'!R328</f>
        <v>68</v>
      </c>
      <c r="BC247" s="57">
        <v>59</v>
      </c>
      <c r="BD247" s="57"/>
      <c r="BE247" s="57"/>
      <c r="BF247" s="57"/>
      <c r="BG247" s="57"/>
      <c r="BH247" s="57"/>
      <c r="BI247" s="55">
        <f t="shared" si="45"/>
        <v>167</v>
      </c>
      <c r="BJ247" s="69">
        <f t="shared" si="46"/>
        <v>51</v>
      </c>
      <c r="BK247" s="69">
        <f t="shared" si="43"/>
        <v>0</v>
      </c>
      <c r="BM247" s="75"/>
      <c r="BN247" s="57">
        <f t="shared" ref="BN247:BN310" si="50">+BJ247-BZ247</f>
        <v>34</v>
      </c>
      <c r="BO247" s="80"/>
      <c r="BP247" s="81">
        <v>2</v>
      </c>
      <c r="BQ247" s="81">
        <v>2</v>
      </c>
      <c r="BR247" s="81">
        <v>3</v>
      </c>
      <c r="BS247" s="81">
        <v>4</v>
      </c>
      <c r="BT247" s="81">
        <v>4</v>
      </c>
      <c r="BU247" s="81">
        <v>2</v>
      </c>
      <c r="BV247" s="81"/>
      <c r="BW247" s="81"/>
      <c r="BX247" s="81"/>
      <c r="BY247" s="81"/>
      <c r="BZ247" s="9">
        <f t="shared" si="42"/>
        <v>17</v>
      </c>
      <c r="CB247" s="3"/>
      <c r="CE247" s="95"/>
    </row>
    <row r="248" spans="1:83" s="2" customFormat="1" ht="19.5" thickBot="1" x14ac:dyDescent="0.35">
      <c r="A248" s="17">
        <v>253</v>
      </c>
      <c r="B248" s="134"/>
      <c r="C248" s="18" t="s">
        <v>66</v>
      </c>
      <c r="D248" s="19"/>
      <c r="E248" s="19"/>
      <c r="F248" s="19"/>
      <c r="G248" s="30"/>
      <c r="H248" s="31"/>
      <c r="I248" s="40"/>
      <c r="J248" s="31"/>
      <c r="K248" s="40"/>
      <c r="L248" s="31">
        <v>24</v>
      </c>
      <c r="M248" s="40"/>
      <c r="N248" s="31"/>
      <c r="O248" s="40"/>
      <c r="P248" s="31"/>
      <c r="Q248" s="40"/>
      <c r="R248" s="31">
        <v>12</v>
      </c>
      <c r="S248" s="31"/>
      <c r="T248" s="31"/>
      <c r="U248" s="40"/>
      <c r="V248" s="31"/>
      <c r="W248" s="31"/>
      <c r="X248" s="31"/>
      <c r="Y248" s="31"/>
      <c r="Z248" s="31"/>
      <c r="AA248" s="31">
        <v>27</v>
      </c>
      <c r="AB248" s="31"/>
      <c r="AC248" s="31"/>
      <c r="AD248" s="46"/>
      <c r="AE248" s="46"/>
      <c r="AF248" s="46"/>
      <c r="AG248" s="46">
        <v>12</v>
      </c>
      <c r="AH248" s="46"/>
      <c r="AI248" s="46"/>
      <c r="AJ248" s="46"/>
      <c r="AK248" s="46"/>
      <c r="AL248" s="46"/>
      <c r="AM248" s="46">
        <v>57</v>
      </c>
      <c r="AN248" s="46"/>
      <c r="AO248" s="46"/>
      <c r="AP248" s="46">
        <v>28</v>
      </c>
      <c r="AQ248" s="46"/>
      <c r="AR248" s="46"/>
      <c r="AS248" s="46"/>
      <c r="AT248" s="46"/>
      <c r="AU248" s="46"/>
      <c r="AV248" s="46"/>
      <c r="AW248" s="46"/>
      <c r="AX248" s="46"/>
      <c r="AY248" s="55">
        <f t="shared" si="44"/>
        <v>160</v>
      </c>
      <c r="AZ248" s="56">
        <v>7</v>
      </c>
      <c r="BA248" s="57">
        <v>18</v>
      </c>
      <c r="BB248" s="57">
        <f>+'[1]25'!R329</f>
        <v>50</v>
      </c>
      <c r="BC248" s="57">
        <v>47</v>
      </c>
      <c r="BD248" s="57"/>
      <c r="BE248" s="57"/>
      <c r="BF248" s="57"/>
      <c r="BG248" s="57"/>
      <c r="BH248" s="57"/>
      <c r="BI248" s="55">
        <f t="shared" si="45"/>
        <v>122</v>
      </c>
      <c r="BJ248" s="69">
        <f t="shared" si="46"/>
        <v>38</v>
      </c>
      <c r="BK248" s="69">
        <f t="shared" si="43"/>
        <v>0</v>
      </c>
      <c r="BM248" s="75"/>
      <c r="BN248" s="57">
        <f t="shared" si="50"/>
        <v>28</v>
      </c>
      <c r="BO248" s="80"/>
      <c r="BP248" s="81">
        <v>2</v>
      </c>
      <c r="BQ248" s="81">
        <v>1</v>
      </c>
      <c r="BR248" s="81">
        <v>1</v>
      </c>
      <c r="BS248" s="81">
        <v>3</v>
      </c>
      <c r="BT248" s="81">
        <v>2</v>
      </c>
      <c r="BU248" s="81"/>
      <c r="BV248" s="81"/>
      <c r="BW248" s="81"/>
      <c r="BX248" s="81"/>
      <c r="BY248" s="81">
        <v>1</v>
      </c>
      <c r="BZ248" s="9">
        <f t="shared" si="42"/>
        <v>10</v>
      </c>
      <c r="CB248" s="3"/>
      <c r="CE248" s="95"/>
    </row>
    <row r="249" spans="1:83" s="2" customFormat="1" ht="19.5" thickBot="1" x14ac:dyDescent="0.35">
      <c r="A249" s="17">
        <v>254</v>
      </c>
      <c r="B249" s="134"/>
      <c r="C249" s="18" t="s">
        <v>67</v>
      </c>
      <c r="D249" s="19"/>
      <c r="E249" s="19"/>
      <c r="F249" s="19"/>
      <c r="G249" s="30"/>
      <c r="H249" s="31"/>
      <c r="I249" s="40"/>
      <c r="J249" s="31"/>
      <c r="K249" s="40"/>
      <c r="L249" s="31">
        <v>18</v>
      </c>
      <c r="M249" s="40"/>
      <c r="N249" s="31"/>
      <c r="O249" s="40"/>
      <c r="P249" s="31"/>
      <c r="Q249" s="40"/>
      <c r="R249" s="31">
        <v>6</v>
      </c>
      <c r="S249" s="31"/>
      <c r="T249" s="31"/>
      <c r="U249" s="40"/>
      <c r="V249" s="31"/>
      <c r="W249" s="31"/>
      <c r="X249" s="31"/>
      <c r="Y249" s="31"/>
      <c r="Z249" s="31"/>
      <c r="AA249" s="31">
        <v>30</v>
      </c>
      <c r="AB249" s="31"/>
      <c r="AC249" s="31"/>
      <c r="AD249" s="46"/>
      <c r="AE249" s="46"/>
      <c r="AF249" s="46"/>
      <c r="AG249" s="46">
        <v>6</v>
      </c>
      <c r="AH249" s="46"/>
      <c r="AI249" s="46"/>
      <c r="AJ249" s="46"/>
      <c r="AK249" s="46"/>
      <c r="AL249" s="46"/>
      <c r="AM249" s="46">
        <v>36</v>
      </c>
      <c r="AN249" s="46"/>
      <c r="AO249" s="46"/>
      <c r="AP249" s="46">
        <v>20</v>
      </c>
      <c r="AQ249" s="46"/>
      <c r="AR249" s="46"/>
      <c r="AS249" s="46"/>
      <c r="AT249" s="46"/>
      <c r="AU249" s="46"/>
      <c r="AV249" s="46"/>
      <c r="AW249" s="46"/>
      <c r="AX249" s="46"/>
      <c r="AY249" s="55">
        <f t="shared" si="44"/>
        <v>116</v>
      </c>
      <c r="AZ249" s="56">
        <v>7</v>
      </c>
      <c r="BA249" s="57">
        <v>15</v>
      </c>
      <c r="BB249" s="57">
        <f>+'[1]25'!R330</f>
        <v>30</v>
      </c>
      <c r="BC249" s="57">
        <v>27</v>
      </c>
      <c r="BD249" s="57"/>
      <c r="BE249" s="57"/>
      <c r="BF249" s="57"/>
      <c r="BG249" s="57"/>
      <c r="BH249" s="57"/>
      <c r="BI249" s="55">
        <f t="shared" si="45"/>
        <v>79</v>
      </c>
      <c r="BJ249" s="69">
        <f t="shared" si="46"/>
        <v>37</v>
      </c>
      <c r="BK249" s="69">
        <f t="shared" si="43"/>
        <v>0</v>
      </c>
      <c r="BM249" s="75"/>
      <c r="BN249" s="57">
        <f t="shared" si="50"/>
        <v>25</v>
      </c>
      <c r="BO249" s="80"/>
      <c r="BP249" s="81">
        <v>1</v>
      </c>
      <c r="BQ249" s="81">
        <v>2</v>
      </c>
      <c r="BR249" s="81">
        <v>3</v>
      </c>
      <c r="BS249" s="81">
        <v>1</v>
      </c>
      <c r="BT249" s="81">
        <v>2</v>
      </c>
      <c r="BU249" s="81">
        <v>1</v>
      </c>
      <c r="BV249" s="81"/>
      <c r="BW249" s="81"/>
      <c r="BX249" s="81"/>
      <c r="BY249" s="81">
        <v>2</v>
      </c>
      <c r="BZ249" s="9">
        <f t="shared" ref="BZ249:BZ312" si="51">SUM(BP249:BY249)</f>
        <v>12</v>
      </c>
      <c r="CB249" s="3"/>
      <c r="CE249" s="95"/>
    </row>
    <row r="250" spans="1:83" s="2" customFormat="1" ht="19.5" thickBot="1" x14ac:dyDescent="0.35">
      <c r="A250" s="17">
        <v>255</v>
      </c>
      <c r="B250" s="134"/>
      <c r="C250" s="18" t="s">
        <v>68</v>
      </c>
      <c r="D250" s="19"/>
      <c r="E250" s="19"/>
      <c r="F250" s="19"/>
      <c r="G250" s="30"/>
      <c r="H250" s="31"/>
      <c r="I250" s="40"/>
      <c r="J250" s="31"/>
      <c r="K250" s="40"/>
      <c r="L250" s="31">
        <v>12</v>
      </c>
      <c r="M250" s="40">
        <v>-1</v>
      </c>
      <c r="N250" s="31"/>
      <c r="O250" s="40"/>
      <c r="P250" s="31"/>
      <c r="Q250" s="40">
        <v>-1</v>
      </c>
      <c r="R250" s="31">
        <v>6</v>
      </c>
      <c r="S250" s="31"/>
      <c r="T250" s="31"/>
      <c r="U250" s="40"/>
      <c r="V250" s="31"/>
      <c r="W250" s="31"/>
      <c r="X250" s="31"/>
      <c r="Y250" s="31"/>
      <c r="Z250" s="31"/>
      <c r="AA250" s="31">
        <v>3</v>
      </c>
      <c r="AB250" s="31"/>
      <c r="AC250" s="31"/>
      <c r="AD250" s="46"/>
      <c r="AE250" s="46"/>
      <c r="AF250" s="46"/>
      <c r="AG250" s="46">
        <v>12</v>
      </c>
      <c r="AH250" s="46"/>
      <c r="AI250" s="46"/>
      <c r="AJ250" s="46"/>
      <c r="AK250" s="46"/>
      <c r="AL250" s="46"/>
      <c r="AM250" s="46">
        <v>15</v>
      </c>
      <c r="AN250" s="46"/>
      <c r="AO250" s="46"/>
      <c r="AP250" s="46">
        <v>6</v>
      </c>
      <c r="AQ250" s="46"/>
      <c r="AR250" s="46"/>
      <c r="AS250" s="46"/>
      <c r="AT250" s="46"/>
      <c r="AU250" s="46"/>
      <c r="AV250" s="46"/>
      <c r="AW250" s="46"/>
      <c r="AX250" s="46"/>
      <c r="AY250" s="55">
        <f t="shared" si="44"/>
        <v>52</v>
      </c>
      <c r="AZ250" s="56">
        <v>2</v>
      </c>
      <c r="BA250" s="57">
        <v>5</v>
      </c>
      <c r="BB250" s="57">
        <f>+'[1]25'!R331</f>
        <v>19</v>
      </c>
      <c r="BC250" s="57">
        <v>15</v>
      </c>
      <c r="BD250" s="57"/>
      <c r="BE250" s="57"/>
      <c r="BF250" s="57"/>
      <c r="BG250" s="57"/>
      <c r="BH250" s="57"/>
      <c r="BI250" s="55">
        <f t="shared" si="45"/>
        <v>41</v>
      </c>
      <c r="BJ250" s="69">
        <f t="shared" si="46"/>
        <v>11</v>
      </c>
      <c r="BK250" s="69">
        <f t="shared" si="43"/>
        <v>0</v>
      </c>
      <c r="BM250" s="75"/>
      <c r="BN250" s="57">
        <f t="shared" si="50"/>
        <v>4</v>
      </c>
      <c r="BO250" s="80"/>
      <c r="BP250" s="81">
        <v>2</v>
      </c>
      <c r="BQ250" s="81">
        <v>2</v>
      </c>
      <c r="BR250" s="81">
        <v>1</v>
      </c>
      <c r="BS250" s="81">
        <v>1</v>
      </c>
      <c r="BT250" s="81">
        <v>1</v>
      </c>
      <c r="BU250" s="81"/>
      <c r="BV250" s="81"/>
      <c r="BW250" s="81"/>
      <c r="BX250" s="81"/>
      <c r="BY250" s="81"/>
      <c r="BZ250" s="9">
        <f t="shared" si="51"/>
        <v>7</v>
      </c>
      <c r="CB250" s="3"/>
      <c r="CE250" s="95"/>
    </row>
    <row r="251" spans="1:83" s="2" customFormat="1" ht="19.5" thickBot="1" x14ac:dyDescent="0.35">
      <c r="A251" s="17">
        <v>256</v>
      </c>
      <c r="B251" s="134"/>
      <c r="C251" s="18" t="s">
        <v>69</v>
      </c>
      <c r="D251" s="19"/>
      <c r="E251" s="19"/>
      <c r="F251" s="19">
        <v>2</v>
      </c>
      <c r="G251" s="30"/>
      <c r="H251" s="31"/>
      <c r="I251" s="40"/>
      <c r="J251" s="31"/>
      <c r="K251" s="40"/>
      <c r="L251" s="31"/>
      <c r="M251" s="40"/>
      <c r="N251" s="31"/>
      <c r="O251" s="40"/>
      <c r="P251" s="31">
        <v>2</v>
      </c>
      <c r="Q251" s="40">
        <v>-1</v>
      </c>
      <c r="R251" s="31">
        <v>3</v>
      </c>
      <c r="S251" s="31"/>
      <c r="T251" s="31"/>
      <c r="U251" s="40"/>
      <c r="V251" s="31"/>
      <c r="W251" s="31"/>
      <c r="X251" s="31"/>
      <c r="Y251" s="31"/>
      <c r="Z251" s="31"/>
      <c r="AA251" s="31">
        <v>9</v>
      </c>
      <c r="AB251" s="31"/>
      <c r="AC251" s="31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>
        <v>9</v>
      </c>
      <c r="AN251" s="46"/>
      <c r="AO251" s="46"/>
      <c r="AP251" s="46">
        <v>6</v>
      </c>
      <c r="AQ251" s="46"/>
      <c r="AR251" s="46"/>
      <c r="AS251" s="46"/>
      <c r="AT251" s="46"/>
      <c r="AU251" s="46"/>
      <c r="AV251" s="46"/>
      <c r="AW251" s="46"/>
      <c r="AX251" s="46"/>
      <c r="AY251" s="55">
        <f t="shared" si="44"/>
        <v>30</v>
      </c>
      <c r="AZ251" s="56">
        <v>1</v>
      </c>
      <c r="BA251" s="57">
        <v>2</v>
      </c>
      <c r="BB251" s="57">
        <f>+'[1]25'!R332</f>
        <v>9</v>
      </c>
      <c r="BC251" s="57">
        <v>3</v>
      </c>
      <c r="BD251" s="57"/>
      <c r="BE251" s="57"/>
      <c r="BF251" s="57"/>
      <c r="BG251" s="57"/>
      <c r="BH251" s="57"/>
      <c r="BI251" s="55">
        <f t="shared" si="45"/>
        <v>15</v>
      </c>
      <c r="BJ251" s="69">
        <f t="shared" si="46"/>
        <v>15</v>
      </c>
      <c r="BK251" s="69">
        <f t="shared" si="43"/>
        <v>0</v>
      </c>
      <c r="BM251" s="75"/>
      <c r="BN251" s="57">
        <f t="shared" si="50"/>
        <v>11</v>
      </c>
      <c r="BO251" s="80"/>
      <c r="BP251" s="81">
        <v>2</v>
      </c>
      <c r="BQ251" s="81"/>
      <c r="BR251" s="81"/>
      <c r="BS251" s="81"/>
      <c r="BT251" s="81">
        <v>1</v>
      </c>
      <c r="BU251" s="81"/>
      <c r="BV251" s="81"/>
      <c r="BW251" s="81"/>
      <c r="BX251" s="81"/>
      <c r="BY251" s="81">
        <v>1</v>
      </c>
      <c r="BZ251" s="9">
        <f t="shared" si="51"/>
        <v>4</v>
      </c>
      <c r="CB251" s="3"/>
      <c r="CE251" s="95"/>
    </row>
    <row r="252" spans="1:83" s="2" customFormat="1" ht="19.5" thickBot="1" x14ac:dyDescent="0.35">
      <c r="A252" s="17">
        <v>257</v>
      </c>
      <c r="B252" s="134"/>
      <c r="C252" s="20" t="s">
        <v>70</v>
      </c>
      <c r="D252" s="21"/>
      <c r="E252" s="21"/>
      <c r="F252" s="21"/>
      <c r="G252" s="32"/>
      <c r="H252" s="33"/>
      <c r="I252" s="41"/>
      <c r="J252" s="33"/>
      <c r="K252" s="41"/>
      <c r="L252" s="33"/>
      <c r="M252" s="41"/>
      <c r="N252" s="33"/>
      <c r="O252" s="41"/>
      <c r="P252" s="33"/>
      <c r="Q252" s="41"/>
      <c r="R252" s="33">
        <v>3</v>
      </c>
      <c r="S252" s="33"/>
      <c r="T252" s="33"/>
      <c r="U252" s="41"/>
      <c r="V252" s="33"/>
      <c r="W252" s="33"/>
      <c r="X252" s="33"/>
      <c r="Y252" s="33"/>
      <c r="Z252" s="33"/>
      <c r="AA252" s="33">
        <v>3</v>
      </c>
      <c r="AB252" s="33"/>
      <c r="AC252" s="33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>
        <v>6</v>
      </c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55">
        <f t="shared" si="44"/>
        <v>12</v>
      </c>
      <c r="AZ252" s="59">
        <v>0</v>
      </c>
      <c r="BA252" s="60">
        <v>0</v>
      </c>
      <c r="BB252" s="60">
        <f>+'[1]25'!R333</f>
        <v>5</v>
      </c>
      <c r="BC252" s="60">
        <v>2</v>
      </c>
      <c r="BD252" s="60"/>
      <c r="BE252" s="60"/>
      <c r="BF252" s="60"/>
      <c r="BG252" s="60"/>
      <c r="BH252" s="60"/>
      <c r="BI252" s="58">
        <f t="shared" si="45"/>
        <v>7</v>
      </c>
      <c r="BJ252" s="70">
        <f t="shared" si="46"/>
        <v>5</v>
      </c>
      <c r="BK252" s="70">
        <f t="shared" ref="BK252:BK315" si="52">SUM(AT252:AX252)</f>
        <v>0</v>
      </c>
      <c r="BL252" s="76"/>
      <c r="BM252" s="77"/>
      <c r="BN252" s="60">
        <f t="shared" si="50"/>
        <v>4</v>
      </c>
      <c r="BO252" s="82"/>
      <c r="BP252" s="83"/>
      <c r="BQ252" s="83"/>
      <c r="BR252" s="83">
        <v>1</v>
      </c>
      <c r="BS252" s="83"/>
      <c r="BT252" s="83"/>
      <c r="BU252" s="83"/>
      <c r="BV252" s="83"/>
      <c r="BW252" s="83"/>
      <c r="BX252" s="83"/>
      <c r="BY252" s="83"/>
      <c r="BZ252" s="9">
        <f t="shared" si="51"/>
        <v>1</v>
      </c>
      <c r="CB252" s="3"/>
      <c r="CE252" s="95"/>
    </row>
    <row r="253" spans="1:83" s="2" customFormat="1" ht="19.5" thickBot="1" x14ac:dyDescent="0.35">
      <c r="A253" s="17">
        <v>258</v>
      </c>
      <c r="B253" s="134" t="s">
        <v>125</v>
      </c>
      <c r="C253" s="18" t="s">
        <v>63</v>
      </c>
      <c r="D253" s="19"/>
      <c r="E253" s="19"/>
      <c r="F253" s="19"/>
      <c r="G253" s="30"/>
      <c r="H253" s="31"/>
      <c r="I253" s="40"/>
      <c r="J253" s="31"/>
      <c r="K253" s="40"/>
      <c r="L253" s="31">
        <v>18</v>
      </c>
      <c r="M253" s="40"/>
      <c r="N253" s="31"/>
      <c r="O253" s="40"/>
      <c r="P253" s="31"/>
      <c r="Q253" s="40"/>
      <c r="R253" s="31"/>
      <c r="S253" s="31"/>
      <c r="T253" s="31"/>
      <c r="U253" s="40"/>
      <c r="V253" s="31"/>
      <c r="W253" s="31"/>
      <c r="X253" s="31"/>
      <c r="Y253" s="31"/>
      <c r="Z253" s="31"/>
      <c r="AA253" s="31"/>
      <c r="AB253" s="31"/>
      <c r="AC253" s="31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55">
        <f t="shared" ref="AY253:AY316" si="53">SUM(D253:AS253)</f>
        <v>18</v>
      </c>
      <c r="AZ253" s="56">
        <v>1</v>
      </c>
      <c r="BA253" s="57">
        <v>8</v>
      </c>
      <c r="BB253" s="57">
        <f>+'[1]25'!R334</f>
        <v>6</v>
      </c>
      <c r="BC253" s="57">
        <v>1</v>
      </c>
      <c r="BD253" s="57"/>
      <c r="BE253" s="57"/>
      <c r="BF253" s="57"/>
      <c r="BG253" s="57"/>
      <c r="BH253" s="57"/>
      <c r="BI253" s="55">
        <f t="shared" ref="BI253:BI316" si="54">SUM(AZ253:BH253)</f>
        <v>16</v>
      </c>
      <c r="BJ253" s="69">
        <f t="shared" ref="BJ253:BJ316" si="55">+AY253-BI253</f>
        <v>2</v>
      </c>
      <c r="BK253" s="69">
        <f t="shared" si="52"/>
        <v>0</v>
      </c>
      <c r="BM253" s="75"/>
      <c r="BN253" s="57">
        <f t="shared" si="50"/>
        <v>2</v>
      </c>
      <c r="BO253" s="80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9">
        <f t="shared" si="51"/>
        <v>0</v>
      </c>
      <c r="CB253" s="3"/>
      <c r="CE253" s="95"/>
    </row>
    <row r="254" spans="1:83" s="2" customFormat="1" ht="19.5" thickBot="1" x14ac:dyDescent="0.35">
      <c r="A254" s="17">
        <v>259</v>
      </c>
      <c r="B254" s="135"/>
      <c r="C254" s="18" t="s">
        <v>64</v>
      </c>
      <c r="D254" s="19"/>
      <c r="E254" s="19"/>
      <c r="F254" s="19"/>
      <c r="G254" s="30"/>
      <c r="H254" s="31"/>
      <c r="I254" s="40"/>
      <c r="J254" s="31"/>
      <c r="K254" s="40"/>
      <c r="L254" s="31">
        <v>24</v>
      </c>
      <c r="M254" s="40"/>
      <c r="N254" s="31"/>
      <c r="O254" s="40"/>
      <c r="P254" s="31"/>
      <c r="Q254" s="40"/>
      <c r="R254" s="31"/>
      <c r="S254" s="31"/>
      <c r="T254" s="31"/>
      <c r="U254" s="40"/>
      <c r="V254" s="31"/>
      <c r="W254" s="31"/>
      <c r="X254" s="31"/>
      <c r="Y254" s="31"/>
      <c r="Z254" s="31"/>
      <c r="AA254" s="31"/>
      <c r="AB254" s="31"/>
      <c r="AC254" s="31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55">
        <f t="shared" si="53"/>
        <v>24</v>
      </c>
      <c r="AZ254" s="56">
        <v>5</v>
      </c>
      <c r="BA254" s="57">
        <v>9</v>
      </c>
      <c r="BB254" s="57">
        <f>+'[1]25'!R335</f>
        <v>10</v>
      </c>
      <c r="BC254" s="57"/>
      <c r="BD254" s="57"/>
      <c r="BE254" s="57"/>
      <c r="BF254" s="57"/>
      <c r="BG254" s="57"/>
      <c r="BH254" s="57"/>
      <c r="BI254" s="55">
        <f t="shared" si="54"/>
        <v>24</v>
      </c>
      <c r="BJ254" s="69">
        <f t="shared" si="55"/>
        <v>0</v>
      </c>
      <c r="BK254" s="69">
        <f t="shared" si="52"/>
        <v>0</v>
      </c>
      <c r="BM254" s="75"/>
      <c r="BN254" s="57">
        <f t="shared" si="50"/>
        <v>0</v>
      </c>
      <c r="BO254" s="80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9">
        <f t="shared" si="51"/>
        <v>0</v>
      </c>
      <c r="CB254" s="3"/>
      <c r="CE254" s="95"/>
    </row>
    <row r="255" spans="1:83" s="2" customFormat="1" ht="19.5" thickBot="1" x14ac:dyDescent="0.35">
      <c r="A255" s="17">
        <v>260</v>
      </c>
      <c r="B255" s="135"/>
      <c r="C255" s="18" t="s">
        <v>65</v>
      </c>
      <c r="D255" s="19"/>
      <c r="E255" s="19"/>
      <c r="F255" s="19"/>
      <c r="G255" s="30"/>
      <c r="H255" s="31"/>
      <c r="I255" s="40"/>
      <c r="J255" s="31"/>
      <c r="K255" s="40"/>
      <c r="L255" s="31">
        <v>24</v>
      </c>
      <c r="M255" s="40"/>
      <c r="N255" s="31"/>
      <c r="O255" s="40"/>
      <c r="P255" s="31"/>
      <c r="Q255" s="40"/>
      <c r="R255" s="31"/>
      <c r="S255" s="31"/>
      <c r="T255" s="31"/>
      <c r="U255" s="40"/>
      <c r="V255" s="31"/>
      <c r="W255" s="31"/>
      <c r="X255" s="31"/>
      <c r="Y255" s="31"/>
      <c r="Z255" s="31"/>
      <c r="AA255" s="31"/>
      <c r="AB255" s="31"/>
      <c r="AC255" s="31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55">
        <f t="shared" si="53"/>
        <v>24</v>
      </c>
      <c r="AZ255" s="56">
        <v>2</v>
      </c>
      <c r="BA255" s="57">
        <v>9</v>
      </c>
      <c r="BB255" s="57">
        <f>+'[1]25'!R336</f>
        <v>13</v>
      </c>
      <c r="BC255" s="57"/>
      <c r="BD255" s="57"/>
      <c r="BE255" s="57"/>
      <c r="BF255" s="57"/>
      <c r="BG255" s="57"/>
      <c r="BH255" s="57"/>
      <c r="BI255" s="55">
        <f t="shared" si="54"/>
        <v>24</v>
      </c>
      <c r="BJ255" s="69">
        <f t="shared" si="55"/>
        <v>0</v>
      </c>
      <c r="BK255" s="69">
        <f t="shared" si="52"/>
        <v>0</v>
      </c>
      <c r="BM255" s="75"/>
      <c r="BN255" s="57">
        <f t="shared" si="50"/>
        <v>0</v>
      </c>
      <c r="BO255" s="80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9">
        <f t="shared" si="51"/>
        <v>0</v>
      </c>
      <c r="CB255" s="3"/>
      <c r="CE255" s="95"/>
    </row>
    <row r="256" spans="1:83" s="2" customFormat="1" ht="19.5" thickBot="1" x14ac:dyDescent="0.35">
      <c r="A256" s="17">
        <v>261</v>
      </c>
      <c r="B256" s="135"/>
      <c r="C256" s="18" t="s">
        <v>66</v>
      </c>
      <c r="D256" s="19"/>
      <c r="E256" s="19"/>
      <c r="F256" s="19"/>
      <c r="G256" s="30"/>
      <c r="H256" s="31"/>
      <c r="I256" s="40"/>
      <c r="J256" s="31"/>
      <c r="K256" s="40"/>
      <c r="L256" s="31">
        <v>18</v>
      </c>
      <c r="M256" s="40"/>
      <c r="N256" s="31"/>
      <c r="O256" s="40"/>
      <c r="P256" s="31"/>
      <c r="Q256" s="40"/>
      <c r="R256" s="31"/>
      <c r="S256" s="31"/>
      <c r="T256" s="31"/>
      <c r="U256" s="40"/>
      <c r="V256" s="31"/>
      <c r="W256" s="31"/>
      <c r="X256" s="31"/>
      <c r="Y256" s="31"/>
      <c r="Z256" s="31"/>
      <c r="AA256" s="31"/>
      <c r="AB256" s="31"/>
      <c r="AC256" s="31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55">
        <f t="shared" si="53"/>
        <v>18</v>
      </c>
      <c r="AZ256" s="56">
        <v>3</v>
      </c>
      <c r="BA256" s="57">
        <v>7</v>
      </c>
      <c r="BB256" s="57">
        <f>+'[1]25'!R337</f>
        <v>7</v>
      </c>
      <c r="BC256" s="57"/>
      <c r="BD256" s="57"/>
      <c r="BE256" s="57"/>
      <c r="BF256" s="57"/>
      <c r="BG256" s="57"/>
      <c r="BH256" s="57"/>
      <c r="BI256" s="55">
        <f t="shared" si="54"/>
        <v>17</v>
      </c>
      <c r="BJ256" s="69">
        <f t="shared" si="55"/>
        <v>1</v>
      </c>
      <c r="BK256" s="69">
        <f t="shared" si="52"/>
        <v>0</v>
      </c>
      <c r="BM256" s="75"/>
      <c r="BN256" s="57">
        <f t="shared" si="50"/>
        <v>1</v>
      </c>
      <c r="BO256" s="80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9">
        <f t="shared" si="51"/>
        <v>0</v>
      </c>
      <c r="CB256" s="3"/>
      <c r="CE256" s="95"/>
    </row>
    <row r="257" spans="1:83" s="2" customFormat="1" ht="19.5" thickBot="1" x14ac:dyDescent="0.35">
      <c r="A257" s="17">
        <v>262</v>
      </c>
      <c r="B257" s="135"/>
      <c r="C257" s="18" t="s">
        <v>67</v>
      </c>
      <c r="D257" s="19"/>
      <c r="E257" s="19"/>
      <c r="F257" s="19"/>
      <c r="G257" s="30"/>
      <c r="H257" s="31"/>
      <c r="I257" s="40"/>
      <c r="J257" s="31"/>
      <c r="K257" s="40"/>
      <c r="L257" s="31">
        <v>12</v>
      </c>
      <c r="M257" s="40"/>
      <c r="N257" s="31"/>
      <c r="O257" s="40"/>
      <c r="P257" s="31"/>
      <c r="Q257" s="40"/>
      <c r="R257" s="31"/>
      <c r="S257" s="31"/>
      <c r="T257" s="31"/>
      <c r="U257" s="40"/>
      <c r="V257" s="31"/>
      <c r="W257" s="31"/>
      <c r="X257" s="31"/>
      <c r="Y257" s="31"/>
      <c r="Z257" s="31"/>
      <c r="AA257" s="31"/>
      <c r="AB257" s="31"/>
      <c r="AC257" s="31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55">
        <f t="shared" si="53"/>
        <v>12</v>
      </c>
      <c r="AZ257" s="56">
        <v>0</v>
      </c>
      <c r="BA257" s="57">
        <v>7</v>
      </c>
      <c r="BB257" s="57">
        <f>+'[1]25'!R338</f>
        <v>5</v>
      </c>
      <c r="BC257" s="57"/>
      <c r="BD257" s="57"/>
      <c r="BE257" s="57"/>
      <c r="BF257" s="57"/>
      <c r="BG257" s="57"/>
      <c r="BH257" s="57"/>
      <c r="BI257" s="55">
        <f t="shared" si="54"/>
        <v>12</v>
      </c>
      <c r="BJ257" s="69">
        <f t="shared" si="55"/>
        <v>0</v>
      </c>
      <c r="BK257" s="69">
        <f t="shared" si="52"/>
        <v>0</v>
      </c>
      <c r="BM257" s="75"/>
      <c r="BN257" s="57">
        <f t="shared" si="50"/>
        <v>0</v>
      </c>
      <c r="BO257" s="80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9">
        <f t="shared" si="51"/>
        <v>0</v>
      </c>
      <c r="CB257" s="3"/>
      <c r="CE257" s="95"/>
    </row>
    <row r="258" spans="1:83" s="2" customFormat="1" ht="19.5" thickBot="1" x14ac:dyDescent="0.35">
      <c r="A258" s="17">
        <v>263</v>
      </c>
      <c r="B258" s="135"/>
      <c r="C258" s="18" t="s">
        <v>68</v>
      </c>
      <c r="D258" s="19"/>
      <c r="E258" s="19"/>
      <c r="F258" s="19"/>
      <c r="G258" s="30"/>
      <c r="H258" s="31"/>
      <c r="I258" s="40"/>
      <c r="J258" s="31"/>
      <c r="K258" s="40"/>
      <c r="L258" s="31">
        <v>8</v>
      </c>
      <c r="M258" s="40"/>
      <c r="N258" s="31"/>
      <c r="O258" s="40"/>
      <c r="P258" s="31"/>
      <c r="Q258" s="40"/>
      <c r="R258" s="31"/>
      <c r="S258" s="31"/>
      <c r="T258" s="31"/>
      <c r="U258" s="40"/>
      <c r="V258" s="31"/>
      <c r="W258" s="31"/>
      <c r="X258" s="31"/>
      <c r="Y258" s="31"/>
      <c r="Z258" s="31"/>
      <c r="AA258" s="31"/>
      <c r="AB258" s="31"/>
      <c r="AC258" s="31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55">
        <f t="shared" si="53"/>
        <v>8</v>
      </c>
      <c r="AZ258" s="56">
        <v>2</v>
      </c>
      <c r="BA258" s="57">
        <v>2</v>
      </c>
      <c r="BB258" s="57">
        <f>+'[1]25'!R339</f>
        <v>4</v>
      </c>
      <c r="BC258" s="57"/>
      <c r="BD258" s="57"/>
      <c r="BE258" s="57"/>
      <c r="BF258" s="57"/>
      <c r="BG258" s="57"/>
      <c r="BH258" s="57"/>
      <c r="BI258" s="55">
        <f t="shared" si="54"/>
        <v>8</v>
      </c>
      <c r="BJ258" s="69">
        <f t="shared" si="55"/>
        <v>0</v>
      </c>
      <c r="BK258" s="69">
        <f t="shared" si="52"/>
        <v>0</v>
      </c>
      <c r="BM258" s="75"/>
      <c r="BN258" s="57">
        <f t="shared" si="50"/>
        <v>0</v>
      </c>
      <c r="BO258" s="80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9">
        <f t="shared" si="51"/>
        <v>0</v>
      </c>
      <c r="CB258" s="3"/>
      <c r="CE258" s="95"/>
    </row>
    <row r="259" spans="1:83" s="2" customFormat="1" ht="19.5" thickBot="1" x14ac:dyDescent="0.35">
      <c r="A259" s="17">
        <v>264</v>
      </c>
      <c r="B259" s="135"/>
      <c r="C259" s="20" t="s">
        <v>69</v>
      </c>
      <c r="D259" s="21"/>
      <c r="E259" s="21"/>
      <c r="F259" s="21"/>
      <c r="G259" s="32"/>
      <c r="H259" s="33"/>
      <c r="I259" s="41"/>
      <c r="J259" s="33"/>
      <c r="K259" s="41"/>
      <c r="L259" s="33"/>
      <c r="M259" s="41"/>
      <c r="N259" s="33"/>
      <c r="O259" s="41"/>
      <c r="P259" s="33">
        <v>2</v>
      </c>
      <c r="Q259" s="41"/>
      <c r="R259" s="33"/>
      <c r="S259" s="33"/>
      <c r="T259" s="33"/>
      <c r="U259" s="41"/>
      <c r="V259" s="33"/>
      <c r="W259" s="33"/>
      <c r="X259" s="33"/>
      <c r="Y259" s="33"/>
      <c r="Z259" s="33"/>
      <c r="AA259" s="33"/>
      <c r="AB259" s="33"/>
      <c r="AC259" s="33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55">
        <f t="shared" si="53"/>
        <v>2</v>
      </c>
      <c r="AZ259" s="59">
        <v>0</v>
      </c>
      <c r="BA259" s="60">
        <v>0</v>
      </c>
      <c r="BB259" s="60">
        <f>+'[1]25'!R340</f>
        <v>2</v>
      </c>
      <c r="BC259" s="60"/>
      <c r="BD259" s="60"/>
      <c r="BE259" s="60"/>
      <c r="BF259" s="60"/>
      <c r="BG259" s="60"/>
      <c r="BH259" s="60"/>
      <c r="BI259" s="58">
        <f t="shared" si="54"/>
        <v>2</v>
      </c>
      <c r="BJ259" s="70">
        <f t="shared" si="55"/>
        <v>0</v>
      </c>
      <c r="BK259" s="70">
        <f t="shared" si="52"/>
        <v>0</v>
      </c>
      <c r="BL259" s="76"/>
      <c r="BM259" s="77"/>
      <c r="BN259" s="60">
        <f t="shared" si="50"/>
        <v>0</v>
      </c>
      <c r="BO259" s="82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9">
        <f t="shared" si="51"/>
        <v>0</v>
      </c>
      <c r="CB259" s="3"/>
      <c r="CE259" s="95"/>
    </row>
    <row r="260" spans="1:83" s="2" customFormat="1" ht="19.5" thickBot="1" x14ac:dyDescent="0.35">
      <c r="A260" s="17">
        <v>265</v>
      </c>
      <c r="B260" s="134" t="s">
        <v>126</v>
      </c>
      <c r="C260" s="18" t="s">
        <v>62</v>
      </c>
      <c r="D260" s="19"/>
      <c r="E260" s="19"/>
      <c r="F260" s="19"/>
      <c r="G260" s="30"/>
      <c r="H260" s="31"/>
      <c r="I260" s="40"/>
      <c r="J260" s="31"/>
      <c r="K260" s="40"/>
      <c r="L260" s="31"/>
      <c r="M260" s="40"/>
      <c r="N260" s="31"/>
      <c r="O260" s="40"/>
      <c r="P260" s="31"/>
      <c r="Q260" s="40"/>
      <c r="R260" s="31"/>
      <c r="S260" s="31"/>
      <c r="T260" s="31"/>
      <c r="U260" s="40"/>
      <c r="V260" s="31"/>
      <c r="W260" s="31"/>
      <c r="X260" s="31"/>
      <c r="Y260" s="31"/>
      <c r="Z260" s="31"/>
      <c r="AA260" s="31">
        <v>6</v>
      </c>
      <c r="AB260" s="31"/>
      <c r="AC260" s="31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55">
        <f t="shared" si="53"/>
        <v>6</v>
      </c>
      <c r="AZ260" s="56">
        <v>0</v>
      </c>
      <c r="BA260" s="57">
        <v>0</v>
      </c>
      <c r="BB260" s="57">
        <f>+'[1]25'!R341</f>
        <v>5</v>
      </c>
      <c r="BC260" s="57">
        <v>1</v>
      </c>
      <c r="BD260" s="57"/>
      <c r="BE260" s="57"/>
      <c r="BF260" s="57"/>
      <c r="BG260" s="57"/>
      <c r="BH260" s="57"/>
      <c r="BI260" s="55">
        <f t="shared" si="54"/>
        <v>6</v>
      </c>
      <c r="BJ260" s="69">
        <f t="shared" si="55"/>
        <v>0</v>
      </c>
      <c r="BK260" s="69">
        <f t="shared" si="52"/>
        <v>0</v>
      </c>
      <c r="BM260" s="75"/>
      <c r="BN260" s="57">
        <f t="shared" si="50"/>
        <v>0</v>
      </c>
      <c r="BO260" s="80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9">
        <f t="shared" si="51"/>
        <v>0</v>
      </c>
      <c r="CB260" s="3"/>
      <c r="CE260" s="95"/>
    </row>
    <row r="261" spans="1:83" s="2" customFormat="1" ht="19.5" thickBot="1" x14ac:dyDescent="0.35">
      <c r="A261" s="17">
        <v>266</v>
      </c>
      <c r="B261" s="135"/>
      <c r="C261" s="18" t="s">
        <v>63</v>
      </c>
      <c r="D261" s="19"/>
      <c r="E261" s="19"/>
      <c r="F261" s="19"/>
      <c r="G261" s="30"/>
      <c r="H261" s="31"/>
      <c r="I261" s="40"/>
      <c r="J261" s="31"/>
      <c r="K261" s="40"/>
      <c r="L261" s="31"/>
      <c r="M261" s="40"/>
      <c r="N261" s="31"/>
      <c r="O261" s="40"/>
      <c r="P261" s="31"/>
      <c r="Q261" s="40"/>
      <c r="R261" s="31"/>
      <c r="S261" s="31"/>
      <c r="T261" s="31"/>
      <c r="U261" s="40"/>
      <c r="V261" s="31"/>
      <c r="W261" s="31"/>
      <c r="X261" s="31"/>
      <c r="Y261" s="31"/>
      <c r="Z261" s="31"/>
      <c r="AA261" s="31">
        <v>12</v>
      </c>
      <c r="AB261" s="31"/>
      <c r="AC261" s="31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55">
        <f t="shared" si="53"/>
        <v>12</v>
      </c>
      <c r="AZ261" s="56">
        <v>0</v>
      </c>
      <c r="BA261" s="57">
        <v>0</v>
      </c>
      <c r="BB261" s="57">
        <f>+'[1]25'!R342</f>
        <v>11</v>
      </c>
      <c r="BC261" s="57">
        <v>0</v>
      </c>
      <c r="BD261" s="57"/>
      <c r="BE261" s="57"/>
      <c r="BF261" s="57"/>
      <c r="BG261" s="57"/>
      <c r="BH261" s="57"/>
      <c r="BI261" s="55">
        <f t="shared" si="54"/>
        <v>11</v>
      </c>
      <c r="BJ261" s="69">
        <f t="shared" si="55"/>
        <v>1</v>
      </c>
      <c r="BK261" s="69">
        <f t="shared" si="52"/>
        <v>0</v>
      </c>
      <c r="BM261" s="75"/>
      <c r="BN261" s="57">
        <f t="shared" si="50"/>
        <v>1</v>
      </c>
      <c r="BO261" s="80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9">
        <f t="shared" si="51"/>
        <v>0</v>
      </c>
      <c r="CB261" s="3"/>
      <c r="CE261" s="95"/>
    </row>
    <row r="262" spans="1:83" s="2" customFormat="1" ht="19.5" thickBot="1" x14ac:dyDescent="0.35">
      <c r="A262" s="17">
        <v>267</v>
      </c>
      <c r="B262" s="135"/>
      <c r="C262" s="18" t="s">
        <v>64</v>
      </c>
      <c r="D262" s="19"/>
      <c r="E262" s="19"/>
      <c r="F262" s="19"/>
      <c r="G262" s="30"/>
      <c r="H262" s="31"/>
      <c r="I262" s="40"/>
      <c r="J262" s="31"/>
      <c r="K262" s="40"/>
      <c r="L262" s="31"/>
      <c r="M262" s="40"/>
      <c r="N262" s="31"/>
      <c r="O262" s="40"/>
      <c r="P262" s="31"/>
      <c r="Q262" s="40"/>
      <c r="R262" s="31"/>
      <c r="S262" s="31"/>
      <c r="T262" s="31"/>
      <c r="U262" s="40"/>
      <c r="V262" s="31"/>
      <c r="W262" s="31"/>
      <c r="X262" s="31"/>
      <c r="Y262" s="31"/>
      <c r="Z262" s="31"/>
      <c r="AA262" s="31">
        <v>21</v>
      </c>
      <c r="AB262" s="31"/>
      <c r="AC262" s="3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55">
        <f t="shared" si="53"/>
        <v>21</v>
      </c>
      <c r="AZ262" s="56">
        <v>0</v>
      </c>
      <c r="BA262" s="57">
        <v>0</v>
      </c>
      <c r="BB262" s="57">
        <f>+'[1]25'!R343</f>
        <v>20</v>
      </c>
      <c r="BC262" s="57">
        <v>0</v>
      </c>
      <c r="BD262" s="57"/>
      <c r="BE262" s="57"/>
      <c r="BF262" s="57"/>
      <c r="BG262" s="57"/>
      <c r="BH262" s="57"/>
      <c r="BI262" s="55">
        <f t="shared" si="54"/>
        <v>20</v>
      </c>
      <c r="BJ262" s="69">
        <f t="shared" si="55"/>
        <v>1</v>
      </c>
      <c r="BK262" s="69">
        <f t="shared" si="52"/>
        <v>0</v>
      </c>
      <c r="BM262" s="75"/>
      <c r="BN262" s="57">
        <f t="shared" si="50"/>
        <v>1</v>
      </c>
      <c r="BO262" s="80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9">
        <f t="shared" si="51"/>
        <v>0</v>
      </c>
      <c r="CB262" s="3"/>
      <c r="CE262" s="95"/>
    </row>
    <row r="263" spans="1:83" s="2" customFormat="1" ht="19.5" thickBot="1" x14ac:dyDescent="0.35">
      <c r="A263" s="17">
        <v>268</v>
      </c>
      <c r="B263" s="135"/>
      <c r="C263" s="18" t="s">
        <v>65</v>
      </c>
      <c r="D263" s="19"/>
      <c r="E263" s="19"/>
      <c r="F263" s="19"/>
      <c r="G263" s="30"/>
      <c r="H263" s="31"/>
      <c r="I263" s="40"/>
      <c r="J263" s="31"/>
      <c r="K263" s="40"/>
      <c r="L263" s="31"/>
      <c r="M263" s="40"/>
      <c r="N263" s="31"/>
      <c r="O263" s="40"/>
      <c r="P263" s="31"/>
      <c r="Q263" s="40"/>
      <c r="R263" s="31"/>
      <c r="S263" s="31"/>
      <c r="T263" s="31"/>
      <c r="U263" s="40"/>
      <c r="V263" s="31"/>
      <c r="W263" s="31"/>
      <c r="X263" s="31"/>
      <c r="Y263" s="31"/>
      <c r="Z263" s="31"/>
      <c r="AA263" s="31">
        <v>24</v>
      </c>
      <c r="AB263" s="31"/>
      <c r="AC263" s="31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55">
        <f t="shared" si="53"/>
        <v>24</v>
      </c>
      <c r="AZ263" s="56">
        <v>0</v>
      </c>
      <c r="BA263" s="57">
        <v>0</v>
      </c>
      <c r="BB263" s="57">
        <f>+'[1]25'!R344</f>
        <v>23</v>
      </c>
      <c r="BC263" s="57">
        <v>1</v>
      </c>
      <c r="BD263" s="57"/>
      <c r="BE263" s="57"/>
      <c r="BF263" s="57"/>
      <c r="BG263" s="57"/>
      <c r="BH263" s="57"/>
      <c r="BI263" s="55">
        <f t="shared" si="54"/>
        <v>24</v>
      </c>
      <c r="BJ263" s="69">
        <f t="shared" si="55"/>
        <v>0</v>
      </c>
      <c r="BK263" s="69">
        <f t="shared" si="52"/>
        <v>0</v>
      </c>
      <c r="BM263" s="75"/>
      <c r="BN263" s="57">
        <f t="shared" si="50"/>
        <v>0</v>
      </c>
      <c r="BO263" s="80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9">
        <f t="shared" si="51"/>
        <v>0</v>
      </c>
      <c r="CB263" s="3"/>
      <c r="CE263" s="95"/>
    </row>
    <row r="264" spans="1:83" s="2" customFormat="1" ht="19.5" thickBot="1" x14ac:dyDescent="0.35">
      <c r="A264" s="17">
        <v>269</v>
      </c>
      <c r="B264" s="135"/>
      <c r="C264" s="18" t="s">
        <v>66</v>
      </c>
      <c r="D264" s="19"/>
      <c r="E264" s="19"/>
      <c r="F264" s="19"/>
      <c r="G264" s="30"/>
      <c r="H264" s="31"/>
      <c r="I264" s="40"/>
      <c r="J264" s="31"/>
      <c r="K264" s="40"/>
      <c r="L264" s="31"/>
      <c r="M264" s="40"/>
      <c r="N264" s="31"/>
      <c r="O264" s="40"/>
      <c r="P264" s="31"/>
      <c r="Q264" s="40"/>
      <c r="R264" s="31"/>
      <c r="S264" s="31"/>
      <c r="T264" s="31"/>
      <c r="U264" s="40"/>
      <c r="V264" s="31"/>
      <c r="W264" s="31"/>
      <c r="X264" s="31"/>
      <c r="Y264" s="31"/>
      <c r="Z264" s="31"/>
      <c r="AA264" s="31">
        <v>18</v>
      </c>
      <c r="AB264" s="31"/>
      <c r="AC264" s="31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55">
        <f t="shared" si="53"/>
        <v>18</v>
      </c>
      <c r="AZ264" s="56">
        <v>0</v>
      </c>
      <c r="BA264" s="57">
        <v>0</v>
      </c>
      <c r="BB264" s="57">
        <f>+'[1]25'!R345</f>
        <v>18</v>
      </c>
      <c r="BC264" s="57">
        <v>0</v>
      </c>
      <c r="BD264" s="57"/>
      <c r="BE264" s="57"/>
      <c r="BF264" s="57"/>
      <c r="BG264" s="57"/>
      <c r="BH264" s="57"/>
      <c r="BI264" s="55">
        <f t="shared" si="54"/>
        <v>18</v>
      </c>
      <c r="BJ264" s="69">
        <f t="shared" si="55"/>
        <v>0</v>
      </c>
      <c r="BK264" s="69">
        <f t="shared" si="52"/>
        <v>0</v>
      </c>
      <c r="BM264" s="75"/>
      <c r="BN264" s="57">
        <f t="shared" si="50"/>
        <v>0</v>
      </c>
      <c r="BO264" s="80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9">
        <f t="shared" si="51"/>
        <v>0</v>
      </c>
      <c r="CB264" s="3"/>
      <c r="CE264" s="95"/>
    </row>
    <row r="265" spans="1:83" s="2" customFormat="1" ht="19.5" thickBot="1" x14ac:dyDescent="0.35">
      <c r="A265" s="17">
        <v>270</v>
      </c>
      <c r="B265" s="135"/>
      <c r="C265" s="18" t="s">
        <v>67</v>
      </c>
      <c r="D265" s="19"/>
      <c r="E265" s="19"/>
      <c r="F265" s="19"/>
      <c r="G265" s="30"/>
      <c r="H265" s="31"/>
      <c r="I265" s="40"/>
      <c r="J265" s="31"/>
      <c r="K265" s="40"/>
      <c r="L265" s="31"/>
      <c r="M265" s="40"/>
      <c r="N265" s="31"/>
      <c r="O265" s="40"/>
      <c r="P265" s="31"/>
      <c r="Q265" s="40"/>
      <c r="R265" s="31"/>
      <c r="S265" s="31"/>
      <c r="T265" s="31"/>
      <c r="U265" s="40"/>
      <c r="V265" s="31"/>
      <c r="W265" s="31"/>
      <c r="X265" s="31"/>
      <c r="Y265" s="31"/>
      <c r="Z265" s="31"/>
      <c r="AA265" s="31">
        <v>18</v>
      </c>
      <c r="AB265" s="31"/>
      <c r="AC265" s="31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55">
        <f t="shared" si="53"/>
        <v>18</v>
      </c>
      <c r="AZ265" s="56">
        <v>0</v>
      </c>
      <c r="BA265" s="57">
        <v>0</v>
      </c>
      <c r="BB265" s="57">
        <f>+'[1]25'!R346</f>
        <v>14</v>
      </c>
      <c r="BC265" s="57">
        <v>4</v>
      </c>
      <c r="BD265" s="57"/>
      <c r="BE265" s="57"/>
      <c r="BF265" s="57"/>
      <c r="BG265" s="57"/>
      <c r="BH265" s="57"/>
      <c r="BI265" s="55">
        <f t="shared" si="54"/>
        <v>18</v>
      </c>
      <c r="BJ265" s="69">
        <f t="shared" si="55"/>
        <v>0</v>
      </c>
      <c r="BK265" s="69">
        <f t="shared" si="52"/>
        <v>0</v>
      </c>
      <c r="BM265" s="75"/>
      <c r="BN265" s="57">
        <f t="shared" si="50"/>
        <v>0</v>
      </c>
      <c r="BO265" s="80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9">
        <f t="shared" si="51"/>
        <v>0</v>
      </c>
      <c r="CB265" s="3"/>
      <c r="CE265" s="95"/>
    </row>
    <row r="266" spans="1:83" s="2" customFormat="1" ht="19.5" thickBot="1" x14ac:dyDescent="0.35">
      <c r="A266" s="17">
        <v>271</v>
      </c>
      <c r="B266" s="135"/>
      <c r="C266" s="18" t="s">
        <v>68</v>
      </c>
      <c r="D266" s="19"/>
      <c r="E266" s="19"/>
      <c r="F266" s="19"/>
      <c r="G266" s="30"/>
      <c r="H266" s="31"/>
      <c r="I266" s="40"/>
      <c r="J266" s="31"/>
      <c r="K266" s="40"/>
      <c r="L266" s="31"/>
      <c r="M266" s="40"/>
      <c r="N266" s="31"/>
      <c r="O266" s="40"/>
      <c r="P266" s="31"/>
      <c r="Q266" s="40"/>
      <c r="R266" s="31"/>
      <c r="S266" s="31"/>
      <c r="T266" s="31"/>
      <c r="U266" s="40"/>
      <c r="V266" s="31"/>
      <c r="W266" s="31"/>
      <c r="X266" s="31"/>
      <c r="Y266" s="31"/>
      <c r="Z266" s="31"/>
      <c r="AA266" s="31">
        <v>6</v>
      </c>
      <c r="AB266" s="31"/>
      <c r="AC266" s="31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55">
        <f t="shared" si="53"/>
        <v>6</v>
      </c>
      <c r="AZ266" s="56">
        <v>0</v>
      </c>
      <c r="BA266" s="57">
        <v>0</v>
      </c>
      <c r="BB266" s="57">
        <f>+'[1]25'!R347</f>
        <v>6</v>
      </c>
      <c r="BC266" s="57">
        <v>0</v>
      </c>
      <c r="BD266" s="57"/>
      <c r="BE266" s="57"/>
      <c r="BF266" s="57"/>
      <c r="BG266" s="57"/>
      <c r="BH266" s="57"/>
      <c r="BI266" s="55">
        <f t="shared" si="54"/>
        <v>6</v>
      </c>
      <c r="BJ266" s="69">
        <f t="shared" si="55"/>
        <v>0</v>
      </c>
      <c r="BK266" s="69">
        <f t="shared" si="52"/>
        <v>0</v>
      </c>
      <c r="BM266" s="75"/>
      <c r="BN266" s="57">
        <f t="shared" si="50"/>
        <v>0</v>
      </c>
      <c r="BO266" s="80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9">
        <f t="shared" si="51"/>
        <v>0</v>
      </c>
      <c r="CB266" s="3"/>
      <c r="CE266" s="95"/>
    </row>
    <row r="267" spans="1:83" s="2" customFormat="1" ht="19.5" thickBot="1" x14ac:dyDescent="0.35">
      <c r="A267" s="17">
        <v>272</v>
      </c>
      <c r="B267" s="135"/>
      <c r="C267" s="20" t="s">
        <v>69</v>
      </c>
      <c r="D267" s="21"/>
      <c r="E267" s="21"/>
      <c r="F267" s="21"/>
      <c r="G267" s="32"/>
      <c r="H267" s="33"/>
      <c r="I267" s="41"/>
      <c r="J267" s="33"/>
      <c r="K267" s="41"/>
      <c r="L267" s="33"/>
      <c r="M267" s="41"/>
      <c r="N267" s="33"/>
      <c r="O267" s="41"/>
      <c r="P267" s="33"/>
      <c r="Q267" s="41"/>
      <c r="R267" s="33"/>
      <c r="S267" s="33"/>
      <c r="T267" s="33"/>
      <c r="U267" s="41"/>
      <c r="V267" s="33"/>
      <c r="W267" s="33"/>
      <c r="X267" s="33"/>
      <c r="Y267" s="33"/>
      <c r="Z267" s="33"/>
      <c r="AA267" s="33">
        <v>3</v>
      </c>
      <c r="AB267" s="33"/>
      <c r="AC267" s="33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55">
        <f t="shared" si="53"/>
        <v>3</v>
      </c>
      <c r="AZ267" s="59">
        <v>0</v>
      </c>
      <c r="BA267" s="60">
        <v>0</v>
      </c>
      <c r="BB267" s="60">
        <f>+'[1]25'!R348</f>
        <v>3</v>
      </c>
      <c r="BC267" s="60">
        <v>0</v>
      </c>
      <c r="BD267" s="60"/>
      <c r="BE267" s="60"/>
      <c r="BF267" s="60"/>
      <c r="BG267" s="60"/>
      <c r="BH267" s="60"/>
      <c r="BI267" s="58">
        <f t="shared" si="54"/>
        <v>3</v>
      </c>
      <c r="BJ267" s="70">
        <f t="shared" si="55"/>
        <v>0</v>
      </c>
      <c r="BK267" s="70">
        <f t="shared" si="52"/>
        <v>0</v>
      </c>
      <c r="BL267" s="76"/>
      <c r="BM267" s="77"/>
      <c r="BN267" s="60">
        <f t="shared" si="50"/>
        <v>0</v>
      </c>
      <c r="BO267" s="82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9">
        <f t="shared" si="51"/>
        <v>0</v>
      </c>
      <c r="CB267" s="3"/>
      <c r="CE267" s="95"/>
    </row>
    <row r="268" spans="1:83" s="2" customFormat="1" ht="19.5" thickBot="1" x14ac:dyDescent="0.35">
      <c r="A268" s="17">
        <v>273</v>
      </c>
      <c r="B268" s="134" t="s">
        <v>127</v>
      </c>
      <c r="C268" s="18" t="s">
        <v>62</v>
      </c>
      <c r="D268" s="19"/>
      <c r="E268" s="19">
        <v>2</v>
      </c>
      <c r="F268" s="19"/>
      <c r="G268" s="30"/>
      <c r="H268" s="31"/>
      <c r="I268" s="40"/>
      <c r="J268" s="31"/>
      <c r="K268" s="40"/>
      <c r="L268" s="31"/>
      <c r="M268" s="40"/>
      <c r="N268" s="31"/>
      <c r="O268" s="40"/>
      <c r="P268" s="31">
        <v>3</v>
      </c>
      <c r="Q268" s="40"/>
      <c r="R268" s="31"/>
      <c r="S268" s="31"/>
      <c r="T268" s="31"/>
      <c r="U268" s="40"/>
      <c r="V268" s="31"/>
      <c r="W268" s="31"/>
      <c r="X268" s="31"/>
      <c r="Y268" s="31"/>
      <c r="Z268" s="31"/>
      <c r="AA268" s="31"/>
      <c r="AB268" s="31"/>
      <c r="AC268" s="31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55">
        <f t="shared" si="53"/>
        <v>5</v>
      </c>
      <c r="AZ268" s="56">
        <v>2</v>
      </c>
      <c r="BA268" s="57">
        <v>3</v>
      </c>
      <c r="BB268" s="57">
        <f>+'[1]25'!R349</f>
        <v>0</v>
      </c>
      <c r="BC268" s="57"/>
      <c r="BD268" s="57"/>
      <c r="BE268" s="57"/>
      <c r="BF268" s="57"/>
      <c r="BG268" s="57"/>
      <c r="BH268" s="57"/>
      <c r="BI268" s="55">
        <f t="shared" si="54"/>
        <v>5</v>
      </c>
      <c r="BJ268" s="69">
        <f t="shared" si="55"/>
        <v>0</v>
      </c>
      <c r="BK268" s="69">
        <f t="shared" si="52"/>
        <v>0</v>
      </c>
      <c r="BM268" s="75"/>
      <c r="BN268" s="57">
        <f t="shared" si="50"/>
        <v>0</v>
      </c>
      <c r="BO268" s="80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9">
        <f t="shared" si="51"/>
        <v>0</v>
      </c>
      <c r="CB268" s="3"/>
      <c r="CE268" s="95"/>
    </row>
    <row r="269" spans="1:83" s="2" customFormat="1" ht="19.5" thickBot="1" x14ac:dyDescent="0.35">
      <c r="A269" s="17">
        <v>274</v>
      </c>
      <c r="B269" s="135"/>
      <c r="C269" s="18" t="s">
        <v>63</v>
      </c>
      <c r="D269" s="19"/>
      <c r="E269" s="19">
        <v>3</v>
      </c>
      <c r="F269" s="19"/>
      <c r="G269" s="30"/>
      <c r="H269" s="31"/>
      <c r="I269" s="40"/>
      <c r="J269" s="31"/>
      <c r="K269" s="40"/>
      <c r="L269" s="31"/>
      <c r="M269" s="40"/>
      <c r="N269" s="31"/>
      <c r="O269" s="40"/>
      <c r="P269" s="31">
        <v>3</v>
      </c>
      <c r="Q269" s="40"/>
      <c r="R269" s="31"/>
      <c r="S269" s="31"/>
      <c r="T269" s="31"/>
      <c r="U269" s="40"/>
      <c r="V269" s="31"/>
      <c r="W269" s="31"/>
      <c r="X269" s="31"/>
      <c r="Y269" s="31"/>
      <c r="Z269" s="31"/>
      <c r="AA269" s="31"/>
      <c r="AB269" s="31"/>
      <c r="AC269" s="31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55">
        <f t="shared" si="53"/>
        <v>6</v>
      </c>
      <c r="AZ269" s="56">
        <v>3</v>
      </c>
      <c r="BA269" s="57">
        <v>2</v>
      </c>
      <c r="BB269" s="57">
        <f>+'[1]25'!R350</f>
        <v>1</v>
      </c>
      <c r="BC269" s="57"/>
      <c r="BD269" s="57"/>
      <c r="BE269" s="57"/>
      <c r="BF269" s="57"/>
      <c r="BG269" s="57"/>
      <c r="BH269" s="57"/>
      <c r="BI269" s="55">
        <f t="shared" si="54"/>
        <v>6</v>
      </c>
      <c r="BJ269" s="69">
        <f t="shared" si="55"/>
        <v>0</v>
      </c>
      <c r="BK269" s="69">
        <f t="shared" si="52"/>
        <v>0</v>
      </c>
      <c r="BM269" s="75"/>
      <c r="BN269" s="57">
        <f t="shared" si="50"/>
        <v>0</v>
      </c>
      <c r="BO269" s="80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9">
        <f t="shared" si="51"/>
        <v>0</v>
      </c>
      <c r="CB269" s="3"/>
      <c r="CE269" s="95"/>
    </row>
    <row r="270" spans="1:83" s="2" customFormat="1" ht="19.5" thickBot="1" x14ac:dyDescent="0.35">
      <c r="A270" s="17">
        <v>275</v>
      </c>
      <c r="B270" s="135"/>
      <c r="C270" s="18" t="s">
        <v>64</v>
      </c>
      <c r="D270" s="19"/>
      <c r="E270" s="19">
        <v>5</v>
      </c>
      <c r="F270" s="19"/>
      <c r="G270" s="30"/>
      <c r="H270" s="31"/>
      <c r="I270" s="40"/>
      <c r="J270" s="31"/>
      <c r="K270" s="40"/>
      <c r="L270" s="31"/>
      <c r="M270" s="40"/>
      <c r="N270" s="31"/>
      <c r="O270" s="40"/>
      <c r="P270" s="31">
        <v>3</v>
      </c>
      <c r="Q270" s="40"/>
      <c r="R270" s="31"/>
      <c r="S270" s="31"/>
      <c r="T270" s="31"/>
      <c r="U270" s="40"/>
      <c r="V270" s="31"/>
      <c r="W270" s="31"/>
      <c r="X270" s="31"/>
      <c r="Y270" s="31"/>
      <c r="Z270" s="31"/>
      <c r="AA270" s="31"/>
      <c r="AB270" s="31"/>
      <c r="AC270" s="31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55">
        <f t="shared" si="53"/>
        <v>8</v>
      </c>
      <c r="AZ270" s="56">
        <v>6</v>
      </c>
      <c r="BA270" s="57">
        <v>2</v>
      </c>
      <c r="BB270" s="57">
        <f>+'[1]25'!R351</f>
        <v>0</v>
      </c>
      <c r="BC270" s="57"/>
      <c r="BD270" s="57"/>
      <c r="BE270" s="57"/>
      <c r="BF270" s="57"/>
      <c r="BG270" s="57"/>
      <c r="BH270" s="57"/>
      <c r="BI270" s="55">
        <f t="shared" si="54"/>
        <v>8</v>
      </c>
      <c r="BJ270" s="69">
        <f t="shared" si="55"/>
        <v>0</v>
      </c>
      <c r="BK270" s="69">
        <f t="shared" si="52"/>
        <v>0</v>
      </c>
      <c r="BM270" s="75"/>
      <c r="BN270" s="57">
        <f t="shared" si="50"/>
        <v>0</v>
      </c>
      <c r="BO270" s="80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9">
        <f t="shared" si="51"/>
        <v>0</v>
      </c>
      <c r="CB270" s="3"/>
      <c r="CE270" s="95"/>
    </row>
    <row r="271" spans="1:83" s="2" customFormat="1" ht="19.5" thickBot="1" x14ac:dyDescent="0.35">
      <c r="A271" s="17">
        <v>276</v>
      </c>
      <c r="B271" s="135"/>
      <c r="C271" s="18" t="s">
        <v>65</v>
      </c>
      <c r="D271" s="19"/>
      <c r="E271" s="19">
        <v>7</v>
      </c>
      <c r="F271" s="19"/>
      <c r="G271" s="30"/>
      <c r="H271" s="31"/>
      <c r="I271" s="40"/>
      <c r="J271" s="31"/>
      <c r="K271" s="40"/>
      <c r="L271" s="31"/>
      <c r="M271" s="40"/>
      <c r="N271" s="31"/>
      <c r="O271" s="40"/>
      <c r="P271" s="31">
        <v>5</v>
      </c>
      <c r="Q271" s="40"/>
      <c r="R271" s="31"/>
      <c r="S271" s="31"/>
      <c r="T271" s="31"/>
      <c r="U271" s="40"/>
      <c r="V271" s="31"/>
      <c r="W271" s="31"/>
      <c r="X271" s="31"/>
      <c r="Y271" s="31"/>
      <c r="Z271" s="31"/>
      <c r="AA271" s="31"/>
      <c r="AB271" s="31"/>
      <c r="AC271" s="31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55">
        <f t="shared" si="53"/>
        <v>12</v>
      </c>
      <c r="AZ271" s="56">
        <v>6</v>
      </c>
      <c r="BA271" s="57">
        <v>3</v>
      </c>
      <c r="BB271" s="57">
        <f>+'[1]25'!R352</f>
        <v>3</v>
      </c>
      <c r="BC271" s="57"/>
      <c r="BD271" s="57"/>
      <c r="BE271" s="57"/>
      <c r="BF271" s="57"/>
      <c r="BG271" s="57"/>
      <c r="BH271" s="57"/>
      <c r="BI271" s="55">
        <f t="shared" si="54"/>
        <v>12</v>
      </c>
      <c r="BJ271" s="69">
        <f t="shared" si="55"/>
        <v>0</v>
      </c>
      <c r="BK271" s="69">
        <f t="shared" si="52"/>
        <v>0</v>
      </c>
      <c r="BM271" s="75"/>
      <c r="BN271" s="57">
        <f t="shared" si="50"/>
        <v>0</v>
      </c>
      <c r="BO271" s="80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9">
        <f t="shared" si="51"/>
        <v>0</v>
      </c>
      <c r="CB271" s="3"/>
      <c r="CE271" s="95"/>
    </row>
    <row r="272" spans="1:83" s="2" customFormat="1" ht="19.5" thickBot="1" x14ac:dyDescent="0.35">
      <c r="A272" s="17">
        <v>277</v>
      </c>
      <c r="B272" s="135"/>
      <c r="C272" s="18" t="s">
        <v>66</v>
      </c>
      <c r="D272" s="19"/>
      <c r="E272" s="19">
        <v>7</v>
      </c>
      <c r="F272" s="19"/>
      <c r="G272" s="30"/>
      <c r="H272" s="31"/>
      <c r="I272" s="40"/>
      <c r="J272" s="31"/>
      <c r="K272" s="40"/>
      <c r="L272" s="31"/>
      <c r="M272" s="40"/>
      <c r="N272" s="31"/>
      <c r="O272" s="40"/>
      <c r="P272" s="31"/>
      <c r="Q272" s="40"/>
      <c r="R272" s="31"/>
      <c r="S272" s="31"/>
      <c r="T272" s="31"/>
      <c r="U272" s="40"/>
      <c r="V272" s="31"/>
      <c r="W272" s="31"/>
      <c r="X272" s="31"/>
      <c r="Y272" s="31"/>
      <c r="Z272" s="31"/>
      <c r="AA272" s="31"/>
      <c r="AB272" s="31"/>
      <c r="AC272" s="31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55">
        <f t="shared" si="53"/>
        <v>7</v>
      </c>
      <c r="AZ272" s="56">
        <v>0</v>
      </c>
      <c r="BA272" s="57">
        <v>4</v>
      </c>
      <c r="BB272" s="57">
        <f>+'[1]25'!R353</f>
        <v>3</v>
      </c>
      <c r="BC272" s="57"/>
      <c r="BD272" s="57"/>
      <c r="BE272" s="57"/>
      <c r="BF272" s="57"/>
      <c r="BG272" s="57"/>
      <c r="BH272" s="57"/>
      <c r="BI272" s="55">
        <f t="shared" si="54"/>
        <v>7</v>
      </c>
      <c r="BJ272" s="69">
        <f t="shared" si="55"/>
        <v>0</v>
      </c>
      <c r="BK272" s="69">
        <f t="shared" si="52"/>
        <v>0</v>
      </c>
      <c r="BM272" s="75"/>
      <c r="BN272" s="57">
        <f t="shared" si="50"/>
        <v>0</v>
      </c>
      <c r="BO272" s="80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9">
        <f t="shared" si="51"/>
        <v>0</v>
      </c>
      <c r="CB272" s="3"/>
      <c r="CE272" s="95"/>
    </row>
    <row r="273" spans="1:83" s="2" customFormat="1" ht="19.5" thickBot="1" x14ac:dyDescent="0.35">
      <c r="A273" s="17">
        <v>278</v>
      </c>
      <c r="B273" s="135"/>
      <c r="C273" s="18" t="s">
        <v>67</v>
      </c>
      <c r="D273" s="19"/>
      <c r="E273" s="19">
        <v>3</v>
      </c>
      <c r="F273" s="19"/>
      <c r="G273" s="30"/>
      <c r="H273" s="31"/>
      <c r="I273" s="40"/>
      <c r="J273" s="31"/>
      <c r="K273" s="40"/>
      <c r="L273" s="31"/>
      <c r="M273" s="40"/>
      <c r="N273" s="31"/>
      <c r="O273" s="40"/>
      <c r="P273" s="31">
        <v>2</v>
      </c>
      <c r="Q273" s="40"/>
      <c r="R273" s="31"/>
      <c r="S273" s="31"/>
      <c r="T273" s="31"/>
      <c r="U273" s="40"/>
      <c r="V273" s="31"/>
      <c r="W273" s="31"/>
      <c r="X273" s="31"/>
      <c r="Y273" s="31"/>
      <c r="Z273" s="31"/>
      <c r="AA273" s="31"/>
      <c r="AB273" s="31"/>
      <c r="AC273" s="31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55">
        <f t="shared" si="53"/>
        <v>5</v>
      </c>
      <c r="AZ273" s="56">
        <v>2</v>
      </c>
      <c r="BA273" s="57">
        <v>3</v>
      </c>
      <c r="BB273" s="57">
        <f>+'[1]25'!R354</f>
        <v>0</v>
      </c>
      <c r="BC273" s="57"/>
      <c r="BD273" s="57"/>
      <c r="BE273" s="57"/>
      <c r="BF273" s="57"/>
      <c r="BG273" s="57"/>
      <c r="BH273" s="57"/>
      <c r="BI273" s="55">
        <f t="shared" si="54"/>
        <v>5</v>
      </c>
      <c r="BJ273" s="69">
        <f t="shared" si="55"/>
        <v>0</v>
      </c>
      <c r="BK273" s="69">
        <f t="shared" si="52"/>
        <v>0</v>
      </c>
      <c r="BM273" s="75"/>
      <c r="BN273" s="57">
        <f t="shared" si="50"/>
        <v>0</v>
      </c>
      <c r="BO273" s="80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9">
        <f t="shared" si="51"/>
        <v>0</v>
      </c>
      <c r="CB273" s="3"/>
      <c r="CE273" s="95"/>
    </row>
    <row r="274" spans="1:83" s="2" customFormat="1" ht="19.5" thickBot="1" x14ac:dyDescent="0.35">
      <c r="A274" s="17">
        <v>279</v>
      </c>
      <c r="B274" s="135"/>
      <c r="C274" s="18" t="s">
        <v>68</v>
      </c>
      <c r="D274" s="19"/>
      <c r="E274" s="19">
        <v>2</v>
      </c>
      <c r="F274" s="19"/>
      <c r="G274" s="30"/>
      <c r="H274" s="31"/>
      <c r="I274" s="40"/>
      <c r="J274" s="31"/>
      <c r="K274" s="40"/>
      <c r="L274" s="31"/>
      <c r="M274" s="40"/>
      <c r="N274" s="31"/>
      <c r="O274" s="40"/>
      <c r="P274" s="31">
        <v>3</v>
      </c>
      <c r="Q274" s="40">
        <v>-1</v>
      </c>
      <c r="R274" s="31"/>
      <c r="S274" s="31"/>
      <c r="T274" s="31"/>
      <c r="U274" s="40"/>
      <c r="V274" s="31"/>
      <c r="W274" s="31"/>
      <c r="X274" s="31"/>
      <c r="Y274" s="31"/>
      <c r="Z274" s="31"/>
      <c r="AA274" s="31"/>
      <c r="AB274" s="31"/>
      <c r="AC274" s="31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55">
        <f t="shared" si="53"/>
        <v>4</v>
      </c>
      <c r="AZ274" s="56">
        <v>1</v>
      </c>
      <c r="BA274" s="57">
        <v>0</v>
      </c>
      <c r="BB274" s="57">
        <f>+'[1]25'!R355</f>
        <v>3</v>
      </c>
      <c r="BC274" s="57"/>
      <c r="BD274" s="57"/>
      <c r="BE274" s="57"/>
      <c r="BF274" s="57"/>
      <c r="BG274" s="57"/>
      <c r="BH274" s="57"/>
      <c r="BI274" s="55">
        <f t="shared" si="54"/>
        <v>4</v>
      </c>
      <c r="BJ274" s="69">
        <f t="shared" si="55"/>
        <v>0</v>
      </c>
      <c r="BK274" s="69">
        <f t="shared" si="52"/>
        <v>0</v>
      </c>
      <c r="BM274" s="75"/>
      <c r="BN274" s="57">
        <f t="shared" si="50"/>
        <v>0</v>
      </c>
      <c r="BO274" s="80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9">
        <f t="shared" si="51"/>
        <v>0</v>
      </c>
      <c r="CB274" s="3"/>
      <c r="CE274" s="95"/>
    </row>
    <row r="275" spans="1:83" s="2" customFormat="1" ht="19.5" thickBot="1" x14ac:dyDescent="0.35">
      <c r="A275" s="17">
        <v>280</v>
      </c>
      <c r="B275" s="135"/>
      <c r="C275" s="20" t="s">
        <v>69</v>
      </c>
      <c r="D275" s="21"/>
      <c r="E275" s="21"/>
      <c r="F275" s="21"/>
      <c r="G275" s="32"/>
      <c r="H275" s="33"/>
      <c r="I275" s="41"/>
      <c r="J275" s="33"/>
      <c r="K275" s="41"/>
      <c r="L275" s="33"/>
      <c r="M275" s="41"/>
      <c r="N275" s="33"/>
      <c r="O275" s="41"/>
      <c r="P275" s="33">
        <v>2</v>
      </c>
      <c r="Q275" s="41"/>
      <c r="R275" s="33"/>
      <c r="S275" s="33"/>
      <c r="T275" s="33"/>
      <c r="U275" s="41"/>
      <c r="V275" s="33"/>
      <c r="W275" s="33"/>
      <c r="X275" s="33"/>
      <c r="Y275" s="33"/>
      <c r="Z275" s="33"/>
      <c r="AA275" s="33"/>
      <c r="AB275" s="33"/>
      <c r="AC275" s="33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55">
        <f t="shared" si="53"/>
        <v>2</v>
      </c>
      <c r="AZ275" s="59">
        <v>0</v>
      </c>
      <c r="BA275" s="60">
        <v>0</v>
      </c>
      <c r="BB275" s="60">
        <f>+'[1]25'!R356</f>
        <v>0</v>
      </c>
      <c r="BC275" s="60">
        <v>2</v>
      </c>
      <c r="BD275" s="60"/>
      <c r="BE275" s="60"/>
      <c r="BF275" s="60"/>
      <c r="BG275" s="60"/>
      <c r="BH275" s="60"/>
      <c r="BI275" s="58">
        <f t="shared" si="54"/>
        <v>2</v>
      </c>
      <c r="BJ275" s="70">
        <f t="shared" si="55"/>
        <v>0</v>
      </c>
      <c r="BK275" s="70">
        <f t="shared" si="52"/>
        <v>0</v>
      </c>
      <c r="BL275" s="76"/>
      <c r="BM275" s="77"/>
      <c r="BN275" s="60">
        <f t="shared" si="50"/>
        <v>0</v>
      </c>
      <c r="BO275" s="82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9">
        <f t="shared" si="51"/>
        <v>0</v>
      </c>
      <c r="CB275" s="3"/>
      <c r="CE275" s="95"/>
    </row>
    <row r="276" spans="1:83" s="2" customFormat="1" ht="19.5" thickBot="1" x14ac:dyDescent="0.35">
      <c r="A276" s="17">
        <v>281</v>
      </c>
      <c r="B276" s="134" t="s">
        <v>128</v>
      </c>
      <c r="C276" s="18" t="s">
        <v>62</v>
      </c>
      <c r="D276" s="19"/>
      <c r="E276" s="19"/>
      <c r="F276" s="19"/>
      <c r="G276" s="30"/>
      <c r="H276" s="31"/>
      <c r="I276" s="40"/>
      <c r="J276" s="31"/>
      <c r="K276" s="40"/>
      <c r="L276" s="31"/>
      <c r="M276" s="40"/>
      <c r="N276" s="31"/>
      <c r="O276" s="40"/>
      <c r="P276" s="31"/>
      <c r="Q276" s="40"/>
      <c r="R276" s="31"/>
      <c r="S276" s="31"/>
      <c r="T276" s="31"/>
      <c r="U276" s="40"/>
      <c r="V276" s="31"/>
      <c r="W276" s="31"/>
      <c r="X276" s="31"/>
      <c r="Y276" s="31"/>
      <c r="Z276" s="31"/>
      <c r="AA276" s="31">
        <v>6</v>
      </c>
      <c r="AB276" s="31"/>
      <c r="AC276" s="31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55">
        <f t="shared" si="53"/>
        <v>6</v>
      </c>
      <c r="AZ276" s="56">
        <v>0</v>
      </c>
      <c r="BA276" s="57">
        <v>0</v>
      </c>
      <c r="BB276" s="57">
        <f>+'[1]25'!R357</f>
        <v>5</v>
      </c>
      <c r="BC276" s="57">
        <v>1</v>
      </c>
      <c r="BD276" s="57"/>
      <c r="BE276" s="57"/>
      <c r="BF276" s="57"/>
      <c r="BG276" s="57"/>
      <c r="BH276" s="57"/>
      <c r="BI276" s="55">
        <f t="shared" si="54"/>
        <v>6</v>
      </c>
      <c r="BJ276" s="69">
        <f t="shared" si="55"/>
        <v>0</v>
      </c>
      <c r="BK276" s="69">
        <f t="shared" si="52"/>
        <v>0</v>
      </c>
      <c r="BM276" s="75"/>
      <c r="BN276" s="57">
        <f t="shared" si="50"/>
        <v>0</v>
      </c>
      <c r="BO276" s="80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9">
        <f t="shared" si="51"/>
        <v>0</v>
      </c>
      <c r="CB276" s="3"/>
      <c r="CE276" s="95"/>
    </row>
    <row r="277" spans="1:83" s="2" customFormat="1" ht="19.5" thickBot="1" x14ac:dyDescent="0.35">
      <c r="A277" s="17">
        <v>282</v>
      </c>
      <c r="B277" s="135"/>
      <c r="C277" s="18" t="s">
        <v>63</v>
      </c>
      <c r="D277" s="19"/>
      <c r="E277" s="19"/>
      <c r="F277" s="19"/>
      <c r="G277" s="30"/>
      <c r="H277" s="31"/>
      <c r="I277" s="40"/>
      <c r="J277" s="31"/>
      <c r="K277" s="40"/>
      <c r="L277" s="31"/>
      <c r="M277" s="40"/>
      <c r="N277" s="31"/>
      <c r="O277" s="40"/>
      <c r="P277" s="31"/>
      <c r="Q277" s="40"/>
      <c r="R277" s="31"/>
      <c r="S277" s="31"/>
      <c r="T277" s="31"/>
      <c r="U277" s="40"/>
      <c r="V277" s="31"/>
      <c r="W277" s="31"/>
      <c r="X277" s="31"/>
      <c r="Y277" s="31"/>
      <c r="Z277" s="31"/>
      <c r="AA277" s="31">
        <v>12</v>
      </c>
      <c r="AB277" s="31"/>
      <c r="AC277" s="31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55">
        <f t="shared" si="53"/>
        <v>12</v>
      </c>
      <c r="AZ277" s="56">
        <v>0</v>
      </c>
      <c r="BA277" s="57">
        <v>0</v>
      </c>
      <c r="BB277" s="57">
        <f>+'[1]25'!R358</f>
        <v>11</v>
      </c>
      <c r="BC277" s="57">
        <v>1</v>
      </c>
      <c r="BD277" s="57"/>
      <c r="BE277" s="57"/>
      <c r="BF277" s="57"/>
      <c r="BG277" s="57"/>
      <c r="BH277" s="57"/>
      <c r="BI277" s="55">
        <f t="shared" si="54"/>
        <v>12</v>
      </c>
      <c r="BJ277" s="69">
        <f t="shared" si="55"/>
        <v>0</v>
      </c>
      <c r="BK277" s="69">
        <f t="shared" si="52"/>
        <v>0</v>
      </c>
      <c r="BM277" s="75"/>
      <c r="BN277" s="57">
        <f t="shared" si="50"/>
        <v>0</v>
      </c>
      <c r="BO277" s="80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9">
        <f t="shared" si="51"/>
        <v>0</v>
      </c>
      <c r="CB277" s="3"/>
      <c r="CE277" s="95"/>
    </row>
    <row r="278" spans="1:83" s="2" customFormat="1" ht="19.5" thickBot="1" x14ac:dyDescent="0.35">
      <c r="A278" s="17">
        <v>283</v>
      </c>
      <c r="B278" s="135"/>
      <c r="C278" s="18" t="s">
        <v>64</v>
      </c>
      <c r="D278" s="19"/>
      <c r="E278" s="19"/>
      <c r="F278" s="19"/>
      <c r="G278" s="30"/>
      <c r="H278" s="31"/>
      <c r="I278" s="40"/>
      <c r="J278" s="31"/>
      <c r="K278" s="40"/>
      <c r="L278" s="31"/>
      <c r="M278" s="40"/>
      <c r="N278" s="31"/>
      <c r="O278" s="40"/>
      <c r="P278" s="31"/>
      <c r="Q278" s="40"/>
      <c r="R278" s="31"/>
      <c r="S278" s="31"/>
      <c r="T278" s="31"/>
      <c r="U278" s="40"/>
      <c r="V278" s="31"/>
      <c r="W278" s="31"/>
      <c r="X278" s="31"/>
      <c r="Y278" s="31"/>
      <c r="Z278" s="31"/>
      <c r="AA278" s="31">
        <v>21</v>
      </c>
      <c r="AB278" s="31"/>
      <c r="AC278" s="31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55">
        <f t="shared" si="53"/>
        <v>21</v>
      </c>
      <c r="AZ278" s="56">
        <v>0</v>
      </c>
      <c r="BA278" s="57">
        <v>0</v>
      </c>
      <c r="BB278" s="57">
        <f>+'[1]25'!R359</f>
        <v>17</v>
      </c>
      <c r="BC278" s="57">
        <v>3</v>
      </c>
      <c r="BD278" s="57"/>
      <c r="BE278" s="57"/>
      <c r="BF278" s="57"/>
      <c r="BG278" s="57"/>
      <c r="BH278" s="57"/>
      <c r="BI278" s="55">
        <f t="shared" si="54"/>
        <v>20</v>
      </c>
      <c r="BJ278" s="69">
        <f t="shared" si="55"/>
        <v>1</v>
      </c>
      <c r="BK278" s="69">
        <f t="shared" si="52"/>
        <v>0</v>
      </c>
      <c r="BM278" s="75"/>
      <c r="BN278" s="57">
        <f t="shared" si="50"/>
        <v>1</v>
      </c>
      <c r="BO278" s="80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9">
        <f t="shared" si="51"/>
        <v>0</v>
      </c>
      <c r="CB278" s="3"/>
      <c r="CE278" s="95"/>
    </row>
    <row r="279" spans="1:83" s="2" customFormat="1" ht="19.5" thickBot="1" x14ac:dyDescent="0.35">
      <c r="A279" s="17">
        <v>284</v>
      </c>
      <c r="B279" s="135"/>
      <c r="C279" s="18" t="s">
        <v>65</v>
      </c>
      <c r="D279" s="19"/>
      <c r="E279" s="19"/>
      <c r="F279" s="19"/>
      <c r="G279" s="30"/>
      <c r="H279" s="31"/>
      <c r="I279" s="40"/>
      <c r="J279" s="31"/>
      <c r="K279" s="40"/>
      <c r="L279" s="31"/>
      <c r="M279" s="40"/>
      <c r="N279" s="31"/>
      <c r="O279" s="40"/>
      <c r="P279" s="31"/>
      <c r="Q279" s="40"/>
      <c r="R279" s="31"/>
      <c r="S279" s="31"/>
      <c r="T279" s="31"/>
      <c r="U279" s="40"/>
      <c r="V279" s="31"/>
      <c r="W279" s="31"/>
      <c r="X279" s="31"/>
      <c r="Y279" s="31"/>
      <c r="Z279" s="31"/>
      <c r="AA279" s="31">
        <v>27</v>
      </c>
      <c r="AB279" s="31"/>
      <c r="AC279" s="31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55">
        <f t="shared" si="53"/>
        <v>27</v>
      </c>
      <c r="AZ279" s="56">
        <v>0</v>
      </c>
      <c r="BA279" s="57">
        <v>0</v>
      </c>
      <c r="BB279" s="57">
        <f>+'[1]25'!R360</f>
        <v>12</v>
      </c>
      <c r="BC279" s="57">
        <v>7</v>
      </c>
      <c r="BD279" s="57"/>
      <c r="BE279" s="57"/>
      <c r="BF279" s="57"/>
      <c r="BG279" s="57"/>
      <c r="BH279" s="57"/>
      <c r="BI279" s="55">
        <f t="shared" si="54"/>
        <v>19</v>
      </c>
      <c r="BJ279" s="69">
        <f t="shared" si="55"/>
        <v>8</v>
      </c>
      <c r="BK279" s="69">
        <f t="shared" si="52"/>
        <v>0</v>
      </c>
      <c r="BM279" s="75"/>
      <c r="BN279" s="57">
        <f t="shared" si="50"/>
        <v>6</v>
      </c>
      <c r="BO279" s="80"/>
      <c r="BP279" s="81"/>
      <c r="BQ279" s="81"/>
      <c r="BR279" s="81"/>
      <c r="BS279" s="81">
        <v>2</v>
      </c>
      <c r="BT279" s="81"/>
      <c r="BU279" s="81"/>
      <c r="BV279" s="81"/>
      <c r="BW279" s="81"/>
      <c r="BX279" s="81"/>
      <c r="BY279" s="81"/>
      <c r="BZ279" s="9">
        <f t="shared" si="51"/>
        <v>2</v>
      </c>
      <c r="CB279" s="3"/>
      <c r="CE279" s="95"/>
    </row>
    <row r="280" spans="1:83" s="2" customFormat="1" ht="19.5" thickBot="1" x14ac:dyDescent="0.35">
      <c r="A280" s="17">
        <v>285</v>
      </c>
      <c r="B280" s="135"/>
      <c r="C280" s="18" t="s">
        <v>66</v>
      </c>
      <c r="D280" s="19"/>
      <c r="E280" s="19"/>
      <c r="F280" s="19"/>
      <c r="G280" s="30"/>
      <c r="H280" s="31"/>
      <c r="I280" s="40"/>
      <c r="J280" s="31"/>
      <c r="K280" s="40"/>
      <c r="L280" s="31"/>
      <c r="M280" s="40"/>
      <c r="N280" s="31"/>
      <c r="O280" s="40"/>
      <c r="P280" s="31"/>
      <c r="Q280" s="40"/>
      <c r="R280" s="31"/>
      <c r="S280" s="31"/>
      <c r="T280" s="31"/>
      <c r="U280" s="40"/>
      <c r="V280" s="31"/>
      <c r="W280" s="31"/>
      <c r="X280" s="31"/>
      <c r="Y280" s="31"/>
      <c r="Z280" s="31"/>
      <c r="AA280" s="31">
        <v>18</v>
      </c>
      <c r="AB280" s="31"/>
      <c r="AC280" s="31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55">
        <f t="shared" si="53"/>
        <v>18</v>
      </c>
      <c r="AZ280" s="56">
        <v>0</v>
      </c>
      <c r="BA280" s="57">
        <v>0</v>
      </c>
      <c r="BB280" s="57">
        <v>12</v>
      </c>
      <c r="BC280" s="57">
        <v>4</v>
      </c>
      <c r="BD280" s="57"/>
      <c r="BE280" s="57"/>
      <c r="BF280" s="57"/>
      <c r="BG280" s="57"/>
      <c r="BH280" s="57"/>
      <c r="BI280" s="55">
        <f t="shared" si="54"/>
        <v>16</v>
      </c>
      <c r="BJ280" s="69">
        <f t="shared" si="55"/>
        <v>2</v>
      </c>
      <c r="BK280" s="69">
        <f t="shared" si="52"/>
        <v>0</v>
      </c>
      <c r="BM280" s="75"/>
      <c r="BN280" s="57">
        <f t="shared" si="50"/>
        <v>2</v>
      </c>
      <c r="BO280" s="80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9">
        <f t="shared" si="51"/>
        <v>0</v>
      </c>
      <c r="CB280" s="3"/>
      <c r="CE280" s="95"/>
    </row>
    <row r="281" spans="1:83" s="2" customFormat="1" ht="19.5" thickBot="1" x14ac:dyDescent="0.35">
      <c r="A281" s="17">
        <v>286</v>
      </c>
      <c r="B281" s="135"/>
      <c r="C281" s="18" t="s">
        <v>67</v>
      </c>
      <c r="D281" s="19"/>
      <c r="E281" s="19"/>
      <c r="F281" s="19"/>
      <c r="G281" s="30"/>
      <c r="H281" s="31"/>
      <c r="I281" s="40"/>
      <c r="J281" s="31"/>
      <c r="K281" s="40"/>
      <c r="L281" s="31"/>
      <c r="M281" s="40"/>
      <c r="N281" s="31"/>
      <c r="O281" s="40"/>
      <c r="P281" s="31"/>
      <c r="Q281" s="40"/>
      <c r="R281" s="31"/>
      <c r="S281" s="31"/>
      <c r="T281" s="31"/>
      <c r="U281" s="40"/>
      <c r="V281" s="31"/>
      <c r="W281" s="31"/>
      <c r="X281" s="31"/>
      <c r="Y281" s="31"/>
      <c r="Z281" s="31"/>
      <c r="AA281" s="31">
        <v>18</v>
      </c>
      <c r="AB281" s="31"/>
      <c r="AC281" s="3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55">
        <f t="shared" si="53"/>
        <v>18</v>
      </c>
      <c r="AZ281" s="56">
        <v>0</v>
      </c>
      <c r="BA281" s="57">
        <v>0</v>
      </c>
      <c r="BB281" s="57">
        <f>+'[1]25'!R362</f>
        <v>1</v>
      </c>
      <c r="BC281" s="57">
        <v>5</v>
      </c>
      <c r="BD281" s="57"/>
      <c r="BE281" s="57"/>
      <c r="BF281" s="57"/>
      <c r="BG281" s="57"/>
      <c r="BH281" s="57"/>
      <c r="BI281" s="55">
        <f t="shared" si="54"/>
        <v>6</v>
      </c>
      <c r="BJ281" s="69">
        <f t="shared" si="55"/>
        <v>12</v>
      </c>
      <c r="BK281" s="69">
        <f t="shared" si="52"/>
        <v>0</v>
      </c>
      <c r="BM281" s="75"/>
      <c r="BN281" s="57">
        <f t="shared" si="50"/>
        <v>12</v>
      </c>
      <c r="BO281" s="80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9">
        <f t="shared" si="51"/>
        <v>0</v>
      </c>
      <c r="CB281" s="3"/>
      <c r="CE281" s="95"/>
    </row>
    <row r="282" spans="1:83" s="2" customFormat="1" ht="19.5" thickBot="1" x14ac:dyDescent="0.35">
      <c r="A282" s="17">
        <v>287</v>
      </c>
      <c r="B282" s="135"/>
      <c r="C282" s="18" t="s">
        <v>68</v>
      </c>
      <c r="D282" s="19"/>
      <c r="E282" s="19"/>
      <c r="F282" s="19"/>
      <c r="G282" s="30"/>
      <c r="H282" s="31"/>
      <c r="I282" s="40"/>
      <c r="J282" s="31"/>
      <c r="K282" s="40"/>
      <c r="L282" s="31"/>
      <c r="M282" s="40"/>
      <c r="N282" s="31"/>
      <c r="O282" s="40"/>
      <c r="P282" s="31"/>
      <c r="Q282" s="40"/>
      <c r="R282" s="31"/>
      <c r="S282" s="31"/>
      <c r="T282" s="31"/>
      <c r="U282" s="40"/>
      <c r="V282" s="31"/>
      <c r="W282" s="31"/>
      <c r="X282" s="31"/>
      <c r="Y282" s="31"/>
      <c r="Z282" s="31"/>
      <c r="AA282" s="31">
        <v>9</v>
      </c>
      <c r="AB282" s="31"/>
      <c r="AC282" s="31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55">
        <f t="shared" si="53"/>
        <v>9</v>
      </c>
      <c r="AZ282" s="56">
        <v>0</v>
      </c>
      <c r="BA282" s="57">
        <v>0</v>
      </c>
      <c r="BB282" s="57">
        <f>+'[1]25'!R363</f>
        <v>3</v>
      </c>
      <c r="BC282" s="57">
        <v>1</v>
      </c>
      <c r="BD282" s="57"/>
      <c r="BE282" s="57"/>
      <c r="BF282" s="57"/>
      <c r="BG282" s="57"/>
      <c r="BH282" s="57"/>
      <c r="BI282" s="55">
        <f t="shared" si="54"/>
        <v>4</v>
      </c>
      <c r="BJ282" s="69">
        <f t="shared" si="55"/>
        <v>5</v>
      </c>
      <c r="BK282" s="69">
        <f t="shared" si="52"/>
        <v>0</v>
      </c>
      <c r="BM282" s="75"/>
      <c r="BN282" s="57">
        <f t="shared" si="50"/>
        <v>5</v>
      </c>
      <c r="BO282" s="80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9">
        <f t="shared" si="51"/>
        <v>0</v>
      </c>
      <c r="CB282" s="3"/>
      <c r="CE282" s="95"/>
    </row>
    <row r="283" spans="1:83" s="2" customFormat="1" ht="19.5" thickBot="1" x14ac:dyDescent="0.35">
      <c r="A283" s="17">
        <v>288</v>
      </c>
      <c r="B283" s="135"/>
      <c r="C283" s="18" t="s">
        <v>69</v>
      </c>
      <c r="D283" s="19"/>
      <c r="E283" s="19"/>
      <c r="F283" s="19"/>
      <c r="G283" s="30"/>
      <c r="H283" s="31"/>
      <c r="I283" s="40"/>
      <c r="J283" s="31"/>
      <c r="K283" s="40"/>
      <c r="L283" s="31"/>
      <c r="M283" s="40"/>
      <c r="N283" s="31"/>
      <c r="O283" s="40"/>
      <c r="P283" s="31"/>
      <c r="Q283" s="40"/>
      <c r="R283" s="31"/>
      <c r="S283" s="31"/>
      <c r="T283" s="31"/>
      <c r="U283" s="40"/>
      <c r="V283" s="31"/>
      <c r="W283" s="31"/>
      <c r="X283" s="31"/>
      <c r="Y283" s="31"/>
      <c r="Z283" s="31"/>
      <c r="AA283" s="31">
        <v>6</v>
      </c>
      <c r="AB283" s="31"/>
      <c r="AC283" s="31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55">
        <f t="shared" si="53"/>
        <v>6</v>
      </c>
      <c r="AZ283" s="56">
        <v>0</v>
      </c>
      <c r="BA283" s="57">
        <v>0</v>
      </c>
      <c r="BB283" s="57">
        <f>+'[1]25'!R364</f>
        <v>1</v>
      </c>
      <c r="BC283" s="57">
        <v>0</v>
      </c>
      <c r="BD283" s="57"/>
      <c r="BE283" s="57"/>
      <c r="BF283" s="57"/>
      <c r="BG283" s="57"/>
      <c r="BH283" s="57"/>
      <c r="BI283" s="55">
        <f t="shared" si="54"/>
        <v>1</v>
      </c>
      <c r="BJ283" s="69">
        <f t="shared" si="55"/>
        <v>5</v>
      </c>
      <c r="BK283" s="69">
        <f t="shared" si="52"/>
        <v>0</v>
      </c>
      <c r="BM283" s="75"/>
      <c r="BN283" s="57">
        <f t="shared" si="50"/>
        <v>5</v>
      </c>
      <c r="BO283" s="80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9">
        <f t="shared" si="51"/>
        <v>0</v>
      </c>
      <c r="CB283" s="3"/>
      <c r="CE283" s="95"/>
    </row>
    <row r="284" spans="1:83" s="2" customFormat="1" ht="19.5" thickBot="1" x14ac:dyDescent="0.35">
      <c r="A284" s="17">
        <v>289</v>
      </c>
      <c r="B284" s="135"/>
      <c r="C284" s="20" t="s">
        <v>70</v>
      </c>
      <c r="D284" s="21"/>
      <c r="E284" s="21"/>
      <c r="F284" s="21"/>
      <c r="G284" s="32"/>
      <c r="H284" s="33"/>
      <c r="I284" s="41"/>
      <c r="J284" s="33"/>
      <c r="K284" s="41"/>
      <c r="L284" s="33"/>
      <c r="M284" s="41"/>
      <c r="N284" s="33"/>
      <c r="O284" s="41"/>
      <c r="P284" s="33"/>
      <c r="Q284" s="41"/>
      <c r="R284" s="33"/>
      <c r="S284" s="33"/>
      <c r="T284" s="33"/>
      <c r="U284" s="41"/>
      <c r="V284" s="33"/>
      <c r="W284" s="33"/>
      <c r="X284" s="33"/>
      <c r="Y284" s="33"/>
      <c r="Z284" s="33"/>
      <c r="AA284" s="33">
        <v>3</v>
      </c>
      <c r="AB284" s="33"/>
      <c r="AC284" s="33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55">
        <f t="shared" si="53"/>
        <v>3</v>
      </c>
      <c r="AZ284" s="59">
        <v>0</v>
      </c>
      <c r="BA284" s="60">
        <v>0</v>
      </c>
      <c r="BB284" s="60">
        <f>+'[1]25'!R365</f>
        <v>0</v>
      </c>
      <c r="BC284" s="60">
        <v>1</v>
      </c>
      <c r="BD284" s="60"/>
      <c r="BE284" s="60"/>
      <c r="BF284" s="60"/>
      <c r="BG284" s="60"/>
      <c r="BH284" s="60"/>
      <c r="BI284" s="58">
        <f t="shared" si="54"/>
        <v>1</v>
      </c>
      <c r="BJ284" s="70">
        <f t="shared" si="55"/>
        <v>2</v>
      </c>
      <c r="BK284" s="70">
        <f t="shared" si="52"/>
        <v>0</v>
      </c>
      <c r="BL284" s="76"/>
      <c r="BM284" s="77"/>
      <c r="BN284" s="60">
        <f t="shared" si="50"/>
        <v>2</v>
      </c>
      <c r="BO284" s="82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9">
        <f t="shared" si="51"/>
        <v>0</v>
      </c>
      <c r="CB284" s="3"/>
      <c r="CE284" s="95"/>
    </row>
    <row r="285" spans="1:83" s="2" customFormat="1" ht="19.5" thickBot="1" x14ac:dyDescent="0.35">
      <c r="A285" s="17">
        <v>290</v>
      </c>
      <c r="B285" s="134" t="s">
        <v>129</v>
      </c>
      <c r="C285" s="18" t="s">
        <v>62</v>
      </c>
      <c r="D285" s="19"/>
      <c r="E285" s="19"/>
      <c r="F285" s="19"/>
      <c r="G285" s="30"/>
      <c r="H285" s="31"/>
      <c r="I285" s="40"/>
      <c r="J285" s="31"/>
      <c r="K285" s="40"/>
      <c r="L285" s="31"/>
      <c r="M285" s="40"/>
      <c r="N285" s="31"/>
      <c r="O285" s="40"/>
      <c r="P285" s="31"/>
      <c r="Q285" s="40"/>
      <c r="R285" s="31"/>
      <c r="S285" s="31"/>
      <c r="T285" s="31"/>
      <c r="U285" s="40"/>
      <c r="V285" s="31"/>
      <c r="W285" s="31"/>
      <c r="X285" s="31"/>
      <c r="Y285" s="31"/>
      <c r="Z285" s="31"/>
      <c r="AA285" s="31"/>
      <c r="AB285" s="31"/>
      <c r="AC285" s="31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>
        <v>6</v>
      </c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55">
        <f t="shared" si="53"/>
        <v>6</v>
      </c>
      <c r="AZ285" s="56"/>
      <c r="BA285" s="57"/>
      <c r="BB285" s="57">
        <f>+'[1]25'!R366</f>
        <v>0</v>
      </c>
      <c r="BC285" s="57">
        <v>1</v>
      </c>
      <c r="BD285" s="57"/>
      <c r="BE285" s="57"/>
      <c r="BF285" s="57"/>
      <c r="BG285" s="57"/>
      <c r="BH285" s="57"/>
      <c r="BI285" s="55">
        <f t="shared" si="54"/>
        <v>1</v>
      </c>
      <c r="BJ285" s="69">
        <f t="shared" si="55"/>
        <v>5</v>
      </c>
      <c r="BK285" s="69">
        <f t="shared" si="52"/>
        <v>0</v>
      </c>
      <c r="BM285" s="75"/>
      <c r="BN285" s="57">
        <f t="shared" si="50"/>
        <v>3</v>
      </c>
      <c r="BO285" s="80"/>
      <c r="BP285" s="81">
        <v>1</v>
      </c>
      <c r="BQ285" s="81"/>
      <c r="BR285" s="81">
        <v>1</v>
      </c>
      <c r="BS285" s="81"/>
      <c r="BT285" s="81"/>
      <c r="BU285" s="81"/>
      <c r="BV285" s="81"/>
      <c r="BW285" s="81"/>
      <c r="BX285" s="81"/>
      <c r="BY285" s="81"/>
      <c r="BZ285" s="9">
        <f t="shared" si="51"/>
        <v>2</v>
      </c>
      <c r="CB285" s="3"/>
      <c r="CE285" s="95"/>
    </row>
    <row r="286" spans="1:83" s="2" customFormat="1" ht="19.5" thickBot="1" x14ac:dyDescent="0.35">
      <c r="A286" s="17">
        <v>291</v>
      </c>
      <c r="B286" s="135"/>
      <c r="C286" s="18" t="s">
        <v>63</v>
      </c>
      <c r="D286" s="19"/>
      <c r="E286" s="19"/>
      <c r="F286" s="19"/>
      <c r="G286" s="30"/>
      <c r="H286" s="31"/>
      <c r="I286" s="40"/>
      <c r="J286" s="31"/>
      <c r="K286" s="40"/>
      <c r="L286" s="31"/>
      <c r="M286" s="40"/>
      <c r="N286" s="31"/>
      <c r="O286" s="40"/>
      <c r="P286" s="31"/>
      <c r="Q286" s="40"/>
      <c r="R286" s="31"/>
      <c r="S286" s="31"/>
      <c r="T286" s="31"/>
      <c r="U286" s="40"/>
      <c r="V286" s="31"/>
      <c r="W286" s="31"/>
      <c r="X286" s="31"/>
      <c r="Y286" s="31"/>
      <c r="Z286" s="31"/>
      <c r="AA286" s="31"/>
      <c r="AB286" s="31"/>
      <c r="AC286" s="31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>
        <v>12</v>
      </c>
      <c r="AN286" s="46"/>
      <c r="AO286" s="46"/>
      <c r="AP286" s="46">
        <v>12</v>
      </c>
      <c r="AQ286" s="46"/>
      <c r="AR286" s="46"/>
      <c r="AS286" s="46"/>
      <c r="AT286" s="46"/>
      <c r="AU286" s="46"/>
      <c r="AV286" s="46"/>
      <c r="AW286" s="46"/>
      <c r="AX286" s="46"/>
      <c r="AY286" s="55">
        <f t="shared" si="53"/>
        <v>24</v>
      </c>
      <c r="AZ286" s="56"/>
      <c r="BA286" s="57"/>
      <c r="BB286" s="57">
        <f>+'[1]25'!R367</f>
        <v>0</v>
      </c>
      <c r="BC286" s="57">
        <v>9</v>
      </c>
      <c r="BD286" s="57"/>
      <c r="BE286" s="57"/>
      <c r="BF286" s="57"/>
      <c r="BG286" s="57"/>
      <c r="BH286" s="57"/>
      <c r="BI286" s="55">
        <f t="shared" si="54"/>
        <v>9</v>
      </c>
      <c r="BJ286" s="69">
        <f t="shared" si="55"/>
        <v>15</v>
      </c>
      <c r="BK286" s="69">
        <f t="shared" si="52"/>
        <v>0</v>
      </c>
      <c r="BM286" s="75"/>
      <c r="BN286" s="57">
        <f t="shared" si="50"/>
        <v>8</v>
      </c>
      <c r="BO286" s="80"/>
      <c r="BP286" s="81">
        <v>2</v>
      </c>
      <c r="BQ286" s="81">
        <v>1</v>
      </c>
      <c r="BR286" s="81">
        <v>2</v>
      </c>
      <c r="BS286" s="81">
        <v>1</v>
      </c>
      <c r="BT286" s="81">
        <v>1</v>
      </c>
      <c r="BU286" s="81"/>
      <c r="BV286" s="81"/>
      <c r="BW286" s="81"/>
      <c r="BX286" s="81"/>
      <c r="BY286" s="81"/>
      <c r="BZ286" s="9">
        <f t="shared" si="51"/>
        <v>7</v>
      </c>
      <c r="CB286" s="3"/>
      <c r="CE286" s="95"/>
    </row>
    <row r="287" spans="1:83" s="2" customFormat="1" ht="19.5" thickBot="1" x14ac:dyDescent="0.35">
      <c r="A287" s="17">
        <v>292</v>
      </c>
      <c r="B287" s="135"/>
      <c r="C287" s="18" t="s">
        <v>64</v>
      </c>
      <c r="D287" s="19"/>
      <c r="E287" s="19"/>
      <c r="F287" s="19"/>
      <c r="G287" s="30"/>
      <c r="H287" s="31"/>
      <c r="I287" s="40"/>
      <c r="J287" s="31"/>
      <c r="K287" s="40"/>
      <c r="L287" s="31"/>
      <c r="M287" s="40"/>
      <c r="N287" s="31"/>
      <c r="O287" s="40"/>
      <c r="P287" s="31"/>
      <c r="Q287" s="40"/>
      <c r="R287" s="31"/>
      <c r="S287" s="31"/>
      <c r="T287" s="31"/>
      <c r="U287" s="40"/>
      <c r="V287" s="31"/>
      <c r="W287" s="31"/>
      <c r="X287" s="31"/>
      <c r="Y287" s="31"/>
      <c r="Z287" s="31"/>
      <c r="AA287" s="31"/>
      <c r="AB287" s="31"/>
      <c r="AC287" s="31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>
        <v>21</v>
      </c>
      <c r="AN287" s="46"/>
      <c r="AO287" s="46"/>
      <c r="AP287" s="46">
        <v>24</v>
      </c>
      <c r="AQ287" s="46"/>
      <c r="AR287" s="46"/>
      <c r="AS287" s="46"/>
      <c r="AT287" s="46"/>
      <c r="AU287" s="46"/>
      <c r="AV287" s="46"/>
      <c r="AW287" s="46"/>
      <c r="AX287" s="46"/>
      <c r="AY287" s="55">
        <f t="shared" si="53"/>
        <v>45</v>
      </c>
      <c r="AZ287" s="56"/>
      <c r="BA287" s="57"/>
      <c r="BB287" s="57">
        <f>+'[1]25'!R368</f>
        <v>0</v>
      </c>
      <c r="BC287" s="57">
        <v>10</v>
      </c>
      <c r="BD287" s="57"/>
      <c r="BE287" s="57"/>
      <c r="BF287" s="57"/>
      <c r="BG287" s="57"/>
      <c r="BH287" s="57"/>
      <c r="BI287" s="55">
        <f t="shared" si="54"/>
        <v>10</v>
      </c>
      <c r="BJ287" s="69">
        <f t="shared" si="55"/>
        <v>35</v>
      </c>
      <c r="BK287" s="69">
        <f t="shared" si="52"/>
        <v>0</v>
      </c>
      <c r="BM287" s="75"/>
      <c r="BN287" s="57">
        <f t="shared" si="50"/>
        <v>25</v>
      </c>
      <c r="BO287" s="80"/>
      <c r="BP287" s="81">
        <v>3</v>
      </c>
      <c r="BQ287" s="81">
        <v>1</v>
      </c>
      <c r="BR287" s="81">
        <v>2</v>
      </c>
      <c r="BS287" s="81">
        <v>2</v>
      </c>
      <c r="BT287" s="81">
        <v>1</v>
      </c>
      <c r="BU287" s="81">
        <v>1</v>
      </c>
      <c r="BV287" s="81"/>
      <c r="BW287" s="81"/>
      <c r="BX287" s="81"/>
      <c r="BY287" s="81"/>
      <c r="BZ287" s="9">
        <f t="shared" si="51"/>
        <v>10</v>
      </c>
      <c r="CB287" s="3"/>
      <c r="CD287" s="10"/>
      <c r="CE287" s="95"/>
    </row>
    <row r="288" spans="1:83" s="2" customFormat="1" ht="19.5" thickBot="1" x14ac:dyDescent="0.35">
      <c r="A288" s="17">
        <v>293</v>
      </c>
      <c r="B288" s="135"/>
      <c r="C288" s="18" t="s">
        <v>65</v>
      </c>
      <c r="D288" s="19"/>
      <c r="E288" s="19"/>
      <c r="F288" s="19"/>
      <c r="G288" s="30"/>
      <c r="H288" s="31"/>
      <c r="I288" s="40"/>
      <c r="J288" s="31"/>
      <c r="K288" s="40"/>
      <c r="L288" s="31"/>
      <c r="M288" s="40"/>
      <c r="N288" s="31"/>
      <c r="O288" s="40"/>
      <c r="P288" s="31"/>
      <c r="Q288" s="40"/>
      <c r="R288" s="31"/>
      <c r="S288" s="31"/>
      <c r="T288" s="31"/>
      <c r="U288" s="40"/>
      <c r="V288" s="31"/>
      <c r="W288" s="31"/>
      <c r="X288" s="31"/>
      <c r="Y288" s="31"/>
      <c r="Z288" s="31"/>
      <c r="AA288" s="31"/>
      <c r="AB288" s="31"/>
      <c r="AC288" s="31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>
        <v>24</v>
      </c>
      <c r="AN288" s="46"/>
      <c r="AO288" s="46"/>
      <c r="AP288" s="46">
        <v>27</v>
      </c>
      <c r="AQ288" s="46"/>
      <c r="AR288" s="46"/>
      <c r="AS288" s="46"/>
      <c r="AT288" s="46"/>
      <c r="AU288" s="46"/>
      <c r="AV288" s="46"/>
      <c r="AW288" s="46"/>
      <c r="AX288" s="46"/>
      <c r="AY288" s="55">
        <f t="shared" si="53"/>
        <v>51</v>
      </c>
      <c r="AZ288" s="56"/>
      <c r="BA288" s="57"/>
      <c r="BB288" s="57">
        <f>+'[1]25'!R369</f>
        <v>0</v>
      </c>
      <c r="BC288" s="57">
        <v>10</v>
      </c>
      <c r="BD288" s="57"/>
      <c r="BE288" s="57"/>
      <c r="BF288" s="57"/>
      <c r="BG288" s="57"/>
      <c r="BH288" s="57"/>
      <c r="BI288" s="55">
        <f t="shared" si="54"/>
        <v>10</v>
      </c>
      <c r="BJ288" s="69">
        <f t="shared" si="55"/>
        <v>41</v>
      </c>
      <c r="BK288" s="69">
        <f t="shared" si="52"/>
        <v>0</v>
      </c>
      <c r="BM288" s="75"/>
      <c r="BN288" s="57">
        <f t="shared" si="50"/>
        <v>31</v>
      </c>
      <c r="BO288" s="80"/>
      <c r="BP288" s="81">
        <v>2</v>
      </c>
      <c r="BQ288" s="81">
        <v>1</v>
      </c>
      <c r="BR288" s="81">
        <v>3</v>
      </c>
      <c r="BS288" s="81">
        <v>2</v>
      </c>
      <c r="BT288" s="81">
        <v>1</v>
      </c>
      <c r="BU288" s="81">
        <v>1</v>
      </c>
      <c r="BV288" s="81"/>
      <c r="BW288" s="81"/>
      <c r="BX288" s="81"/>
      <c r="BY288" s="81"/>
      <c r="BZ288" s="9">
        <f t="shared" si="51"/>
        <v>10</v>
      </c>
      <c r="CB288" s="3"/>
      <c r="CD288" s="3"/>
      <c r="CE288" s="95"/>
    </row>
    <row r="289" spans="1:83" s="2" customFormat="1" ht="19.5" thickBot="1" x14ac:dyDescent="0.35">
      <c r="A289" s="17">
        <v>294</v>
      </c>
      <c r="B289" s="135"/>
      <c r="C289" s="18" t="s">
        <v>66</v>
      </c>
      <c r="D289" s="19"/>
      <c r="E289" s="19"/>
      <c r="F289" s="19"/>
      <c r="G289" s="30"/>
      <c r="H289" s="31"/>
      <c r="I289" s="40"/>
      <c r="J289" s="31"/>
      <c r="K289" s="40"/>
      <c r="L289" s="31"/>
      <c r="M289" s="40"/>
      <c r="N289" s="31"/>
      <c r="O289" s="40"/>
      <c r="P289" s="31"/>
      <c r="Q289" s="40"/>
      <c r="R289" s="31"/>
      <c r="S289" s="31"/>
      <c r="T289" s="31"/>
      <c r="U289" s="40"/>
      <c r="V289" s="31"/>
      <c r="W289" s="31"/>
      <c r="X289" s="31"/>
      <c r="Y289" s="31"/>
      <c r="Z289" s="31"/>
      <c r="AA289" s="31"/>
      <c r="AB289" s="31"/>
      <c r="AC289" s="31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>
        <v>21</v>
      </c>
      <c r="AN289" s="46"/>
      <c r="AO289" s="46"/>
      <c r="AP289" s="46">
        <v>21</v>
      </c>
      <c r="AQ289" s="46"/>
      <c r="AR289" s="46"/>
      <c r="AS289" s="46"/>
      <c r="AT289" s="46"/>
      <c r="AU289" s="46"/>
      <c r="AV289" s="46"/>
      <c r="AW289" s="46"/>
      <c r="AX289" s="46"/>
      <c r="AY289" s="55">
        <f t="shared" si="53"/>
        <v>42</v>
      </c>
      <c r="AZ289" s="56"/>
      <c r="BA289" s="57"/>
      <c r="BB289" s="57">
        <f>+'[1]25'!R370</f>
        <v>0</v>
      </c>
      <c r="BC289" s="57">
        <v>11</v>
      </c>
      <c r="BD289" s="57"/>
      <c r="BE289" s="57"/>
      <c r="BF289" s="57"/>
      <c r="BG289" s="57"/>
      <c r="BH289" s="57"/>
      <c r="BI289" s="55">
        <f t="shared" si="54"/>
        <v>11</v>
      </c>
      <c r="BJ289" s="69">
        <f t="shared" si="55"/>
        <v>31</v>
      </c>
      <c r="BK289" s="69">
        <f t="shared" si="52"/>
        <v>0</v>
      </c>
      <c r="BM289" s="75"/>
      <c r="BN289" s="57">
        <f t="shared" si="50"/>
        <v>20</v>
      </c>
      <c r="BO289" s="80"/>
      <c r="BP289" s="81">
        <v>2</v>
      </c>
      <c r="BQ289" s="81">
        <v>1</v>
      </c>
      <c r="BR289" s="81">
        <v>4</v>
      </c>
      <c r="BS289" s="81">
        <v>2</v>
      </c>
      <c r="BT289" s="81">
        <v>1</v>
      </c>
      <c r="BU289" s="81">
        <v>1</v>
      </c>
      <c r="BV289" s="81"/>
      <c r="BW289" s="81"/>
      <c r="BX289" s="81"/>
      <c r="BY289" s="81"/>
      <c r="BZ289" s="9">
        <f t="shared" si="51"/>
        <v>11</v>
      </c>
      <c r="CB289" s="3"/>
      <c r="CD289" s="3"/>
      <c r="CE289" s="95"/>
    </row>
    <row r="290" spans="1:83" s="2" customFormat="1" ht="19.5" thickBot="1" x14ac:dyDescent="0.35">
      <c r="A290" s="17">
        <v>295</v>
      </c>
      <c r="B290" s="135"/>
      <c r="C290" s="18" t="s">
        <v>67</v>
      </c>
      <c r="D290" s="19"/>
      <c r="E290" s="19"/>
      <c r="F290" s="19"/>
      <c r="G290" s="30"/>
      <c r="H290" s="31"/>
      <c r="I290" s="40"/>
      <c r="J290" s="31"/>
      <c r="K290" s="40"/>
      <c r="L290" s="31"/>
      <c r="M290" s="40"/>
      <c r="N290" s="31"/>
      <c r="O290" s="40"/>
      <c r="P290" s="31"/>
      <c r="Q290" s="40"/>
      <c r="R290" s="31"/>
      <c r="S290" s="31"/>
      <c r="T290" s="31"/>
      <c r="U290" s="40"/>
      <c r="V290" s="31"/>
      <c r="W290" s="31"/>
      <c r="X290" s="31"/>
      <c r="Y290" s="31"/>
      <c r="Z290" s="31"/>
      <c r="AA290" s="31"/>
      <c r="AB290" s="31"/>
      <c r="AC290" s="31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>
        <v>15</v>
      </c>
      <c r="AN290" s="46"/>
      <c r="AO290" s="46"/>
      <c r="AP290" s="46">
        <v>12</v>
      </c>
      <c r="AQ290" s="46"/>
      <c r="AR290" s="46"/>
      <c r="AS290" s="46"/>
      <c r="AT290" s="46"/>
      <c r="AU290" s="46"/>
      <c r="AV290" s="46"/>
      <c r="AW290" s="46"/>
      <c r="AX290" s="46"/>
      <c r="AY290" s="55">
        <f t="shared" si="53"/>
        <v>27</v>
      </c>
      <c r="AZ290" s="56"/>
      <c r="BA290" s="57"/>
      <c r="BB290" s="57">
        <f>+'[1]25'!R371</f>
        <v>0</v>
      </c>
      <c r="BC290" s="57">
        <v>4</v>
      </c>
      <c r="BD290" s="57"/>
      <c r="BE290" s="57"/>
      <c r="BF290" s="57"/>
      <c r="BG290" s="57"/>
      <c r="BH290" s="57"/>
      <c r="BI290" s="55">
        <f t="shared" si="54"/>
        <v>4</v>
      </c>
      <c r="BJ290" s="69">
        <f t="shared" si="55"/>
        <v>23</v>
      </c>
      <c r="BK290" s="69">
        <f t="shared" si="52"/>
        <v>0</v>
      </c>
      <c r="BM290" s="75"/>
      <c r="BN290" s="57">
        <f t="shared" si="50"/>
        <v>12</v>
      </c>
      <c r="BO290" s="80"/>
      <c r="BP290" s="81">
        <v>3</v>
      </c>
      <c r="BQ290" s="81">
        <v>1</v>
      </c>
      <c r="BR290" s="81">
        <v>3</v>
      </c>
      <c r="BS290" s="81">
        <v>2</v>
      </c>
      <c r="BT290" s="81">
        <v>1</v>
      </c>
      <c r="BU290" s="81">
        <v>1</v>
      </c>
      <c r="BV290" s="81"/>
      <c r="BW290" s="81"/>
      <c r="BX290" s="81"/>
      <c r="BY290" s="81"/>
      <c r="BZ290" s="9">
        <f t="shared" si="51"/>
        <v>11</v>
      </c>
      <c r="CB290" s="3"/>
      <c r="CD290" s="10"/>
      <c r="CE290" s="95"/>
    </row>
    <row r="291" spans="1:83" s="2" customFormat="1" ht="19.5" thickBot="1" x14ac:dyDescent="0.35">
      <c r="A291" s="17">
        <v>296</v>
      </c>
      <c r="B291" s="135"/>
      <c r="C291" s="18" t="s">
        <v>68</v>
      </c>
      <c r="D291" s="19"/>
      <c r="E291" s="19"/>
      <c r="F291" s="19"/>
      <c r="G291" s="30"/>
      <c r="H291" s="31"/>
      <c r="I291" s="40"/>
      <c r="J291" s="31"/>
      <c r="K291" s="40"/>
      <c r="L291" s="31"/>
      <c r="M291" s="40"/>
      <c r="N291" s="31"/>
      <c r="O291" s="40"/>
      <c r="P291" s="31"/>
      <c r="Q291" s="40"/>
      <c r="R291" s="31"/>
      <c r="S291" s="31"/>
      <c r="T291" s="31"/>
      <c r="U291" s="40"/>
      <c r="V291" s="31"/>
      <c r="W291" s="31"/>
      <c r="X291" s="31"/>
      <c r="Y291" s="31"/>
      <c r="Z291" s="31"/>
      <c r="AA291" s="31"/>
      <c r="AB291" s="31"/>
      <c r="AC291" s="31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>
        <v>6</v>
      </c>
      <c r="AN291" s="46"/>
      <c r="AO291" s="46"/>
      <c r="AP291" s="46">
        <v>6</v>
      </c>
      <c r="AQ291" s="46"/>
      <c r="AR291" s="46"/>
      <c r="AS291" s="46"/>
      <c r="AT291" s="46"/>
      <c r="AU291" s="46"/>
      <c r="AV291" s="46"/>
      <c r="AW291" s="46"/>
      <c r="AX291" s="46"/>
      <c r="AY291" s="55">
        <f t="shared" si="53"/>
        <v>12</v>
      </c>
      <c r="AZ291" s="56"/>
      <c r="BA291" s="57"/>
      <c r="BB291" s="57">
        <f>+'[1]25'!R372</f>
        <v>0</v>
      </c>
      <c r="BC291" s="57">
        <v>2</v>
      </c>
      <c r="BD291" s="57"/>
      <c r="BE291" s="57"/>
      <c r="BF291" s="57"/>
      <c r="BG291" s="57"/>
      <c r="BH291" s="57"/>
      <c r="BI291" s="55">
        <f t="shared" si="54"/>
        <v>2</v>
      </c>
      <c r="BJ291" s="69">
        <f t="shared" si="55"/>
        <v>10</v>
      </c>
      <c r="BK291" s="69">
        <f t="shared" si="52"/>
        <v>0</v>
      </c>
      <c r="BM291" s="75"/>
      <c r="BN291" s="57">
        <f t="shared" si="50"/>
        <v>6</v>
      </c>
      <c r="BO291" s="80"/>
      <c r="BP291" s="81">
        <v>1</v>
      </c>
      <c r="BQ291" s="81">
        <v>1</v>
      </c>
      <c r="BR291" s="81">
        <v>2</v>
      </c>
      <c r="BS291" s="81"/>
      <c r="BT291" s="81"/>
      <c r="BU291" s="81"/>
      <c r="BV291" s="81"/>
      <c r="BW291" s="81"/>
      <c r="BX291" s="81"/>
      <c r="BY291" s="81"/>
      <c r="BZ291" s="9">
        <f t="shared" si="51"/>
        <v>4</v>
      </c>
      <c r="CB291" s="3"/>
      <c r="CD291" s="10"/>
      <c r="CE291" s="95"/>
    </row>
    <row r="292" spans="1:83" s="2" customFormat="1" ht="19.5" thickBot="1" x14ac:dyDescent="0.35">
      <c r="A292" s="17">
        <v>297</v>
      </c>
      <c r="B292" s="135"/>
      <c r="C292" s="20" t="s">
        <v>69</v>
      </c>
      <c r="D292" s="21"/>
      <c r="E292" s="21"/>
      <c r="F292" s="21"/>
      <c r="G292" s="32"/>
      <c r="H292" s="33"/>
      <c r="I292" s="41"/>
      <c r="J292" s="33"/>
      <c r="K292" s="41"/>
      <c r="L292" s="33"/>
      <c r="M292" s="41"/>
      <c r="N292" s="33"/>
      <c r="O292" s="41"/>
      <c r="P292" s="33"/>
      <c r="Q292" s="41"/>
      <c r="R292" s="33"/>
      <c r="S292" s="33"/>
      <c r="T292" s="33"/>
      <c r="U292" s="41"/>
      <c r="V292" s="33"/>
      <c r="W292" s="33"/>
      <c r="X292" s="33"/>
      <c r="Y292" s="33"/>
      <c r="Z292" s="33"/>
      <c r="AA292" s="33"/>
      <c r="AB292" s="33"/>
      <c r="AC292" s="33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>
        <v>3</v>
      </c>
      <c r="AN292" s="47"/>
      <c r="AO292" s="47"/>
      <c r="AP292" s="47">
        <v>6</v>
      </c>
      <c r="AQ292" s="47"/>
      <c r="AR292" s="47"/>
      <c r="AS292" s="47"/>
      <c r="AT292" s="47"/>
      <c r="AU292" s="47"/>
      <c r="AV292" s="47"/>
      <c r="AW292" s="47"/>
      <c r="AX292" s="47"/>
      <c r="AY292" s="55">
        <f t="shared" si="53"/>
        <v>9</v>
      </c>
      <c r="AZ292" s="59"/>
      <c r="BA292" s="60"/>
      <c r="BB292" s="60">
        <f>+'[1]25'!R373</f>
        <v>0</v>
      </c>
      <c r="BC292" s="60">
        <v>0</v>
      </c>
      <c r="BD292" s="60"/>
      <c r="BE292" s="60"/>
      <c r="BF292" s="60"/>
      <c r="BG292" s="60"/>
      <c r="BH292" s="60"/>
      <c r="BI292" s="58">
        <f t="shared" si="54"/>
        <v>0</v>
      </c>
      <c r="BJ292" s="70">
        <f t="shared" si="55"/>
        <v>9</v>
      </c>
      <c r="BK292" s="70">
        <f t="shared" si="52"/>
        <v>0</v>
      </c>
      <c r="BL292" s="76"/>
      <c r="BM292" s="77"/>
      <c r="BN292" s="60">
        <f t="shared" si="50"/>
        <v>6</v>
      </c>
      <c r="BO292" s="82"/>
      <c r="BP292" s="83">
        <v>1</v>
      </c>
      <c r="BQ292" s="83"/>
      <c r="BR292" s="83">
        <v>2</v>
      </c>
      <c r="BS292" s="83"/>
      <c r="BT292" s="83"/>
      <c r="BU292" s="83"/>
      <c r="BV292" s="83"/>
      <c r="BW292" s="83"/>
      <c r="BX292" s="83"/>
      <c r="BY292" s="83"/>
      <c r="BZ292" s="9">
        <f t="shared" si="51"/>
        <v>3</v>
      </c>
      <c r="CB292" s="3"/>
      <c r="CD292" s="10"/>
      <c r="CE292" s="95"/>
    </row>
    <row r="293" spans="1:83" s="2" customFormat="1" ht="19.5" thickBot="1" x14ac:dyDescent="0.35">
      <c r="A293" s="17">
        <v>298</v>
      </c>
      <c r="B293" s="134" t="s">
        <v>130</v>
      </c>
      <c r="C293" s="18" t="s">
        <v>62</v>
      </c>
      <c r="D293" s="19"/>
      <c r="E293" s="19"/>
      <c r="F293" s="19"/>
      <c r="G293" s="30"/>
      <c r="H293" s="31"/>
      <c r="I293" s="40"/>
      <c r="J293" s="31"/>
      <c r="K293" s="40"/>
      <c r="L293" s="31"/>
      <c r="M293" s="40"/>
      <c r="N293" s="31"/>
      <c r="O293" s="40"/>
      <c r="P293" s="31"/>
      <c r="Q293" s="40"/>
      <c r="R293" s="31"/>
      <c r="S293" s="31"/>
      <c r="T293" s="31"/>
      <c r="U293" s="40"/>
      <c r="V293" s="31"/>
      <c r="W293" s="31"/>
      <c r="X293" s="31"/>
      <c r="Y293" s="31"/>
      <c r="Z293" s="31"/>
      <c r="AA293" s="31"/>
      <c r="AB293" s="31"/>
      <c r="AC293" s="31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>
        <v>6</v>
      </c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55">
        <f t="shared" si="53"/>
        <v>6</v>
      </c>
      <c r="AZ293" s="56"/>
      <c r="BA293" s="57"/>
      <c r="BB293" s="57">
        <f>+'[1]25'!R374</f>
        <v>0</v>
      </c>
      <c r="BC293" s="57">
        <v>3</v>
      </c>
      <c r="BD293" s="57"/>
      <c r="BE293" s="57"/>
      <c r="BF293" s="57"/>
      <c r="BG293" s="57"/>
      <c r="BH293" s="57"/>
      <c r="BI293" s="55">
        <f t="shared" si="54"/>
        <v>3</v>
      </c>
      <c r="BJ293" s="69">
        <f t="shared" si="55"/>
        <v>3</v>
      </c>
      <c r="BK293" s="69">
        <f t="shared" si="52"/>
        <v>0</v>
      </c>
      <c r="BM293" s="75"/>
      <c r="BN293" s="57">
        <f t="shared" si="50"/>
        <v>1</v>
      </c>
      <c r="BO293" s="80"/>
      <c r="BP293" s="81">
        <v>2</v>
      </c>
      <c r="BQ293" s="81"/>
      <c r="BR293" s="81"/>
      <c r="BS293" s="81"/>
      <c r="BT293" s="81"/>
      <c r="BU293" s="81"/>
      <c r="BV293" s="81"/>
      <c r="BW293" s="81"/>
      <c r="BX293" s="81"/>
      <c r="BY293" s="81"/>
      <c r="BZ293" s="9">
        <f t="shared" si="51"/>
        <v>2</v>
      </c>
      <c r="CB293" s="3"/>
      <c r="CD293" s="10"/>
      <c r="CE293" s="95"/>
    </row>
    <row r="294" spans="1:83" s="2" customFormat="1" ht="19.5" thickBot="1" x14ac:dyDescent="0.35">
      <c r="A294" s="17">
        <v>299</v>
      </c>
      <c r="B294" s="135"/>
      <c r="C294" s="18" t="s">
        <v>63</v>
      </c>
      <c r="D294" s="19"/>
      <c r="E294" s="19"/>
      <c r="F294" s="19"/>
      <c r="G294" s="30"/>
      <c r="H294" s="31"/>
      <c r="I294" s="40"/>
      <c r="J294" s="31"/>
      <c r="K294" s="40"/>
      <c r="L294" s="31"/>
      <c r="M294" s="40"/>
      <c r="N294" s="31"/>
      <c r="O294" s="40"/>
      <c r="P294" s="31"/>
      <c r="Q294" s="40"/>
      <c r="R294" s="31"/>
      <c r="S294" s="31"/>
      <c r="T294" s="31"/>
      <c r="U294" s="40"/>
      <c r="V294" s="31"/>
      <c r="W294" s="31"/>
      <c r="X294" s="31"/>
      <c r="Y294" s="31"/>
      <c r="Z294" s="31"/>
      <c r="AA294" s="31"/>
      <c r="AB294" s="31"/>
      <c r="AC294" s="31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>
        <v>12</v>
      </c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55">
        <f t="shared" si="53"/>
        <v>12</v>
      </c>
      <c r="AZ294" s="56"/>
      <c r="BA294" s="57"/>
      <c r="BB294" s="57">
        <f>+'[1]25'!R375</f>
        <v>0</v>
      </c>
      <c r="BC294" s="57">
        <v>8</v>
      </c>
      <c r="BD294" s="57"/>
      <c r="BE294" s="57"/>
      <c r="BF294" s="57"/>
      <c r="BG294" s="57"/>
      <c r="BH294" s="57"/>
      <c r="BI294" s="55">
        <f t="shared" si="54"/>
        <v>8</v>
      </c>
      <c r="BJ294" s="69">
        <f t="shared" si="55"/>
        <v>4</v>
      </c>
      <c r="BK294" s="69">
        <f t="shared" si="52"/>
        <v>0</v>
      </c>
      <c r="BM294" s="75"/>
      <c r="BN294" s="57">
        <f t="shared" si="50"/>
        <v>2</v>
      </c>
      <c r="BO294" s="80"/>
      <c r="BP294" s="81"/>
      <c r="BQ294" s="81">
        <v>1</v>
      </c>
      <c r="BR294" s="81"/>
      <c r="BS294" s="81"/>
      <c r="BT294" s="81">
        <v>1</v>
      </c>
      <c r="BU294" s="81"/>
      <c r="BV294" s="81"/>
      <c r="BW294" s="81"/>
      <c r="BX294" s="81"/>
      <c r="BY294" s="81"/>
      <c r="BZ294" s="9">
        <f t="shared" si="51"/>
        <v>2</v>
      </c>
      <c r="CB294" s="3"/>
      <c r="CD294" s="10"/>
      <c r="CE294" s="95"/>
    </row>
    <row r="295" spans="1:83" s="2" customFormat="1" ht="19.5" thickBot="1" x14ac:dyDescent="0.35">
      <c r="A295" s="17">
        <v>300</v>
      </c>
      <c r="B295" s="135"/>
      <c r="C295" s="18" t="s">
        <v>64</v>
      </c>
      <c r="D295" s="19"/>
      <c r="E295" s="19"/>
      <c r="F295" s="19"/>
      <c r="G295" s="30"/>
      <c r="H295" s="31"/>
      <c r="I295" s="40"/>
      <c r="J295" s="31"/>
      <c r="K295" s="40"/>
      <c r="L295" s="31"/>
      <c r="M295" s="40"/>
      <c r="N295" s="31"/>
      <c r="O295" s="40"/>
      <c r="P295" s="31"/>
      <c r="Q295" s="40"/>
      <c r="R295" s="31"/>
      <c r="S295" s="31"/>
      <c r="T295" s="31"/>
      <c r="U295" s="40"/>
      <c r="V295" s="31"/>
      <c r="W295" s="31"/>
      <c r="X295" s="31"/>
      <c r="Y295" s="31"/>
      <c r="Z295" s="31"/>
      <c r="AA295" s="31"/>
      <c r="AB295" s="31"/>
      <c r="AC295" s="31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>
        <v>21</v>
      </c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55">
        <f t="shared" si="53"/>
        <v>21</v>
      </c>
      <c r="AZ295" s="56"/>
      <c r="BA295" s="57"/>
      <c r="BB295" s="57">
        <f>+'[1]25'!R376</f>
        <v>0</v>
      </c>
      <c r="BC295" s="57">
        <v>4</v>
      </c>
      <c r="BD295" s="57"/>
      <c r="BE295" s="57"/>
      <c r="BF295" s="57"/>
      <c r="BG295" s="57"/>
      <c r="BH295" s="57"/>
      <c r="BI295" s="55">
        <f t="shared" si="54"/>
        <v>4</v>
      </c>
      <c r="BJ295" s="69">
        <f t="shared" si="55"/>
        <v>17</v>
      </c>
      <c r="BK295" s="69">
        <f t="shared" si="52"/>
        <v>0</v>
      </c>
      <c r="BM295" s="75"/>
      <c r="BN295" s="57">
        <f t="shared" si="50"/>
        <v>9</v>
      </c>
      <c r="BO295" s="80"/>
      <c r="BP295" s="81">
        <v>2</v>
      </c>
      <c r="BQ295" s="81">
        <v>1</v>
      </c>
      <c r="BR295" s="81">
        <v>3</v>
      </c>
      <c r="BS295" s="81"/>
      <c r="BT295" s="81">
        <v>1</v>
      </c>
      <c r="BU295" s="81">
        <v>1</v>
      </c>
      <c r="BV295" s="81"/>
      <c r="BW295" s="81"/>
      <c r="BX295" s="81"/>
      <c r="BY295" s="81"/>
      <c r="BZ295" s="9">
        <f t="shared" si="51"/>
        <v>8</v>
      </c>
      <c r="CB295" s="3"/>
      <c r="CD295" s="10"/>
      <c r="CE295" s="95"/>
    </row>
    <row r="296" spans="1:83" s="2" customFormat="1" ht="19.5" thickBot="1" x14ac:dyDescent="0.35">
      <c r="A296" s="17">
        <v>301</v>
      </c>
      <c r="B296" s="135"/>
      <c r="C296" s="18" t="s">
        <v>65</v>
      </c>
      <c r="D296" s="19"/>
      <c r="E296" s="19"/>
      <c r="F296" s="19"/>
      <c r="G296" s="30"/>
      <c r="H296" s="31"/>
      <c r="I296" s="40"/>
      <c r="J296" s="31"/>
      <c r="K296" s="40"/>
      <c r="L296" s="31"/>
      <c r="M296" s="40"/>
      <c r="N296" s="31"/>
      <c r="O296" s="40"/>
      <c r="P296" s="31"/>
      <c r="Q296" s="40"/>
      <c r="R296" s="31"/>
      <c r="S296" s="31"/>
      <c r="T296" s="31"/>
      <c r="U296" s="40"/>
      <c r="V296" s="31"/>
      <c r="W296" s="31"/>
      <c r="X296" s="31"/>
      <c r="Y296" s="31"/>
      <c r="Z296" s="31"/>
      <c r="AA296" s="31"/>
      <c r="AB296" s="31"/>
      <c r="AC296" s="31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>
        <v>24</v>
      </c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55">
        <f t="shared" si="53"/>
        <v>24</v>
      </c>
      <c r="AZ296" s="56"/>
      <c r="BA296" s="57"/>
      <c r="BB296" s="57">
        <f>+'[1]25'!R377</f>
        <v>0</v>
      </c>
      <c r="BC296" s="57">
        <v>5</v>
      </c>
      <c r="BD296" s="57"/>
      <c r="BE296" s="57"/>
      <c r="BF296" s="57"/>
      <c r="BG296" s="57"/>
      <c r="BH296" s="57"/>
      <c r="BI296" s="55">
        <f t="shared" si="54"/>
        <v>5</v>
      </c>
      <c r="BJ296" s="69">
        <f t="shared" si="55"/>
        <v>19</v>
      </c>
      <c r="BK296" s="69">
        <f t="shared" si="52"/>
        <v>0</v>
      </c>
      <c r="BM296" s="75"/>
      <c r="BN296" s="57">
        <f t="shared" si="50"/>
        <v>11</v>
      </c>
      <c r="BO296" s="80"/>
      <c r="BP296" s="81">
        <v>2</v>
      </c>
      <c r="BQ296" s="81">
        <v>1</v>
      </c>
      <c r="BR296" s="81">
        <v>3</v>
      </c>
      <c r="BS296" s="81"/>
      <c r="BT296" s="81">
        <v>1</v>
      </c>
      <c r="BU296" s="81">
        <v>1</v>
      </c>
      <c r="BV296" s="81"/>
      <c r="BW296" s="81"/>
      <c r="BX296" s="81"/>
      <c r="BY296" s="81"/>
      <c r="BZ296" s="9">
        <f t="shared" si="51"/>
        <v>8</v>
      </c>
      <c r="CB296" s="3"/>
      <c r="CD296" s="10"/>
      <c r="CE296" s="95"/>
    </row>
    <row r="297" spans="1:83" s="2" customFormat="1" ht="19.5" thickBot="1" x14ac:dyDescent="0.35">
      <c r="A297" s="17">
        <v>302</v>
      </c>
      <c r="B297" s="135"/>
      <c r="C297" s="18" t="s">
        <v>66</v>
      </c>
      <c r="D297" s="19"/>
      <c r="E297" s="19"/>
      <c r="F297" s="19"/>
      <c r="G297" s="30"/>
      <c r="H297" s="31"/>
      <c r="I297" s="40"/>
      <c r="J297" s="31"/>
      <c r="K297" s="40"/>
      <c r="L297" s="31"/>
      <c r="M297" s="40"/>
      <c r="N297" s="31"/>
      <c r="O297" s="40"/>
      <c r="P297" s="31"/>
      <c r="Q297" s="40"/>
      <c r="R297" s="31"/>
      <c r="S297" s="31"/>
      <c r="T297" s="31"/>
      <c r="U297" s="40"/>
      <c r="V297" s="31"/>
      <c r="W297" s="31"/>
      <c r="X297" s="31"/>
      <c r="Y297" s="31"/>
      <c r="Z297" s="31"/>
      <c r="AA297" s="31"/>
      <c r="AB297" s="31"/>
      <c r="AC297" s="31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>
        <v>21</v>
      </c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55">
        <f t="shared" si="53"/>
        <v>21</v>
      </c>
      <c r="AZ297" s="56"/>
      <c r="BA297" s="57"/>
      <c r="BB297" s="57">
        <f>+'[1]25'!R378</f>
        <v>0</v>
      </c>
      <c r="BC297" s="57">
        <v>4</v>
      </c>
      <c r="BD297" s="57"/>
      <c r="BE297" s="57"/>
      <c r="BF297" s="57"/>
      <c r="BG297" s="57"/>
      <c r="BH297" s="57"/>
      <c r="BI297" s="55">
        <f t="shared" si="54"/>
        <v>4</v>
      </c>
      <c r="BJ297" s="69">
        <f t="shared" si="55"/>
        <v>17</v>
      </c>
      <c r="BK297" s="69">
        <f t="shared" si="52"/>
        <v>0</v>
      </c>
      <c r="BM297" s="75"/>
      <c r="BN297" s="57">
        <f t="shared" si="50"/>
        <v>10</v>
      </c>
      <c r="BO297" s="80"/>
      <c r="BP297" s="81">
        <v>2</v>
      </c>
      <c r="BQ297" s="81">
        <v>1</v>
      </c>
      <c r="BR297" s="81">
        <v>2</v>
      </c>
      <c r="BS297" s="81"/>
      <c r="BT297" s="81">
        <v>1</v>
      </c>
      <c r="BU297" s="81">
        <v>1</v>
      </c>
      <c r="BV297" s="81"/>
      <c r="BW297" s="81"/>
      <c r="BX297" s="81"/>
      <c r="BY297" s="81"/>
      <c r="BZ297" s="9">
        <f t="shared" si="51"/>
        <v>7</v>
      </c>
      <c r="CB297" s="3"/>
      <c r="CD297" s="10"/>
      <c r="CE297" s="95"/>
    </row>
    <row r="298" spans="1:83" s="2" customFormat="1" ht="19.5" thickBot="1" x14ac:dyDescent="0.35">
      <c r="A298" s="17">
        <v>303</v>
      </c>
      <c r="B298" s="135"/>
      <c r="C298" s="18" t="s">
        <v>67</v>
      </c>
      <c r="D298" s="19"/>
      <c r="E298" s="19"/>
      <c r="F298" s="19"/>
      <c r="G298" s="30"/>
      <c r="H298" s="31"/>
      <c r="I298" s="40"/>
      <c r="J298" s="31"/>
      <c r="K298" s="40"/>
      <c r="L298" s="31"/>
      <c r="M298" s="40"/>
      <c r="N298" s="31"/>
      <c r="O298" s="40"/>
      <c r="P298" s="31"/>
      <c r="Q298" s="40"/>
      <c r="R298" s="31"/>
      <c r="S298" s="31"/>
      <c r="T298" s="31"/>
      <c r="U298" s="40"/>
      <c r="V298" s="31"/>
      <c r="W298" s="31"/>
      <c r="X298" s="31"/>
      <c r="Y298" s="31"/>
      <c r="Z298" s="31"/>
      <c r="AA298" s="31"/>
      <c r="AB298" s="31"/>
      <c r="AC298" s="31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>
        <v>15</v>
      </c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55">
        <f t="shared" si="53"/>
        <v>15</v>
      </c>
      <c r="AZ298" s="56"/>
      <c r="BA298" s="57"/>
      <c r="BB298" s="57">
        <f>+'[1]25'!R379</f>
        <v>0</v>
      </c>
      <c r="BC298" s="57">
        <v>5</v>
      </c>
      <c r="BD298" s="57"/>
      <c r="BE298" s="57"/>
      <c r="BF298" s="57"/>
      <c r="BG298" s="57"/>
      <c r="BH298" s="57"/>
      <c r="BI298" s="55">
        <f t="shared" si="54"/>
        <v>5</v>
      </c>
      <c r="BJ298" s="69">
        <f t="shared" si="55"/>
        <v>10</v>
      </c>
      <c r="BK298" s="69">
        <f t="shared" si="52"/>
        <v>0</v>
      </c>
      <c r="BM298" s="75"/>
      <c r="BN298" s="57">
        <f t="shared" si="50"/>
        <v>1</v>
      </c>
      <c r="BO298" s="80"/>
      <c r="BP298" s="81">
        <v>2</v>
      </c>
      <c r="BQ298" s="81">
        <v>1</v>
      </c>
      <c r="BR298" s="81">
        <v>2</v>
      </c>
      <c r="BS298" s="81"/>
      <c r="BT298" s="81">
        <v>3</v>
      </c>
      <c r="BU298" s="81">
        <v>1</v>
      </c>
      <c r="BV298" s="81"/>
      <c r="BW298" s="81"/>
      <c r="BX298" s="81"/>
      <c r="BY298" s="81"/>
      <c r="BZ298" s="9">
        <f t="shared" si="51"/>
        <v>9</v>
      </c>
      <c r="CB298" s="3"/>
      <c r="CD298" s="10"/>
      <c r="CE298" s="95"/>
    </row>
    <row r="299" spans="1:83" s="2" customFormat="1" ht="19.5" thickBot="1" x14ac:dyDescent="0.35">
      <c r="A299" s="17">
        <v>304</v>
      </c>
      <c r="B299" s="135"/>
      <c r="C299" s="18" t="s">
        <v>68</v>
      </c>
      <c r="D299" s="19"/>
      <c r="E299" s="19"/>
      <c r="F299" s="19"/>
      <c r="G299" s="30"/>
      <c r="H299" s="31"/>
      <c r="I299" s="40"/>
      <c r="J299" s="31"/>
      <c r="K299" s="40"/>
      <c r="L299" s="31"/>
      <c r="M299" s="40"/>
      <c r="N299" s="31"/>
      <c r="O299" s="40"/>
      <c r="P299" s="31"/>
      <c r="Q299" s="40"/>
      <c r="R299" s="31"/>
      <c r="S299" s="31"/>
      <c r="T299" s="31"/>
      <c r="U299" s="40"/>
      <c r="V299" s="31"/>
      <c r="W299" s="31"/>
      <c r="X299" s="31"/>
      <c r="Y299" s="31"/>
      <c r="Z299" s="31"/>
      <c r="AA299" s="31"/>
      <c r="AB299" s="31"/>
      <c r="AC299" s="31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>
        <v>6</v>
      </c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55">
        <f t="shared" si="53"/>
        <v>6</v>
      </c>
      <c r="AZ299" s="56"/>
      <c r="BA299" s="57"/>
      <c r="BB299" s="57">
        <f>+'[1]25'!R380</f>
        <v>0</v>
      </c>
      <c r="BC299" s="57">
        <v>3</v>
      </c>
      <c r="BD299" s="57"/>
      <c r="BE299" s="57"/>
      <c r="BF299" s="57"/>
      <c r="BG299" s="57"/>
      <c r="BH299" s="57"/>
      <c r="BI299" s="55">
        <f t="shared" si="54"/>
        <v>3</v>
      </c>
      <c r="BJ299" s="69">
        <f t="shared" si="55"/>
        <v>3</v>
      </c>
      <c r="BK299" s="69">
        <f t="shared" si="52"/>
        <v>0</v>
      </c>
      <c r="BM299" s="75"/>
      <c r="BN299" s="57">
        <f t="shared" si="50"/>
        <v>0</v>
      </c>
      <c r="BO299" s="80"/>
      <c r="BP299" s="81">
        <v>1</v>
      </c>
      <c r="BQ299" s="81">
        <v>1</v>
      </c>
      <c r="BR299" s="81">
        <v>1</v>
      </c>
      <c r="BS299" s="81"/>
      <c r="BT299" s="81"/>
      <c r="BU299" s="81"/>
      <c r="BV299" s="81"/>
      <c r="BW299" s="81"/>
      <c r="BX299" s="81"/>
      <c r="BY299" s="81"/>
      <c r="BZ299" s="9">
        <f t="shared" si="51"/>
        <v>3</v>
      </c>
      <c r="CB299" s="3"/>
      <c r="CD299" s="10"/>
      <c r="CE299" s="95"/>
    </row>
    <row r="300" spans="1:83" s="2" customFormat="1" ht="19.5" thickBot="1" x14ac:dyDescent="0.35">
      <c r="A300" s="17">
        <v>305</v>
      </c>
      <c r="B300" s="135"/>
      <c r="C300" s="20" t="s">
        <v>69</v>
      </c>
      <c r="D300" s="21"/>
      <c r="E300" s="21"/>
      <c r="F300" s="21"/>
      <c r="G300" s="32"/>
      <c r="H300" s="33"/>
      <c r="I300" s="41"/>
      <c r="J300" s="33"/>
      <c r="K300" s="41"/>
      <c r="L300" s="33"/>
      <c r="M300" s="41"/>
      <c r="N300" s="33"/>
      <c r="O300" s="41"/>
      <c r="P300" s="33"/>
      <c r="Q300" s="41"/>
      <c r="R300" s="33"/>
      <c r="S300" s="33"/>
      <c r="T300" s="33"/>
      <c r="U300" s="41"/>
      <c r="V300" s="33"/>
      <c r="W300" s="33"/>
      <c r="X300" s="33"/>
      <c r="Y300" s="33"/>
      <c r="Z300" s="33"/>
      <c r="AA300" s="33"/>
      <c r="AB300" s="33"/>
      <c r="AC300" s="33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>
        <v>3</v>
      </c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55">
        <f t="shared" si="53"/>
        <v>3</v>
      </c>
      <c r="AZ300" s="59"/>
      <c r="BA300" s="60"/>
      <c r="BB300" s="60">
        <f>+'[1]25'!R381</f>
        <v>0</v>
      </c>
      <c r="BC300" s="60">
        <v>1</v>
      </c>
      <c r="BD300" s="60"/>
      <c r="BE300" s="60"/>
      <c r="BF300" s="60"/>
      <c r="BG300" s="60"/>
      <c r="BH300" s="60"/>
      <c r="BI300" s="58">
        <f t="shared" si="54"/>
        <v>1</v>
      </c>
      <c r="BJ300" s="70">
        <f t="shared" si="55"/>
        <v>2</v>
      </c>
      <c r="BK300" s="70">
        <f t="shared" si="52"/>
        <v>0</v>
      </c>
      <c r="BL300" s="76"/>
      <c r="BM300" s="77"/>
      <c r="BN300" s="60">
        <f t="shared" si="50"/>
        <v>1</v>
      </c>
      <c r="BO300" s="82"/>
      <c r="BP300" s="83"/>
      <c r="BQ300" s="83"/>
      <c r="BR300" s="83">
        <v>1</v>
      </c>
      <c r="BS300" s="83"/>
      <c r="BT300" s="83"/>
      <c r="BU300" s="83"/>
      <c r="BV300" s="83"/>
      <c r="BW300" s="83"/>
      <c r="BX300" s="83"/>
      <c r="BY300" s="83"/>
      <c r="BZ300" s="9">
        <f t="shared" si="51"/>
        <v>1</v>
      </c>
      <c r="CB300" s="3"/>
      <c r="CD300" s="10"/>
      <c r="CE300" s="95"/>
    </row>
    <row r="301" spans="1:83" s="2" customFormat="1" ht="19.5" thickBot="1" x14ac:dyDescent="0.35">
      <c r="A301" s="17">
        <v>326</v>
      </c>
      <c r="B301" s="134" t="s">
        <v>131</v>
      </c>
      <c r="C301" s="18" t="s">
        <v>82</v>
      </c>
      <c r="D301" s="19"/>
      <c r="E301" s="19"/>
      <c r="F301" s="19"/>
      <c r="G301" s="30"/>
      <c r="H301" s="31"/>
      <c r="I301" s="40"/>
      <c r="J301" s="31"/>
      <c r="K301" s="40"/>
      <c r="L301" s="31"/>
      <c r="M301" s="40"/>
      <c r="N301" s="31"/>
      <c r="O301" s="40"/>
      <c r="P301" s="31"/>
      <c r="Q301" s="40"/>
      <c r="R301" s="31"/>
      <c r="S301" s="31"/>
      <c r="T301" s="31"/>
      <c r="U301" s="40"/>
      <c r="V301" s="31"/>
      <c r="W301" s="31"/>
      <c r="X301" s="31"/>
      <c r="Y301" s="31"/>
      <c r="Z301" s="31"/>
      <c r="AA301" s="31">
        <v>3</v>
      </c>
      <c r="AB301" s="31"/>
      <c r="AC301" s="31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55">
        <f t="shared" si="53"/>
        <v>3</v>
      </c>
      <c r="AZ301" s="56">
        <v>0</v>
      </c>
      <c r="BA301" s="57">
        <v>0</v>
      </c>
      <c r="BB301" s="57">
        <f>+'[1]25'!R403</f>
        <v>3</v>
      </c>
      <c r="BC301" s="57">
        <v>0</v>
      </c>
      <c r="BD301" s="57"/>
      <c r="BE301" s="57"/>
      <c r="BF301" s="57"/>
      <c r="BG301" s="57"/>
      <c r="BH301" s="57"/>
      <c r="BI301" s="55">
        <f t="shared" si="54"/>
        <v>3</v>
      </c>
      <c r="BJ301" s="69">
        <f t="shared" si="55"/>
        <v>0</v>
      </c>
      <c r="BK301" s="69">
        <f t="shared" si="52"/>
        <v>0</v>
      </c>
      <c r="BM301" s="75"/>
      <c r="BN301" s="57">
        <f t="shared" si="50"/>
        <v>0</v>
      </c>
      <c r="BO301" s="80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9">
        <f t="shared" si="51"/>
        <v>0</v>
      </c>
      <c r="CB301" s="3"/>
      <c r="CD301" s="10"/>
      <c r="CE301" s="95"/>
    </row>
    <row r="302" spans="1:83" s="2" customFormat="1" ht="19.5" thickBot="1" x14ac:dyDescent="0.35">
      <c r="A302" s="17">
        <v>327</v>
      </c>
      <c r="B302" s="135"/>
      <c r="C302" s="18" t="s">
        <v>83</v>
      </c>
      <c r="D302" s="19"/>
      <c r="E302" s="19"/>
      <c r="F302" s="19"/>
      <c r="G302" s="30"/>
      <c r="H302" s="31"/>
      <c r="I302" s="40"/>
      <c r="J302" s="31"/>
      <c r="K302" s="40"/>
      <c r="L302" s="31"/>
      <c r="M302" s="40"/>
      <c r="N302" s="31"/>
      <c r="O302" s="40"/>
      <c r="P302" s="31"/>
      <c r="Q302" s="40"/>
      <c r="R302" s="31"/>
      <c r="S302" s="31"/>
      <c r="T302" s="31"/>
      <c r="U302" s="40"/>
      <c r="V302" s="31"/>
      <c r="W302" s="31"/>
      <c r="X302" s="31"/>
      <c r="Y302" s="31"/>
      <c r="Z302" s="31"/>
      <c r="AA302" s="31">
        <v>18</v>
      </c>
      <c r="AB302" s="31"/>
      <c r="AC302" s="31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55">
        <f t="shared" si="53"/>
        <v>18</v>
      </c>
      <c r="AZ302" s="56">
        <v>0</v>
      </c>
      <c r="BA302" s="57">
        <v>0</v>
      </c>
      <c r="BB302" s="57">
        <f>+'[1]25'!R404</f>
        <v>9</v>
      </c>
      <c r="BC302" s="57">
        <v>7</v>
      </c>
      <c r="BD302" s="57"/>
      <c r="BE302" s="57"/>
      <c r="BF302" s="57"/>
      <c r="BG302" s="57"/>
      <c r="BH302" s="57"/>
      <c r="BI302" s="55">
        <f t="shared" si="54"/>
        <v>16</v>
      </c>
      <c r="BJ302" s="69">
        <f t="shared" si="55"/>
        <v>2</v>
      </c>
      <c r="BK302" s="69">
        <f t="shared" si="52"/>
        <v>0</v>
      </c>
      <c r="BM302" s="75"/>
      <c r="BN302" s="57">
        <f t="shared" si="50"/>
        <v>2</v>
      </c>
      <c r="BO302" s="80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9">
        <f t="shared" si="51"/>
        <v>0</v>
      </c>
      <c r="CB302" s="3"/>
      <c r="CD302" s="10"/>
      <c r="CE302" s="95"/>
    </row>
    <row r="303" spans="1:83" s="2" customFormat="1" ht="19.5" thickBot="1" x14ac:dyDescent="0.35">
      <c r="A303" s="17">
        <v>328</v>
      </c>
      <c r="B303" s="135"/>
      <c r="C303" s="18" t="s">
        <v>84</v>
      </c>
      <c r="D303" s="19"/>
      <c r="E303" s="19"/>
      <c r="F303" s="19"/>
      <c r="G303" s="30"/>
      <c r="H303" s="31"/>
      <c r="I303" s="40"/>
      <c r="J303" s="31"/>
      <c r="K303" s="40"/>
      <c r="L303" s="31"/>
      <c r="M303" s="40"/>
      <c r="N303" s="31"/>
      <c r="O303" s="40"/>
      <c r="P303" s="31"/>
      <c r="Q303" s="40"/>
      <c r="R303" s="31"/>
      <c r="S303" s="31"/>
      <c r="T303" s="31"/>
      <c r="U303" s="40"/>
      <c r="V303" s="31"/>
      <c r="W303" s="31"/>
      <c r="X303" s="31"/>
      <c r="Y303" s="31"/>
      <c r="Z303" s="31"/>
      <c r="AA303" s="31">
        <v>21</v>
      </c>
      <c r="AB303" s="31"/>
      <c r="AC303" s="31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55">
        <f t="shared" si="53"/>
        <v>21</v>
      </c>
      <c r="AZ303" s="56">
        <v>0</v>
      </c>
      <c r="BA303" s="57">
        <v>0</v>
      </c>
      <c r="BB303" s="57">
        <f>+'[1]25'!R405</f>
        <v>19</v>
      </c>
      <c r="BC303" s="57">
        <v>2</v>
      </c>
      <c r="BD303" s="57"/>
      <c r="BE303" s="57"/>
      <c r="BF303" s="57"/>
      <c r="BG303" s="57"/>
      <c r="BH303" s="57"/>
      <c r="BI303" s="55">
        <f t="shared" si="54"/>
        <v>21</v>
      </c>
      <c r="BJ303" s="69">
        <f t="shared" si="55"/>
        <v>0</v>
      </c>
      <c r="BK303" s="69">
        <f t="shared" si="52"/>
        <v>0</v>
      </c>
      <c r="BM303" s="75"/>
      <c r="BN303" s="57">
        <f t="shared" si="50"/>
        <v>0</v>
      </c>
      <c r="BO303" s="80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9">
        <f t="shared" si="51"/>
        <v>0</v>
      </c>
      <c r="CB303" s="3"/>
      <c r="CD303" s="10"/>
      <c r="CE303" s="95"/>
    </row>
    <row r="304" spans="1:83" s="2" customFormat="1" ht="19.5" thickBot="1" x14ac:dyDescent="0.35">
      <c r="A304" s="17">
        <v>329</v>
      </c>
      <c r="B304" s="135"/>
      <c r="C304" s="18" t="s">
        <v>85</v>
      </c>
      <c r="D304" s="19"/>
      <c r="E304" s="19"/>
      <c r="F304" s="19"/>
      <c r="G304" s="30"/>
      <c r="H304" s="31"/>
      <c r="I304" s="40"/>
      <c r="J304" s="31"/>
      <c r="K304" s="40"/>
      <c r="L304" s="31"/>
      <c r="M304" s="40"/>
      <c r="N304" s="31"/>
      <c r="O304" s="40"/>
      <c r="P304" s="31"/>
      <c r="Q304" s="40"/>
      <c r="R304" s="31"/>
      <c r="S304" s="31"/>
      <c r="T304" s="31"/>
      <c r="U304" s="40"/>
      <c r="V304" s="31"/>
      <c r="W304" s="31"/>
      <c r="X304" s="31"/>
      <c r="Y304" s="31"/>
      <c r="Z304" s="31"/>
      <c r="AA304" s="31">
        <v>30</v>
      </c>
      <c r="AB304" s="31"/>
      <c r="AC304" s="31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55">
        <f t="shared" si="53"/>
        <v>30</v>
      </c>
      <c r="AZ304" s="56">
        <v>0</v>
      </c>
      <c r="BA304" s="57">
        <v>0</v>
      </c>
      <c r="BB304" s="57">
        <f>+'[1]25'!R406</f>
        <v>21</v>
      </c>
      <c r="BC304" s="57">
        <v>9</v>
      </c>
      <c r="BD304" s="57"/>
      <c r="BE304" s="57"/>
      <c r="BF304" s="57"/>
      <c r="BG304" s="57"/>
      <c r="BH304" s="57"/>
      <c r="BI304" s="55">
        <f t="shared" si="54"/>
        <v>30</v>
      </c>
      <c r="BJ304" s="69">
        <f t="shared" si="55"/>
        <v>0</v>
      </c>
      <c r="BK304" s="69">
        <f t="shared" si="52"/>
        <v>0</v>
      </c>
      <c r="BM304" s="75"/>
      <c r="BN304" s="57">
        <f t="shared" si="50"/>
        <v>0</v>
      </c>
      <c r="BO304" s="80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9">
        <f t="shared" si="51"/>
        <v>0</v>
      </c>
      <c r="CB304" s="3"/>
      <c r="CD304" s="10"/>
      <c r="CE304" s="95"/>
    </row>
    <row r="305" spans="1:83" s="2" customFormat="1" ht="19.5" thickBot="1" x14ac:dyDescent="0.35">
      <c r="A305" s="17">
        <v>330</v>
      </c>
      <c r="B305" s="135"/>
      <c r="C305" s="18" t="s">
        <v>86</v>
      </c>
      <c r="D305" s="19"/>
      <c r="E305" s="19"/>
      <c r="F305" s="19"/>
      <c r="G305" s="30"/>
      <c r="H305" s="31"/>
      <c r="I305" s="40"/>
      <c r="J305" s="31"/>
      <c r="K305" s="40"/>
      <c r="L305" s="31"/>
      <c r="M305" s="40"/>
      <c r="N305" s="31"/>
      <c r="O305" s="40"/>
      <c r="P305" s="31"/>
      <c r="Q305" s="40"/>
      <c r="R305" s="31"/>
      <c r="S305" s="31"/>
      <c r="T305" s="31"/>
      <c r="U305" s="40"/>
      <c r="V305" s="31"/>
      <c r="W305" s="31"/>
      <c r="X305" s="31"/>
      <c r="Y305" s="31"/>
      <c r="Z305" s="31"/>
      <c r="AA305" s="31">
        <v>21</v>
      </c>
      <c r="AB305" s="31"/>
      <c r="AC305" s="31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55">
        <f t="shared" si="53"/>
        <v>21</v>
      </c>
      <c r="AZ305" s="56">
        <v>0</v>
      </c>
      <c r="BA305" s="57">
        <v>0</v>
      </c>
      <c r="BB305" s="57">
        <v>21</v>
      </c>
      <c r="BC305" s="57">
        <v>0</v>
      </c>
      <c r="BD305" s="57"/>
      <c r="BE305" s="57"/>
      <c r="BF305" s="57"/>
      <c r="BG305" s="57"/>
      <c r="BH305" s="57"/>
      <c r="BI305" s="55">
        <f t="shared" si="54"/>
        <v>21</v>
      </c>
      <c r="BJ305" s="69">
        <f t="shared" si="55"/>
        <v>0</v>
      </c>
      <c r="BK305" s="69">
        <f t="shared" si="52"/>
        <v>0</v>
      </c>
      <c r="BM305" s="75"/>
      <c r="BN305" s="57">
        <f t="shared" si="50"/>
        <v>0</v>
      </c>
      <c r="BO305" s="80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9">
        <f t="shared" si="51"/>
        <v>0</v>
      </c>
      <c r="CB305" s="3"/>
      <c r="CD305" s="10"/>
      <c r="CE305" s="95"/>
    </row>
    <row r="306" spans="1:83" s="2" customFormat="1" ht="19.5" thickBot="1" x14ac:dyDescent="0.35">
      <c r="A306" s="17">
        <v>331</v>
      </c>
      <c r="B306" s="135"/>
      <c r="C306" s="18" t="s">
        <v>87</v>
      </c>
      <c r="D306" s="19"/>
      <c r="E306" s="19"/>
      <c r="F306" s="19"/>
      <c r="G306" s="30"/>
      <c r="H306" s="31"/>
      <c r="I306" s="40"/>
      <c r="J306" s="31"/>
      <c r="K306" s="40"/>
      <c r="L306" s="31"/>
      <c r="M306" s="40"/>
      <c r="N306" s="31"/>
      <c r="O306" s="40"/>
      <c r="P306" s="31"/>
      <c r="Q306" s="40"/>
      <c r="R306" s="31"/>
      <c r="S306" s="31"/>
      <c r="T306" s="31"/>
      <c r="U306" s="40"/>
      <c r="V306" s="31"/>
      <c r="W306" s="31"/>
      <c r="X306" s="31"/>
      <c r="Y306" s="31"/>
      <c r="Z306" s="31"/>
      <c r="AA306" s="31">
        <v>12</v>
      </c>
      <c r="AB306" s="31"/>
      <c r="AC306" s="31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55">
        <f t="shared" si="53"/>
        <v>12</v>
      </c>
      <c r="AZ306" s="56">
        <v>0</v>
      </c>
      <c r="BA306" s="57">
        <v>0</v>
      </c>
      <c r="BB306" s="57">
        <f>+'[1]25'!R408</f>
        <v>11</v>
      </c>
      <c r="BC306" s="57">
        <v>1</v>
      </c>
      <c r="BD306" s="57"/>
      <c r="BE306" s="57"/>
      <c r="BF306" s="57"/>
      <c r="BG306" s="57"/>
      <c r="BH306" s="57"/>
      <c r="BI306" s="55">
        <f t="shared" si="54"/>
        <v>12</v>
      </c>
      <c r="BJ306" s="69">
        <f t="shared" si="55"/>
        <v>0</v>
      </c>
      <c r="BK306" s="69">
        <f t="shared" si="52"/>
        <v>0</v>
      </c>
      <c r="BM306" s="75"/>
      <c r="BN306" s="57">
        <f t="shared" si="50"/>
        <v>0</v>
      </c>
      <c r="BO306" s="80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9">
        <f t="shared" si="51"/>
        <v>0</v>
      </c>
      <c r="CB306" s="3"/>
      <c r="CD306" s="10"/>
      <c r="CE306" s="95"/>
    </row>
    <row r="307" spans="1:83" s="2" customFormat="1" ht="19.5" thickBot="1" x14ac:dyDescent="0.35">
      <c r="A307" s="17">
        <v>332</v>
      </c>
      <c r="B307" s="135"/>
      <c r="C307" s="20" t="s">
        <v>88</v>
      </c>
      <c r="D307" s="21"/>
      <c r="E307" s="21"/>
      <c r="F307" s="21"/>
      <c r="G307" s="32"/>
      <c r="H307" s="33"/>
      <c r="I307" s="41"/>
      <c r="J307" s="33"/>
      <c r="K307" s="41"/>
      <c r="L307" s="33"/>
      <c r="M307" s="41"/>
      <c r="N307" s="33"/>
      <c r="O307" s="41"/>
      <c r="P307" s="33"/>
      <c r="Q307" s="41"/>
      <c r="R307" s="33"/>
      <c r="S307" s="33"/>
      <c r="T307" s="33"/>
      <c r="U307" s="41"/>
      <c r="V307" s="33"/>
      <c r="W307" s="33"/>
      <c r="X307" s="33"/>
      <c r="Y307" s="33"/>
      <c r="Z307" s="33"/>
      <c r="AA307" s="33">
        <v>3</v>
      </c>
      <c r="AB307" s="33"/>
      <c r="AC307" s="33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55">
        <f t="shared" si="53"/>
        <v>3</v>
      </c>
      <c r="AZ307" s="59">
        <v>0</v>
      </c>
      <c r="BA307" s="60">
        <v>0</v>
      </c>
      <c r="BB307" s="60">
        <f>+'[1]25'!R409</f>
        <v>2</v>
      </c>
      <c r="BC307" s="60">
        <v>1</v>
      </c>
      <c r="BD307" s="60"/>
      <c r="BE307" s="60"/>
      <c r="BF307" s="60"/>
      <c r="BG307" s="60"/>
      <c r="BH307" s="60"/>
      <c r="BI307" s="58">
        <f t="shared" si="54"/>
        <v>3</v>
      </c>
      <c r="BJ307" s="70">
        <f t="shared" si="55"/>
        <v>0</v>
      </c>
      <c r="BK307" s="70">
        <f t="shared" si="52"/>
        <v>0</v>
      </c>
      <c r="BL307" s="76"/>
      <c r="BM307" s="77"/>
      <c r="BN307" s="60">
        <f t="shared" si="50"/>
        <v>0</v>
      </c>
      <c r="BO307" s="82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9">
        <f t="shared" si="51"/>
        <v>0</v>
      </c>
      <c r="CB307" s="3"/>
      <c r="CD307" s="10"/>
      <c r="CE307" s="95"/>
    </row>
    <row r="308" spans="1:83" s="2" customFormat="1" ht="19.5" thickBot="1" x14ac:dyDescent="0.35">
      <c r="A308" s="17">
        <v>333</v>
      </c>
      <c r="B308" s="134" t="s">
        <v>132</v>
      </c>
      <c r="C308" s="18" t="s">
        <v>106</v>
      </c>
      <c r="D308" s="19"/>
      <c r="E308" s="19"/>
      <c r="F308" s="19"/>
      <c r="G308" s="30"/>
      <c r="H308" s="31"/>
      <c r="I308" s="40"/>
      <c r="J308" s="31"/>
      <c r="K308" s="40"/>
      <c r="L308" s="31"/>
      <c r="M308" s="40"/>
      <c r="N308" s="31"/>
      <c r="O308" s="40"/>
      <c r="P308" s="31"/>
      <c r="Q308" s="40"/>
      <c r="R308" s="31"/>
      <c r="S308" s="31"/>
      <c r="T308" s="31"/>
      <c r="U308" s="40"/>
      <c r="V308" s="31"/>
      <c r="W308" s="31"/>
      <c r="X308" s="31"/>
      <c r="Y308" s="31"/>
      <c r="Z308" s="31"/>
      <c r="AA308" s="31"/>
      <c r="AB308" s="31"/>
      <c r="AC308" s="31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>
        <v>3</v>
      </c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55">
        <f t="shared" si="53"/>
        <v>3</v>
      </c>
      <c r="AZ308" s="56"/>
      <c r="BA308" s="57"/>
      <c r="BB308" s="57">
        <f>+'[1]25'!R410</f>
        <v>0</v>
      </c>
      <c r="BC308" s="57">
        <v>0</v>
      </c>
      <c r="BD308" s="57"/>
      <c r="BE308" s="57"/>
      <c r="BF308" s="57"/>
      <c r="BG308" s="57"/>
      <c r="BH308" s="57"/>
      <c r="BI308" s="55">
        <f t="shared" si="54"/>
        <v>0</v>
      </c>
      <c r="BJ308" s="69">
        <f t="shared" si="55"/>
        <v>3</v>
      </c>
      <c r="BK308" s="69">
        <f t="shared" si="52"/>
        <v>0</v>
      </c>
      <c r="BM308" s="75"/>
      <c r="BN308" s="57">
        <f t="shared" si="50"/>
        <v>1</v>
      </c>
      <c r="BO308" s="80"/>
      <c r="BP308" s="81">
        <v>1</v>
      </c>
      <c r="BQ308" s="81"/>
      <c r="BR308" s="81">
        <v>1</v>
      </c>
      <c r="BS308" s="81"/>
      <c r="BT308" s="81"/>
      <c r="BU308" s="81"/>
      <c r="BV308" s="81"/>
      <c r="BW308" s="81"/>
      <c r="BX308" s="81"/>
      <c r="BY308" s="81"/>
      <c r="BZ308" s="9">
        <f t="shared" si="51"/>
        <v>2</v>
      </c>
      <c r="CB308" s="3"/>
      <c r="CD308" s="10"/>
      <c r="CE308" s="95"/>
    </row>
    <row r="309" spans="1:83" s="2" customFormat="1" ht="19.5" thickBot="1" x14ac:dyDescent="0.35">
      <c r="A309" s="17">
        <v>334</v>
      </c>
      <c r="B309" s="135"/>
      <c r="C309" s="18" t="s">
        <v>82</v>
      </c>
      <c r="D309" s="19"/>
      <c r="E309" s="19"/>
      <c r="F309" s="19"/>
      <c r="G309" s="30"/>
      <c r="H309" s="31"/>
      <c r="I309" s="40"/>
      <c r="J309" s="31"/>
      <c r="K309" s="40"/>
      <c r="L309" s="31"/>
      <c r="M309" s="40"/>
      <c r="N309" s="31"/>
      <c r="O309" s="40"/>
      <c r="P309" s="31"/>
      <c r="Q309" s="40"/>
      <c r="R309" s="31"/>
      <c r="S309" s="31"/>
      <c r="T309" s="31"/>
      <c r="U309" s="40"/>
      <c r="V309" s="31"/>
      <c r="W309" s="31"/>
      <c r="X309" s="31"/>
      <c r="Y309" s="31"/>
      <c r="Z309" s="31"/>
      <c r="AA309" s="31"/>
      <c r="AB309" s="31"/>
      <c r="AC309" s="31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>
        <v>12</v>
      </c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55">
        <f t="shared" si="53"/>
        <v>12</v>
      </c>
      <c r="AZ309" s="56"/>
      <c r="BA309" s="57"/>
      <c r="BB309" s="57">
        <f>+'[1]25'!R411</f>
        <v>0</v>
      </c>
      <c r="BC309" s="57">
        <v>1</v>
      </c>
      <c r="BD309" s="57"/>
      <c r="BE309" s="57"/>
      <c r="BF309" s="57"/>
      <c r="BG309" s="57"/>
      <c r="BH309" s="57"/>
      <c r="BI309" s="55">
        <f t="shared" si="54"/>
        <v>1</v>
      </c>
      <c r="BJ309" s="69">
        <f t="shared" si="55"/>
        <v>11</v>
      </c>
      <c r="BK309" s="69">
        <f t="shared" si="52"/>
        <v>0</v>
      </c>
      <c r="BM309" s="75"/>
      <c r="BN309" s="57">
        <f t="shared" si="50"/>
        <v>5</v>
      </c>
      <c r="BO309" s="80"/>
      <c r="BP309" s="81">
        <v>2</v>
      </c>
      <c r="BQ309" s="81">
        <v>2</v>
      </c>
      <c r="BR309" s="81">
        <v>2</v>
      </c>
      <c r="BS309" s="81"/>
      <c r="BT309" s="81"/>
      <c r="BU309" s="81"/>
      <c r="BV309" s="81"/>
      <c r="BW309" s="81"/>
      <c r="BX309" s="81"/>
      <c r="BY309" s="81"/>
      <c r="BZ309" s="9">
        <f t="shared" si="51"/>
        <v>6</v>
      </c>
      <c r="CB309" s="3"/>
      <c r="CD309" s="10"/>
      <c r="CE309" s="95"/>
    </row>
    <row r="310" spans="1:83" s="2" customFormat="1" ht="19.5" thickBot="1" x14ac:dyDescent="0.35">
      <c r="A310" s="17">
        <v>335</v>
      </c>
      <c r="B310" s="135"/>
      <c r="C310" s="18" t="s">
        <v>83</v>
      </c>
      <c r="D310" s="19"/>
      <c r="E310" s="19"/>
      <c r="F310" s="19"/>
      <c r="G310" s="30"/>
      <c r="H310" s="31"/>
      <c r="I310" s="40"/>
      <c r="J310" s="31"/>
      <c r="K310" s="40"/>
      <c r="L310" s="31"/>
      <c r="M310" s="40"/>
      <c r="N310" s="31"/>
      <c r="O310" s="40"/>
      <c r="P310" s="31"/>
      <c r="Q310" s="40"/>
      <c r="R310" s="31"/>
      <c r="S310" s="31"/>
      <c r="T310" s="31"/>
      <c r="U310" s="40"/>
      <c r="V310" s="31"/>
      <c r="W310" s="31"/>
      <c r="X310" s="31"/>
      <c r="Y310" s="31"/>
      <c r="Z310" s="31"/>
      <c r="AA310" s="31"/>
      <c r="AB310" s="31"/>
      <c r="AC310" s="31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>
        <v>24</v>
      </c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55">
        <f t="shared" si="53"/>
        <v>24</v>
      </c>
      <c r="AZ310" s="56"/>
      <c r="BA310" s="57"/>
      <c r="BB310" s="57">
        <f>+'[1]25'!R412</f>
        <v>0</v>
      </c>
      <c r="BC310" s="57">
        <v>13</v>
      </c>
      <c r="BD310" s="57"/>
      <c r="BE310" s="57"/>
      <c r="BF310" s="57"/>
      <c r="BG310" s="57"/>
      <c r="BH310" s="57"/>
      <c r="BI310" s="55">
        <f t="shared" si="54"/>
        <v>13</v>
      </c>
      <c r="BJ310" s="69">
        <f t="shared" si="55"/>
        <v>11</v>
      </c>
      <c r="BK310" s="69">
        <f t="shared" si="52"/>
        <v>0</v>
      </c>
      <c r="BM310" s="75"/>
      <c r="BN310" s="57">
        <f t="shared" si="50"/>
        <v>1</v>
      </c>
      <c r="BO310" s="80"/>
      <c r="BP310" s="81">
        <v>2</v>
      </c>
      <c r="BQ310" s="81">
        <v>2</v>
      </c>
      <c r="BR310" s="81">
        <v>3</v>
      </c>
      <c r="BS310" s="81">
        <v>1</v>
      </c>
      <c r="BT310" s="81">
        <v>1</v>
      </c>
      <c r="BU310" s="81">
        <v>1</v>
      </c>
      <c r="BV310" s="81"/>
      <c r="BW310" s="81"/>
      <c r="BX310" s="81"/>
      <c r="BY310" s="81"/>
      <c r="BZ310" s="9">
        <f t="shared" si="51"/>
        <v>10</v>
      </c>
      <c r="CB310" s="3"/>
      <c r="CD310" s="10"/>
      <c r="CE310" s="95"/>
    </row>
    <row r="311" spans="1:83" s="2" customFormat="1" ht="19.5" thickBot="1" x14ac:dyDescent="0.35">
      <c r="A311" s="17">
        <v>336</v>
      </c>
      <c r="B311" s="135"/>
      <c r="C311" s="18" t="s">
        <v>84</v>
      </c>
      <c r="D311" s="19"/>
      <c r="E311" s="19"/>
      <c r="F311" s="19"/>
      <c r="G311" s="30"/>
      <c r="H311" s="31"/>
      <c r="I311" s="40"/>
      <c r="J311" s="31"/>
      <c r="K311" s="40"/>
      <c r="L311" s="31"/>
      <c r="M311" s="40"/>
      <c r="N311" s="31"/>
      <c r="O311" s="40"/>
      <c r="P311" s="31"/>
      <c r="Q311" s="40"/>
      <c r="R311" s="31"/>
      <c r="S311" s="31"/>
      <c r="T311" s="31"/>
      <c r="U311" s="40"/>
      <c r="V311" s="31"/>
      <c r="W311" s="31"/>
      <c r="X311" s="31"/>
      <c r="Y311" s="31"/>
      <c r="Z311" s="31"/>
      <c r="AA311" s="31"/>
      <c r="AB311" s="31"/>
      <c r="AC311" s="31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>
        <v>42</v>
      </c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55">
        <f t="shared" si="53"/>
        <v>42</v>
      </c>
      <c r="AZ311" s="56"/>
      <c r="BA311" s="57"/>
      <c r="BB311" s="57">
        <f>+'[1]25'!R413</f>
        <v>0</v>
      </c>
      <c r="BC311" s="57">
        <v>24</v>
      </c>
      <c r="BD311" s="57"/>
      <c r="BE311" s="57"/>
      <c r="BF311" s="57"/>
      <c r="BG311" s="57"/>
      <c r="BH311" s="57"/>
      <c r="BI311" s="55">
        <f t="shared" si="54"/>
        <v>24</v>
      </c>
      <c r="BJ311" s="69">
        <f t="shared" si="55"/>
        <v>18</v>
      </c>
      <c r="BK311" s="69">
        <f t="shared" si="52"/>
        <v>0</v>
      </c>
      <c r="BM311" s="75"/>
      <c r="BN311" s="57">
        <f t="shared" ref="BN311:BN374" si="56">+BJ311-BZ311</f>
        <v>6</v>
      </c>
      <c r="BO311" s="80"/>
      <c r="BP311" s="81">
        <v>3</v>
      </c>
      <c r="BQ311" s="81">
        <v>1</v>
      </c>
      <c r="BR311" s="81">
        <v>3</v>
      </c>
      <c r="BS311" s="81">
        <v>2</v>
      </c>
      <c r="BT311" s="81">
        <v>1</v>
      </c>
      <c r="BU311" s="81">
        <v>2</v>
      </c>
      <c r="BV311" s="81"/>
      <c r="BW311" s="81"/>
      <c r="BX311" s="81"/>
      <c r="BY311" s="81"/>
      <c r="BZ311" s="9">
        <f t="shared" si="51"/>
        <v>12</v>
      </c>
      <c r="CB311" s="3"/>
      <c r="CD311" s="10"/>
      <c r="CE311" s="95"/>
    </row>
    <row r="312" spans="1:83" s="2" customFormat="1" ht="19.5" thickBot="1" x14ac:dyDescent="0.35">
      <c r="A312" s="17">
        <v>337</v>
      </c>
      <c r="B312" s="135"/>
      <c r="C312" s="18" t="s">
        <v>85</v>
      </c>
      <c r="D312" s="19"/>
      <c r="E312" s="19"/>
      <c r="F312" s="19"/>
      <c r="G312" s="30"/>
      <c r="H312" s="31"/>
      <c r="I312" s="40"/>
      <c r="J312" s="31"/>
      <c r="K312" s="40"/>
      <c r="L312" s="31"/>
      <c r="M312" s="40"/>
      <c r="N312" s="31"/>
      <c r="O312" s="40"/>
      <c r="P312" s="31"/>
      <c r="Q312" s="40"/>
      <c r="R312" s="31"/>
      <c r="S312" s="31"/>
      <c r="T312" s="31"/>
      <c r="U312" s="40"/>
      <c r="V312" s="31"/>
      <c r="W312" s="31"/>
      <c r="X312" s="31"/>
      <c r="Y312" s="31"/>
      <c r="Z312" s="31"/>
      <c r="AA312" s="31"/>
      <c r="AB312" s="31"/>
      <c r="AC312" s="31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>
        <v>63</v>
      </c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55">
        <f t="shared" si="53"/>
        <v>63</v>
      </c>
      <c r="AZ312" s="56"/>
      <c r="BA312" s="57"/>
      <c r="BB312" s="57">
        <f>+'[1]25'!R414</f>
        <v>0</v>
      </c>
      <c r="BC312" s="57">
        <v>36</v>
      </c>
      <c r="BD312" s="57"/>
      <c r="BE312" s="57"/>
      <c r="BF312" s="57"/>
      <c r="BG312" s="57"/>
      <c r="BH312" s="57"/>
      <c r="BI312" s="55">
        <f t="shared" si="54"/>
        <v>36</v>
      </c>
      <c r="BJ312" s="69">
        <f t="shared" si="55"/>
        <v>27</v>
      </c>
      <c r="BK312" s="69">
        <f t="shared" si="52"/>
        <v>0</v>
      </c>
      <c r="BM312" s="75"/>
      <c r="BN312" s="57">
        <f t="shared" si="56"/>
        <v>15</v>
      </c>
      <c r="BO312" s="80"/>
      <c r="BP312" s="81">
        <v>2</v>
      </c>
      <c r="BQ312" s="81">
        <v>2</v>
      </c>
      <c r="BR312" s="81">
        <v>2</v>
      </c>
      <c r="BS312" s="81">
        <v>2</v>
      </c>
      <c r="BT312" s="81">
        <v>2</v>
      </c>
      <c r="BU312" s="81">
        <v>2</v>
      </c>
      <c r="BV312" s="81"/>
      <c r="BW312" s="81"/>
      <c r="BX312" s="81"/>
      <c r="BY312" s="81"/>
      <c r="BZ312" s="9">
        <f t="shared" si="51"/>
        <v>12</v>
      </c>
      <c r="CB312" s="3"/>
      <c r="CD312" s="10"/>
      <c r="CE312" s="95"/>
    </row>
    <row r="313" spans="1:83" s="2" customFormat="1" ht="19.5" thickBot="1" x14ac:dyDescent="0.35">
      <c r="A313" s="17">
        <v>338</v>
      </c>
      <c r="B313" s="135"/>
      <c r="C313" s="18" t="s">
        <v>86</v>
      </c>
      <c r="D313" s="19"/>
      <c r="E313" s="19"/>
      <c r="F313" s="19"/>
      <c r="G313" s="30"/>
      <c r="H313" s="31"/>
      <c r="I313" s="40"/>
      <c r="J313" s="31"/>
      <c r="K313" s="40"/>
      <c r="L313" s="31"/>
      <c r="M313" s="40"/>
      <c r="N313" s="31"/>
      <c r="O313" s="40"/>
      <c r="P313" s="31"/>
      <c r="Q313" s="40"/>
      <c r="R313" s="31"/>
      <c r="S313" s="31"/>
      <c r="T313" s="31"/>
      <c r="U313" s="40"/>
      <c r="V313" s="31"/>
      <c r="W313" s="31"/>
      <c r="X313" s="31"/>
      <c r="Y313" s="31"/>
      <c r="Z313" s="31"/>
      <c r="AA313" s="31"/>
      <c r="AB313" s="31"/>
      <c r="AC313" s="31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>
        <v>48</v>
      </c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55">
        <f t="shared" si="53"/>
        <v>48</v>
      </c>
      <c r="AZ313" s="56"/>
      <c r="BA313" s="57"/>
      <c r="BB313" s="57">
        <f>+'[1]25'!R415</f>
        <v>0</v>
      </c>
      <c r="BC313" s="57">
        <v>41</v>
      </c>
      <c r="BD313" s="57"/>
      <c r="BE313" s="57"/>
      <c r="BF313" s="57"/>
      <c r="BG313" s="57"/>
      <c r="BH313" s="57"/>
      <c r="BI313" s="55">
        <f t="shared" si="54"/>
        <v>41</v>
      </c>
      <c r="BJ313" s="69">
        <f t="shared" si="55"/>
        <v>7</v>
      </c>
      <c r="BK313" s="69">
        <f t="shared" si="52"/>
        <v>0</v>
      </c>
      <c r="BM313" s="75"/>
      <c r="BN313" s="57">
        <f t="shared" si="56"/>
        <v>0</v>
      </c>
      <c r="BO313" s="80"/>
      <c r="BP313" s="81">
        <v>1</v>
      </c>
      <c r="BQ313" s="81"/>
      <c r="BR313" s="81">
        <v>2</v>
      </c>
      <c r="BS313" s="81">
        <v>2</v>
      </c>
      <c r="BT313" s="81">
        <v>2</v>
      </c>
      <c r="BU313" s="81"/>
      <c r="BV313" s="81"/>
      <c r="BW313" s="81"/>
      <c r="BX313" s="81"/>
      <c r="BY313" s="81"/>
      <c r="BZ313" s="9">
        <f t="shared" ref="BZ313:BZ376" si="57">SUM(BP313:BY313)</f>
        <v>7</v>
      </c>
      <c r="CB313" s="3"/>
      <c r="CD313" s="10"/>
      <c r="CE313" s="95"/>
    </row>
    <row r="314" spans="1:83" s="2" customFormat="1" ht="19.5" thickBot="1" x14ac:dyDescent="0.35">
      <c r="A314" s="17">
        <v>339</v>
      </c>
      <c r="B314" s="135"/>
      <c r="C314" s="18" t="s">
        <v>87</v>
      </c>
      <c r="D314" s="19"/>
      <c r="E314" s="19"/>
      <c r="F314" s="19"/>
      <c r="G314" s="30"/>
      <c r="H314" s="31"/>
      <c r="I314" s="40"/>
      <c r="J314" s="31"/>
      <c r="K314" s="40"/>
      <c r="L314" s="31"/>
      <c r="M314" s="40"/>
      <c r="N314" s="31"/>
      <c r="O314" s="40"/>
      <c r="P314" s="31"/>
      <c r="Q314" s="40"/>
      <c r="R314" s="31"/>
      <c r="S314" s="31"/>
      <c r="T314" s="31"/>
      <c r="U314" s="40"/>
      <c r="V314" s="31"/>
      <c r="W314" s="31"/>
      <c r="X314" s="31"/>
      <c r="Y314" s="31"/>
      <c r="Z314" s="31"/>
      <c r="AA314" s="31"/>
      <c r="AB314" s="31"/>
      <c r="AC314" s="31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>
        <v>27</v>
      </c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55">
        <f t="shared" si="53"/>
        <v>27</v>
      </c>
      <c r="AZ314" s="56"/>
      <c r="BA314" s="57"/>
      <c r="BB314" s="57">
        <f>+'[1]25'!R416</f>
        <v>0</v>
      </c>
      <c r="BC314" s="57">
        <v>18</v>
      </c>
      <c r="BD314" s="57"/>
      <c r="BE314" s="57"/>
      <c r="BF314" s="57"/>
      <c r="BG314" s="57"/>
      <c r="BH314" s="57"/>
      <c r="BI314" s="55">
        <f t="shared" si="54"/>
        <v>18</v>
      </c>
      <c r="BJ314" s="69">
        <f t="shared" si="55"/>
        <v>9</v>
      </c>
      <c r="BK314" s="69">
        <f t="shared" si="52"/>
        <v>0</v>
      </c>
      <c r="BM314" s="75"/>
      <c r="BN314" s="57">
        <f t="shared" si="56"/>
        <v>1</v>
      </c>
      <c r="BO314" s="80"/>
      <c r="BP314" s="81">
        <v>2</v>
      </c>
      <c r="BQ314" s="81">
        <v>2</v>
      </c>
      <c r="BR314" s="81">
        <v>1</v>
      </c>
      <c r="BS314" s="81">
        <v>1</v>
      </c>
      <c r="BT314" s="81">
        <v>1</v>
      </c>
      <c r="BU314" s="81">
        <v>1</v>
      </c>
      <c r="BV314" s="81"/>
      <c r="BW314" s="81"/>
      <c r="BX314" s="81"/>
      <c r="BY314" s="81"/>
      <c r="BZ314" s="9">
        <f t="shared" si="57"/>
        <v>8</v>
      </c>
      <c r="CB314" s="3"/>
      <c r="CD314" s="10"/>
      <c r="CE314" s="95"/>
    </row>
    <row r="315" spans="1:83" s="2" customFormat="1" ht="19.5" thickBot="1" x14ac:dyDescent="0.35">
      <c r="A315" s="17">
        <v>340</v>
      </c>
      <c r="B315" s="135"/>
      <c r="C315" s="20" t="s">
        <v>88</v>
      </c>
      <c r="D315" s="21"/>
      <c r="E315" s="21"/>
      <c r="F315" s="21"/>
      <c r="G315" s="32"/>
      <c r="H315" s="33"/>
      <c r="I315" s="41"/>
      <c r="J315" s="33"/>
      <c r="K315" s="41"/>
      <c r="L315" s="33"/>
      <c r="M315" s="41"/>
      <c r="N315" s="33"/>
      <c r="O315" s="41"/>
      <c r="P315" s="33"/>
      <c r="Q315" s="41"/>
      <c r="R315" s="33"/>
      <c r="S315" s="33"/>
      <c r="T315" s="33"/>
      <c r="U315" s="41"/>
      <c r="V315" s="33"/>
      <c r="W315" s="33"/>
      <c r="X315" s="33"/>
      <c r="Y315" s="33"/>
      <c r="Z315" s="33"/>
      <c r="AA315" s="33"/>
      <c r="AB315" s="33"/>
      <c r="AC315" s="33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>
        <v>9</v>
      </c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55">
        <f t="shared" si="53"/>
        <v>9</v>
      </c>
      <c r="AZ315" s="59"/>
      <c r="BA315" s="60"/>
      <c r="BB315" s="60">
        <f>+'[1]25'!R417</f>
        <v>0</v>
      </c>
      <c r="BC315" s="60">
        <v>4</v>
      </c>
      <c r="BD315" s="60"/>
      <c r="BE315" s="60"/>
      <c r="BF315" s="60"/>
      <c r="BG315" s="60"/>
      <c r="BH315" s="60"/>
      <c r="BI315" s="58">
        <f t="shared" si="54"/>
        <v>4</v>
      </c>
      <c r="BJ315" s="70">
        <f t="shared" si="55"/>
        <v>5</v>
      </c>
      <c r="BK315" s="70">
        <f t="shared" si="52"/>
        <v>0</v>
      </c>
      <c r="BL315" s="76"/>
      <c r="BM315" s="77"/>
      <c r="BN315" s="60">
        <f t="shared" si="56"/>
        <v>1</v>
      </c>
      <c r="BO315" s="82"/>
      <c r="BP315" s="83">
        <v>2</v>
      </c>
      <c r="BQ315" s="83">
        <v>1</v>
      </c>
      <c r="BR315" s="83">
        <v>1</v>
      </c>
      <c r="BS315" s="83"/>
      <c r="BT315" s="83"/>
      <c r="BU315" s="83"/>
      <c r="BV315" s="83"/>
      <c r="BW315" s="83"/>
      <c r="BX315" s="83"/>
      <c r="BY315" s="83"/>
      <c r="BZ315" s="9">
        <f t="shared" si="57"/>
        <v>4</v>
      </c>
      <c r="CB315" s="3"/>
      <c r="CD315" s="10"/>
      <c r="CE315" s="95"/>
    </row>
    <row r="316" spans="1:83" s="2" customFormat="1" ht="19.5" thickBot="1" x14ac:dyDescent="0.35">
      <c r="A316" s="17">
        <v>341</v>
      </c>
      <c r="B316" s="134" t="s">
        <v>133</v>
      </c>
      <c r="C316" s="18" t="s">
        <v>82</v>
      </c>
      <c r="D316" s="19"/>
      <c r="E316" s="19"/>
      <c r="F316" s="19"/>
      <c r="G316" s="30"/>
      <c r="H316" s="31"/>
      <c r="I316" s="40"/>
      <c r="J316" s="31"/>
      <c r="K316" s="40"/>
      <c r="L316" s="31"/>
      <c r="M316" s="40"/>
      <c r="N316" s="31"/>
      <c r="O316" s="40"/>
      <c r="P316" s="31"/>
      <c r="Q316" s="40"/>
      <c r="R316" s="31"/>
      <c r="S316" s="31"/>
      <c r="T316" s="31"/>
      <c r="U316" s="40"/>
      <c r="V316" s="31"/>
      <c r="W316" s="31"/>
      <c r="X316" s="31"/>
      <c r="Y316" s="31"/>
      <c r="Z316" s="31"/>
      <c r="AA316" s="31"/>
      <c r="AB316" s="31"/>
      <c r="AC316" s="31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>
        <v>3</v>
      </c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55">
        <f t="shared" si="53"/>
        <v>3</v>
      </c>
      <c r="AZ316" s="56"/>
      <c r="BA316" s="57"/>
      <c r="BB316" s="57">
        <f>+'[1]25'!R418</f>
        <v>0</v>
      </c>
      <c r="BC316" s="57">
        <v>0</v>
      </c>
      <c r="BD316" s="57"/>
      <c r="BE316" s="57"/>
      <c r="BF316" s="57"/>
      <c r="BG316" s="57"/>
      <c r="BH316" s="57"/>
      <c r="BI316" s="55">
        <f t="shared" si="54"/>
        <v>0</v>
      </c>
      <c r="BJ316" s="69">
        <f t="shared" si="55"/>
        <v>3</v>
      </c>
      <c r="BK316" s="69">
        <f t="shared" ref="BK316:BK379" si="58">SUM(AT316:AX316)</f>
        <v>0</v>
      </c>
      <c r="BM316" s="75"/>
      <c r="BN316" s="57">
        <f t="shared" si="56"/>
        <v>0</v>
      </c>
      <c r="BO316" s="80"/>
      <c r="BP316" s="81">
        <v>2</v>
      </c>
      <c r="BQ316" s="81"/>
      <c r="BR316" s="81">
        <v>1</v>
      </c>
      <c r="BS316" s="81"/>
      <c r="BT316" s="81"/>
      <c r="BU316" s="81"/>
      <c r="BV316" s="81"/>
      <c r="BW316" s="81"/>
      <c r="BX316" s="81"/>
      <c r="BY316" s="81"/>
      <c r="BZ316" s="9">
        <f t="shared" si="57"/>
        <v>3</v>
      </c>
      <c r="CB316" s="3"/>
      <c r="CD316" s="10"/>
      <c r="CE316" s="95"/>
    </row>
    <row r="317" spans="1:83" s="2" customFormat="1" ht="19.5" thickBot="1" x14ac:dyDescent="0.35">
      <c r="A317" s="17">
        <v>342</v>
      </c>
      <c r="B317" s="135"/>
      <c r="C317" s="18" t="s">
        <v>83</v>
      </c>
      <c r="D317" s="19"/>
      <c r="E317" s="19"/>
      <c r="F317" s="19"/>
      <c r="G317" s="30"/>
      <c r="H317" s="31"/>
      <c r="I317" s="40"/>
      <c r="J317" s="31"/>
      <c r="K317" s="40"/>
      <c r="L317" s="31"/>
      <c r="M317" s="40"/>
      <c r="N317" s="31"/>
      <c r="O317" s="40"/>
      <c r="P317" s="31"/>
      <c r="Q317" s="40"/>
      <c r="R317" s="31"/>
      <c r="S317" s="31"/>
      <c r="T317" s="31"/>
      <c r="U317" s="40"/>
      <c r="V317" s="31"/>
      <c r="W317" s="31"/>
      <c r="X317" s="31"/>
      <c r="Y317" s="31"/>
      <c r="Z317" s="31"/>
      <c r="AA317" s="31"/>
      <c r="AB317" s="31"/>
      <c r="AC317" s="31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>
        <v>18</v>
      </c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55">
        <f t="shared" ref="AY317:AY380" si="59">SUM(D317:AS317)</f>
        <v>18</v>
      </c>
      <c r="AZ317" s="56"/>
      <c r="BA317" s="57"/>
      <c r="BB317" s="57">
        <f>+'[1]25'!R419</f>
        <v>0</v>
      </c>
      <c r="BC317" s="57">
        <v>4</v>
      </c>
      <c r="BD317" s="57"/>
      <c r="BE317" s="57"/>
      <c r="BF317" s="57"/>
      <c r="BG317" s="57"/>
      <c r="BH317" s="57"/>
      <c r="BI317" s="55">
        <f t="shared" ref="BI317:BI380" si="60">SUM(AZ317:BH317)</f>
        <v>4</v>
      </c>
      <c r="BJ317" s="69">
        <f t="shared" ref="BJ317:BJ380" si="61">+AY317-BI317</f>
        <v>14</v>
      </c>
      <c r="BK317" s="69">
        <f t="shared" si="58"/>
        <v>0</v>
      </c>
      <c r="BM317" s="75"/>
      <c r="BN317" s="57">
        <f t="shared" si="56"/>
        <v>6</v>
      </c>
      <c r="BO317" s="80"/>
      <c r="BP317" s="81">
        <v>3</v>
      </c>
      <c r="BQ317" s="81">
        <v>1</v>
      </c>
      <c r="BR317" s="81">
        <v>2</v>
      </c>
      <c r="BS317" s="81"/>
      <c r="BT317" s="81">
        <v>1</v>
      </c>
      <c r="BU317" s="81">
        <v>1</v>
      </c>
      <c r="BV317" s="81"/>
      <c r="BW317" s="81"/>
      <c r="BX317" s="81"/>
      <c r="BY317" s="81"/>
      <c r="BZ317" s="9">
        <f t="shared" si="57"/>
        <v>8</v>
      </c>
      <c r="CB317" s="3"/>
      <c r="CD317" s="10"/>
      <c r="CE317" s="95"/>
    </row>
    <row r="318" spans="1:83" s="2" customFormat="1" ht="19.5" thickBot="1" x14ac:dyDescent="0.35">
      <c r="A318" s="17">
        <v>343</v>
      </c>
      <c r="B318" s="135"/>
      <c r="C318" s="18" t="s">
        <v>84</v>
      </c>
      <c r="D318" s="19"/>
      <c r="E318" s="19"/>
      <c r="F318" s="19"/>
      <c r="G318" s="30"/>
      <c r="H318" s="31"/>
      <c r="I318" s="40"/>
      <c r="J318" s="31"/>
      <c r="K318" s="40"/>
      <c r="L318" s="31"/>
      <c r="M318" s="40"/>
      <c r="N318" s="31"/>
      <c r="O318" s="40"/>
      <c r="P318" s="31"/>
      <c r="Q318" s="40"/>
      <c r="R318" s="31"/>
      <c r="S318" s="31"/>
      <c r="T318" s="31"/>
      <c r="U318" s="40"/>
      <c r="V318" s="31"/>
      <c r="W318" s="31"/>
      <c r="X318" s="31"/>
      <c r="Y318" s="31"/>
      <c r="Z318" s="31"/>
      <c r="AA318" s="31"/>
      <c r="AB318" s="31"/>
      <c r="AC318" s="31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>
        <v>24</v>
      </c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55">
        <f t="shared" si="59"/>
        <v>24</v>
      </c>
      <c r="AZ318" s="56"/>
      <c r="BA318" s="57"/>
      <c r="BB318" s="57">
        <f>+'[1]25'!R420</f>
        <v>0</v>
      </c>
      <c r="BC318" s="57">
        <v>8</v>
      </c>
      <c r="BD318" s="57"/>
      <c r="BE318" s="57"/>
      <c r="BF318" s="57"/>
      <c r="BG318" s="57"/>
      <c r="BH318" s="57"/>
      <c r="BI318" s="55">
        <f t="shared" si="60"/>
        <v>8</v>
      </c>
      <c r="BJ318" s="69">
        <f t="shared" si="61"/>
        <v>16</v>
      </c>
      <c r="BK318" s="69">
        <f t="shared" si="58"/>
        <v>0</v>
      </c>
      <c r="BM318" s="75"/>
      <c r="BN318" s="57">
        <f t="shared" si="56"/>
        <v>7</v>
      </c>
      <c r="BO318" s="80"/>
      <c r="BP318" s="81">
        <v>2</v>
      </c>
      <c r="BQ318" s="81">
        <v>1</v>
      </c>
      <c r="BR318" s="81">
        <v>4</v>
      </c>
      <c r="BS318" s="81"/>
      <c r="BT318" s="81">
        <v>1</v>
      </c>
      <c r="BU318" s="81">
        <v>1</v>
      </c>
      <c r="BV318" s="81"/>
      <c r="BW318" s="81"/>
      <c r="BX318" s="81"/>
      <c r="BY318" s="81"/>
      <c r="BZ318" s="9">
        <f t="shared" si="57"/>
        <v>9</v>
      </c>
      <c r="CB318" s="3"/>
      <c r="CD318" s="10"/>
      <c r="CE318" s="95"/>
    </row>
    <row r="319" spans="1:83" s="2" customFormat="1" ht="19.5" thickBot="1" x14ac:dyDescent="0.35">
      <c r="A319" s="17">
        <v>344</v>
      </c>
      <c r="B319" s="135"/>
      <c r="C319" s="18" t="s">
        <v>85</v>
      </c>
      <c r="D319" s="19"/>
      <c r="E319" s="19"/>
      <c r="F319" s="19"/>
      <c r="G319" s="30"/>
      <c r="H319" s="31"/>
      <c r="I319" s="40"/>
      <c r="J319" s="31"/>
      <c r="K319" s="40"/>
      <c r="L319" s="31"/>
      <c r="M319" s="40"/>
      <c r="N319" s="31"/>
      <c r="O319" s="40"/>
      <c r="P319" s="31"/>
      <c r="Q319" s="40"/>
      <c r="R319" s="31"/>
      <c r="S319" s="31"/>
      <c r="T319" s="31"/>
      <c r="U319" s="40"/>
      <c r="V319" s="31"/>
      <c r="W319" s="31"/>
      <c r="X319" s="31"/>
      <c r="Y319" s="31"/>
      <c r="Z319" s="31"/>
      <c r="AA319" s="31"/>
      <c r="AB319" s="31"/>
      <c r="AC319" s="31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>
        <v>30</v>
      </c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55">
        <f t="shared" si="59"/>
        <v>30</v>
      </c>
      <c r="AZ319" s="56"/>
      <c r="BA319" s="57"/>
      <c r="BB319" s="57">
        <f>+'[1]25'!R421</f>
        <v>0</v>
      </c>
      <c r="BC319" s="57">
        <v>9</v>
      </c>
      <c r="BD319" s="57"/>
      <c r="BE319" s="57"/>
      <c r="BF319" s="57"/>
      <c r="BG319" s="57"/>
      <c r="BH319" s="57"/>
      <c r="BI319" s="55">
        <f t="shared" si="60"/>
        <v>9</v>
      </c>
      <c r="BJ319" s="69">
        <f t="shared" si="61"/>
        <v>21</v>
      </c>
      <c r="BK319" s="69">
        <f t="shared" si="58"/>
        <v>0</v>
      </c>
      <c r="BM319" s="75"/>
      <c r="BN319" s="57">
        <f t="shared" si="56"/>
        <v>14</v>
      </c>
      <c r="BO319" s="80"/>
      <c r="BP319" s="81">
        <v>2</v>
      </c>
      <c r="BQ319" s="81"/>
      <c r="BR319" s="81">
        <v>3</v>
      </c>
      <c r="BS319" s="81"/>
      <c r="BT319" s="81">
        <v>1</v>
      </c>
      <c r="BU319" s="81">
        <v>1</v>
      </c>
      <c r="BV319" s="81"/>
      <c r="BW319" s="81"/>
      <c r="BX319" s="81"/>
      <c r="BY319" s="81"/>
      <c r="BZ319" s="9">
        <f t="shared" si="57"/>
        <v>7</v>
      </c>
      <c r="CB319" s="3"/>
      <c r="CD319" s="10"/>
      <c r="CE319" s="95"/>
    </row>
    <row r="320" spans="1:83" s="2" customFormat="1" ht="19.5" thickBot="1" x14ac:dyDescent="0.35">
      <c r="A320" s="17">
        <v>345</v>
      </c>
      <c r="B320" s="135"/>
      <c r="C320" s="18" t="s">
        <v>86</v>
      </c>
      <c r="D320" s="19"/>
      <c r="E320" s="19"/>
      <c r="F320" s="19"/>
      <c r="G320" s="30"/>
      <c r="H320" s="31"/>
      <c r="I320" s="40"/>
      <c r="J320" s="31"/>
      <c r="K320" s="40"/>
      <c r="L320" s="31"/>
      <c r="M320" s="40"/>
      <c r="N320" s="31"/>
      <c r="O320" s="40"/>
      <c r="P320" s="31"/>
      <c r="Q320" s="40"/>
      <c r="R320" s="31"/>
      <c r="S320" s="31"/>
      <c r="T320" s="31"/>
      <c r="U320" s="40"/>
      <c r="V320" s="31"/>
      <c r="W320" s="31"/>
      <c r="X320" s="31"/>
      <c r="Y320" s="31"/>
      <c r="Z320" s="31"/>
      <c r="AA320" s="31"/>
      <c r="AB320" s="31"/>
      <c r="AC320" s="31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>
        <v>21</v>
      </c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55">
        <f t="shared" si="59"/>
        <v>21</v>
      </c>
      <c r="AZ320" s="56"/>
      <c r="BA320" s="57"/>
      <c r="BB320" s="57">
        <f>+'[1]25'!R422</f>
        <v>0</v>
      </c>
      <c r="BC320" s="57">
        <v>10</v>
      </c>
      <c r="BD320" s="57"/>
      <c r="BE320" s="57"/>
      <c r="BF320" s="57"/>
      <c r="BG320" s="57"/>
      <c r="BH320" s="57"/>
      <c r="BI320" s="55">
        <f t="shared" si="60"/>
        <v>10</v>
      </c>
      <c r="BJ320" s="69">
        <f t="shared" si="61"/>
        <v>11</v>
      </c>
      <c r="BK320" s="69">
        <f t="shared" si="58"/>
        <v>0</v>
      </c>
      <c r="BM320" s="75"/>
      <c r="BN320" s="57">
        <f t="shared" si="56"/>
        <v>5</v>
      </c>
      <c r="BO320" s="80"/>
      <c r="BP320" s="81">
        <v>1</v>
      </c>
      <c r="BQ320" s="81">
        <v>1</v>
      </c>
      <c r="BR320" s="81">
        <v>2</v>
      </c>
      <c r="BS320" s="81"/>
      <c r="BT320" s="81">
        <v>1</v>
      </c>
      <c r="BU320" s="81">
        <v>1</v>
      </c>
      <c r="BV320" s="81"/>
      <c r="BW320" s="81"/>
      <c r="BX320" s="81"/>
      <c r="BY320" s="81"/>
      <c r="BZ320" s="9">
        <f t="shared" si="57"/>
        <v>6</v>
      </c>
      <c r="CB320" s="3"/>
      <c r="CD320" s="10"/>
      <c r="CE320" s="95"/>
    </row>
    <row r="321" spans="1:83" s="2" customFormat="1" ht="19.5" thickBot="1" x14ac:dyDescent="0.35">
      <c r="A321" s="17">
        <v>346</v>
      </c>
      <c r="B321" s="135"/>
      <c r="C321" s="20" t="s">
        <v>87</v>
      </c>
      <c r="D321" s="21"/>
      <c r="E321" s="21"/>
      <c r="F321" s="21"/>
      <c r="G321" s="32"/>
      <c r="H321" s="33"/>
      <c r="I321" s="41"/>
      <c r="J321" s="33"/>
      <c r="K321" s="41"/>
      <c r="L321" s="33"/>
      <c r="M321" s="41"/>
      <c r="N321" s="33"/>
      <c r="O321" s="41"/>
      <c r="P321" s="33"/>
      <c r="Q321" s="41"/>
      <c r="R321" s="33"/>
      <c r="S321" s="33"/>
      <c r="T321" s="33"/>
      <c r="U321" s="41"/>
      <c r="V321" s="33"/>
      <c r="W321" s="33"/>
      <c r="X321" s="33"/>
      <c r="Y321" s="33"/>
      <c r="Z321" s="33"/>
      <c r="AA321" s="33"/>
      <c r="AB321" s="33"/>
      <c r="AC321" s="33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>
        <v>12</v>
      </c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55">
        <f t="shared" si="59"/>
        <v>12</v>
      </c>
      <c r="AZ321" s="59"/>
      <c r="BA321" s="60"/>
      <c r="BB321" s="60">
        <f>+'[1]25'!R423</f>
        <v>0</v>
      </c>
      <c r="BC321" s="60">
        <v>6</v>
      </c>
      <c r="BD321" s="60"/>
      <c r="BE321" s="60"/>
      <c r="BF321" s="60"/>
      <c r="BG321" s="60"/>
      <c r="BH321" s="60"/>
      <c r="BI321" s="58">
        <f t="shared" si="60"/>
        <v>6</v>
      </c>
      <c r="BJ321" s="70">
        <f t="shared" si="61"/>
        <v>6</v>
      </c>
      <c r="BK321" s="70">
        <f t="shared" si="58"/>
        <v>0</v>
      </c>
      <c r="BL321" s="76"/>
      <c r="BM321" s="77"/>
      <c r="BN321" s="60">
        <f t="shared" si="56"/>
        <v>1</v>
      </c>
      <c r="BO321" s="82"/>
      <c r="BP321" s="83">
        <v>2</v>
      </c>
      <c r="BQ321" s="83">
        <v>1</v>
      </c>
      <c r="BR321" s="83"/>
      <c r="BS321" s="83"/>
      <c r="BT321" s="83">
        <v>2</v>
      </c>
      <c r="BU321" s="83"/>
      <c r="BV321" s="83"/>
      <c r="BW321" s="83"/>
      <c r="BX321" s="83"/>
      <c r="BY321" s="83"/>
      <c r="BZ321" s="9">
        <f t="shared" si="57"/>
        <v>5</v>
      </c>
      <c r="CB321" s="3"/>
      <c r="CD321" s="10"/>
      <c r="CE321" s="95"/>
    </row>
    <row r="322" spans="1:83" s="2" customFormat="1" ht="19.5" thickBot="1" x14ac:dyDescent="0.35">
      <c r="A322" s="17">
        <v>347</v>
      </c>
      <c r="B322" s="134" t="s">
        <v>134</v>
      </c>
      <c r="C322" s="18" t="s">
        <v>82</v>
      </c>
      <c r="D322" s="19"/>
      <c r="E322" s="19"/>
      <c r="F322" s="19"/>
      <c r="G322" s="30"/>
      <c r="H322" s="31"/>
      <c r="I322" s="40"/>
      <c r="J322" s="31"/>
      <c r="K322" s="40"/>
      <c r="L322" s="31"/>
      <c r="M322" s="40"/>
      <c r="N322" s="31"/>
      <c r="O322" s="40"/>
      <c r="P322" s="31"/>
      <c r="Q322" s="40"/>
      <c r="R322" s="31"/>
      <c r="S322" s="31"/>
      <c r="T322" s="31"/>
      <c r="U322" s="40"/>
      <c r="V322" s="31"/>
      <c r="W322" s="31"/>
      <c r="X322" s="31"/>
      <c r="Y322" s="31"/>
      <c r="Z322" s="31"/>
      <c r="AA322" s="31"/>
      <c r="AB322" s="31"/>
      <c r="AC322" s="31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55">
        <f t="shared" si="59"/>
        <v>0</v>
      </c>
      <c r="AZ322" s="56"/>
      <c r="BA322" s="57"/>
      <c r="BB322" s="57"/>
      <c r="BC322" s="57">
        <v>0</v>
      </c>
      <c r="BD322" s="57"/>
      <c r="BE322" s="57"/>
      <c r="BF322" s="57"/>
      <c r="BG322" s="57"/>
      <c r="BH322" s="57"/>
      <c r="BI322" s="55">
        <f t="shared" si="60"/>
        <v>0</v>
      </c>
      <c r="BJ322" s="69">
        <f t="shared" si="61"/>
        <v>0</v>
      </c>
      <c r="BK322" s="69">
        <f t="shared" si="58"/>
        <v>0</v>
      </c>
      <c r="BM322" s="75"/>
      <c r="BN322" s="57">
        <f t="shared" si="56"/>
        <v>0</v>
      </c>
      <c r="BO322" s="80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9">
        <f t="shared" si="57"/>
        <v>0</v>
      </c>
      <c r="CB322" s="3"/>
      <c r="CD322" s="10"/>
      <c r="CE322" s="95"/>
    </row>
    <row r="323" spans="1:83" s="2" customFormat="1" ht="19.5" thickBot="1" x14ac:dyDescent="0.35">
      <c r="A323" s="17">
        <v>348</v>
      </c>
      <c r="B323" s="135"/>
      <c r="C323" s="18" t="s">
        <v>83</v>
      </c>
      <c r="D323" s="19"/>
      <c r="E323" s="19"/>
      <c r="F323" s="19"/>
      <c r="G323" s="30"/>
      <c r="H323" s="31"/>
      <c r="I323" s="40"/>
      <c r="J323" s="31"/>
      <c r="K323" s="40"/>
      <c r="L323" s="31"/>
      <c r="M323" s="40"/>
      <c r="N323" s="31"/>
      <c r="O323" s="40"/>
      <c r="P323" s="31"/>
      <c r="Q323" s="40"/>
      <c r="R323" s="31"/>
      <c r="S323" s="31"/>
      <c r="T323" s="31"/>
      <c r="U323" s="40"/>
      <c r="V323" s="31"/>
      <c r="W323" s="31"/>
      <c r="X323" s="31"/>
      <c r="Y323" s="31"/>
      <c r="Z323" s="31"/>
      <c r="AA323" s="31"/>
      <c r="AB323" s="31"/>
      <c r="AC323" s="31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>
        <v>18</v>
      </c>
      <c r="AQ323" s="46"/>
      <c r="AR323" s="46"/>
      <c r="AS323" s="46"/>
      <c r="AT323" s="46"/>
      <c r="AU323" s="46"/>
      <c r="AV323" s="46"/>
      <c r="AW323" s="46"/>
      <c r="AX323" s="46"/>
      <c r="AY323" s="55">
        <f t="shared" si="59"/>
        <v>18</v>
      </c>
      <c r="AZ323" s="56"/>
      <c r="BA323" s="57"/>
      <c r="BB323" s="57"/>
      <c r="BC323" s="57">
        <v>1</v>
      </c>
      <c r="BD323" s="57"/>
      <c r="BE323" s="57"/>
      <c r="BF323" s="57"/>
      <c r="BG323" s="57"/>
      <c r="BH323" s="57"/>
      <c r="BI323" s="55">
        <f t="shared" si="60"/>
        <v>1</v>
      </c>
      <c r="BJ323" s="69">
        <f t="shared" si="61"/>
        <v>17</v>
      </c>
      <c r="BK323" s="69">
        <f t="shared" si="58"/>
        <v>0</v>
      </c>
      <c r="BM323" s="75"/>
      <c r="BN323" s="57">
        <f t="shared" si="56"/>
        <v>12</v>
      </c>
      <c r="BO323" s="80"/>
      <c r="BP323" s="81">
        <v>2</v>
      </c>
      <c r="BQ323" s="81"/>
      <c r="BR323" s="81">
        <v>3</v>
      </c>
      <c r="BS323" s="81"/>
      <c r="BT323" s="81"/>
      <c r="BU323" s="81"/>
      <c r="BV323" s="81"/>
      <c r="BW323" s="81"/>
      <c r="BX323" s="81"/>
      <c r="BY323" s="81"/>
      <c r="BZ323" s="9">
        <f t="shared" si="57"/>
        <v>5</v>
      </c>
      <c r="CB323" s="3"/>
      <c r="CD323" s="10"/>
      <c r="CE323" s="95"/>
    </row>
    <row r="324" spans="1:83" s="2" customFormat="1" ht="19.5" thickBot="1" x14ac:dyDescent="0.35">
      <c r="A324" s="17">
        <v>349</v>
      </c>
      <c r="B324" s="135"/>
      <c r="C324" s="18" t="s">
        <v>84</v>
      </c>
      <c r="D324" s="19"/>
      <c r="E324" s="19"/>
      <c r="F324" s="19"/>
      <c r="G324" s="30"/>
      <c r="H324" s="31"/>
      <c r="I324" s="40"/>
      <c r="J324" s="31"/>
      <c r="K324" s="40"/>
      <c r="L324" s="31"/>
      <c r="M324" s="40"/>
      <c r="N324" s="31"/>
      <c r="O324" s="40"/>
      <c r="P324" s="31"/>
      <c r="Q324" s="40"/>
      <c r="R324" s="31"/>
      <c r="S324" s="31"/>
      <c r="T324" s="31"/>
      <c r="U324" s="40"/>
      <c r="V324" s="31"/>
      <c r="W324" s="31"/>
      <c r="X324" s="31"/>
      <c r="Y324" s="31"/>
      <c r="Z324" s="31"/>
      <c r="AA324" s="31"/>
      <c r="AB324" s="31"/>
      <c r="AC324" s="31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>
        <v>24</v>
      </c>
      <c r="AQ324" s="46"/>
      <c r="AR324" s="46"/>
      <c r="AS324" s="46"/>
      <c r="AT324" s="46"/>
      <c r="AU324" s="46"/>
      <c r="AV324" s="46"/>
      <c r="AW324" s="46"/>
      <c r="AX324" s="46"/>
      <c r="AY324" s="55">
        <f t="shared" si="59"/>
        <v>24</v>
      </c>
      <c r="AZ324" s="56"/>
      <c r="BA324" s="57"/>
      <c r="BB324" s="57"/>
      <c r="BC324" s="57">
        <v>11</v>
      </c>
      <c r="BD324" s="57"/>
      <c r="BE324" s="57"/>
      <c r="BF324" s="57"/>
      <c r="BG324" s="57"/>
      <c r="BH324" s="57"/>
      <c r="BI324" s="55">
        <f t="shared" si="60"/>
        <v>11</v>
      </c>
      <c r="BJ324" s="69">
        <f t="shared" si="61"/>
        <v>13</v>
      </c>
      <c r="BK324" s="69">
        <f t="shared" si="58"/>
        <v>0</v>
      </c>
      <c r="BM324" s="75"/>
      <c r="BN324" s="57">
        <f t="shared" si="56"/>
        <v>10</v>
      </c>
      <c r="BO324" s="80"/>
      <c r="BP324" s="81">
        <v>1</v>
      </c>
      <c r="BQ324" s="81"/>
      <c r="BR324" s="81">
        <v>2</v>
      </c>
      <c r="BS324" s="81"/>
      <c r="BT324" s="81"/>
      <c r="BU324" s="81"/>
      <c r="BV324" s="81"/>
      <c r="BW324" s="81"/>
      <c r="BX324" s="81"/>
      <c r="BY324" s="81"/>
      <c r="BZ324" s="9">
        <f t="shared" si="57"/>
        <v>3</v>
      </c>
      <c r="CB324" s="3"/>
      <c r="CD324" s="10"/>
      <c r="CE324" s="95"/>
    </row>
    <row r="325" spans="1:83" s="2" customFormat="1" ht="19.5" thickBot="1" x14ac:dyDescent="0.35">
      <c r="A325" s="17">
        <v>350</v>
      </c>
      <c r="B325" s="135"/>
      <c r="C325" s="18" t="s">
        <v>85</v>
      </c>
      <c r="D325" s="19"/>
      <c r="E325" s="19"/>
      <c r="F325" s="19"/>
      <c r="G325" s="30"/>
      <c r="H325" s="31"/>
      <c r="I325" s="40"/>
      <c r="J325" s="31"/>
      <c r="K325" s="40"/>
      <c r="L325" s="31"/>
      <c r="M325" s="40"/>
      <c r="N325" s="31"/>
      <c r="O325" s="40"/>
      <c r="P325" s="31"/>
      <c r="Q325" s="40"/>
      <c r="R325" s="31"/>
      <c r="S325" s="31"/>
      <c r="T325" s="31"/>
      <c r="U325" s="40"/>
      <c r="V325" s="31"/>
      <c r="W325" s="31"/>
      <c r="X325" s="31"/>
      <c r="Y325" s="31"/>
      <c r="Z325" s="31"/>
      <c r="AA325" s="31"/>
      <c r="AB325" s="31"/>
      <c r="AC325" s="31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>
        <v>33</v>
      </c>
      <c r="AQ325" s="46"/>
      <c r="AR325" s="46"/>
      <c r="AS325" s="46"/>
      <c r="AT325" s="46"/>
      <c r="AU325" s="46"/>
      <c r="AV325" s="46"/>
      <c r="AW325" s="46"/>
      <c r="AX325" s="46"/>
      <c r="AY325" s="55">
        <f t="shared" si="59"/>
        <v>33</v>
      </c>
      <c r="AZ325" s="56"/>
      <c r="BA325" s="57"/>
      <c r="BB325" s="57"/>
      <c r="BC325" s="57">
        <v>8</v>
      </c>
      <c r="BD325" s="57"/>
      <c r="BE325" s="57"/>
      <c r="BF325" s="57"/>
      <c r="BG325" s="57"/>
      <c r="BH325" s="57"/>
      <c r="BI325" s="55">
        <f t="shared" si="60"/>
        <v>8</v>
      </c>
      <c r="BJ325" s="69">
        <f t="shared" si="61"/>
        <v>25</v>
      </c>
      <c r="BK325" s="69">
        <f t="shared" si="58"/>
        <v>0</v>
      </c>
      <c r="BM325" s="75"/>
      <c r="BN325" s="57">
        <f t="shared" si="56"/>
        <v>21</v>
      </c>
      <c r="BO325" s="80"/>
      <c r="BP325" s="81">
        <v>2</v>
      </c>
      <c r="BQ325" s="81"/>
      <c r="BR325" s="81">
        <v>2</v>
      </c>
      <c r="BS325" s="81"/>
      <c r="BT325" s="81"/>
      <c r="BU325" s="81"/>
      <c r="BV325" s="81"/>
      <c r="BW325" s="81"/>
      <c r="BX325" s="81"/>
      <c r="BY325" s="81"/>
      <c r="BZ325" s="9">
        <f t="shared" si="57"/>
        <v>4</v>
      </c>
      <c r="CB325" s="3"/>
      <c r="CD325" s="10"/>
      <c r="CE325" s="95"/>
    </row>
    <row r="326" spans="1:83" s="2" customFormat="1" ht="19.5" thickBot="1" x14ac:dyDescent="0.35">
      <c r="A326" s="17">
        <v>351</v>
      </c>
      <c r="B326" s="135"/>
      <c r="C326" s="18" t="s">
        <v>86</v>
      </c>
      <c r="D326" s="19"/>
      <c r="E326" s="19"/>
      <c r="F326" s="19"/>
      <c r="G326" s="30"/>
      <c r="H326" s="31"/>
      <c r="I326" s="40"/>
      <c r="J326" s="31"/>
      <c r="K326" s="40"/>
      <c r="L326" s="31"/>
      <c r="M326" s="40"/>
      <c r="N326" s="31"/>
      <c r="O326" s="40"/>
      <c r="P326" s="31"/>
      <c r="Q326" s="40"/>
      <c r="R326" s="31"/>
      <c r="S326" s="31"/>
      <c r="T326" s="31"/>
      <c r="U326" s="40"/>
      <c r="V326" s="31"/>
      <c r="W326" s="31"/>
      <c r="X326" s="31"/>
      <c r="Y326" s="31"/>
      <c r="Z326" s="31"/>
      <c r="AA326" s="31"/>
      <c r="AB326" s="31"/>
      <c r="AC326" s="31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>
        <v>21</v>
      </c>
      <c r="AQ326" s="46"/>
      <c r="AR326" s="46"/>
      <c r="AS326" s="46"/>
      <c r="AT326" s="46"/>
      <c r="AU326" s="46"/>
      <c r="AV326" s="46"/>
      <c r="AW326" s="46"/>
      <c r="AX326" s="46"/>
      <c r="AY326" s="55">
        <f t="shared" si="59"/>
        <v>21</v>
      </c>
      <c r="AZ326" s="56"/>
      <c r="BA326" s="57"/>
      <c r="BB326" s="57"/>
      <c r="BC326" s="57">
        <v>5</v>
      </c>
      <c r="BD326" s="57"/>
      <c r="BE326" s="57"/>
      <c r="BF326" s="57"/>
      <c r="BG326" s="57"/>
      <c r="BH326" s="57"/>
      <c r="BI326" s="55">
        <f t="shared" si="60"/>
        <v>5</v>
      </c>
      <c r="BJ326" s="69">
        <f t="shared" si="61"/>
        <v>16</v>
      </c>
      <c r="BK326" s="69">
        <f t="shared" si="58"/>
        <v>0</v>
      </c>
      <c r="BM326" s="75"/>
      <c r="BN326" s="57">
        <f t="shared" si="56"/>
        <v>10</v>
      </c>
      <c r="BO326" s="80"/>
      <c r="BP326" s="81">
        <v>3</v>
      </c>
      <c r="BQ326" s="81"/>
      <c r="BR326" s="81">
        <v>3</v>
      </c>
      <c r="BS326" s="81"/>
      <c r="BT326" s="81"/>
      <c r="BU326" s="81"/>
      <c r="BV326" s="81"/>
      <c r="BW326" s="81"/>
      <c r="BX326" s="81"/>
      <c r="BY326" s="81"/>
      <c r="BZ326" s="9">
        <f t="shared" si="57"/>
        <v>6</v>
      </c>
      <c r="CB326" s="3"/>
      <c r="CD326" s="10"/>
      <c r="CE326" s="95"/>
    </row>
    <row r="327" spans="1:83" s="2" customFormat="1" ht="19.5" thickBot="1" x14ac:dyDescent="0.35">
      <c r="A327" s="17">
        <v>352</v>
      </c>
      <c r="B327" s="135"/>
      <c r="C327" s="20" t="s">
        <v>87</v>
      </c>
      <c r="D327" s="21"/>
      <c r="E327" s="21"/>
      <c r="F327" s="21"/>
      <c r="G327" s="32"/>
      <c r="H327" s="33"/>
      <c r="I327" s="41"/>
      <c r="J327" s="33"/>
      <c r="K327" s="41"/>
      <c r="L327" s="33"/>
      <c r="M327" s="41"/>
      <c r="N327" s="33"/>
      <c r="O327" s="41"/>
      <c r="P327" s="33"/>
      <c r="Q327" s="41"/>
      <c r="R327" s="33"/>
      <c r="S327" s="33"/>
      <c r="T327" s="33"/>
      <c r="U327" s="41"/>
      <c r="V327" s="33"/>
      <c r="W327" s="33"/>
      <c r="X327" s="33"/>
      <c r="Y327" s="33"/>
      <c r="Z327" s="33"/>
      <c r="AA327" s="33"/>
      <c r="AB327" s="33"/>
      <c r="AC327" s="33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>
        <v>12</v>
      </c>
      <c r="AQ327" s="47"/>
      <c r="AR327" s="47"/>
      <c r="AS327" s="47"/>
      <c r="AT327" s="47"/>
      <c r="AU327" s="47"/>
      <c r="AV327" s="47"/>
      <c r="AW327" s="47"/>
      <c r="AX327" s="47"/>
      <c r="AY327" s="55">
        <f t="shared" si="59"/>
        <v>12</v>
      </c>
      <c r="AZ327" s="59"/>
      <c r="BA327" s="60"/>
      <c r="BB327" s="60"/>
      <c r="BC327" s="60">
        <v>0</v>
      </c>
      <c r="BD327" s="60"/>
      <c r="BE327" s="60"/>
      <c r="BF327" s="60"/>
      <c r="BG327" s="60"/>
      <c r="BH327" s="60"/>
      <c r="BI327" s="58">
        <f t="shared" si="60"/>
        <v>0</v>
      </c>
      <c r="BJ327" s="70">
        <f t="shared" si="61"/>
        <v>12</v>
      </c>
      <c r="BK327" s="70">
        <f t="shared" si="58"/>
        <v>0</v>
      </c>
      <c r="BL327" s="76"/>
      <c r="BM327" s="77"/>
      <c r="BN327" s="60">
        <f t="shared" si="56"/>
        <v>7</v>
      </c>
      <c r="BO327" s="82"/>
      <c r="BP327" s="83">
        <v>2</v>
      </c>
      <c r="BQ327" s="83"/>
      <c r="BR327" s="83">
        <v>3</v>
      </c>
      <c r="BS327" s="83"/>
      <c r="BT327" s="83"/>
      <c r="BU327" s="83"/>
      <c r="BV327" s="83"/>
      <c r="BW327" s="83"/>
      <c r="BX327" s="83"/>
      <c r="BY327" s="83"/>
      <c r="BZ327" s="9">
        <f t="shared" si="57"/>
        <v>5</v>
      </c>
      <c r="CB327" s="3"/>
      <c r="CD327" s="10"/>
      <c r="CE327" s="95"/>
    </row>
    <row r="328" spans="1:83" s="2" customFormat="1" ht="19.5" thickBot="1" x14ac:dyDescent="0.35">
      <c r="A328" s="17">
        <v>353</v>
      </c>
      <c r="B328" s="134" t="s">
        <v>135</v>
      </c>
      <c r="C328" s="18" t="s">
        <v>62</v>
      </c>
      <c r="D328" s="19"/>
      <c r="E328" s="19"/>
      <c r="F328" s="19"/>
      <c r="G328" s="30"/>
      <c r="H328" s="31"/>
      <c r="I328" s="40"/>
      <c r="J328" s="31"/>
      <c r="K328" s="40"/>
      <c r="L328" s="31"/>
      <c r="M328" s="40"/>
      <c r="N328" s="31"/>
      <c r="O328" s="40"/>
      <c r="P328" s="31"/>
      <c r="Q328" s="40"/>
      <c r="R328" s="31">
        <v>6</v>
      </c>
      <c r="S328" s="31"/>
      <c r="T328" s="31"/>
      <c r="U328" s="40"/>
      <c r="V328" s="31"/>
      <c r="W328" s="31"/>
      <c r="X328" s="31"/>
      <c r="Y328" s="31"/>
      <c r="Z328" s="31"/>
      <c r="AA328" s="31"/>
      <c r="AB328" s="31"/>
      <c r="AC328" s="31"/>
      <c r="AD328" s="46"/>
      <c r="AE328" s="46"/>
      <c r="AF328" s="46"/>
      <c r="AG328" s="46">
        <v>9</v>
      </c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55">
        <f t="shared" si="59"/>
        <v>15</v>
      </c>
      <c r="AZ328" s="56">
        <v>0</v>
      </c>
      <c r="BA328" s="57">
        <v>3</v>
      </c>
      <c r="BB328" s="57">
        <f>+'[1]25'!R611</f>
        <v>10</v>
      </c>
      <c r="BC328" s="57">
        <v>2</v>
      </c>
      <c r="BD328" s="57"/>
      <c r="BE328" s="57"/>
      <c r="BF328" s="57"/>
      <c r="BG328" s="57"/>
      <c r="BH328" s="57"/>
      <c r="BI328" s="55">
        <f t="shared" si="60"/>
        <v>15</v>
      </c>
      <c r="BJ328" s="69">
        <f t="shared" si="61"/>
        <v>0</v>
      </c>
      <c r="BK328" s="69">
        <f t="shared" si="58"/>
        <v>0</v>
      </c>
      <c r="BM328" s="75"/>
      <c r="BN328" s="57">
        <f t="shared" si="56"/>
        <v>0</v>
      </c>
      <c r="BO328" s="80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9">
        <f t="shared" si="57"/>
        <v>0</v>
      </c>
      <c r="CB328" s="3"/>
      <c r="CD328" s="10"/>
      <c r="CE328" s="95"/>
    </row>
    <row r="329" spans="1:83" s="2" customFormat="1" ht="19.5" thickBot="1" x14ac:dyDescent="0.35">
      <c r="A329" s="17">
        <v>354</v>
      </c>
      <c r="B329" s="135"/>
      <c r="C329" s="18" t="s">
        <v>63</v>
      </c>
      <c r="D329" s="19"/>
      <c r="E329" s="19"/>
      <c r="F329" s="19"/>
      <c r="G329" s="30"/>
      <c r="H329" s="31"/>
      <c r="I329" s="40"/>
      <c r="J329" s="31"/>
      <c r="K329" s="40"/>
      <c r="L329" s="31"/>
      <c r="M329" s="40"/>
      <c r="N329" s="31"/>
      <c r="O329" s="40"/>
      <c r="P329" s="31"/>
      <c r="Q329" s="40"/>
      <c r="R329" s="31">
        <v>18</v>
      </c>
      <c r="S329" s="31"/>
      <c r="T329" s="31"/>
      <c r="U329" s="40"/>
      <c r="V329" s="31"/>
      <c r="W329" s="31"/>
      <c r="X329" s="31"/>
      <c r="Y329" s="31"/>
      <c r="Z329" s="31"/>
      <c r="AA329" s="31"/>
      <c r="AB329" s="31"/>
      <c r="AC329" s="31"/>
      <c r="AD329" s="46"/>
      <c r="AE329" s="46"/>
      <c r="AF329" s="46"/>
      <c r="AG329" s="46">
        <v>12</v>
      </c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55">
        <f t="shared" si="59"/>
        <v>30</v>
      </c>
      <c r="AZ329" s="56">
        <v>0</v>
      </c>
      <c r="BA329" s="57">
        <v>10</v>
      </c>
      <c r="BB329" s="57">
        <f>+'[1]25'!R612</f>
        <v>12</v>
      </c>
      <c r="BC329" s="57">
        <v>4</v>
      </c>
      <c r="BD329" s="57"/>
      <c r="BE329" s="57"/>
      <c r="BF329" s="57"/>
      <c r="BG329" s="57"/>
      <c r="BH329" s="57"/>
      <c r="BI329" s="55">
        <f t="shared" si="60"/>
        <v>26</v>
      </c>
      <c r="BJ329" s="69">
        <f t="shared" si="61"/>
        <v>4</v>
      </c>
      <c r="BK329" s="69">
        <f t="shared" si="58"/>
        <v>0</v>
      </c>
      <c r="BM329" s="75"/>
      <c r="BN329" s="57">
        <f t="shared" si="56"/>
        <v>3</v>
      </c>
      <c r="BO329" s="80"/>
      <c r="BP329" s="81"/>
      <c r="BQ329" s="81">
        <v>1</v>
      </c>
      <c r="BR329" s="81"/>
      <c r="BS329" s="81"/>
      <c r="BT329" s="81"/>
      <c r="BU329" s="81"/>
      <c r="BV329" s="81"/>
      <c r="BW329" s="81"/>
      <c r="BX329" s="81"/>
      <c r="BY329" s="81"/>
      <c r="BZ329" s="9">
        <f t="shared" si="57"/>
        <v>1</v>
      </c>
      <c r="CB329" s="3"/>
      <c r="CD329" s="10"/>
      <c r="CE329" s="95"/>
    </row>
    <row r="330" spans="1:83" s="2" customFormat="1" ht="19.5" thickBot="1" x14ac:dyDescent="0.35">
      <c r="A330" s="17">
        <v>355</v>
      </c>
      <c r="B330" s="135"/>
      <c r="C330" s="18" t="s">
        <v>64</v>
      </c>
      <c r="D330" s="19"/>
      <c r="E330" s="19"/>
      <c r="F330" s="19"/>
      <c r="G330" s="30"/>
      <c r="H330" s="31"/>
      <c r="I330" s="40"/>
      <c r="J330" s="31"/>
      <c r="K330" s="40"/>
      <c r="L330" s="31"/>
      <c r="M330" s="40"/>
      <c r="N330" s="31"/>
      <c r="O330" s="40"/>
      <c r="P330" s="31"/>
      <c r="Q330" s="40"/>
      <c r="R330" s="31">
        <v>18</v>
      </c>
      <c r="S330" s="31"/>
      <c r="T330" s="31"/>
      <c r="U330" s="40"/>
      <c r="V330" s="31"/>
      <c r="W330" s="31"/>
      <c r="X330" s="31"/>
      <c r="Y330" s="31"/>
      <c r="Z330" s="31"/>
      <c r="AA330" s="31"/>
      <c r="AB330" s="31"/>
      <c r="AC330" s="31"/>
      <c r="AD330" s="46"/>
      <c r="AE330" s="46"/>
      <c r="AF330" s="46"/>
      <c r="AG330" s="46">
        <v>15</v>
      </c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55">
        <f t="shared" si="59"/>
        <v>33</v>
      </c>
      <c r="AZ330" s="56">
        <v>0</v>
      </c>
      <c r="BA330" s="57">
        <v>10</v>
      </c>
      <c r="BB330" s="57">
        <f>+'[1]25'!R613</f>
        <v>20</v>
      </c>
      <c r="BC330" s="57">
        <v>0</v>
      </c>
      <c r="BD330" s="57"/>
      <c r="BE330" s="57"/>
      <c r="BF330" s="57"/>
      <c r="BG330" s="57"/>
      <c r="BH330" s="57"/>
      <c r="BI330" s="55">
        <f t="shared" si="60"/>
        <v>30</v>
      </c>
      <c r="BJ330" s="69">
        <f t="shared" si="61"/>
        <v>3</v>
      </c>
      <c r="BK330" s="69">
        <f t="shared" si="58"/>
        <v>0</v>
      </c>
      <c r="BM330" s="75"/>
      <c r="BN330" s="57">
        <f t="shared" si="56"/>
        <v>3</v>
      </c>
      <c r="BO330" s="80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9">
        <f t="shared" si="57"/>
        <v>0</v>
      </c>
      <c r="CB330" s="3"/>
      <c r="CD330" s="10"/>
      <c r="CE330" s="95"/>
    </row>
    <row r="331" spans="1:83" s="2" customFormat="1" ht="19.5" thickBot="1" x14ac:dyDescent="0.35">
      <c r="A331" s="17">
        <v>356</v>
      </c>
      <c r="B331" s="135"/>
      <c r="C331" s="18" t="s">
        <v>65</v>
      </c>
      <c r="D331" s="19"/>
      <c r="E331" s="19"/>
      <c r="F331" s="19"/>
      <c r="G331" s="30"/>
      <c r="H331" s="31"/>
      <c r="I331" s="40"/>
      <c r="J331" s="31"/>
      <c r="K331" s="40"/>
      <c r="L331" s="31"/>
      <c r="M331" s="40"/>
      <c r="N331" s="31"/>
      <c r="O331" s="40"/>
      <c r="P331" s="31"/>
      <c r="Q331" s="40"/>
      <c r="R331" s="31">
        <v>24</v>
      </c>
      <c r="S331" s="31"/>
      <c r="T331" s="31"/>
      <c r="U331" s="40"/>
      <c r="V331" s="31"/>
      <c r="W331" s="31"/>
      <c r="X331" s="31"/>
      <c r="Y331" s="31"/>
      <c r="Z331" s="31"/>
      <c r="AA331" s="31"/>
      <c r="AB331" s="31"/>
      <c r="AC331" s="31"/>
      <c r="AD331" s="46"/>
      <c r="AE331" s="46"/>
      <c r="AF331" s="46"/>
      <c r="AG331" s="46">
        <v>24</v>
      </c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55">
        <f t="shared" si="59"/>
        <v>48</v>
      </c>
      <c r="AZ331" s="56">
        <v>0</v>
      </c>
      <c r="BA331" s="57">
        <v>12</v>
      </c>
      <c r="BB331" s="57">
        <f>+'[1]25'!R614</f>
        <v>20</v>
      </c>
      <c r="BC331" s="57">
        <v>3</v>
      </c>
      <c r="BD331" s="57"/>
      <c r="BE331" s="57"/>
      <c r="BF331" s="57"/>
      <c r="BG331" s="57"/>
      <c r="BH331" s="57"/>
      <c r="BI331" s="55">
        <f t="shared" si="60"/>
        <v>35</v>
      </c>
      <c r="BJ331" s="69">
        <f t="shared" si="61"/>
        <v>13</v>
      </c>
      <c r="BK331" s="69">
        <f t="shared" si="58"/>
        <v>0</v>
      </c>
      <c r="BM331" s="75"/>
      <c r="BN331" s="57">
        <f t="shared" si="56"/>
        <v>10</v>
      </c>
      <c r="BO331" s="80"/>
      <c r="BP331" s="81"/>
      <c r="BQ331" s="81">
        <v>2</v>
      </c>
      <c r="BR331" s="81">
        <v>1</v>
      </c>
      <c r="BS331" s="81"/>
      <c r="BT331" s="81"/>
      <c r="BU331" s="81"/>
      <c r="BV331" s="81"/>
      <c r="BW331" s="81"/>
      <c r="BX331" s="81"/>
      <c r="BY331" s="81"/>
      <c r="BZ331" s="9">
        <f t="shared" si="57"/>
        <v>3</v>
      </c>
      <c r="CB331" s="3"/>
      <c r="CD331" s="10"/>
      <c r="CE331" s="95"/>
    </row>
    <row r="332" spans="1:83" s="2" customFormat="1" ht="19.5" thickBot="1" x14ac:dyDescent="0.35">
      <c r="A332" s="17">
        <v>357</v>
      </c>
      <c r="B332" s="135"/>
      <c r="C332" s="18" t="s">
        <v>66</v>
      </c>
      <c r="D332" s="19"/>
      <c r="E332" s="19"/>
      <c r="F332" s="19"/>
      <c r="G332" s="30"/>
      <c r="H332" s="31"/>
      <c r="I332" s="40"/>
      <c r="J332" s="31"/>
      <c r="K332" s="40"/>
      <c r="L332" s="31"/>
      <c r="M332" s="40"/>
      <c r="N332" s="31"/>
      <c r="O332" s="40"/>
      <c r="P332" s="31"/>
      <c r="Q332" s="40"/>
      <c r="R332" s="31">
        <v>18</v>
      </c>
      <c r="S332" s="31"/>
      <c r="T332" s="31"/>
      <c r="U332" s="40"/>
      <c r="V332" s="31"/>
      <c r="W332" s="31"/>
      <c r="X332" s="31"/>
      <c r="Y332" s="31"/>
      <c r="Z332" s="31"/>
      <c r="AA332" s="31"/>
      <c r="AB332" s="31"/>
      <c r="AC332" s="31"/>
      <c r="AD332" s="46"/>
      <c r="AE332" s="46"/>
      <c r="AF332" s="46"/>
      <c r="AG332" s="46">
        <v>27</v>
      </c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55">
        <f t="shared" si="59"/>
        <v>45</v>
      </c>
      <c r="AZ332" s="56">
        <v>0</v>
      </c>
      <c r="BA332" s="57">
        <v>16</v>
      </c>
      <c r="BB332" s="57">
        <f>+'[1]25'!R615</f>
        <v>12</v>
      </c>
      <c r="BC332" s="57">
        <v>8</v>
      </c>
      <c r="BD332" s="57"/>
      <c r="BE332" s="57"/>
      <c r="BF332" s="57"/>
      <c r="BG332" s="57"/>
      <c r="BH332" s="57"/>
      <c r="BI332" s="55">
        <f t="shared" si="60"/>
        <v>36</v>
      </c>
      <c r="BJ332" s="69">
        <f t="shared" si="61"/>
        <v>9</v>
      </c>
      <c r="BK332" s="69">
        <f t="shared" si="58"/>
        <v>0</v>
      </c>
      <c r="BM332" s="75"/>
      <c r="BN332" s="57">
        <f t="shared" si="56"/>
        <v>7</v>
      </c>
      <c r="BO332" s="80"/>
      <c r="BP332" s="81"/>
      <c r="BQ332" s="81">
        <v>1</v>
      </c>
      <c r="BR332" s="81">
        <v>1</v>
      </c>
      <c r="BS332" s="81"/>
      <c r="BT332" s="81"/>
      <c r="BU332" s="81"/>
      <c r="BV332" s="81"/>
      <c r="BW332" s="81"/>
      <c r="BX332" s="81"/>
      <c r="BY332" s="81"/>
      <c r="BZ332" s="9">
        <f t="shared" si="57"/>
        <v>2</v>
      </c>
      <c r="CB332" s="3"/>
      <c r="CD332" s="10"/>
      <c r="CE332" s="95"/>
    </row>
    <row r="333" spans="1:83" s="2" customFormat="1" ht="19.5" thickBot="1" x14ac:dyDescent="0.35">
      <c r="A333" s="17">
        <v>358</v>
      </c>
      <c r="B333" s="135"/>
      <c r="C333" s="18" t="s">
        <v>67</v>
      </c>
      <c r="D333" s="19"/>
      <c r="E333" s="19"/>
      <c r="F333" s="19"/>
      <c r="G333" s="30"/>
      <c r="H333" s="31"/>
      <c r="I333" s="40"/>
      <c r="J333" s="31"/>
      <c r="K333" s="40"/>
      <c r="L333" s="31"/>
      <c r="M333" s="40"/>
      <c r="N333" s="31"/>
      <c r="O333" s="40"/>
      <c r="P333" s="31"/>
      <c r="Q333" s="40"/>
      <c r="R333" s="31">
        <v>12</v>
      </c>
      <c r="S333" s="31"/>
      <c r="T333" s="31"/>
      <c r="U333" s="40"/>
      <c r="V333" s="31"/>
      <c r="W333" s="31"/>
      <c r="X333" s="31"/>
      <c r="Y333" s="31"/>
      <c r="Z333" s="31"/>
      <c r="AA333" s="31"/>
      <c r="AB333" s="31"/>
      <c r="AC333" s="31"/>
      <c r="AD333" s="46"/>
      <c r="AE333" s="46"/>
      <c r="AF333" s="46"/>
      <c r="AG333" s="46">
        <v>12</v>
      </c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55">
        <f t="shared" si="59"/>
        <v>24</v>
      </c>
      <c r="AZ333" s="56">
        <v>0</v>
      </c>
      <c r="BA333" s="57">
        <v>7</v>
      </c>
      <c r="BB333" s="57">
        <f>+'[1]25'!R616</f>
        <v>9</v>
      </c>
      <c r="BC333" s="57">
        <v>4</v>
      </c>
      <c r="BD333" s="57"/>
      <c r="BE333" s="57"/>
      <c r="BF333" s="57"/>
      <c r="BG333" s="57"/>
      <c r="BH333" s="57"/>
      <c r="BI333" s="55">
        <f t="shared" si="60"/>
        <v>20</v>
      </c>
      <c r="BJ333" s="69">
        <f t="shared" si="61"/>
        <v>4</v>
      </c>
      <c r="BK333" s="69">
        <f t="shared" si="58"/>
        <v>0</v>
      </c>
      <c r="BM333" s="75"/>
      <c r="BN333" s="57">
        <f t="shared" si="56"/>
        <v>3</v>
      </c>
      <c r="BO333" s="80"/>
      <c r="BP333" s="81"/>
      <c r="BQ333" s="81">
        <v>1</v>
      </c>
      <c r="BR333" s="81"/>
      <c r="BS333" s="81"/>
      <c r="BT333" s="81"/>
      <c r="BU333" s="81"/>
      <c r="BV333" s="81"/>
      <c r="BW333" s="81"/>
      <c r="BX333" s="81"/>
      <c r="BY333" s="81"/>
      <c r="BZ333" s="9">
        <f t="shared" si="57"/>
        <v>1</v>
      </c>
      <c r="CB333" s="3"/>
      <c r="CD333" s="10"/>
      <c r="CE333" s="95"/>
    </row>
    <row r="334" spans="1:83" s="2" customFormat="1" ht="19.5" thickBot="1" x14ac:dyDescent="0.35">
      <c r="A334" s="17">
        <v>359</v>
      </c>
      <c r="B334" s="135"/>
      <c r="C334" s="18" t="s">
        <v>68</v>
      </c>
      <c r="D334" s="19"/>
      <c r="E334" s="19"/>
      <c r="F334" s="19"/>
      <c r="G334" s="30"/>
      <c r="H334" s="31"/>
      <c r="I334" s="40"/>
      <c r="J334" s="31"/>
      <c r="K334" s="40"/>
      <c r="L334" s="31"/>
      <c r="M334" s="40"/>
      <c r="N334" s="31"/>
      <c r="O334" s="40"/>
      <c r="P334" s="31"/>
      <c r="Q334" s="40"/>
      <c r="R334" s="31">
        <v>6</v>
      </c>
      <c r="S334" s="31"/>
      <c r="T334" s="31"/>
      <c r="U334" s="40"/>
      <c r="V334" s="31"/>
      <c r="W334" s="31"/>
      <c r="X334" s="31"/>
      <c r="Y334" s="31"/>
      <c r="Z334" s="31"/>
      <c r="AA334" s="31"/>
      <c r="AB334" s="31"/>
      <c r="AC334" s="31"/>
      <c r="AD334" s="46"/>
      <c r="AE334" s="46"/>
      <c r="AF334" s="46"/>
      <c r="AG334" s="46">
        <v>6</v>
      </c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55">
        <f t="shared" si="59"/>
        <v>12</v>
      </c>
      <c r="AZ334" s="56">
        <v>0</v>
      </c>
      <c r="BA334" s="57">
        <v>3</v>
      </c>
      <c r="BB334" s="57">
        <f>+'[1]25'!R617</f>
        <v>4</v>
      </c>
      <c r="BC334" s="57">
        <v>1</v>
      </c>
      <c r="BD334" s="57"/>
      <c r="BE334" s="57"/>
      <c r="BF334" s="57"/>
      <c r="BG334" s="57"/>
      <c r="BH334" s="57"/>
      <c r="BI334" s="55">
        <f t="shared" si="60"/>
        <v>8</v>
      </c>
      <c r="BJ334" s="69">
        <f t="shared" si="61"/>
        <v>4</v>
      </c>
      <c r="BK334" s="69">
        <f t="shared" si="58"/>
        <v>0</v>
      </c>
      <c r="BM334" s="75"/>
      <c r="BN334" s="57">
        <f t="shared" si="56"/>
        <v>3</v>
      </c>
      <c r="BO334" s="80"/>
      <c r="BP334" s="81"/>
      <c r="BQ334" s="81">
        <v>1</v>
      </c>
      <c r="BR334" s="81"/>
      <c r="BS334" s="81"/>
      <c r="BT334" s="81"/>
      <c r="BU334" s="81"/>
      <c r="BV334" s="81"/>
      <c r="BW334" s="81"/>
      <c r="BX334" s="81"/>
      <c r="BY334" s="81"/>
      <c r="BZ334" s="9">
        <f t="shared" si="57"/>
        <v>1</v>
      </c>
      <c r="CB334" s="3"/>
      <c r="CD334" s="10"/>
      <c r="CE334" s="95"/>
    </row>
    <row r="335" spans="1:83" s="2" customFormat="1" ht="19.5" thickBot="1" x14ac:dyDescent="0.35">
      <c r="A335" s="17">
        <v>360</v>
      </c>
      <c r="B335" s="135"/>
      <c r="C335" s="20" t="s">
        <v>69</v>
      </c>
      <c r="D335" s="21"/>
      <c r="E335" s="21"/>
      <c r="F335" s="21"/>
      <c r="G335" s="32"/>
      <c r="H335" s="33"/>
      <c r="I335" s="41"/>
      <c r="J335" s="33"/>
      <c r="K335" s="41"/>
      <c r="L335" s="33"/>
      <c r="M335" s="41"/>
      <c r="N335" s="33"/>
      <c r="O335" s="41"/>
      <c r="P335" s="33"/>
      <c r="Q335" s="41"/>
      <c r="R335" s="33">
        <v>6</v>
      </c>
      <c r="S335" s="33"/>
      <c r="T335" s="33"/>
      <c r="U335" s="41"/>
      <c r="V335" s="33"/>
      <c r="W335" s="33"/>
      <c r="X335" s="33"/>
      <c r="Y335" s="33"/>
      <c r="Z335" s="33"/>
      <c r="AA335" s="33"/>
      <c r="AB335" s="33"/>
      <c r="AC335" s="33"/>
      <c r="AD335" s="47"/>
      <c r="AE335" s="47"/>
      <c r="AF335" s="47"/>
      <c r="AG335" s="47">
        <v>3</v>
      </c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55">
        <f t="shared" si="59"/>
        <v>9</v>
      </c>
      <c r="AZ335" s="59">
        <v>0</v>
      </c>
      <c r="BA335" s="60">
        <v>3</v>
      </c>
      <c r="BB335" s="60">
        <f>+'[1]25'!R618</f>
        <v>3</v>
      </c>
      <c r="BC335" s="60">
        <v>0</v>
      </c>
      <c r="BD335" s="60"/>
      <c r="BE335" s="60"/>
      <c r="BF335" s="60"/>
      <c r="BG335" s="60"/>
      <c r="BH335" s="60"/>
      <c r="BI335" s="58">
        <f t="shared" si="60"/>
        <v>6</v>
      </c>
      <c r="BJ335" s="70">
        <f t="shared" si="61"/>
        <v>3</v>
      </c>
      <c r="BK335" s="70">
        <f t="shared" si="58"/>
        <v>0</v>
      </c>
      <c r="BL335" s="76"/>
      <c r="BM335" s="77"/>
      <c r="BN335" s="60">
        <f t="shared" si="56"/>
        <v>2</v>
      </c>
      <c r="BO335" s="82"/>
      <c r="BP335" s="83"/>
      <c r="BQ335" s="83">
        <v>1</v>
      </c>
      <c r="BR335" s="83"/>
      <c r="BS335" s="83"/>
      <c r="BT335" s="83"/>
      <c r="BU335" s="83"/>
      <c r="BV335" s="83"/>
      <c r="BW335" s="83"/>
      <c r="BX335" s="83"/>
      <c r="BY335" s="83"/>
      <c r="BZ335" s="9">
        <f t="shared" si="57"/>
        <v>1</v>
      </c>
      <c r="CB335" s="3"/>
      <c r="CD335" s="10"/>
      <c r="CE335" s="95"/>
    </row>
    <row r="336" spans="1:83" s="2" customFormat="1" ht="19.5" thickBot="1" x14ac:dyDescent="0.35">
      <c r="A336" s="17">
        <v>361</v>
      </c>
      <c r="B336" s="134" t="s">
        <v>136</v>
      </c>
      <c r="C336" s="18" t="s">
        <v>62</v>
      </c>
      <c r="D336" s="19"/>
      <c r="E336" s="19"/>
      <c r="F336" s="19"/>
      <c r="G336" s="30"/>
      <c r="H336" s="31"/>
      <c r="I336" s="40"/>
      <c r="J336" s="31"/>
      <c r="K336" s="40"/>
      <c r="L336" s="31"/>
      <c r="M336" s="40"/>
      <c r="N336" s="31"/>
      <c r="O336" s="40"/>
      <c r="P336" s="31"/>
      <c r="Q336" s="40"/>
      <c r="R336" s="31"/>
      <c r="S336" s="31"/>
      <c r="T336" s="31"/>
      <c r="U336" s="40"/>
      <c r="V336" s="31"/>
      <c r="W336" s="31"/>
      <c r="X336" s="31"/>
      <c r="Y336" s="31"/>
      <c r="Z336" s="31"/>
      <c r="AA336" s="31"/>
      <c r="AB336" s="31"/>
      <c r="AC336" s="31"/>
      <c r="AD336" s="46"/>
      <c r="AE336" s="46"/>
      <c r="AF336" s="46"/>
      <c r="AG336" s="46">
        <v>6</v>
      </c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55">
        <f t="shared" si="59"/>
        <v>6</v>
      </c>
      <c r="AZ336" s="56"/>
      <c r="BA336" s="57"/>
      <c r="BB336" s="57">
        <f>+'[1]25'!R619</f>
        <v>1</v>
      </c>
      <c r="BC336" s="57">
        <v>4</v>
      </c>
      <c r="BD336" s="57"/>
      <c r="BE336" s="57"/>
      <c r="BF336" s="57"/>
      <c r="BG336" s="57"/>
      <c r="BH336" s="57"/>
      <c r="BI336" s="55">
        <f t="shared" si="60"/>
        <v>5</v>
      </c>
      <c r="BJ336" s="69">
        <f t="shared" si="61"/>
        <v>1</v>
      </c>
      <c r="BK336" s="69">
        <f t="shared" si="58"/>
        <v>0</v>
      </c>
      <c r="BM336" s="75"/>
      <c r="BN336" s="57">
        <f t="shared" si="56"/>
        <v>0</v>
      </c>
      <c r="BO336" s="80"/>
      <c r="BP336" s="81"/>
      <c r="BQ336" s="81">
        <v>1</v>
      </c>
      <c r="BR336" s="81"/>
      <c r="BS336" s="81"/>
      <c r="BT336" s="81"/>
      <c r="BU336" s="81"/>
      <c r="BV336" s="81"/>
      <c r="BW336" s="81"/>
      <c r="BX336" s="81"/>
      <c r="BY336" s="81"/>
      <c r="BZ336" s="9">
        <f t="shared" si="57"/>
        <v>1</v>
      </c>
      <c r="CB336" s="3"/>
      <c r="CD336" s="10"/>
      <c r="CE336" s="95"/>
    </row>
    <row r="337" spans="1:83" s="2" customFormat="1" ht="19.5" thickBot="1" x14ac:dyDescent="0.35">
      <c r="A337" s="17">
        <v>362</v>
      </c>
      <c r="B337" s="135"/>
      <c r="C337" s="18" t="s">
        <v>63</v>
      </c>
      <c r="D337" s="19"/>
      <c r="E337" s="19"/>
      <c r="F337" s="19"/>
      <c r="G337" s="30"/>
      <c r="H337" s="31"/>
      <c r="I337" s="40"/>
      <c r="J337" s="31"/>
      <c r="K337" s="40"/>
      <c r="L337" s="31"/>
      <c r="M337" s="40"/>
      <c r="N337" s="31"/>
      <c r="O337" s="40"/>
      <c r="P337" s="31"/>
      <c r="Q337" s="40"/>
      <c r="R337" s="31"/>
      <c r="S337" s="31"/>
      <c r="T337" s="31"/>
      <c r="U337" s="40"/>
      <c r="V337" s="31"/>
      <c r="W337" s="31"/>
      <c r="X337" s="31"/>
      <c r="Y337" s="31"/>
      <c r="Z337" s="31"/>
      <c r="AA337" s="31"/>
      <c r="AB337" s="31"/>
      <c r="AC337" s="31"/>
      <c r="AD337" s="46"/>
      <c r="AE337" s="46"/>
      <c r="AF337" s="46"/>
      <c r="AG337" s="46">
        <v>15</v>
      </c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55">
        <f t="shared" si="59"/>
        <v>15</v>
      </c>
      <c r="AZ337" s="56"/>
      <c r="BA337" s="57"/>
      <c r="BB337" s="57">
        <f>+'[1]25'!R620</f>
        <v>2</v>
      </c>
      <c r="BC337" s="57">
        <v>8</v>
      </c>
      <c r="BD337" s="57"/>
      <c r="BE337" s="57"/>
      <c r="BF337" s="57"/>
      <c r="BG337" s="57"/>
      <c r="BH337" s="57"/>
      <c r="BI337" s="55">
        <f t="shared" si="60"/>
        <v>10</v>
      </c>
      <c r="BJ337" s="69">
        <f t="shared" si="61"/>
        <v>5</v>
      </c>
      <c r="BK337" s="69">
        <f t="shared" si="58"/>
        <v>0</v>
      </c>
      <c r="BM337" s="75"/>
      <c r="BN337" s="57">
        <f t="shared" si="56"/>
        <v>3</v>
      </c>
      <c r="BO337" s="80"/>
      <c r="BP337" s="81"/>
      <c r="BQ337" s="81">
        <v>1</v>
      </c>
      <c r="BR337" s="81">
        <v>1</v>
      </c>
      <c r="BS337" s="81"/>
      <c r="BT337" s="81"/>
      <c r="BU337" s="81"/>
      <c r="BV337" s="81"/>
      <c r="BW337" s="81"/>
      <c r="BX337" s="81"/>
      <c r="BY337" s="81"/>
      <c r="BZ337" s="9">
        <f t="shared" si="57"/>
        <v>2</v>
      </c>
      <c r="CB337" s="3"/>
      <c r="CD337" s="10"/>
      <c r="CE337" s="95"/>
    </row>
    <row r="338" spans="1:83" s="2" customFormat="1" ht="19.5" thickBot="1" x14ac:dyDescent="0.35">
      <c r="A338" s="17">
        <v>363</v>
      </c>
      <c r="B338" s="135"/>
      <c r="C338" s="18" t="s">
        <v>64</v>
      </c>
      <c r="D338" s="19"/>
      <c r="E338" s="19"/>
      <c r="F338" s="19"/>
      <c r="G338" s="30"/>
      <c r="H338" s="31"/>
      <c r="I338" s="40"/>
      <c r="J338" s="31"/>
      <c r="K338" s="40"/>
      <c r="L338" s="31"/>
      <c r="M338" s="40"/>
      <c r="N338" s="31"/>
      <c r="O338" s="40"/>
      <c r="P338" s="31"/>
      <c r="Q338" s="40"/>
      <c r="R338" s="31"/>
      <c r="S338" s="31"/>
      <c r="T338" s="31"/>
      <c r="U338" s="40"/>
      <c r="V338" s="31"/>
      <c r="W338" s="31"/>
      <c r="X338" s="31"/>
      <c r="Y338" s="31"/>
      <c r="Z338" s="31"/>
      <c r="AA338" s="31"/>
      <c r="AB338" s="31"/>
      <c r="AC338" s="31"/>
      <c r="AD338" s="46"/>
      <c r="AE338" s="46"/>
      <c r="AF338" s="46"/>
      <c r="AG338" s="46">
        <v>18</v>
      </c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55">
        <f t="shared" si="59"/>
        <v>18</v>
      </c>
      <c r="AZ338" s="56"/>
      <c r="BA338" s="57"/>
      <c r="BB338" s="57">
        <f>+'[1]25'!R621</f>
        <v>3</v>
      </c>
      <c r="BC338" s="57">
        <v>8</v>
      </c>
      <c r="BD338" s="57"/>
      <c r="BE338" s="57"/>
      <c r="BF338" s="57"/>
      <c r="BG338" s="57"/>
      <c r="BH338" s="57"/>
      <c r="BI338" s="55">
        <f t="shared" si="60"/>
        <v>11</v>
      </c>
      <c r="BJ338" s="69">
        <f t="shared" si="61"/>
        <v>7</v>
      </c>
      <c r="BK338" s="69">
        <f t="shared" si="58"/>
        <v>0</v>
      </c>
      <c r="BM338" s="75"/>
      <c r="BN338" s="57">
        <f t="shared" si="56"/>
        <v>4</v>
      </c>
      <c r="BO338" s="80"/>
      <c r="BP338" s="81"/>
      <c r="BQ338" s="81">
        <v>2</v>
      </c>
      <c r="BR338" s="81">
        <v>1</v>
      </c>
      <c r="BS338" s="81"/>
      <c r="BT338" s="81"/>
      <c r="BU338" s="81"/>
      <c r="BV338" s="81"/>
      <c r="BW338" s="81"/>
      <c r="BX338" s="81"/>
      <c r="BY338" s="81"/>
      <c r="BZ338" s="9">
        <f t="shared" si="57"/>
        <v>3</v>
      </c>
      <c r="CB338" s="3"/>
      <c r="CD338" s="10"/>
      <c r="CE338" s="95"/>
    </row>
    <row r="339" spans="1:83" s="2" customFormat="1" ht="19.5" thickBot="1" x14ac:dyDescent="0.35">
      <c r="A339" s="17">
        <v>364</v>
      </c>
      <c r="B339" s="135"/>
      <c r="C339" s="18" t="s">
        <v>65</v>
      </c>
      <c r="D339" s="19"/>
      <c r="E339" s="19"/>
      <c r="F339" s="19"/>
      <c r="G339" s="30"/>
      <c r="H339" s="31"/>
      <c r="I339" s="40"/>
      <c r="J339" s="31"/>
      <c r="K339" s="40"/>
      <c r="L339" s="31"/>
      <c r="M339" s="40"/>
      <c r="N339" s="31"/>
      <c r="O339" s="40"/>
      <c r="P339" s="31"/>
      <c r="Q339" s="40"/>
      <c r="R339" s="31"/>
      <c r="S339" s="31"/>
      <c r="T339" s="31"/>
      <c r="U339" s="40"/>
      <c r="V339" s="31"/>
      <c r="W339" s="31"/>
      <c r="X339" s="31"/>
      <c r="Y339" s="31"/>
      <c r="Z339" s="31"/>
      <c r="AA339" s="31"/>
      <c r="AB339" s="31"/>
      <c r="AC339" s="31"/>
      <c r="AD339" s="46"/>
      <c r="AE339" s="46"/>
      <c r="AF339" s="46"/>
      <c r="AG339" s="46">
        <v>27</v>
      </c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55">
        <f t="shared" si="59"/>
        <v>27</v>
      </c>
      <c r="AZ339" s="56"/>
      <c r="BA339" s="57"/>
      <c r="BB339" s="57">
        <f>+'[1]25'!R622</f>
        <v>8</v>
      </c>
      <c r="BC339" s="57">
        <v>9</v>
      </c>
      <c r="BD339" s="57"/>
      <c r="BE339" s="57"/>
      <c r="BF339" s="57"/>
      <c r="BG339" s="57"/>
      <c r="BH339" s="57"/>
      <c r="BI339" s="55">
        <f t="shared" si="60"/>
        <v>17</v>
      </c>
      <c r="BJ339" s="69">
        <f t="shared" si="61"/>
        <v>10</v>
      </c>
      <c r="BK339" s="69">
        <f t="shared" si="58"/>
        <v>0</v>
      </c>
      <c r="BM339" s="75"/>
      <c r="BN339" s="57">
        <f t="shared" si="56"/>
        <v>8</v>
      </c>
      <c r="BO339" s="80"/>
      <c r="BP339" s="81"/>
      <c r="BQ339" s="81">
        <v>1</v>
      </c>
      <c r="BR339" s="81">
        <v>1</v>
      </c>
      <c r="BS339" s="81"/>
      <c r="BT339" s="81"/>
      <c r="BU339" s="81"/>
      <c r="BV339" s="81"/>
      <c r="BW339" s="81"/>
      <c r="BX339" s="81"/>
      <c r="BY339" s="81"/>
      <c r="BZ339" s="9">
        <f t="shared" si="57"/>
        <v>2</v>
      </c>
      <c r="CB339" s="3"/>
      <c r="CD339" s="10"/>
      <c r="CE339" s="95"/>
    </row>
    <row r="340" spans="1:83" s="2" customFormat="1" ht="19.5" thickBot="1" x14ac:dyDescent="0.35">
      <c r="A340" s="17">
        <v>365</v>
      </c>
      <c r="B340" s="135"/>
      <c r="C340" s="18" t="s">
        <v>66</v>
      </c>
      <c r="D340" s="19"/>
      <c r="E340" s="19"/>
      <c r="F340" s="19"/>
      <c r="G340" s="30"/>
      <c r="H340" s="31"/>
      <c r="I340" s="40"/>
      <c r="J340" s="31"/>
      <c r="K340" s="40"/>
      <c r="L340" s="31"/>
      <c r="M340" s="40"/>
      <c r="N340" s="31"/>
      <c r="O340" s="40"/>
      <c r="P340" s="31"/>
      <c r="Q340" s="40"/>
      <c r="R340" s="31"/>
      <c r="S340" s="31"/>
      <c r="T340" s="31"/>
      <c r="U340" s="40"/>
      <c r="V340" s="31"/>
      <c r="W340" s="31"/>
      <c r="X340" s="31"/>
      <c r="Y340" s="31"/>
      <c r="Z340" s="31"/>
      <c r="AA340" s="31"/>
      <c r="AB340" s="31"/>
      <c r="AC340" s="31"/>
      <c r="AD340" s="46"/>
      <c r="AE340" s="46"/>
      <c r="AF340" s="46"/>
      <c r="AG340" s="46">
        <v>24</v>
      </c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55">
        <f t="shared" si="59"/>
        <v>24</v>
      </c>
      <c r="AZ340" s="56"/>
      <c r="BA340" s="57"/>
      <c r="BB340" s="57">
        <f>+'[1]25'!R623</f>
        <v>6</v>
      </c>
      <c r="BC340" s="57">
        <v>9</v>
      </c>
      <c r="BD340" s="57"/>
      <c r="BE340" s="57"/>
      <c r="BF340" s="57"/>
      <c r="BG340" s="57"/>
      <c r="BH340" s="57"/>
      <c r="BI340" s="55">
        <f t="shared" si="60"/>
        <v>15</v>
      </c>
      <c r="BJ340" s="69">
        <f t="shared" si="61"/>
        <v>9</v>
      </c>
      <c r="BK340" s="69">
        <f t="shared" si="58"/>
        <v>0</v>
      </c>
      <c r="BM340" s="75"/>
      <c r="BN340" s="57">
        <f t="shared" si="56"/>
        <v>7</v>
      </c>
      <c r="BO340" s="80"/>
      <c r="BP340" s="81"/>
      <c r="BQ340" s="81">
        <v>1</v>
      </c>
      <c r="BR340" s="81">
        <v>1</v>
      </c>
      <c r="BS340" s="81"/>
      <c r="BT340" s="81"/>
      <c r="BU340" s="81"/>
      <c r="BV340" s="81"/>
      <c r="BW340" s="81"/>
      <c r="BX340" s="81"/>
      <c r="BY340" s="81"/>
      <c r="BZ340" s="9">
        <f t="shared" si="57"/>
        <v>2</v>
      </c>
      <c r="CB340" s="3"/>
      <c r="CD340" s="10"/>
      <c r="CE340" s="95"/>
    </row>
    <row r="341" spans="1:83" s="2" customFormat="1" ht="19.5" thickBot="1" x14ac:dyDescent="0.35">
      <c r="A341" s="17">
        <v>366</v>
      </c>
      <c r="B341" s="135"/>
      <c r="C341" s="18" t="s">
        <v>67</v>
      </c>
      <c r="D341" s="19"/>
      <c r="E341" s="19"/>
      <c r="F341" s="19"/>
      <c r="G341" s="30"/>
      <c r="H341" s="31"/>
      <c r="I341" s="40"/>
      <c r="J341" s="31"/>
      <c r="K341" s="40"/>
      <c r="L341" s="31"/>
      <c r="M341" s="40"/>
      <c r="N341" s="31"/>
      <c r="O341" s="40"/>
      <c r="P341" s="31"/>
      <c r="Q341" s="40"/>
      <c r="R341" s="31"/>
      <c r="S341" s="31"/>
      <c r="T341" s="31"/>
      <c r="U341" s="40"/>
      <c r="V341" s="31"/>
      <c r="W341" s="31"/>
      <c r="X341" s="31"/>
      <c r="Y341" s="31"/>
      <c r="Z341" s="31"/>
      <c r="AA341" s="31"/>
      <c r="AB341" s="31"/>
      <c r="AC341" s="31"/>
      <c r="AD341" s="46"/>
      <c r="AE341" s="46"/>
      <c r="AF341" s="46"/>
      <c r="AG341" s="46">
        <v>12</v>
      </c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55">
        <f t="shared" si="59"/>
        <v>12</v>
      </c>
      <c r="AZ341" s="56"/>
      <c r="BA341" s="57"/>
      <c r="BB341" s="57">
        <f>+'[1]25'!R624</f>
        <v>7</v>
      </c>
      <c r="BC341" s="57">
        <v>3</v>
      </c>
      <c r="BD341" s="57"/>
      <c r="BE341" s="57"/>
      <c r="BF341" s="57"/>
      <c r="BG341" s="57"/>
      <c r="BH341" s="57"/>
      <c r="BI341" s="55">
        <f t="shared" si="60"/>
        <v>10</v>
      </c>
      <c r="BJ341" s="69">
        <f t="shared" si="61"/>
        <v>2</v>
      </c>
      <c r="BK341" s="69">
        <f t="shared" si="58"/>
        <v>0</v>
      </c>
      <c r="BM341" s="75"/>
      <c r="BN341" s="57">
        <f t="shared" si="56"/>
        <v>0</v>
      </c>
      <c r="BO341" s="80"/>
      <c r="BP341" s="81"/>
      <c r="BQ341" s="81">
        <v>1</v>
      </c>
      <c r="BR341" s="81">
        <v>1</v>
      </c>
      <c r="BS341" s="81"/>
      <c r="BT341" s="81"/>
      <c r="BU341" s="81"/>
      <c r="BV341" s="81"/>
      <c r="BW341" s="81"/>
      <c r="BX341" s="81"/>
      <c r="BY341" s="81"/>
      <c r="BZ341" s="9">
        <f t="shared" si="57"/>
        <v>2</v>
      </c>
      <c r="CB341" s="3"/>
      <c r="CD341" s="10"/>
      <c r="CE341" s="95"/>
    </row>
    <row r="342" spans="1:83" s="2" customFormat="1" ht="19.5" thickBot="1" x14ac:dyDescent="0.35">
      <c r="A342" s="17">
        <v>367</v>
      </c>
      <c r="B342" s="135"/>
      <c r="C342" s="18" t="s">
        <v>68</v>
      </c>
      <c r="D342" s="19"/>
      <c r="E342" s="19"/>
      <c r="F342" s="19"/>
      <c r="G342" s="30"/>
      <c r="H342" s="31"/>
      <c r="I342" s="40"/>
      <c r="J342" s="31"/>
      <c r="K342" s="40"/>
      <c r="L342" s="31"/>
      <c r="M342" s="40"/>
      <c r="N342" s="31"/>
      <c r="O342" s="40"/>
      <c r="P342" s="31"/>
      <c r="Q342" s="40"/>
      <c r="R342" s="31"/>
      <c r="S342" s="31"/>
      <c r="T342" s="31"/>
      <c r="U342" s="40"/>
      <c r="V342" s="31"/>
      <c r="W342" s="31"/>
      <c r="X342" s="31"/>
      <c r="Y342" s="31"/>
      <c r="Z342" s="31"/>
      <c r="AA342" s="31"/>
      <c r="AB342" s="31"/>
      <c r="AC342" s="31"/>
      <c r="AD342" s="46"/>
      <c r="AE342" s="46"/>
      <c r="AF342" s="46"/>
      <c r="AG342" s="46">
        <v>6</v>
      </c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55">
        <f t="shared" si="59"/>
        <v>6</v>
      </c>
      <c r="AZ342" s="56"/>
      <c r="BA342" s="57"/>
      <c r="BB342" s="57">
        <f>+'[1]25'!R625</f>
        <v>2</v>
      </c>
      <c r="BC342" s="57">
        <v>3</v>
      </c>
      <c r="BD342" s="57"/>
      <c r="BE342" s="57"/>
      <c r="BF342" s="57"/>
      <c r="BG342" s="57"/>
      <c r="BH342" s="57"/>
      <c r="BI342" s="55">
        <f t="shared" si="60"/>
        <v>5</v>
      </c>
      <c r="BJ342" s="69">
        <f t="shared" si="61"/>
        <v>1</v>
      </c>
      <c r="BK342" s="69">
        <f t="shared" si="58"/>
        <v>0</v>
      </c>
      <c r="BM342" s="75"/>
      <c r="BN342" s="57">
        <f t="shared" si="56"/>
        <v>0</v>
      </c>
      <c r="BO342" s="80"/>
      <c r="BP342" s="81"/>
      <c r="BQ342" s="81">
        <v>1</v>
      </c>
      <c r="BR342" s="81"/>
      <c r="BS342" s="81"/>
      <c r="BT342" s="81"/>
      <c r="BU342" s="81"/>
      <c r="BV342" s="81"/>
      <c r="BW342" s="81"/>
      <c r="BX342" s="81"/>
      <c r="BY342" s="81"/>
      <c r="BZ342" s="9">
        <f t="shared" si="57"/>
        <v>1</v>
      </c>
      <c r="CB342" s="3"/>
      <c r="CD342" s="10"/>
      <c r="CE342" s="95"/>
    </row>
    <row r="343" spans="1:83" s="2" customFormat="1" ht="19.5" thickBot="1" x14ac:dyDescent="0.35">
      <c r="A343" s="17">
        <v>368</v>
      </c>
      <c r="B343" s="135"/>
      <c r="C343" s="20" t="s">
        <v>69</v>
      </c>
      <c r="D343" s="21"/>
      <c r="E343" s="21"/>
      <c r="F343" s="21"/>
      <c r="G343" s="32"/>
      <c r="H343" s="33"/>
      <c r="I343" s="41"/>
      <c r="J343" s="33"/>
      <c r="K343" s="41"/>
      <c r="L343" s="33"/>
      <c r="M343" s="41"/>
      <c r="N343" s="33"/>
      <c r="O343" s="41"/>
      <c r="P343" s="33"/>
      <c r="Q343" s="41"/>
      <c r="R343" s="33"/>
      <c r="S343" s="33"/>
      <c r="T343" s="33"/>
      <c r="U343" s="41"/>
      <c r="V343" s="33"/>
      <c r="W343" s="33"/>
      <c r="X343" s="33"/>
      <c r="Y343" s="33"/>
      <c r="Z343" s="33"/>
      <c r="AA343" s="33"/>
      <c r="AB343" s="33"/>
      <c r="AC343" s="33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55">
        <f t="shared" si="59"/>
        <v>0</v>
      </c>
      <c r="AZ343" s="59"/>
      <c r="BA343" s="60"/>
      <c r="BB343" s="60">
        <f>+'[1]25'!R626</f>
        <v>0</v>
      </c>
      <c r="BC343" s="60">
        <v>0</v>
      </c>
      <c r="BD343" s="60"/>
      <c r="BE343" s="60"/>
      <c r="BF343" s="60"/>
      <c r="BG343" s="60"/>
      <c r="BH343" s="60"/>
      <c r="BI343" s="58">
        <f t="shared" si="60"/>
        <v>0</v>
      </c>
      <c r="BJ343" s="70">
        <f t="shared" si="61"/>
        <v>0</v>
      </c>
      <c r="BK343" s="70">
        <f t="shared" si="58"/>
        <v>0</v>
      </c>
      <c r="BL343" s="76"/>
      <c r="BM343" s="77"/>
      <c r="BN343" s="60">
        <f t="shared" si="56"/>
        <v>0</v>
      </c>
      <c r="BO343" s="82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9">
        <f t="shared" si="57"/>
        <v>0</v>
      </c>
      <c r="CB343" s="3"/>
      <c r="CD343" s="10"/>
      <c r="CE343" s="95"/>
    </row>
    <row r="344" spans="1:83" s="2" customFormat="1" ht="19.5" thickBot="1" x14ac:dyDescent="0.35">
      <c r="A344" s="17">
        <v>369</v>
      </c>
      <c r="B344" s="134" t="s">
        <v>137</v>
      </c>
      <c r="C344" s="18" t="s">
        <v>82</v>
      </c>
      <c r="D344" s="19"/>
      <c r="E344" s="19"/>
      <c r="F344" s="19"/>
      <c r="G344" s="30"/>
      <c r="H344" s="31"/>
      <c r="I344" s="40"/>
      <c r="J344" s="31"/>
      <c r="K344" s="40"/>
      <c r="L344" s="31"/>
      <c r="M344" s="40"/>
      <c r="N344" s="31"/>
      <c r="O344" s="40"/>
      <c r="P344" s="31"/>
      <c r="Q344" s="40"/>
      <c r="R344" s="31">
        <v>6</v>
      </c>
      <c r="S344" s="31"/>
      <c r="T344" s="31"/>
      <c r="U344" s="40"/>
      <c r="V344" s="31"/>
      <c r="W344" s="31"/>
      <c r="X344" s="31"/>
      <c r="Y344" s="31"/>
      <c r="Z344" s="31"/>
      <c r="AA344" s="31"/>
      <c r="AB344" s="31"/>
      <c r="AC344" s="31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55">
        <f t="shared" si="59"/>
        <v>6</v>
      </c>
      <c r="AZ344" s="56">
        <v>0</v>
      </c>
      <c r="BA344" s="57">
        <v>0</v>
      </c>
      <c r="BB344" s="57">
        <f>+'[1]25'!R627</f>
        <v>2</v>
      </c>
      <c r="BC344" s="57">
        <v>1</v>
      </c>
      <c r="BD344" s="57"/>
      <c r="BE344" s="57"/>
      <c r="BF344" s="57"/>
      <c r="BG344" s="57"/>
      <c r="BH344" s="57"/>
      <c r="BI344" s="55">
        <f t="shared" si="60"/>
        <v>3</v>
      </c>
      <c r="BJ344" s="69">
        <f t="shared" si="61"/>
        <v>3</v>
      </c>
      <c r="BK344" s="69">
        <f t="shared" si="58"/>
        <v>0</v>
      </c>
      <c r="BM344" s="75"/>
      <c r="BN344" s="57">
        <f t="shared" si="56"/>
        <v>1</v>
      </c>
      <c r="BO344" s="80"/>
      <c r="BP344" s="81"/>
      <c r="BQ344" s="81">
        <v>1</v>
      </c>
      <c r="BR344" s="81"/>
      <c r="BS344" s="81"/>
      <c r="BT344" s="81"/>
      <c r="BU344" s="81"/>
      <c r="BV344" s="81"/>
      <c r="BW344" s="81">
        <v>1</v>
      </c>
      <c r="BX344" s="81"/>
      <c r="BY344" s="81"/>
      <c r="BZ344" s="9">
        <f t="shared" si="57"/>
        <v>2</v>
      </c>
      <c r="CB344" s="3"/>
      <c r="CD344" s="10"/>
      <c r="CE344" s="95"/>
    </row>
    <row r="345" spans="1:83" s="2" customFormat="1" ht="19.5" thickBot="1" x14ac:dyDescent="0.35">
      <c r="A345" s="17">
        <v>370</v>
      </c>
      <c r="B345" s="135"/>
      <c r="C345" s="18" t="s">
        <v>83</v>
      </c>
      <c r="D345" s="19"/>
      <c r="E345" s="19"/>
      <c r="F345" s="19"/>
      <c r="G345" s="30"/>
      <c r="H345" s="31"/>
      <c r="I345" s="40"/>
      <c r="J345" s="31"/>
      <c r="K345" s="40"/>
      <c r="L345" s="31"/>
      <c r="M345" s="40"/>
      <c r="N345" s="31"/>
      <c r="O345" s="40"/>
      <c r="P345" s="31"/>
      <c r="Q345" s="40"/>
      <c r="R345" s="31">
        <v>12</v>
      </c>
      <c r="S345" s="31"/>
      <c r="T345" s="31"/>
      <c r="U345" s="40"/>
      <c r="V345" s="31"/>
      <c r="W345" s="31"/>
      <c r="X345" s="31"/>
      <c r="Y345" s="31"/>
      <c r="Z345" s="31"/>
      <c r="AA345" s="31"/>
      <c r="AB345" s="31"/>
      <c r="AC345" s="31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55">
        <f t="shared" si="59"/>
        <v>12</v>
      </c>
      <c r="AZ345" s="56">
        <v>0</v>
      </c>
      <c r="BA345" s="57">
        <v>2</v>
      </c>
      <c r="BB345" s="57">
        <f>+'[1]25'!R628</f>
        <v>5</v>
      </c>
      <c r="BC345" s="57">
        <v>3</v>
      </c>
      <c r="BD345" s="57"/>
      <c r="BE345" s="57"/>
      <c r="BF345" s="57"/>
      <c r="BG345" s="57"/>
      <c r="BH345" s="57"/>
      <c r="BI345" s="55">
        <f t="shared" si="60"/>
        <v>10</v>
      </c>
      <c r="BJ345" s="69">
        <f t="shared" si="61"/>
        <v>2</v>
      </c>
      <c r="BK345" s="69">
        <f t="shared" si="58"/>
        <v>0</v>
      </c>
      <c r="BM345" s="75"/>
      <c r="BN345" s="57">
        <f t="shared" si="56"/>
        <v>2</v>
      </c>
      <c r="BO345" s="80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9">
        <f t="shared" si="57"/>
        <v>0</v>
      </c>
      <c r="CB345" s="3"/>
      <c r="CD345" s="10"/>
      <c r="CE345" s="95"/>
    </row>
    <row r="346" spans="1:83" s="2" customFormat="1" ht="19.5" thickBot="1" x14ac:dyDescent="0.35">
      <c r="A346" s="17">
        <v>371</v>
      </c>
      <c r="B346" s="135"/>
      <c r="C346" s="18" t="s">
        <v>84</v>
      </c>
      <c r="D346" s="19"/>
      <c r="E346" s="19"/>
      <c r="F346" s="19"/>
      <c r="G346" s="30"/>
      <c r="H346" s="31"/>
      <c r="I346" s="40"/>
      <c r="J346" s="31"/>
      <c r="K346" s="40"/>
      <c r="L346" s="31"/>
      <c r="M346" s="40"/>
      <c r="N346" s="31"/>
      <c r="O346" s="40"/>
      <c r="P346" s="31"/>
      <c r="Q346" s="40"/>
      <c r="R346" s="31">
        <v>24</v>
      </c>
      <c r="S346" s="31"/>
      <c r="T346" s="31"/>
      <c r="U346" s="40"/>
      <c r="V346" s="31"/>
      <c r="W346" s="31"/>
      <c r="X346" s="31"/>
      <c r="Y346" s="31"/>
      <c r="Z346" s="31"/>
      <c r="AA346" s="31"/>
      <c r="AB346" s="31"/>
      <c r="AC346" s="31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55">
        <f t="shared" si="59"/>
        <v>24</v>
      </c>
      <c r="AZ346" s="56">
        <v>0</v>
      </c>
      <c r="BA346" s="57">
        <v>3</v>
      </c>
      <c r="BB346" s="57">
        <f>+'[1]25'!R629</f>
        <v>13</v>
      </c>
      <c r="BC346" s="57">
        <v>7</v>
      </c>
      <c r="BD346" s="57"/>
      <c r="BE346" s="57"/>
      <c r="BF346" s="57"/>
      <c r="BG346" s="57"/>
      <c r="BH346" s="57"/>
      <c r="BI346" s="55">
        <f t="shared" si="60"/>
        <v>23</v>
      </c>
      <c r="BJ346" s="69">
        <f t="shared" si="61"/>
        <v>1</v>
      </c>
      <c r="BK346" s="69">
        <f t="shared" si="58"/>
        <v>0</v>
      </c>
      <c r="BM346" s="75"/>
      <c r="BN346" s="57">
        <f t="shared" si="56"/>
        <v>0</v>
      </c>
      <c r="BO346" s="80"/>
      <c r="BP346" s="81"/>
      <c r="BQ346" s="81">
        <v>1</v>
      </c>
      <c r="BR346" s="81"/>
      <c r="BS346" s="81"/>
      <c r="BT346" s="81"/>
      <c r="BU346" s="81"/>
      <c r="BV346" s="81"/>
      <c r="BW346" s="81"/>
      <c r="BX346" s="81"/>
      <c r="BY346" s="81"/>
      <c r="BZ346" s="9">
        <f t="shared" si="57"/>
        <v>1</v>
      </c>
      <c r="CB346" s="3"/>
      <c r="CD346" s="10"/>
      <c r="CE346" s="95"/>
    </row>
    <row r="347" spans="1:83" s="2" customFormat="1" ht="19.5" thickBot="1" x14ac:dyDescent="0.35">
      <c r="A347" s="17">
        <v>372</v>
      </c>
      <c r="B347" s="135"/>
      <c r="C347" s="18" t="s">
        <v>85</v>
      </c>
      <c r="D347" s="19"/>
      <c r="E347" s="19"/>
      <c r="F347" s="19"/>
      <c r="G347" s="30"/>
      <c r="H347" s="31"/>
      <c r="I347" s="40"/>
      <c r="J347" s="31"/>
      <c r="K347" s="40"/>
      <c r="L347" s="31"/>
      <c r="M347" s="40"/>
      <c r="N347" s="31"/>
      <c r="O347" s="40"/>
      <c r="P347" s="31"/>
      <c r="Q347" s="40"/>
      <c r="R347" s="31">
        <v>24</v>
      </c>
      <c r="S347" s="31"/>
      <c r="T347" s="31"/>
      <c r="U347" s="40"/>
      <c r="V347" s="31"/>
      <c r="W347" s="31"/>
      <c r="X347" s="31"/>
      <c r="Y347" s="31"/>
      <c r="Z347" s="31"/>
      <c r="AA347" s="31"/>
      <c r="AB347" s="31"/>
      <c r="AC347" s="31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55">
        <f t="shared" si="59"/>
        <v>24</v>
      </c>
      <c r="AZ347" s="56">
        <v>0</v>
      </c>
      <c r="BA347" s="57">
        <v>3</v>
      </c>
      <c r="BB347" s="57">
        <f>+'[1]25'!R630</f>
        <v>16</v>
      </c>
      <c r="BC347" s="57">
        <v>4</v>
      </c>
      <c r="BD347" s="57"/>
      <c r="BE347" s="57"/>
      <c r="BF347" s="57"/>
      <c r="BG347" s="57"/>
      <c r="BH347" s="57"/>
      <c r="BI347" s="55">
        <f t="shared" si="60"/>
        <v>23</v>
      </c>
      <c r="BJ347" s="69">
        <f t="shared" si="61"/>
        <v>1</v>
      </c>
      <c r="BK347" s="69">
        <f t="shared" si="58"/>
        <v>0</v>
      </c>
      <c r="BM347" s="75"/>
      <c r="BN347" s="57">
        <f t="shared" si="56"/>
        <v>0</v>
      </c>
      <c r="BO347" s="80"/>
      <c r="BP347" s="81"/>
      <c r="BQ347" s="81">
        <v>1</v>
      </c>
      <c r="BR347" s="81"/>
      <c r="BS347" s="81"/>
      <c r="BT347" s="81"/>
      <c r="BU347" s="81"/>
      <c r="BV347" s="81"/>
      <c r="BW347" s="81"/>
      <c r="BX347" s="81"/>
      <c r="BY347" s="81"/>
      <c r="BZ347" s="9">
        <f t="shared" si="57"/>
        <v>1</v>
      </c>
      <c r="CB347" s="3"/>
      <c r="CD347" s="10"/>
      <c r="CE347" s="95"/>
    </row>
    <row r="348" spans="1:83" s="2" customFormat="1" ht="19.5" thickBot="1" x14ac:dyDescent="0.35">
      <c r="A348" s="17">
        <v>373</v>
      </c>
      <c r="B348" s="135"/>
      <c r="C348" s="18" t="s">
        <v>86</v>
      </c>
      <c r="D348" s="19"/>
      <c r="E348" s="19"/>
      <c r="F348" s="19"/>
      <c r="G348" s="30"/>
      <c r="H348" s="31"/>
      <c r="I348" s="40"/>
      <c r="J348" s="31"/>
      <c r="K348" s="40"/>
      <c r="L348" s="31"/>
      <c r="M348" s="40"/>
      <c r="N348" s="31"/>
      <c r="O348" s="40"/>
      <c r="P348" s="31"/>
      <c r="Q348" s="40"/>
      <c r="R348" s="31">
        <v>12</v>
      </c>
      <c r="S348" s="31"/>
      <c r="T348" s="31"/>
      <c r="U348" s="40"/>
      <c r="V348" s="31"/>
      <c r="W348" s="31"/>
      <c r="X348" s="31"/>
      <c r="Y348" s="31"/>
      <c r="Z348" s="31"/>
      <c r="AA348" s="31"/>
      <c r="AB348" s="31"/>
      <c r="AC348" s="31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55">
        <f t="shared" si="59"/>
        <v>12</v>
      </c>
      <c r="AZ348" s="56">
        <v>0</v>
      </c>
      <c r="BA348" s="57">
        <v>3</v>
      </c>
      <c r="BB348" s="57">
        <f>+'[1]25'!R631</f>
        <v>8</v>
      </c>
      <c r="BC348" s="57">
        <v>0</v>
      </c>
      <c r="BD348" s="57"/>
      <c r="BE348" s="57"/>
      <c r="BF348" s="57"/>
      <c r="BG348" s="57"/>
      <c r="BH348" s="57"/>
      <c r="BI348" s="55">
        <f t="shared" si="60"/>
        <v>11</v>
      </c>
      <c r="BJ348" s="69">
        <f t="shared" si="61"/>
        <v>1</v>
      </c>
      <c r="BK348" s="69">
        <f t="shared" si="58"/>
        <v>0</v>
      </c>
      <c r="BM348" s="75"/>
      <c r="BN348" s="57">
        <f t="shared" si="56"/>
        <v>1</v>
      </c>
      <c r="BO348" s="80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9">
        <f t="shared" si="57"/>
        <v>0</v>
      </c>
      <c r="CB348" s="3"/>
      <c r="CD348" s="10"/>
      <c r="CE348" s="95"/>
    </row>
    <row r="349" spans="1:83" s="2" customFormat="1" ht="19.5" thickBot="1" x14ac:dyDescent="0.35">
      <c r="A349" s="17">
        <v>374</v>
      </c>
      <c r="B349" s="135"/>
      <c r="C349" s="20" t="s">
        <v>87</v>
      </c>
      <c r="D349" s="21"/>
      <c r="E349" s="21"/>
      <c r="F349" s="21"/>
      <c r="G349" s="32"/>
      <c r="H349" s="33"/>
      <c r="I349" s="41"/>
      <c r="J349" s="33"/>
      <c r="K349" s="41"/>
      <c r="L349" s="33"/>
      <c r="M349" s="41"/>
      <c r="N349" s="33"/>
      <c r="O349" s="41"/>
      <c r="P349" s="33"/>
      <c r="Q349" s="41"/>
      <c r="R349" s="33">
        <v>6</v>
      </c>
      <c r="S349" s="33"/>
      <c r="T349" s="33"/>
      <c r="U349" s="41"/>
      <c r="V349" s="33"/>
      <c r="W349" s="33"/>
      <c r="X349" s="33"/>
      <c r="Y349" s="33"/>
      <c r="Z349" s="33"/>
      <c r="AA349" s="33"/>
      <c r="AB349" s="33"/>
      <c r="AC349" s="33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55">
        <f t="shared" si="59"/>
        <v>6</v>
      </c>
      <c r="AZ349" s="59">
        <v>0</v>
      </c>
      <c r="BA349" s="60">
        <v>3</v>
      </c>
      <c r="BB349" s="60">
        <f>+'[1]25'!R632</f>
        <v>3</v>
      </c>
      <c r="BC349" s="60">
        <v>0</v>
      </c>
      <c r="BD349" s="60"/>
      <c r="BE349" s="60"/>
      <c r="BF349" s="60"/>
      <c r="BG349" s="60"/>
      <c r="BH349" s="60"/>
      <c r="BI349" s="58">
        <f t="shared" si="60"/>
        <v>6</v>
      </c>
      <c r="BJ349" s="70">
        <f t="shared" si="61"/>
        <v>0</v>
      </c>
      <c r="BK349" s="70">
        <f t="shared" si="58"/>
        <v>0</v>
      </c>
      <c r="BL349" s="76"/>
      <c r="BM349" s="77"/>
      <c r="BN349" s="60">
        <f t="shared" si="56"/>
        <v>0</v>
      </c>
      <c r="BO349" s="82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9">
        <f t="shared" si="57"/>
        <v>0</v>
      </c>
      <c r="CB349" s="3"/>
      <c r="CD349" s="10"/>
      <c r="CE349" s="95"/>
    </row>
    <row r="350" spans="1:83" s="2" customFormat="1" ht="19.5" thickBot="1" x14ac:dyDescent="0.35">
      <c r="A350" s="17">
        <v>375</v>
      </c>
      <c r="B350" s="134" t="s">
        <v>138</v>
      </c>
      <c r="C350" s="18" t="s">
        <v>62</v>
      </c>
      <c r="D350" s="19"/>
      <c r="E350" s="19"/>
      <c r="F350" s="19"/>
      <c r="G350" s="30"/>
      <c r="H350" s="31"/>
      <c r="I350" s="40"/>
      <c r="J350" s="31"/>
      <c r="K350" s="40"/>
      <c r="L350" s="31"/>
      <c r="M350" s="40"/>
      <c r="N350" s="31"/>
      <c r="O350" s="40"/>
      <c r="P350" s="31"/>
      <c r="Q350" s="40"/>
      <c r="R350" s="31"/>
      <c r="S350" s="31"/>
      <c r="T350" s="31"/>
      <c r="U350" s="40"/>
      <c r="V350" s="31"/>
      <c r="W350" s="31"/>
      <c r="X350" s="31"/>
      <c r="Y350" s="31"/>
      <c r="Z350" s="31"/>
      <c r="AA350" s="31"/>
      <c r="AB350" s="31"/>
      <c r="AC350" s="31"/>
      <c r="AD350" s="46"/>
      <c r="AE350" s="46"/>
      <c r="AF350" s="46"/>
      <c r="AG350" s="46">
        <v>6</v>
      </c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55">
        <f t="shared" si="59"/>
        <v>6</v>
      </c>
      <c r="AZ350" s="56"/>
      <c r="BA350" s="57"/>
      <c r="BB350" s="57">
        <f>+'[1]25'!R633</f>
        <v>5</v>
      </c>
      <c r="BC350" s="57">
        <v>1</v>
      </c>
      <c r="BD350" s="57"/>
      <c r="BE350" s="57"/>
      <c r="BF350" s="57"/>
      <c r="BG350" s="57"/>
      <c r="BH350" s="57"/>
      <c r="BI350" s="55">
        <f t="shared" si="60"/>
        <v>6</v>
      </c>
      <c r="BJ350" s="69">
        <f t="shared" si="61"/>
        <v>0</v>
      </c>
      <c r="BK350" s="69">
        <f t="shared" si="58"/>
        <v>0</v>
      </c>
      <c r="BM350" s="75"/>
      <c r="BN350" s="57">
        <f t="shared" si="56"/>
        <v>0</v>
      </c>
      <c r="BO350" s="80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9">
        <f t="shared" si="57"/>
        <v>0</v>
      </c>
      <c r="CB350" s="3"/>
      <c r="CD350" s="10"/>
      <c r="CE350" s="95"/>
    </row>
    <row r="351" spans="1:83" s="2" customFormat="1" ht="18.75" customHeight="1" thickBot="1" x14ac:dyDescent="0.35">
      <c r="A351" s="17">
        <v>376</v>
      </c>
      <c r="B351" s="134"/>
      <c r="C351" s="18" t="s">
        <v>63</v>
      </c>
      <c r="D351" s="19"/>
      <c r="E351" s="19"/>
      <c r="F351" s="19"/>
      <c r="G351" s="30"/>
      <c r="H351" s="31"/>
      <c r="I351" s="40"/>
      <c r="J351" s="31"/>
      <c r="K351" s="40"/>
      <c r="L351" s="31"/>
      <c r="M351" s="40"/>
      <c r="N351" s="31"/>
      <c r="O351" s="40"/>
      <c r="P351" s="31"/>
      <c r="Q351" s="40"/>
      <c r="R351" s="31"/>
      <c r="S351" s="31"/>
      <c r="T351" s="31"/>
      <c r="U351" s="40"/>
      <c r="V351" s="31"/>
      <c r="W351" s="31"/>
      <c r="X351" s="31"/>
      <c r="Y351" s="31"/>
      <c r="Z351" s="31"/>
      <c r="AA351" s="31"/>
      <c r="AB351" s="31"/>
      <c r="AC351" s="31"/>
      <c r="AD351" s="46"/>
      <c r="AE351" s="46"/>
      <c r="AF351" s="46"/>
      <c r="AG351" s="46">
        <v>9</v>
      </c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55">
        <f t="shared" si="59"/>
        <v>9</v>
      </c>
      <c r="AZ351" s="56"/>
      <c r="BA351" s="57"/>
      <c r="BB351" s="57">
        <f>+'[1]25'!R634</f>
        <v>6</v>
      </c>
      <c r="BC351" s="57">
        <v>3</v>
      </c>
      <c r="BD351" s="57"/>
      <c r="BE351" s="57"/>
      <c r="BF351" s="57"/>
      <c r="BG351" s="57"/>
      <c r="BH351" s="57"/>
      <c r="BI351" s="55">
        <f t="shared" si="60"/>
        <v>9</v>
      </c>
      <c r="BJ351" s="69">
        <f t="shared" si="61"/>
        <v>0</v>
      </c>
      <c r="BK351" s="69">
        <f t="shared" si="58"/>
        <v>0</v>
      </c>
      <c r="BM351" s="75"/>
      <c r="BN351" s="57">
        <f t="shared" si="56"/>
        <v>0</v>
      </c>
      <c r="BO351" s="80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9">
        <f t="shared" si="57"/>
        <v>0</v>
      </c>
      <c r="CB351" s="3"/>
      <c r="CD351" s="10"/>
      <c r="CE351" s="95"/>
    </row>
    <row r="352" spans="1:83" s="2" customFormat="1" ht="19.5" thickBot="1" x14ac:dyDescent="0.35">
      <c r="A352" s="17">
        <v>377</v>
      </c>
      <c r="B352" s="134"/>
      <c r="C352" s="18" t="s">
        <v>64</v>
      </c>
      <c r="D352" s="19"/>
      <c r="E352" s="19"/>
      <c r="F352" s="19"/>
      <c r="G352" s="30"/>
      <c r="H352" s="31"/>
      <c r="I352" s="40"/>
      <c r="J352" s="31"/>
      <c r="K352" s="40"/>
      <c r="L352" s="31"/>
      <c r="M352" s="40"/>
      <c r="N352" s="31"/>
      <c r="O352" s="40"/>
      <c r="P352" s="31"/>
      <c r="Q352" s="40"/>
      <c r="R352" s="31"/>
      <c r="S352" s="31"/>
      <c r="T352" s="31"/>
      <c r="U352" s="40"/>
      <c r="V352" s="31"/>
      <c r="W352" s="31"/>
      <c r="X352" s="31"/>
      <c r="Y352" s="31"/>
      <c r="Z352" s="31"/>
      <c r="AA352" s="31"/>
      <c r="AB352" s="31"/>
      <c r="AC352" s="31"/>
      <c r="AD352" s="46"/>
      <c r="AE352" s="46"/>
      <c r="AF352" s="46"/>
      <c r="AG352" s="46">
        <v>18</v>
      </c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55">
        <f t="shared" si="59"/>
        <v>18</v>
      </c>
      <c r="AZ352" s="56"/>
      <c r="BA352" s="57"/>
      <c r="BB352" s="57">
        <v>15</v>
      </c>
      <c r="BC352" s="57">
        <v>1</v>
      </c>
      <c r="BD352" s="57"/>
      <c r="BE352" s="57"/>
      <c r="BF352" s="57"/>
      <c r="BG352" s="57"/>
      <c r="BH352" s="57"/>
      <c r="BI352" s="55">
        <f t="shared" si="60"/>
        <v>16</v>
      </c>
      <c r="BJ352" s="69">
        <f t="shared" si="61"/>
        <v>2</v>
      </c>
      <c r="BK352" s="69">
        <f t="shared" si="58"/>
        <v>0</v>
      </c>
      <c r="BM352" s="75"/>
      <c r="BN352" s="57">
        <f t="shared" si="56"/>
        <v>2</v>
      </c>
      <c r="BO352" s="80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9">
        <f t="shared" si="57"/>
        <v>0</v>
      </c>
      <c r="CB352" s="3"/>
      <c r="CD352" s="10"/>
      <c r="CE352" s="95"/>
    </row>
    <row r="353" spans="1:83" s="2" customFormat="1" ht="19.5" thickBot="1" x14ac:dyDescent="0.35">
      <c r="A353" s="17">
        <v>378</v>
      </c>
      <c r="B353" s="134"/>
      <c r="C353" s="18" t="s">
        <v>65</v>
      </c>
      <c r="D353" s="19"/>
      <c r="E353" s="19"/>
      <c r="F353" s="19"/>
      <c r="G353" s="30"/>
      <c r="H353" s="31"/>
      <c r="I353" s="40"/>
      <c r="J353" s="31"/>
      <c r="K353" s="40"/>
      <c r="L353" s="31"/>
      <c r="M353" s="40"/>
      <c r="N353" s="31"/>
      <c r="O353" s="40"/>
      <c r="P353" s="31"/>
      <c r="Q353" s="40"/>
      <c r="R353" s="31"/>
      <c r="S353" s="31"/>
      <c r="T353" s="31"/>
      <c r="U353" s="40"/>
      <c r="V353" s="31"/>
      <c r="W353" s="31"/>
      <c r="X353" s="31"/>
      <c r="Y353" s="31"/>
      <c r="Z353" s="31"/>
      <c r="AA353" s="31"/>
      <c r="AB353" s="31"/>
      <c r="AC353" s="31"/>
      <c r="AD353" s="46"/>
      <c r="AE353" s="46"/>
      <c r="AF353" s="46"/>
      <c r="AG353" s="46">
        <v>36</v>
      </c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55">
        <f t="shared" si="59"/>
        <v>36</v>
      </c>
      <c r="AZ353" s="56"/>
      <c r="BA353" s="57"/>
      <c r="BB353" s="57">
        <f>+'[1]25'!R636</f>
        <v>17</v>
      </c>
      <c r="BC353" s="57">
        <v>19</v>
      </c>
      <c r="BD353" s="57"/>
      <c r="BE353" s="57"/>
      <c r="BF353" s="57"/>
      <c r="BG353" s="57"/>
      <c r="BH353" s="57"/>
      <c r="BI353" s="55">
        <f t="shared" si="60"/>
        <v>36</v>
      </c>
      <c r="BJ353" s="69">
        <f t="shared" si="61"/>
        <v>0</v>
      </c>
      <c r="BK353" s="69">
        <f t="shared" si="58"/>
        <v>0</v>
      </c>
      <c r="BM353" s="75"/>
      <c r="BN353" s="57">
        <f t="shared" si="56"/>
        <v>0</v>
      </c>
      <c r="BO353" s="80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9">
        <f t="shared" si="57"/>
        <v>0</v>
      </c>
      <c r="CB353" s="3"/>
      <c r="CD353" s="10"/>
      <c r="CE353" s="95"/>
    </row>
    <row r="354" spans="1:83" s="2" customFormat="1" ht="19.5" thickBot="1" x14ac:dyDescent="0.35">
      <c r="A354" s="17">
        <v>379</v>
      </c>
      <c r="B354" s="134"/>
      <c r="C354" s="18" t="s">
        <v>66</v>
      </c>
      <c r="D354" s="19"/>
      <c r="E354" s="19"/>
      <c r="F354" s="19"/>
      <c r="G354" s="30"/>
      <c r="H354" s="31"/>
      <c r="I354" s="40"/>
      <c r="J354" s="31"/>
      <c r="K354" s="40"/>
      <c r="L354" s="31"/>
      <c r="M354" s="40"/>
      <c r="N354" s="31"/>
      <c r="O354" s="40"/>
      <c r="P354" s="31"/>
      <c r="Q354" s="40"/>
      <c r="R354" s="31"/>
      <c r="S354" s="31"/>
      <c r="T354" s="31"/>
      <c r="U354" s="40"/>
      <c r="V354" s="31"/>
      <c r="W354" s="31"/>
      <c r="X354" s="31"/>
      <c r="Y354" s="31"/>
      <c r="Z354" s="31"/>
      <c r="AA354" s="31"/>
      <c r="AB354" s="31"/>
      <c r="AC354" s="31"/>
      <c r="AD354" s="46"/>
      <c r="AE354" s="46"/>
      <c r="AF354" s="46"/>
      <c r="AG354" s="46">
        <v>15</v>
      </c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55">
        <f t="shared" si="59"/>
        <v>15</v>
      </c>
      <c r="AZ354" s="56"/>
      <c r="BA354" s="57"/>
      <c r="BB354" s="57">
        <f>+'[1]25'!R637</f>
        <v>13</v>
      </c>
      <c r="BC354" s="57">
        <v>1</v>
      </c>
      <c r="BD354" s="57"/>
      <c r="BE354" s="57"/>
      <c r="BF354" s="57"/>
      <c r="BG354" s="57"/>
      <c r="BH354" s="57"/>
      <c r="BI354" s="55">
        <f t="shared" si="60"/>
        <v>14</v>
      </c>
      <c r="BJ354" s="69">
        <f t="shared" si="61"/>
        <v>1</v>
      </c>
      <c r="BK354" s="69">
        <f t="shared" si="58"/>
        <v>0</v>
      </c>
      <c r="BM354" s="75"/>
      <c r="BN354" s="57">
        <f t="shared" si="56"/>
        <v>1</v>
      </c>
      <c r="BO354" s="80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9">
        <f t="shared" si="57"/>
        <v>0</v>
      </c>
      <c r="CB354" s="3"/>
      <c r="CD354" s="10"/>
      <c r="CE354" s="95"/>
    </row>
    <row r="355" spans="1:83" s="2" customFormat="1" ht="19.5" thickBot="1" x14ac:dyDescent="0.35">
      <c r="A355" s="17">
        <v>380</v>
      </c>
      <c r="B355" s="134"/>
      <c r="C355" s="18" t="s">
        <v>67</v>
      </c>
      <c r="D355" s="19"/>
      <c r="E355" s="19"/>
      <c r="F355" s="19"/>
      <c r="G355" s="30"/>
      <c r="H355" s="31"/>
      <c r="I355" s="40"/>
      <c r="J355" s="31"/>
      <c r="K355" s="40"/>
      <c r="L355" s="31"/>
      <c r="M355" s="40"/>
      <c r="N355" s="31"/>
      <c r="O355" s="40"/>
      <c r="P355" s="31"/>
      <c r="Q355" s="40"/>
      <c r="R355" s="31"/>
      <c r="S355" s="31"/>
      <c r="T355" s="31"/>
      <c r="U355" s="40"/>
      <c r="V355" s="31"/>
      <c r="W355" s="31"/>
      <c r="X355" s="31"/>
      <c r="Y355" s="31"/>
      <c r="Z355" s="31"/>
      <c r="AA355" s="31"/>
      <c r="AB355" s="31"/>
      <c r="AC355" s="31"/>
      <c r="AD355" s="46"/>
      <c r="AE355" s="46"/>
      <c r="AF355" s="46"/>
      <c r="AG355" s="46">
        <v>15</v>
      </c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55">
        <f t="shared" si="59"/>
        <v>15</v>
      </c>
      <c r="AZ355" s="56"/>
      <c r="BA355" s="57"/>
      <c r="BB355" s="57">
        <f>+'[1]25'!R638</f>
        <v>5</v>
      </c>
      <c r="BC355" s="57">
        <v>7</v>
      </c>
      <c r="BD355" s="57"/>
      <c r="BE355" s="57"/>
      <c r="BF355" s="57"/>
      <c r="BG355" s="57"/>
      <c r="BH355" s="57"/>
      <c r="BI355" s="55">
        <f t="shared" si="60"/>
        <v>12</v>
      </c>
      <c r="BJ355" s="69">
        <f t="shared" si="61"/>
        <v>3</v>
      </c>
      <c r="BK355" s="69">
        <f t="shared" si="58"/>
        <v>0</v>
      </c>
      <c r="BM355" s="75"/>
      <c r="BN355" s="57">
        <f t="shared" si="56"/>
        <v>3</v>
      </c>
      <c r="BO355" s="80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9">
        <f t="shared" si="57"/>
        <v>0</v>
      </c>
      <c r="CB355" s="3"/>
      <c r="CD355" s="10"/>
      <c r="CE355" s="95"/>
    </row>
    <row r="356" spans="1:83" s="2" customFormat="1" ht="19.5" thickBot="1" x14ac:dyDescent="0.35">
      <c r="A356" s="17">
        <v>381</v>
      </c>
      <c r="B356" s="134"/>
      <c r="C356" s="18" t="s">
        <v>68</v>
      </c>
      <c r="D356" s="19"/>
      <c r="E356" s="19"/>
      <c r="F356" s="19"/>
      <c r="G356" s="30"/>
      <c r="H356" s="31"/>
      <c r="I356" s="40"/>
      <c r="J356" s="31"/>
      <c r="K356" s="40"/>
      <c r="L356" s="31"/>
      <c r="M356" s="40"/>
      <c r="N356" s="31"/>
      <c r="O356" s="40"/>
      <c r="P356" s="31"/>
      <c r="Q356" s="40"/>
      <c r="R356" s="31"/>
      <c r="S356" s="31"/>
      <c r="T356" s="31"/>
      <c r="U356" s="40"/>
      <c r="V356" s="31"/>
      <c r="W356" s="31"/>
      <c r="X356" s="31"/>
      <c r="Y356" s="31"/>
      <c r="Z356" s="31"/>
      <c r="AA356" s="31"/>
      <c r="AB356" s="31"/>
      <c r="AC356" s="31"/>
      <c r="AD356" s="46"/>
      <c r="AE356" s="46"/>
      <c r="AF356" s="46"/>
      <c r="AG356" s="46">
        <v>6</v>
      </c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55">
        <f t="shared" si="59"/>
        <v>6</v>
      </c>
      <c r="AZ356" s="56"/>
      <c r="BA356" s="57"/>
      <c r="BB356" s="57">
        <v>2</v>
      </c>
      <c r="BC356" s="57">
        <v>3</v>
      </c>
      <c r="BD356" s="57"/>
      <c r="BE356" s="57"/>
      <c r="BF356" s="57"/>
      <c r="BG356" s="57"/>
      <c r="BH356" s="57"/>
      <c r="BI356" s="55">
        <f t="shared" si="60"/>
        <v>5</v>
      </c>
      <c r="BJ356" s="69">
        <f t="shared" si="61"/>
        <v>1</v>
      </c>
      <c r="BK356" s="69">
        <f t="shared" si="58"/>
        <v>0</v>
      </c>
      <c r="BM356" s="75"/>
      <c r="BN356" s="57">
        <f t="shared" si="56"/>
        <v>1</v>
      </c>
      <c r="BO356" s="80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9">
        <f t="shared" si="57"/>
        <v>0</v>
      </c>
      <c r="CB356" s="3"/>
      <c r="CD356" s="10"/>
      <c r="CE356" s="95"/>
    </row>
    <row r="357" spans="1:83" s="2" customFormat="1" ht="19.5" thickBot="1" x14ac:dyDescent="0.35">
      <c r="A357" s="17">
        <v>382</v>
      </c>
      <c r="B357" s="134"/>
      <c r="C357" s="20" t="s">
        <v>69</v>
      </c>
      <c r="D357" s="21"/>
      <c r="E357" s="21"/>
      <c r="F357" s="21"/>
      <c r="G357" s="32"/>
      <c r="H357" s="33"/>
      <c r="I357" s="41"/>
      <c r="J357" s="33"/>
      <c r="K357" s="41"/>
      <c r="L357" s="33"/>
      <c r="M357" s="41"/>
      <c r="N357" s="33"/>
      <c r="O357" s="41"/>
      <c r="P357" s="33"/>
      <c r="Q357" s="41"/>
      <c r="R357" s="33"/>
      <c r="S357" s="33"/>
      <c r="T357" s="33"/>
      <c r="U357" s="41"/>
      <c r="V357" s="33"/>
      <c r="W357" s="33"/>
      <c r="X357" s="33"/>
      <c r="Y357" s="33"/>
      <c r="Z357" s="33"/>
      <c r="AA357" s="33"/>
      <c r="AB357" s="33"/>
      <c r="AC357" s="33"/>
      <c r="AD357" s="47"/>
      <c r="AE357" s="47"/>
      <c r="AF357" s="47"/>
      <c r="AG357" s="47">
        <v>3</v>
      </c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55">
        <f t="shared" si="59"/>
        <v>3</v>
      </c>
      <c r="AZ357" s="59"/>
      <c r="BA357" s="60"/>
      <c r="BB357" s="60">
        <f>+'[1]25'!R640</f>
        <v>2</v>
      </c>
      <c r="BC357" s="60">
        <v>0</v>
      </c>
      <c r="BD357" s="60"/>
      <c r="BE357" s="60"/>
      <c r="BF357" s="60"/>
      <c r="BG357" s="60"/>
      <c r="BH357" s="60"/>
      <c r="BI357" s="58">
        <f t="shared" si="60"/>
        <v>2</v>
      </c>
      <c r="BJ357" s="70">
        <f t="shared" si="61"/>
        <v>1</v>
      </c>
      <c r="BK357" s="70">
        <f t="shared" si="58"/>
        <v>0</v>
      </c>
      <c r="BL357" s="76"/>
      <c r="BM357" s="77"/>
      <c r="BN357" s="60">
        <f t="shared" si="56"/>
        <v>1</v>
      </c>
      <c r="BO357" s="82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9">
        <f t="shared" si="57"/>
        <v>0</v>
      </c>
      <c r="CB357" s="3"/>
      <c r="CD357" s="10"/>
      <c r="CE357" s="95"/>
    </row>
    <row r="358" spans="1:83" s="2" customFormat="1" ht="19.5" thickBot="1" x14ac:dyDescent="0.35">
      <c r="A358" s="17">
        <v>383</v>
      </c>
      <c r="B358" s="134" t="s">
        <v>139</v>
      </c>
      <c r="C358" s="18" t="s">
        <v>63</v>
      </c>
      <c r="D358" s="19"/>
      <c r="E358" s="19"/>
      <c r="F358" s="19"/>
      <c r="G358" s="30"/>
      <c r="H358" s="31"/>
      <c r="I358" s="40"/>
      <c r="J358" s="31"/>
      <c r="K358" s="40"/>
      <c r="L358" s="31"/>
      <c r="M358" s="40"/>
      <c r="N358" s="31"/>
      <c r="O358" s="40"/>
      <c r="P358" s="31"/>
      <c r="Q358" s="40"/>
      <c r="R358" s="31">
        <v>6</v>
      </c>
      <c r="S358" s="31"/>
      <c r="T358" s="31"/>
      <c r="U358" s="40"/>
      <c r="V358" s="31"/>
      <c r="W358" s="31"/>
      <c r="X358" s="31"/>
      <c r="Y358" s="31"/>
      <c r="Z358" s="31"/>
      <c r="AA358" s="31"/>
      <c r="AB358" s="31"/>
      <c r="AC358" s="31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55">
        <f t="shared" si="59"/>
        <v>6</v>
      </c>
      <c r="AZ358" s="56">
        <v>0</v>
      </c>
      <c r="BA358" s="57">
        <v>4</v>
      </c>
      <c r="BB358" s="57">
        <f>+'[1]25'!R641</f>
        <v>2</v>
      </c>
      <c r="BC358" s="57">
        <v>0</v>
      </c>
      <c r="BD358" s="57"/>
      <c r="BE358" s="57"/>
      <c r="BF358" s="57"/>
      <c r="BG358" s="57"/>
      <c r="BH358" s="57"/>
      <c r="BI358" s="55">
        <f t="shared" si="60"/>
        <v>6</v>
      </c>
      <c r="BJ358" s="69">
        <f t="shared" si="61"/>
        <v>0</v>
      </c>
      <c r="BK358" s="69">
        <f t="shared" si="58"/>
        <v>0</v>
      </c>
      <c r="BM358" s="75"/>
      <c r="BN358" s="57">
        <f t="shared" si="56"/>
        <v>0</v>
      </c>
      <c r="BO358" s="80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9">
        <f t="shared" si="57"/>
        <v>0</v>
      </c>
      <c r="CB358" s="3"/>
      <c r="CD358" s="10"/>
      <c r="CE358" s="95"/>
    </row>
    <row r="359" spans="1:83" s="2" customFormat="1" ht="19.5" thickBot="1" x14ac:dyDescent="0.35">
      <c r="A359" s="17">
        <v>384</v>
      </c>
      <c r="B359" s="135"/>
      <c r="C359" s="18" t="s">
        <v>64</v>
      </c>
      <c r="D359" s="19"/>
      <c r="E359" s="19"/>
      <c r="F359" s="19"/>
      <c r="G359" s="30"/>
      <c r="H359" s="31"/>
      <c r="I359" s="40"/>
      <c r="J359" s="31"/>
      <c r="K359" s="40"/>
      <c r="L359" s="31"/>
      <c r="M359" s="40"/>
      <c r="N359" s="31"/>
      <c r="O359" s="40"/>
      <c r="P359" s="31"/>
      <c r="Q359" s="40"/>
      <c r="R359" s="31">
        <v>12</v>
      </c>
      <c r="S359" s="31"/>
      <c r="T359" s="31"/>
      <c r="U359" s="40"/>
      <c r="V359" s="31"/>
      <c r="W359" s="31"/>
      <c r="X359" s="31"/>
      <c r="Y359" s="31"/>
      <c r="Z359" s="31"/>
      <c r="AA359" s="31"/>
      <c r="AB359" s="31"/>
      <c r="AC359" s="31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55">
        <f t="shared" si="59"/>
        <v>12</v>
      </c>
      <c r="AZ359" s="56">
        <v>0</v>
      </c>
      <c r="BA359" s="57">
        <v>3</v>
      </c>
      <c r="BB359" s="57">
        <f>+'[1]25'!R642</f>
        <v>9</v>
      </c>
      <c r="BC359" s="57">
        <v>0</v>
      </c>
      <c r="BD359" s="57"/>
      <c r="BE359" s="57"/>
      <c r="BF359" s="57"/>
      <c r="BG359" s="57"/>
      <c r="BH359" s="57"/>
      <c r="BI359" s="55">
        <f t="shared" si="60"/>
        <v>12</v>
      </c>
      <c r="BJ359" s="69">
        <f t="shared" si="61"/>
        <v>0</v>
      </c>
      <c r="BK359" s="69">
        <f t="shared" si="58"/>
        <v>0</v>
      </c>
      <c r="BM359" s="75"/>
      <c r="BN359" s="57">
        <f t="shared" si="56"/>
        <v>0</v>
      </c>
      <c r="BO359" s="80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9">
        <f t="shared" si="57"/>
        <v>0</v>
      </c>
      <c r="CB359" s="3"/>
      <c r="CD359" s="10"/>
      <c r="CE359" s="95"/>
    </row>
    <row r="360" spans="1:83" s="2" customFormat="1" ht="19.5" thickBot="1" x14ac:dyDescent="0.35">
      <c r="A360" s="17">
        <v>385</v>
      </c>
      <c r="B360" s="135"/>
      <c r="C360" s="18" t="s">
        <v>65</v>
      </c>
      <c r="D360" s="19"/>
      <c r="E360" s="19"/>
      <c r="F360" s="19"/>
      <c r="G360" s="30"/>
      <c r="H360" s="31"/>
      <c r="I360" s="40"/>
      <c r="J360" s="31"/>
      <c r="K360" s="40"/>
      <c r="L360" s="31"/>
      <c r="M360" s="40"/>
      <c r="N360" s="31"/>
      <c r="O360" s="40"/>
      <c r="P360" s="31"/>
      <c r="Q360" s="40"/>
      <c r="R360" s="31">
        <v>12</v>
      </c>
      <c r="S360" s="31"/>
      <c r="T360" s="31"/>
      <c r="U360" s="40"/>
      <c r="V360" s="31"/>
      <c r="W360" s="31"/>
      <c r="X360" s="31"/>
      <c r="Y360" s="31"/>
      <c r="Z360" s="31"/>
      <c r="AA360" s="31"/>
      <c r="AB360" s="31"/>
      <c r="AC360" s="31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55">
        <f t="shared" si="59"/>
        <v>12</v>
      </c>
      <c r="AZ360" s="56">
        <v>0</v>
      </c>
      <c r="BA360" s="57">
        <v>12</v>
      </c>
      <c r="BB360" s="57">
        <f>+'[1]25'!R643</f>
        <v>0</v>
      </c>
      <c r="BC360" s="57">
        <v>0</v>
      </c>
      <c r="BD360" s="57"/>
      <c r="BE360" s="57"/>
      <c r="BF360" s="57"/>
      <c r="BG360" s="57"/>
      <c r="BH360" s="57"/>
      <c r="BI360" s="55">
        <f t="shared" si="60"/>
        <v>12</v>
      </c>
      <c r="BJ360" s="69">
        <f t="shared" si="61"/>
        <v>0</v>
      </c>
      <c r="BK360" s="69">
        <f t="shared" si="58"/>
        <v>0</v>
      </c>
      <c r="BM360" s="75"/>
      <c r="BN360" s="57">
        <f t="shared" si="56"/>
        <v>0</v>
      </c>
      <c r="BO360" s="80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9">
        <f t="shared" si="57"/>
        <v>0</v>
      </c>
      <c r="CB360" s="3"/>
      <c r="CD360" s="10"/>
      <c r="CE360" s="95"/>
    </row>
    <row r="361" spans="1:83" s="2" customFormat="1" ht="19.5" thickBot="1" x14ac:dyDescent="0.35">
      <c r="A361" s="17">
        <v>386</v>
      </c>
      <c r="B361" s="135"/>
      <c r="C361" s="18" t="s">
        <v>66</v>
      </c>
      <c r="D361" s="19"/>
      <c r="E361" s="19"/>
      <c r="F361" s="19"/>
      <c r="G361" s="30"/>
      <c r="H361" s="31"/>
      <c r="I361" s="40"/>
      <c r="J361" s="31"/>
      <c r="K361" s="40"/>
      <c r="L361" s="31"/>
      <c r="M361" s="40"/>
      <c r="N361" s="31"/>
      <c r="O361" s="40"/>
      <c r="P361" s="31"/>
      <c r="Q361" s="40"/>
      <c r="R361" s="31">
        <v>6</v>
      </c>
      <c r="S361" s="31"/>
      <c r="T361" s="31"/>
      <c r="U361" s="40"/>
      <c r="V361" s="31"/>
      <c r="W361" s="31"/>
      <c r="X361" s="31"/>
      <c r="Y361" s="31"/>
      <c r="Z361" s="31"/>
      <c r="AA361" s="31"/>
      <c r="AB361" s="31"/>
      <c r="AC361" s="31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55">
        <f t="shared" si="59"/>
        <v>6</v>
      </c>
      <c r="AZ361" s="56">
        <v>0</v>
      </c>
      <c r="BA361" s="57">
        <v>5</v>
      </c>
      <c r="BB361" s="57">
        <f>+'[1]25'!R644</f>
        <v>1</v>
      </c>
      <c r="BC361" s="57">
        <v>0</v>
      </c>
      <c r="BD361" s="57"/>
      <c r="BE361" s="57"/>
      <c r="BF361" s="57"/>
      <c r="BG361" s="57"/>
      <c r="BH361" s="57"/>
      <c r="BI361" s="55">
        <f t="shared" si="60"/>
        <v>6</v>
      </c>
      <c r="BJ361" s="69">
        <f t="shared" si="61"/>
        <v>0</v>
      </c>
      <c r="BK361" s="69">
        <f t="shared" si="58"/>
        <v>0</v>
      </c>
      <c r="BM361" s="75"/>
      <c r="BN361" s="57">
        <f t="shared" si="56"/>
        <v>0</v>
      </c>
      <c r="BO361" s="80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9">
        <f t="shared" si="57"/>
        <v>0</v>
      </c>
      <c r="CB361" s="3"/>
      <c r="CD361" s="10"/>
      <c r="CE361" s="95"/>
    </row>
    <row r="362" spans="1:83" s="2" customFormat="1" ht="19.5" thickBot="1" x14ac:dyDescent="0.35">
      <c r="A362" s="17">
        <v>387</v>
      </c>
      <c r="B362" s="135"/>
      <c r="C362" s="18" t="s">
        <v>67</v>
      </c>
      <c r="D362" s="19"/>
      <c r="E362" s="19"/>
      <c r="F362" s="19"/>
      <c r="G362" s="30"/>
      <c r="H362" s="31"/>
      <c r="I362" s="40"/>
      <c r="J362" s="31"/>
      <c r="K362" s="40"/>
      <c r="L362" s="31"/>
      <c r="M362" s="40"/>
      <c r="N362" s="31"/>
      <c r="O362" s="40"/>
      <c r="P362" s="31"/>
      <c r="Q362" s="40"/>
      <c r="R362" s="31">
        <v>6</v>
      </c>
      <c r="S362" s="31"/>
      <c r="T362" s="31"/>
      <c r="U362" s="40"/>
      <c r="V362" s="31"/>
      <c r="W362" s="31"/>
      <c r="X362" s="31"/>
      <c r="Y362" s="31"/>
      <c r="Z362" s="31"/>
      <c r="AA362" s="31"/>
      <c r="AB362" s="31"/>
      <c r="AC362" s="31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55">
        <f t="shared" si="59"/>
        <v>6</v>
      </c>
      <c r="AZ362" s="56">
        <v>0</v>
      </c>
      <c r="BA362" s="57">
        <v>5</v>
      </c>
      <c r="BB362" s="57">
        <f>+'[1]25'!R645</f>
        <v>1</v>
      </c>
      <c r="BC362" s="57">
        <v>0</v>
      </c>
      <c r="BD362" s="57"/>
      <c r="BE362" s="57"/>
      <c r="BF362" s="57"/>
      <c r="BG362" s="57"/>
      <c r="BH362" s="57"/>
      <c r="BI362" s="55">
        <f t="shared" si="60"/>
        <v>6</v>
      </c>
      <c r="BJ362" s="69">
        <f t="shared" si="61"/>
        <v>0</v>
      </c>
      <c r="BK362" s="69">
        <f t="shared" si="58"/>
        <v>0</v>
      </c>
      <c r="BM362" s="75"/>
      <c r="BN362" s="57">
        <f t="shared" si="56"/>
        <v>0</v>
      </c>
      <c r="BO362" s="80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9">
        <f t="shared" si="57"/>
        <v>0</v>
      </c>
      <c r="CB362" s="3"/>
      <c r="CD362" s="10"/>
      <c r="CE362" s="95"/>
    </row>
    <row r="363" spans="1:83" s="2" customFormat="1" ht="19.5" thickBot="1" x14ac:dyDescent="0.35">
      <c r="A363" s="17">
        <v>388</v>
      </c>
      <c r="B363" s="135"/>
      <c r="C363" s="18" t="s">
        <v>68</v>
      </c>
      <c r="D363" s="19"/>
      <c r="E363" s="19"/>
      <c r="F363" s="19"/>
      <c r="G363" s="30"/>
      <c r="H363" s="31"/>
      <c r="I363" s="40"/>
      <c r="J363" s="31"/>
      <c r="K363" s="40"/>
      <c r="L363" s="31"/>
      <c r="M363" s="40"/>
      <c r="N363" s="31"/>
      <c r="O363" s="40"/>
      <c r="P363" s="31"/>
      <c r="Q363" s="40"/>
      <c r="R363" s="31">
        <v>3</v>
      </c>
      <c r="S363" s="31"/>
      <c r="T363" s="31"/>
      <c r="U363" s="40"/>
      <c r="V363" s="31"/>
      <c r="W363" s="31"/>
      <c r="X363" s="31"/>
      <c r="Y363" s="31"/>
      <c r="Z363" s="31"/>
      <c r="AA363" s="31"/>
      <c r="AB363" s="31"/>
      <c r="AC363" s="31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55">
        <f t="shared" si="59"/>
        <v>3</v>
      </c>
      <c r="AZ363" s="56">
        <v>0</v>
      </c>
      <c r="BA363" s="57">
        <v>3</v>
      </c>
      <c r="BB363" s="57">
        <f>+'[1]25'!R646</f>
        <v>0</v>
      </c>
      <c r="BC363" s="57">
        <v>0</v>
      </c>
      <c r="BD363" s="57"/>
      <c r="BE363" s="57"/>
      <c r="BF363" s="57"/>
      <c r="BG363" s="57"/>
      <c r="BH363" s="57"/>
      <c r="BI363" s="55">
        <f t="shared" si="60"/>
        <v>3</v>
      </c>
      <c r="BJ363" s="69">
        <f t="shared" si="61"/>
        <v>0</v>
      </c>
      <c r="BK363" s="69">
        <f t="shared" si="58"/>
        <v>0</v>
      </c>
      <c r="BM363" s="75"/>
      <c r="BN363" s="57">
        <f t="shared" si="56"/>
        <v>0</v>
      </c>
      <c r="BO363" s="80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9">
        <f t="shared" si="57"/>
        <v>0</v>
      </c>
      <c r="CB363" s="3"/>
      <c r="CD363" s="10"/>
      <c r="CE363" s="95"/>
    </row>
    <row r="364" spans="1:83" s="2" customFormat="1" ht="19.5" thickBot="1" x14ac:dyDescent="0.35">
      <c r="A364" s="17">
        <v>389</v>
      </c>
      <c r="B364" s="135"/>
      <c r="C364" s="20" t="s">
        <v>69</v>
      </c>
      <c r="D364" s="21"/>
      <c r="E364" s="21"/>
      <c r="F364" s="21"/>
      <c r="G364" s="32"/>
      <c r="H364" s="33"/>
      <c r="I364" s="41"/>
      <c r="J364" s="33"/>
      <c r="K364" s="41"/>
      <c r="L364" s="33"/>
      <c r="M364" s="41"/>
      <c r="N364" s="33"/>
      <c r="O364" s="41"/>
      <c r="P364" s="33"/>
      <c r="Q364" s="41"/>
      <c r="R364" s="33">
        <v>3</v>
      </c>
      <c r="S364" s="33"/>
      <c r="T364" s="33"/>
      <c r="U364" s="41"/>
      <c r="V364" s="33"/>
      <c r="W364" s="33"/>
      <c r="X364" s="33"/>
      <c r="Y364" s="33"/>
      <c r="Z364" s="33"/>
      <c r="AA364" s="33"/>
      <c r="AB364" s="33"/>
      <c r="AC364" s="33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55">
        <f t="shared" si="59"/>
        <v>3</v>
      </c>
      <c r="AZ364" s="59">
        <v>0</v>
      </c>
      <c r="BA364" s="60">
        <v>0</v>
      </c>
      <c r="BB364" s="60">
        <f>+'[1]25'!R647</f>
        <v>3</v>
      </c>
      <c r="BC364" s="60">
        <v>0</v>
      </c>
      <c r="BD364" s="60"/>
      <c r="BE364" s="60"/>
      <c r="BF364" s="60"/>
      <c r="BG364" s="60"/>
      <c r="BH364" s="60"/>
      <c r="BI364" s="58">
        <f t="shared" si="60"/>
        <v>3</v>
      </c>
      <c r="BJ364" s="70">
        <f t="shared" si="61"/>
        <v>0</v>
      </c>
      <c r="BK364" s="70">
        <f t="shared" si="58"/>
        <v>0</v>
      </c>
      <c r="BL364" s="76"/>
      <c r="BM364" s="77"/>
      <c r="BN364" s="60">
        <f t="shared" si="56"/>
        <v>0</v>
      </c>
      <c r="BO364" s="82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9">
        <f t="shared" si="57"/>
        <v>0</v>
      </c>
      <c r="CB364" s="3"/>
      <c r="CD364" s="10"/>
      <c r="CE364" s="95"/>
    </row>
    <row r="365" spans="1:83" s="2" customFormat="1" ht="19.5" thickBot="1" x14ac:dyDescent="0.35">
      <c r="A365" s="17">
        <v>390</v>
      </c>
      <c r="B365" s="134" t="s">
        <v>140</v>
      </c>
      <c r="C365" s="18" t="s">
        <v>62</v>
      </c>
      <c r="D365" s="19"/>
      <c r="E365" s="19"/>
      <c r="F365" s="19"/>
      <c r="G365" s="30"/>
      <c r="H365" s="31"/>
      <c r="I365" s="40"/>
      <c r="J365" s="31"/>
      <c r="K365" s="40"/>
      <c r="L365" s="31"/>
      <c r="M365" s="40"/>
      <c r="N365" s="31"/>
      <c r="O365" s="40"/>
      <c r="P365" s="31"/>
      <c r="Q365" s="40"/>
      <c r="R365" s="31"/>
      <c r="S365" s="31"/>
      <c r="T365" s="31"/>
      <c r="U365" s="40"/>
      <c r="V365" s="31"/>
      <c r="W365" s="31"/>
      <c r="X365" s="31"/>
      <c r="Y365" s="31"/>
      <c r="Z365" s="31">
        <v>6</v>
      </c>
      <c r="AA365" s="31"/>
      <c r="AB365" s="31"/>
      <c r="AC365" s="31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55">
        <f t="shared" si="59"/>
        <v>6</v>
      </c>
      <c r="AZ365" s="56">
        <v>0</v>
      </c>
      <c r="BA365" s="57">
        <v>0</v>
      </c>
      <c r="BB365" s="57">
        <f>+'[1]25'!R648</f>
        <v>6</v>
      </c>
      <c r="BC365" s="57">
        <v>0</v>
      </c>
      <c r="BD365" s="57"/>
      <c r="BE365" s="57"/>
      <c r="BF365" s="57"/>
      <c r="BG365" s="57"/>
      <c r="BH365" s="57"/>
      <c r="BI365" s="55">
        <f t="shared" si="60"/>
        <v>6</v>
      </c>
      <c r="BJ365" s="69">
        <f t="shared" si="61"/>
        <v>0</v>
      </c>
      <c r="BK365" s="69">
        <f t="shared" si="58"/>
        <v>0</v>
      </c>
      <c r="BM365" s="75"/>
      <c r="BN365" s="57">
        <f t="shared" si="56"/>
        <v>0</v>
      </c>
      <c r="BO365" s="80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9">
        <f t="shared" si="57"/>
        <v>0</v>
      </c>
      <c r="CB365" s="3"/>
      <c r="CD365" s="10"/>
      <c r="CE365" s="95"/>
    </row>
    <row r="366" spans="1:83" s="2" customFormat="1" ht="19.5" thickBot="1" x14ac:dyDescent="0.35">
      <c r="A366" s="17">
        <v>391</v>
      </c>
      <c r="B366" s="135"/>
      <c r="C366" s="18" t="s">
        <v>63</v>
      </c>
      <c r="D366" s="19"/>
      <c r="E366" s="19"/>
      <c r="F366" s="19"/>
      <c r="G366" s="30"/>
      <c r="H366" s="31"/>
      <c r="I366" s="40"/>
      <c r="J366" s="31"/>
      <c r="K366" s="40"/>
      <c r="L366" s="31"/>
      <c r="M366" s="40"/>
      <c r="N366" s="31"/>
      <c r="O366" s="40"/>
      <c r="P366" s="31"/>
      <c r="Q366" s="40"/>
      <c r="R366" s="31"/>
      <c r="S366" s="31"/>
      <c r="T366" s="31"/>
      <c r="U366" s="40"/>
      <c r="V366" s="31"/>
      <c r="W366" s="31"/>
      <c r="X366" s="31"/>
      <c r="Y366" s="31"/>
      <c r="Z366" s="31">
        <v>12</v>
      </c>
      <c r="AA366" s="31"/>
      <c r="AB366" s="31"/>
      <c r="AC366" s="31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55">
        <f t="shared" si="59"/>
        <v>12</v>
      </c>
      <c r="AZ366" s="56">
        <v>0</v>
      </c>
      <c r="BA366" s="57">
        <v>2</v>
      </c>
      <c r="BB366" s="57">
        <f>+'[1]25'!R649</f>
        <v>7</v>
      </c>
      <c r="BC366" s="57">
        <v>1</v>
      </c>
      <c r="BD366" s="57"/>
      <c r="BE366" s="57"/>
      <c r="BF366" s="57"/>
      <c r="BG366" s="57"/>
      <c r="BH366" s="57"/>
      <c r="BI366" s="55">
        <f t="shared" si="60"/>
        <v>10</v>
      </c>
      <c r="BJ366" s="69">
        <f t="shared" si="61"/>
        <v>2</v>
      </c>
      <c r="BK366" s="69">
        <f t="shared" si="58"/>
        <v>0</v>
      </c>
      <c r="BM366" s="75"/>
      <c r="BN366" s="57">
        <f t="shared" si="56"/>
        <v>2</v>
      </c>
      <c r="BO366" s="80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9">
        <f t="shared" si="57"/>
        <v>0</v>
      </c>
      <c r="CB366" s="3"/>
      <c r="CD366" s="10"/>
      <c r="CE366" s="95"/>
    </row>
    <row r="367" spans="1:83" s="2" customFormat="1" ht="19.5" thickBot="1" x14ac:dyDescent="0.35">
      <c r="A367" s="17">
        <v>392</v>
      </c>
      <c r="B367" s="135"/>
      <c r="C367" s="18" t="s">
        <v>64</v>
      </c>
      <c r="D367" s="19"/>
      <c r="E367" s="19"/>
      <c r="F367" s="19"/>
      <c r="G367" s="30"/>
      <c r="H367" s="31"/>
      <c r="I367" s="40"/>
      <c r="J367" s="31"/>
      <c r="K367" s="40"/>
      <c r="L367" s="31"/>
      <c r="M367" s="40"/>
      <c r="N367" s="31"/>
      <c r="O367" s="40"/>
      <c r="P367" s="31"/>
      <c r="Q367" s="40"/>
      <c r="R367" s="31"/>
      <c r="S367" s="31"/>
      <c r="T367" s="31"/>
      <c r="U367" s="40"/>
      <c r="V367" s="31"/>
      <c r="W367" s="31"/>
      <c r="X367" s="31"/>
      <c r="Y367" s="31"/>
      <c r="Z367" s="31">
        <v>24</v>
      </c>
      <c r="AA367" s="31"/>
      <c r="AB367" s="31"/>
      <c r="AC367" s="31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55">
        <f t="shared" si="59"/>
        <v>24</v>
      </c>
      <c r="AZ367" s="56">
        <v>0</v>
      </c>
      <c r="BA367" s="57">
        <v>2</v>
      </c>
      <c r="BB367" s="57">
        <f>+'[1]25'!R650</f>
        <v>11</v>
      </c>
      <c r="BC367" s="57">
        <v>8</v>
      </c>
      <c r="BD367" s="57"/>
      <c r="BE367" s="57"/>
      <c r="BF367" s="57"/>
      <c r="BG367" s="57"/>
      <c r="BH367" s="57"/>
      <c r="BI367" s="55">
        <f t="shared" si="60"/>
        <v>21</v>
      </c>
      <c r="BJ367" s="69">
        <f t="shared" si="61"/>
        <v>3</v>
      </c>
      <c r="BK367" s="69">
        <f t="shared" si="58"/>
        <v>0</v>
      </c>
      <c r="BM367" s="75"/>
      <c r="BN367" s="57">
        <f t="shared" si="56"/>
        <v>3</v>
      </c>
      <c r="BO367" s="80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9">
        <f t="shared" si="57"/>
        <v>0</v>
      </c>
      <c r="CB367" s="3"/>
      <c r="CD367" s="10"/>
      <c r="CE367" s="95"/>
    </row>
    <row r="368" spans="1:83" s="2" customFormat="1" ht="19.5" thickBot="1" x14ac:dyDescent="0.35">
      <c r="A368" s="17">
        <v>393</v>
      </c>
      <c r="B368" s="135"/>
      <c r="C368" s="18" t="s">
        <v>65</v>
      </c>
      <c r="D368" s="19"/>
      <c r="E368" s="19"/>
      <c r="F368" s="19"/>
      <c r="G368" s="30"/>
      <c r="H368" s="31"/>
      <c r="I368" s="40"/>
      <c r="J368" s="31"/>
      <c r="K368" s="40"/>
      <c r="L368" s="31"/>
      <c r="M368" s="40"/>
      <c r="N368" s="31"/>
      <c r="O368" s="40"/>
      <c r="P368" s="31"/>
      <c r="Q368" s="40"/>
      <c r="R368" s="31"/>
      <c r="S368" s="31"/>
      <c r="T368" s="31"/>
      <c r="U368" s="40"/>
      <c r="V368" s="31"/>
      <c r="W368" s="31"/>
      <c r="X368" s="31"/>
      <c r="Y368" s="31"/>
      <c r="Z368" s="31">
        <v>24</v>
      </c>
      <c r="AA368" s="31"/>
      <c r="AB368" s="31"/>
      <c r="AC368" s="31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55">
        <f t="shared" si="59"/>
        <v>24</v>
      </c>
      <c r="AZ368" s="56">
        <v>0</v>
      </c>
      <c r="BA368" s="57">
        <v>5</v>
      </c>
      <c r="BB368" s="57">
        <f>+'[1]25'!R651</f>
        <v>16</v>
      </c>
      <c r="BC368" s="57">
        <v>3</v>
      </c>
      <c r="BD368" s="57"/>
      <c r="BE368" s="57"/>
      <c r="BF368" s="57"/>
      <c r="BG368" s="57"/>
      <c r="BH368" s="57"/>
      <c r="BI368" s="55">
        <f t="shared" si="60"/>
        <v>24</v>
      </c>
      <c r="BJ368" s="69">
        <f t="shared" si="61"/>
        <v>0</v>
      </c>
      <c r="BK368" s="69">
        <f t="shared" si="58"/>
        <v>0</v>
      </c>
      <c r="BM368" s="75"/>
      <c r="BN368" s="57">
        <f t="shared" si="56"/>
        <v>0</v>
      </c>
      <c r="BO368" s="80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9">
        <f t="shared" si="57"/>
        <v>0</v>
      </c>
      <c r="CB368" s="3"/>
      <c r="CD368" s="10"/>
      <c r="CE368" s="95"/>
    </row>
    <row r="369" spans="1:83" s="2" customFormat="1" ht="19.5" thickBot="1" x14ac:dyDescent="0.35">
      <c r="A369" s="17">
        <v>394</v>
      </c>
      <c r="B369" s="135"/>
      <c r="C369" s="18" t="s">
        <v>66</v>
      </c>
      <c r="D369" s="19"/>
      <c r="E369" s="19"/>
      <c r="F369" s="19"/>
      <c r="G369" s="30"/>
      <c r="H369" s="31"/>
      <c r="I369" s="40"/>
      <c r="J369" s="31"/>
      <c r="K369" s="40"/>
      <c r="L369" s="31"/>
      <c r="M369" s="40"/>
      <c r="N369" s="31"/>
      <c r="O369" s="40"/>
      <c r="P369" s="31"/>
      <c r="Q369" s="40"/>
      <c r="R369" s="31"/>
      <c r="S369" s="31"/>
      <c r="T369" s="31"/>
      <c r="U369" s="40"/>
      <c r="V369" s="31"/>
      <c r="W369" s="31"/>
      <c r="X369" s="31"/>
      <c r="Y369" s="31"/>
      <c r="Z369" s="31">
        <v>18</v>
      </c>
      <c r="AA369" s="31"/>
      <c r="AB369" s="31"/>
      <c r="AC369" s="31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55">
        <f t="shared" si="59"/>
        <v>18</v>
      </c>
      <c r="AZ369" s="56">
        <v>0</v>
      </c>
      <c r="BA369" s="57">
        <v>0</v>
      </c>
      <c r="BB369" s="57">
        <f>+'[1]25'!R652</f>
        <v>5</v>
      </c>
      <c r="BC369" s="57">
        <v>12</v>
      </c>
      <c r="BD369" s="57"/>
      <c r="BE369" s="57"/>
      <c r="BF369" s="57"/>
      <c r="BG369" s="57"/>
      <c r="BH369" s="57"/>
      <c r="BI369" s="55">
        <f t="shared" si="60"/>
        <v>17</v>
      </c>
      <c r="BJ369" s="69">
        <f t="shared" si="61"/>
        <v>1</v>
      </c>
      <c r="BK369" s="69">
        <f t="shared" si="58"/>
        <v>0</v>
      </c>
      <c r="BM369" s="75"/>
      <c r="BN369" s="57">
        <f t="shared" si="56"/>
        <v>1</v>
      </c>
      <c r="BO369" s="80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9">
        <f t="shared" si="57"/>
        <v>0</v>
      </c>
      <c r="CB369" s="3"/>
      <c r="CD369" s="10"/>
      <c r="CE369" s="95"/>
    </row>
    <row r="370" spans="1:83" s="2" customFormat="1" ht="19.5" thickBot="1" x14ac:dyDescent="0.35">
      <c r="A370" s="17">
        <v>395</v>
      </c>
      <c r="B370" s="135"/>
      <c r="C370" s="18" t="s">
        <v>67</v>
      </c>
      <c r="D370" s="19"/>
      <c r="E370" s="19"/>
      <c r="F370" s="19"/>
      <c r="G370" s="30"/>
      <c r="H370" s="31"/>
      <c r="I370" s="40"/>
      <c r="J370" s="31"/>
      <c r="K370" s="40"/>
      <c r="L370" s="31"/>
      <c r="M370" s="40"/>
      <c r="N370" s="31"/>
      <c r="O370" s="40"/>
      <c r="P370" s="31"/>
      <c r="Q370" s="40"/>
      <c r="R370" s="31"/>
      <c r="S370" s="31"/>
      <c r="T370" s="31"/>
      <c r="U370" s="40"/>
      <c r="V370" s="31"/>
      <c r="W370" s="31"/>
      <c r="X370" s="31"/>
      <c r="Y370" s="31"/>
      <c r="Z370" s="31">
        <v>12</v>
      </c>
      <c r="AA370" s="31"/>
      <c r="AB370" s="31"/>
      <c r="AC370" s="31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55">
        <f t="shared" si="59"/>
        <v>12</v>
      </c>
      <c r="AZ370" s="56">
        <v>0</v>
      </c>
      <c r="BA370" s="57">
        <v>3</v>
      </c>
      <c r="BB370" s="57">
        <f>+'[1]25'!R653</f>
        <v>7</v>
      </c>
      <c r="BC370" s="57">
        <v>0</v>
      </c>
      <c r="BD370" s="57"/>
      <c r="BE370" s="57"/>
      <c r="BF370" s="57"/>
      <c r="BG370" s="57"/>
      <c r="BH370" s="57"/>
      <c r="BI370" s="55">
        <f t="shared" si="60"/>
        <v>10</v>
      </c>
      <c r="BJ370" s="69">
        <f t="shared" si="61"/>
        <v>2</v>
      </c>
      <c r="BK370" s="69">
        <f t="shared" si="58"/>
        <v>0</v>
      </c>
      <c r="BM370" s="75"/>
      <c r="BN370" s="57">
        <f t="shared" si="56"/>
        <v>2</v>
      </c>
      <c r="BO370" s="80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9">
        <f t="shared" si="57"/>
        <v>0</v>
      </c>
      <c r="CB370" s="3"/>
      <c r="CD370" s="10"/>
      <c r="CE370" s="95"/>
    </row>
    <row r="371" spans="1:83" s="2" customFormat="1" ht="19.5" thickBot="1" x14ac:dyDescent="0.35">
      <c r="A371" s="17">
        <v>396</v>
      </c>
      <c r="B371" s="135"/>
      <c r="C371" s="18" t="s">
        <v>68</v>
      </c>
      <c r="D371" s="19"/>
      <c r="E371" s="19"/>
      <c r="F371" s="19"/>
      <c r="G371" s="30"/>
      <c r="H371" s="31"/>
      <c r="I371" s="40"/>
      <c r="J371" s="31"/>
      <c r="K371" s="40"/>
      <c r="L371" s="31"/>
      <c r="M371" s="40"/>
      <c r="N371" s="31"/>
      <c r="O371" s="40"/>
      <c r="P371" s="31"/>
      <c r="Q371" s="40"/>
      <c r="R371" s="31"/>
      <c r="S371" s="31"/>
      <c r="T371" s="31"/>
      <c r="U371" s="40"/>
      <c r="V371" s="31"/>
      <c r="W371" s="31"/>
      <c r="X371" s="31"/>
      <c r="Y371" s="31"/>
      <c r="Z371" s="31">
        <v>6</v>
      </c>
      <c r="AA371" s="31"/>
      <c r="AB371" s="31"/>
      <c r="AC371" s="31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55">
        <f t="shared" si="59"/>
        <v>6</v>
      </c>
      <c r="AZ371" s="56">
        <v>0</v>
      </c>
      <c r="BA371" s="57">
        <v>1</v>
      </c>
      <c r="BB371" s="57">
        <f>+'[1]25'!R654</f>
        <v>1</v>
      </c>
      <c r="BC371" s="57">
        <v>0</v>
      </c>
      <c r="BD371" s="57"/>
      <c r="BE371" s="57"/>
      <c r="BF371" s="57"/>
      <c r="BG371" s="57"/>
      <c r="BH371" s="57"/>
      <c r="BI371" s="55">
        <f t="shared" si="60"/>
        <v>2</v>
      </c>
      <c r="BJ371" s="69">
        <f t="shared" si="61"/>
        <v>4</v>
      </c>
      <c r="BK371" s="69">
        <f t="shared" si="58"/>
        <v>0</v>
      </c>
      <c r="BM371" s="75"/>
      <c r="BN371" s="57">
        <f t="shared" si="56"/>
        <v>4</v>
      </c>
      <c r="BO371" s="80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9">
        <f t="shared" si="57"/>
        <v>0</v>
      </c>
      <c r="CB371" s="3"/>
      <c r="CD371" s="10"/>
      <c r="CE371" s="95"/>
    </row>
    <row r="372" spans="1:83" s="2" customFormat="1" ht="19.5" thickBot="1" x14ac:dyDescent="0.35">
      <c r="A372" s="17">
        <v>397</v>
      </c>
      <c r="B372" s="135"/>
      <c r="C372" s="20" t="s">
        <v>69</v>
      </c>
      <c r="D372" s="21"/>
      <c r="E372" s="21"/>
      <c r="F372" s="21"/>
      <c r="G372" s="32"/>
      <c r="H372" s="33"/>
      <c r="I372" s="41"/>
      <c r="J372" s="33"/>
      <c r="K372" s="41"/>
      <c r="L372" s="33"/>
      <c r="M372" s="41"/>
      <c r="N372" s="33"/>
      <c r="O372" s="41"/>
      <c r="P372" s="33"/>
      <c r="Q372" s="41"/>
      <c r="R372" s="33"/>
      <c r="S372" s="33"/>
      <c r="T372" s="33"/>
      <c r="U372" s="41"/>
      <c r="V372" s="33"/>
      <c r="W372" s="33"/>
      <c r="X372" s="33"/>
      <c r="Y372" s="33"/>
      <c r="Z372" s="33">
        <v>6</v>
      </c>
      <c r="AA372" s="33"/>
      <c r="AB372" s="33"/>
      <c r="AC372" s="33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55">
        <f t="shared" si="59"/>
        <v>6</v>
      </c>
      <c r="AZ372" s="59">
        <v>0</v>
      </c>
      <c r="BA372" s="60">
        <v>0</v>
      </c>
      <c r="BB372" s="60">
        <f>+'[1]25'!R655</f>
        <v>0</v>
      </c>
      <c r="BC372" s="60">
        <v>1</v>
      </c>
      <c r="BD372" s="60"/>
      <c r="BE372" s="60"/>
      <c r="BF372" s="60"/>
      <c r="BG372" s="60"/>
      <c r="BH372" s="60"/>
      <c r="BI372" s="58">
        <f t="shared" si="60"/>
        <v>1</v>
      </c>
      <c r="BJ372" s="70">
        <f t="shared" si="61"/>
        <v>5</v>
      </c>
      <c r="BK372" s="70">
        <f t="shared" si="58"/>
        <v>0</v>
      </c>
      <c r="BL372" s="76"/>
      <c r="BM372" s="77"/>
      <c r="BN372" s="60">
        <f t="shared" si="56"/>
        <v>5</v>
      </c>
      <c r="BO372" s="82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9">
        <f t="shared" si="57"/>
        <v>0</v>
      </c>
      <c r="CB372" s="3"/>
      <c r="CD372" s="10"/>
      <c r="CE372" s="95"/>
    </row>
    <row r="373" spans="1:83" s="2" customFormat="1" ht="19.5" thickBot="1" x14ac:dyDescent="0.35">
      <c r="A373" s="17">
        <v>398</v>
      </c>
      <c r="B373" s="134" t="s">
        <v>141</v>
      </c>
      <c r="C373" s="18" t="s">
        <v>62</v>
      </c>
      <c r="D373" s="19"/>
      <c r="E373" s="19"/>
      <c r="F373" s="19"/>
      <c r="G373" s="30"/>
      <c r="H373" s="31"/>
      <c r="I373" s="40"/>
      <c r="J373" s="31"/>
      <c r="K373" s="40"/>
      <c r="L373" s="31"/>
      <c r="M373" s="40"/>
      <c r="N373" s="31"/>
      <c r="O373" s="40"/>
      <c r="P373" s="31"/>
      <c r="Q373" s="40"/>
      <c r="R373" s="31"/>
      <c r="S373" s="31"/>
      <c r="T373" s="31"/>
      <c r="U373" s="40"/>
      <c r="V373" s="31"/>
      <c r="W373" s="31"/>
      <c r="X373" s="31"/>
      <c r="Y373" s="31"/>
      <c r="Z373" s="31"/>
      <c r="AA373" s="31"/>
      <c r="AB373" s="31"/>
      <c r="AC373" s="31">
        <v>6</v>
      </c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55">
        <f t="shared" si="59"/>
        <v>6</v>
      </c>
      <c r="AZ373" s="57">
        <v>0</v>
      </c>
      <c r="BA373" s="57">
        <v>0</v>
      </c>
      <c r="BB373" s="57">
        <f>+'[1]25'!R676</f>
        <v>6</v>
      </c>
      <c r="BC373" s="57">
        <v>0</v>
      </c>
      <c r="BD373" s="57"/>
      <c r="BE373" s="57"/>
      <c r="BF373" s="57"/>
      <c r="BG373" s="57"/>
      <c r="BH373" s="57"/>
      <c r="BI373" s="55">
        <f t="shared" si="60"/>
        <v>6</v>
      </c>
      <c r="BJ373" s="69">
        <f t="shared" si="61"/>
        <v>0</v>
      </c>
      <c r="BK373" s="69">
        <f t="shared" si="58"/>
        <v>0</v>
      </c>
      <c r="BM373" s="75"/>
      <c r="BN373" s="57">
        <f t="shared" si="56"/>
        <v>0</v>
      </c>
      <c r="BO373" s="80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9">
        <f t="shared" si="57"/>
        <v>0</v>
      </c>
      <c r="CB373" s="3"/>
      <c r="CD373" s="10"/>
      <c r="CE373" s="95"/>
    </row>
    <row r="374" spans="1:83" s="2" customFormat="1" ht="19.5" thickBot="1" x14ac:dyDescent="0.35">
      <c r="A374" s="17">
        <v>399</v>
      </c>
      <c r="B374" s="135"/>
      <c r="C374" s="18" t="s">
        <v>63</v>
      </c>
      <c r="D374" s="19"/>
      <c r="E374" s="19"/>
      <c r="F374" s="19"/>
      <c r="G374" s="30"/>
      <c r="H374" s="31"/>
      <c r="I374" s="40"/>
      <c r="J374" s="31"/>
      <c r="K374" s="40"/>
      <c r="L374" s="31"/>
      <c r="M374" s="40"/>
      <c r="N374" s="31"/>
      <c r="O374" s="40"/>
      <c r="P374" s="31"/>
      <c r="Q374" s="40"/>
      <c r="R374" s="31"/>
      <c r="S374" s="31"/>
      <c r="T374" s="31"/>
      <c r="U374" s="40"/>
      <c r="V374" s="31"/>
      <c r="W374" s="31"/>
      <c r="X374" s="31"/>
      <c r="Y374" s="31"/>
      <c r="Z374" s="31"/>
      <c r="AA374" s="31"/>
      <c r="AB374" s="31"/>
      <c r="AC374" s="31">
        <v>12</v>
      </c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55">
        <f t="shared" si="59"/>
        <v>12</v>
      </c>
      <c r="AZ374" s="56">
        <v>0</v>
      </c>
      <c r="BA374" s="57">
        <v>0</v>
      </c>
      <c r="BB374" s="57">
        <f>+'[1]25'!R677</f>
        <v>11</v>
      </c>
      <c r="BC374" s="57">
        <v>1</v>
      </c>
      <c r="BD374" s="57"/>
      <c r="BE374" s="57"/>
      <c r="BF374" s="57"/>
      <c r="BG374" s="57"/>
      <c r="BH374" s="57"/>
      <c r="BI374" s="55">
        <f t="shared" si="60"/>
        <v>12</v>
      </c>
      <c r="BJ374" s="69">
        <f t="shared" si="61"/>
        <v>0</v>
      </c>
      <c r="BK374" s="69">
        <f t="shared" si="58"/>
        <v>0</v>
      </c>
      <c r="BM374" s="75"/>
      <c r="BN374" s="57">
        <f t="shared" si="56"/>
        <v>0</v>
      </c>
      <c r="BO374" s="80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9">
        <f t="shared" si="57"/>
        <v>0</v>
      </c>
      <c r="CB374" s="3"/>
      <c r="CD374" s="10"/>
      <c r="CE374" s="95"/>
    </row>
    <row r="375" spans="1:83" s="2" customFormat="1" ht="19.5" thickBot="1" x14ac:dyDescent="0.35">
      <c r="A375" s="17">
        <v>400</v>
      </c>
      <c r="B375" s="135"/>
      <c r="C375" s="18" t="s">
        <v>64</v>
      </c>
      <c r="D375" s="19"/>
      <c r="E375" s="19"/>
      <c r="F375" s="19"/>
      <c r="G375" s="30"/>
      <c r="H375" s="31"/>
      <c r="I375" s="40"/>
      <c r="J375" s="31"/>
      <c r="K375" s="40"/>
      <c r="L375" s="31"/>
      <c r="M375" s="40"/>
      <c r="N375" s="31"/>
      <c r="O375" s="40"/>
      <c r="P375" s="31"/>
      <c r="Q375" s="40"/>
      <c r="R375" s="31"/>
      <c r="S375" s="31"/>
      <c r="T375" s="31"/>
      <c r="U375" s="40"/>
      <c r="V375" s="31"/>
      <c r="W375" s="31"/>
      <c r="X375" s="31"/>
      <c r="Y375" s="31"/>
      <c r="Z375" s="31"/>
      <c r="AA375" s="31"/>
      <c r="AB375" s="31"/>
      <c r="AC375" s="31">
        <v>24</v>
      </c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55">
        <f t="shared" si="59"/>
        <v>24</v>
      </c>
      <c r="AZ375" s="56">
        <v>0</v>
      </c>
      <c r="BA375" s="57">
        <v>0</v>
      </c>
      <c r="BB375" s="57">
        <f>+'[1]25'!R678</f>
        <v>22</v>
      </c>
      <c r="BC375" s="57">
        <v>1</v>
      </c>
      <c r="BD375" s="57"/>
      <c r="BE375" s="57"/>
      <c r="BF375" s="57"/>
      <c r="BG375" s="57"/>
      <c r="BH375" s="57"/>
      <c r="BI375" s="55">
        <f t="shared" si="60"/>
        <v>23</v>
      </c>
      <c r="BJ375" s="69">
        <f t="shared" si="61"/>
        <v>1</v>
      </c>
      <c r="BK375" s="69">
        <f t="shared" si="58"/>
        <v>0</v>
      </c>
      <c r="BM375" s="75"/>
      <c r="BN375" s="57">
        <f t="shared" ref="BN375:BN438" si="62">+BJ375-BZ375</f>
        <v>0</v>
      </c>
      <c r="BO375" s="80"/>
      <c r="BP375" s="81"/>
      <c r="BQ375" s="81"/>
      <c r="BR375" s="81"/>
      <c r="BS375" s="81">
        <v>1</v>
      </c>
      <c r="BT375" s="81"/>
      <c r="BU375" s="81"/>
      <c r="BV375" s="81"/>
      <c r="BW375" s="81"/>
      <c r="BX375" s="81"/>
      <c r="BY375" s="81"/>
      <c r="BZ375" s="9">
        <f t="shared" si="57"/>
        <v>1</v>
      </c>
      <c r="CB375" s="3"/>
      <c r="CD375" s="10"/>
      <c r="CE375" s="95"/>
    </row>
    <row r="376" spans="1:83" s="2" customFormat="1" ht="19.5" thickBot="1" x14ac:dyDescent="0.35">
      <c r="A376" s="17">
        <v>401</v>
      </c>
      <c r="B376" s="135"/>
      <c r="C376" s="18" t="s">
        <v>65</v>
      </c>
      <c r="D376" s="19"/>
      <c r="E376" s="19"/>
      <c r="F376" s="19"/>
      <c r="G376" s="30"/>
      <c r="H376" s="31"/>
      <c r="I376" s="40"/>
      <c r="J376" s="31"/>
      <c r="K376" s="40"/>
      <c r="L376" s="31"/>
      <c r="M376" s="40"/>
      <c r="N376" s="31"/>
      <c r="O376" s="40"/>
      <c r="P376" s="31"/>
      <c r="Q376" s="40"/>
      <c r="R376" s="31"/>
      <c r="S376" s="31"/>
      <c r="T376" s="31"/>
      <c r="U376" s="40"/>
      <c r="V376" s="31"/>
      <c r="W376" s="31"/>
      <c r="X376" s="31"/>
      <c r="Y376" s="31"/>
      <c r="Z376" s="31"/>
      <c r="AA376" s="31"/>
      <c r="AB376" s="31"/>
      <c r="AC376" s="31">
        <v>24</v>
      </c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55">
        <f t="shared" si="59"/>
        <v>24</v>
      </c>
      <c r="AZ376" s="56">
        <v>0</v>
      </c>
      <c r="BA376" s="57">
        <v>0</v>
      </c>
      <c r="BB376" s="57">
        <v>21</v>
      </c>
      <c r="BC376" s="57">
        <v>1</v>
      </c>
      <c r="BD376" s="57"/>
      <c r="BE376" s="57"/>
      <c r="BF376" s="57"/>
      <c r="BG376" s="57"/>
      <c r="BH376" s="57"/>
      <c r="BI376" s="55">
        <f t="shared" si="60"/>
        <v>22</v>
      </c>
      <c r="BJ376" s="69">
        <f t="shared" si="61"/>
        <v>2</v>
      </c>
      <c r="BK376" s="69">
        <f t="shared" si="58"/>
        <v>0</v>
      </c>
      <c r="BM376" s="75"/>
      <c r="BN376" s="57">
        <f t="shared" si="62"/>
        <v>2</v>
      </c>
      <c r="BO376" s="80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9">
        <f t="shared" si="57"/>
        <v>0</v>
      </c>
      <c r="CB376" s="3"/>
      <c r="CD376" s="10"/>
      <c r="CE376" s="95"/>
    </row>
    <row r="377" spans="1:83" s="2" customFormat="1" ht="19.5" thickBot="1" x14ac:dyDescent="0.35">
      <c r="A377" s="17">
        <v>402</v>
      </c>
      <c r="B377" s="135"/>
      <c r="C377" s="18" t="s">
        <v>66</v>
      </c>
      <c r="D377" s="19"/>
      <c r="E377" s="19"/>
      <c r="F377" s="19"/>
      <c r="G377" s="30"/>
      <c r="H377" s="31"/>
      <c r="I377" s="40"/>
      <c r="J377" s="31"/>
      <c r="K377" s="40"/>
      <c r="L377" s="31"/>
      <c r="M377" s="40"/>
      <c r="N377" s="31"/>
      <c r="O377" s="40"/>
      <c r="P377" s="31"/>
      <c r="Q377" s="40"/>
      <c r="R377" s="31"/>
      <c r="S377" s="31"/>
      <c r="T377" s="31"/>
      <c r="U377" s="40"/>
      <c r="V377" s="31"/>
      <c r="W377" s="31"/>
      <c r="X377" s="31"/>
      <c r="Y377" s="31"/>
      <c r="Z377" s="31"/>
      <c r="AA377" s="31"/>
      <c r="AB377" s="31"/>
      <c r="AC377" s="31">
        <v>15</v>
      </c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55">
        <f t="shared" si="59"/>
        <v>15</v>
      </c>
      <c r="AZ377" s="56">
        <v>0</v>
      </c>
      <c r="BA377" s="57">
        <v>0</v>
      </c>
      <c r="BB377" s="57">
        <f>+'[1]25'!R680</f>
        <v>14</v>
      </c>
      <c r="BC377" s="57">
        <v>1</v>
      </c>
      <c r="BD377" s="57"/>
      <c r="BE377" s="57"/>
      <c r="BF377" s="57"/>
      <c r="BG377" s="57"/>
      <c r="BH377" s="57"/>
      <c r="BI377" s="55">
        <f t="shared" si="60"/>
        <v>15</v>
      </c>
      <c r="BJ377" s="69">
        <f t="shared" si="61"/>
        <v>0</v>
      </c>
      <c r="BK377" s="69">
        <f t="shared" si="58"/>
        <v>0</v>
      </c>
      <c r="BM377" s="75"/>
      <c r="BN377" s="57">
        <f t="shared" si="62"/>
        <v>0</v>
      </c>
      <c r="BO377" s="80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9">
        <f t="shared" ref="BZ377:BZ440" si="63">SUM(BP377:BY377)</f>
        <v>0</v>
      </c>
      <c r="CB377" s="3"/>
      <c r="CD377" s="10"/>
      <c r="CE377" s="95"/>
    </row>
    <row r="378" spans="1:83" s="2" customFormat="1" ht="19.5" thickBot="1" x14ac:dyDescent="0.35">
      <c r="A378" s="17">
        <v>403</v>
      </c>
      <c r="B378" s="135"/>
      <c r="C378" s="18" t="s">
        <v>67</v>
      </c>
      <c r="D378" s="19"/>
      <c r="E378" s="19"/>
      <c r="F378" s="19"/>
      <c r="G378" s="30"/>
      <c r="H378" s="31"/>
      <c r="I378" s="40"/>
      <c r="J378" s="31"/>
      <c r="K378" s="40"/>
      <c r="L378" s="31"/>
      <c r="M378" s="40"/>
      <c r="N378" s="31"/>
      <c r="O378" s="40"/>
      <c r="P378" s="31"/>
      <c r="Q378" s="40"/>
      <c r="R378" s="31"/>
      <c r="S378" s="31"/>
      <c r="T378" s="31"/>
      <c r="U378" s="40"/>
      <c r="V378" s="31"/>
      <c r="W378" s="31"/>
      <c r="X378" s="31"/>
      <c r="Y378" s="31"/>
      <c r="Z378" s="31"/>
      <c r="AA378" s="31"/>
      <c r="AB378" s="31"/>
      <c r="AC378" s="31">
        <v>12</v>
      </c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55">
        <f t="shared" si="59"/>
        <v>12</v>
      </c>
      <c r="AZ378" s="56">
        <v>0</v>
      </c>
      <c r="BA378" s="57">
        <v>0</v>
      </c>
      <c r="BB378" s="57">
        <f>+'[1]25'!R681</f>
        <v>6</v>
      </c>
      <c r="BC378" s="57">
        <v>3</v>
      </c>
      <c r="BD378" s="57"/>
      <c r="BE378" s="57"/>
      <c r="BF378" s="57"/>
      <c r="BG378" s="57"/>
      <c r="BH378" s="57"/>
      <c r="BI378" s="55">
        <f t="shared" si="60"/>
        <v>9</v>
      </c>
      <c r="BJ378" s="69">
        <f t="shared" si="61"/>
        <v>3</v>
      </c>
      <c r="BK378" s="69">
        <f t="shared" si="58"/>
        <v>0</v>
      </c>
      <c r="BM378" s="75"/>
      <c r="BN378" s="57">
        <f t="shared" si="62"/>
        <v>3</v>
      </c>
      <c r="BO378" s="80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9">
        <f t="shared" si="63"/>
        <v>0</v>
      </c>
      <c r="CB378" s="3"/>
      <c r="CD378" s="10"/>
      <c r="CE378" s="95"/>
    </row>
    <row r="379" spans="1:83" s="2" customFormat="1" ht="19.5" thickBot="1" x14ac:dyDescent="0.35">
      <c r="A379" s="17">
        <v>404</v>
      </c>
      <c r="B379" s="135"/>
      <c r="C379" s="18" t="s">
        <v>68</v>
      </c>
      <c r="D379" s="19"/>
      <c r="E379" s="19"/>
      <c r="F379" s="19"/>
      <c r="G379" s="30"/>
      <c r="H379" s="31"/>
      <c r="I379" s="40"/>
      <c r="J379" s="31"/>
      <c r="K379" s="40"/>
      <c r="L379" s="31"/>
      <c r="M379" s="40"/>
      <c r="N379" s="31"/>
      <c r="O379" s="40"/>
      <c r="P379" s="31"/>
      <c r="Q379" s="40"/>
      <c r="R379" s="31"/>
      <c r="S379" s="31"/>
      <c r="T379" s="31"/>
      <c r="U379" s="40"/>
      <c r="V379" s="31"/>
      <c r="W379" s="31"/>
      <c r="X379" s="31"/>
      <c r="Y379" s="31"/>
      <c r="Z379" s="31"/>
      <c r="AA379" s="31"/>
      <c r="AB379" s="31"/>
      <c r="AC379" s="31">
        <v>9</v>
      </c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55">
        <f t="shared" si="59"/>
        <v>9</v>
      </c>
      <c r="AZ379" s="56">
        <v>0</v>
      </c>
      <c r="BA379" s="57">
        <v>0</v>
      </c>
      <c r="BB379" s="57">
        <f>+'[1]25'!R682</f>
        <v>4</v>
      </c>
      <c r="BC379" s="57">
        <v>3</v>
      </c>
      <c r="BD379" s="57"/>
      <c r="BE379" s="57"/>
      <c r="BF379" s="57"/>
      <c r="BG379" s="57"/>
      <c r="BH379" s="57"/>
      <c r="BI379" s="55">
        <f t="shared" si="60"/>
        <v>7</v>
      </c>
      <c r="BJ379" s="69">
        <f t="shared" si="61"/>
        <v>2</v>
      </c>
      <c r="BK379" s="69">
        <f t="shared" si="58"/>
        <v>0</v>
      </c>
      <c r="BM379" s="75"/>
      <c r="BN379" s="57">
        <f t="shared" si="62"/>
        <v>1</v>
      </c>
      <c r="BO379" s="80"/>
      <c r="BP379" s="81"/>
      <c r="BQ379" s="81"/>
      <c r="BR379" s="81"/>
      <c r="BS379" s="81">
        <v>1</v>
      </c>
      <c r="BT379" s="81"/>
      <c r="BU379" s="81"/>
      <c r="BV379" s="81"/>
      <c r="BW379" s="81"/>
      <c r="BX379" s="81"/>
      <c r="BY379" s="81"/>
      <c r="BZ379" s="9">
        <f t="shared" si="63"/>
        <v>1</v>
      </c>
      <c r="CB379" s="3"/>
      <c r="CD379" s="10"/>
      <c r="CE379" s="95"/>
    </row>
    <row r="380" spans="1:83" s="2" customFormat="1" ht="19.5" thickBot="1" x14ac:dyDescent="0.35">
      <c r="A380" s="17">
        <v>405</v>
      </c>
      <c r="B380" s="135"/>
      <c r="C380" s="20" t="s">
        <v>69</v>
      </c>
      <c r="D380" s="21"/>
      <c r="E380" s="21"/>
      <c r="F380" s="21"/>
      <c r="G380" s="32"/>
      <c r="H380" s="33"/>
      <c r="I380" s="41"/>
      <c r="J380" s="33"/>
      <c r="K380" s="41"/>
      <c r="L380" s="33"/>
      <c r="M380" s="41"/>
      <c r="N380" s="33"/>
      <c r="O380" s="41"/>
      <c r="P380" s="33"/>
      <c r="Q380" s="41"/>
      <c r="R380" s="33"/>
      <c r="S380" s="33"/>
      <c r="T380" s="33"/>
      <c r="U380" s="41"/>
      <c r="V380" s="33"/>
      <c r="W380" s="33"/>
      <c r="X380" s="33"/>
      <c r="Y380" s="33"/>
      <c r="Z380" s="33"/>
      <c r="AA380" s="33"/>
      <c r="AB380" s="33"/>
      <c r="AC380" s="33">
        <v>6</v>
      </c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55">
        <f t="shared" si="59"/>
        <v>6</v>
      </c>
      <c r="AZ380" s="59">
        <v>0</v>
      </c>
      <c r="BA380" s="60">
        <v>0</v>
      </c>
      <c r="BB380" s="60">
        <f>+'[1]25'!R683</f>
        <v>2</v>
      </c>
      <c r="BC380" s="60">
        <v>1</v>
      </c>
      <c r="BD380" s="60"/>
      <c r="BE380" s="60"/>
      <c r="BF380" s="60"/>
      <c r="BG380" s="60"/>
      <c r="BH380" s="60"/>
      <c r="BI380" s="58">
        <f t="shared" si="60"/>
        <v>3</v>
      </c>
      <c r="BJ380" s="70">
        <f t="shared" si="61"/>
        <v>3</v>
      </c>
      <c r="BK380" s="70">
        <f t="shared" ref="BK380:BK443" si="64">SUM(AT380:AX380)</f>
        <v>0</v>
      </c>
      <c r="BL380" s="76"/>
      <c r="BM380" s="77"/>
      <c r="BN380" s="60">
        <f t="shared" si="62"/>
        <v>2</v>
      </c>
      <c r="BO380" s="82"/>
      <c r="BP380" s="83"/>
      <c r="BQ380" s="83"/>
      <c r="BR380" s="83"/>
      <c r="BS380" s="83">
        <v>1</v>
      </c>
      <c r="BT380" s="83"/>
      <c r="BU380" s="83"/>
      <c r="BV380" s="83"/>
      <c r="BW380" s="83"/>
      <c r="BX380" s="83"/>
      <c r="BY380" s="83"/>
      <c r="BZ380" s="9">
        <f t="shared" si="63"/>
        <v>1</v>
      </c>
      <c r="CB380" s="3"/>
      <c r="CD380" s="10"/>
      <c r="CE380" s="95"/>
    </row>
    <row r="381" spans="1:83" s="2" customFormat="1" ht="19.5" thickBot="1" x14ac:dyDescent="0.35">
      <c r="A381" s="17">
        <v>406</v>
      </c>
      <c r="B381" s="134" t="s">
        <v>142</v>
      </c>
      <c r="C381" s="18" t="s">
        <v>62</v>
      </c>
      <c r="D381" s="19"/>
      <c r="E381" s="19"/>
      <c r="F381" s="19"/>
      <c r="G381" s="30"/>
      <c r="H381" s="31"/>
      <c r="I381" s="40"/>
      <c r="J381" s="31"/>
      <c r="K381" s="40"/>
      <c r="L381" s="31"/>
      <c r="M381" s="40"/>
      <c r="N381" s="31"/>
      <c r="O381" s="40"/>
      <c r="P381" s="31"/>
      <c r="Q381" s="40"/>
      <c r="R381" s="31"/>
      <c r="S381" s="31"/>
      <c r="T381" s="31"/>
      <c r="U381" s="40"/>
      <c r="V381" s="31"/>
      <c r="W381" s="31"/>
      <c r="X381" s="31"/>
      <c r="Y381" s="31"/>
      <c r="Z381" s="31"/>
      <c r="AA381" s="31"/>
      <c r="AB381" s="31"/>
      <c r="AC381" s="31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>
        <v>12</v>
      </c>
      <c r="AP381" s="46"/>
      <c r="AQ381" s="46"/>
      <c r="AR381" s="46"/>
      <c r="AS381" s="46"/>
      <c r="AT381" s="46"/>
      <c r="AU381" s="46"/>
      <c r="AV381" s="46"/>
      <c r="AW381" s="46"/>
      <c r="AX381" s="46"/>
      <c r="AY381" s="55">
        <f t="shared" ref="AY381:AY444" si="65">SUM(D381:AS381)</f>
        <v>12</v>
      </c>
      <c r="AZ381" s="56"/>
      <c r="BA381" s="57"/>
      <c r="BB381" s="57">
        <f>+'[1]25'!R684</f>
        <v>0</v>
      </c>
      <c r="BC381" s="57">
        <v>6</v>
      </c>
      <c r="BD381" s="57"/>
      <c r="BE381" s="57"/>
      <c r="BF381" s="57"/>
      <c r="BG381" s="57"/>
      <c r="BH381" s="57"/>
      <c r="BI381" s="55">
        <f t="shared" ref="BI381:BI444" si="66">SUM(AZ381:BH381)</f>
        <v>6</v>
      </c>
      <c r="BJ381" s="69">
        <f t="shared" ref="BJ381:BJ444" si="67">+AY381-BI381</f>
        <v>6</v>
      </c>
      <c r="BK381" s="69">
        <f t="shared" si="64"/>
        <v>0</v>
      </c>
      <c r="BM381" s="75"/>
      <c r="BN381" s="57">
        <f t="shared" si="62"/>
        <v>3</v>
      </c>
      <c r="BO381" s="80"/>
      <c r="BP381" s="81">
        <v>1</v>
      </c>
      <c r="BQ381" s="81">
        <v>1</v>
      </c>
      <c r="BR381" s="81">
        <v>1</v>
      </c>
      <c r="BS381" s="81"/>
      <c r="BT381" s="81"/>
      <c r="BU381" s="81"/>
      <c r="BV381" s="81"/>
      <c r="BW381" s="81"/>
      <c r="BX381" s="81"/>
      <c r="BY381" s="81"/>
      <c r="BZ381" s="9">
        <f t="shared" si="63"/>
        <v>3</v>
      </c>
      <c r="CB381" s="3"/>
      <c r="CD381" s="10"/>
      <c r="CE381" s="95"/>
    </row>
    <row r="382" spans="1:83" s="2" customFormat="1" ht="19.5" thickBot="1" x14ac:dyDescent="0.35">
      <c r="A382" s="17">
        <v>407</v>
      </c>
      <c r="B382" s="135"/>
      <c r="C382" s="18" t="s">
        <v>63</v>
      </c>
      <c r="D382" s="19"/>
      <c r="E382" s="19"/>
      <c r="F382" s="19"/>
      <c r="G382" s="30"/>
      <c r="H382" s="31"/>
      <c r="I382" s="40"/>
      <c r="J382" s="31"/>
      <c r="K382" s="40"/>
      <c r="L382" s="31"/>
      <c r="M382" s="40"/>
      <c r="N382" s="31"/>
      <c r="O382" s="40"/>
      <c r="P382" s="31"/>
      <c r="Q382" s="40"/>
      <c r="R382" s="31"/>
      <c r="S382" s="31"/>
      <c r="T382" s="31"/>
      <c r="U382" s="40"/>
      <c r="V382" s="31"/>
      <c r="W382" s="31"/>
      <c r="X382" s="31"/>
      <c r="Y382" s="31"/>
      <c r="Z382" s="31"/>
      <c r="AA382" s="31"/>
      <c r="AB382" s="31"/>
      <c r="AC382" s="31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>
        <v>18</v>
      </c>
      <c r="AP382" s="46"/>
      <c r="AQ382" s="46"/>
      <c r="AR382" s="46"/>
      <c r="AS382" s="46"/>
      <c r="AT382" s="46"/>
      <c r="AU382" s="46"/>
      <c r="AV382" s="46"/>
      <c r="AW382" s="46"/>
      <c r="AX382" s="46"/>
      <c r="AY382" s="55">
        <f t="shared" si="65"/>
        <v>18</v>
      </c>
      <c r="AZ382" s="56"/>
      <c r="BA382" s="57"/>
      <c r="BB382" s="57">
        <f>+'[1]25'!R685</f>
        <v>0</v>
      </c>
      <c r="BC382" s="57">
        <v>13</v>
      </c>
      <c r="BD382" s="57"/>
      <c r="BE382" s="57"/>
      <c r="BF382" s="57"/>
      <c r="BG382" s="57"/>
      <c r="BH382" s="57"/>
      <c r="BI382" s="55">
        <f t="shared" si="66"/>
        <v>13</v>
      </c>
      <c r="BJ382" s="69">
        <f t="shared" si="67"/>
        <v>5</v>
      </c>
      <c r="BK382" s="69">
        <f t="shared" si="64"/>
        <v>0</v>
      </c>
      <c r="BM382" s="75"/>
      <c r="BN382" s="57">
        <f t="shared" si="62"/>
        <v>0</v>
      </c>
      <c r="BO382" s="80"/>
      <c r="BP382" s="81">
        <v>2</v>
      </c>
      <c r="BQ382" s="81"/>
      <c r="BR382" s="81">
        <v>2</v>
      </c>
      <c r="BS382" s="81">
        <v>1</v>
      </c>
      <c r="BT382" s="81"/>
      <c r="BU382" s="81"/>
      <c r="BV382" s="81"/>
      <c r="BW382" s="81"/>
      <c r="BX382" s="81"/>
      <c r="BY382" s="81"/>
      <c r="BZ382" s="9">
        <f t="shared" si="63"/>
        <v>5</v>
      </c>
      <c r="CB382" s="3"/>
      <c r="CD382" s="10"/>
      <c r="CE382" s="95"/>
    </row>
    <row r="383" spans="1:83" s="2" customFormat="1" ht="19.5" thickBot="1" x14ac:dyDescent="0.35">
      <c r="A383" s="17">
        <v>408</v>
      </c>
      <c r="B383" s="135"/>
      <c r="C383" s="18" t="s">
        <v>64</v>
      </c>
      <c r="D383" s="19"/>
      <c r="E383" s="19"/>
      <c r="F383" s="19"/>
      <c r="G383" s="30"/>
      <c r="H383" s="31"/>
      <c r="I383" s="40"/>
      <c r="J383" s="31"/>
      <c r="K383" s="40"/>
      <c r="L383" s="31"/>
      <c r="M383" s="40"/>
      <c r="N383" s="31"/>
      <c r="O383" s="40"/>
      <c r="P383" s="31"/>
      <c r="Q383" s="40"/>
      <c r="R383" s="31"/>
      <c r="S383" s="31"/>
      <c r="T383" s="31"/>
      <c r="U383" s="40"/>
      <c r="V383" s="31"/>
      <c r="W383" s="31"/>
      <c r="X383" s="31"/>
      <c r="Y383" s="31"/>
      <c r="Z383" s="31"/>
      <c r="AA383" s="31"/>
      <c r="AB383" s="31"/>
      <c r="AC383" s="31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>
        <v>24</v>
      </c>
      <c r="AP383" s="46"/>
      <c r="AQ383" s="46"/>
      <c r="AR383" s="46"/>
      <c r="AS383" s="46"/>
      <c r="AT383" s="46"/>
      <c r="AU383" s="46"/>
      <c r="AV383" s="46"/>
      <c r="AW383" s="46"/>
      <c r="AX383" s="46"/>
      <c r="AY383" s="55">
        <f t="shared" si="65"/>
        <v>24</v>
      </c>
      <c r="AZ383" s="56"/>
      <c r="BA383" s="57"/>
      <c r="BB383" s="57">
        <f>+'[1]25'!R686</f>
        <v>0</v>
      </c>
      <c r="BC383" s="57">
        <v>12</v>
      </c>
      <c r="BD383" s="57"/>
      <c r="BE383" s="57"/>
      <c r="BF383" s="57"/>
      <c r="BG383" s="57"/>
      <c r="BH383" s="57"/>
      <c r="BI383" s="55">
        <f t="shared" si="66"/>
        <v>12</v>
      </c>
      <c r="BJ383" s="69">
        <f t="shared" si="67"/>
        <v>12</v>
      </c>
      <c r="BK383" s="69">
        <f t="shared" si="64"/>
        <v>0</v>
      </c>
      <c r="BM383" s="75"/>
      <c r="BN383" s="57">
        <f t="shared" si="62"/>
        <v>3</v>
      </c>
      <c r="BO383" s="80"/>
      <c r="BP383" s="81">
        <v>2</v>
      </c>
      <c r="BQ383" s="81">
        <v>1</v>
      </c>
      <c r="BR383" s="81">
        <v>1</v>
      </c>
      <c r="BS383" s="81">
        <v>2</v>
      </c>
      <c r="BT383" s="81">
        <v>3</v>
      </c>
      <c r="BU383" s="81"/>
      <c r="BV383" s="81"/>
      <c r="BW383" s="81"/>
      <c r="BX383" s="81"/>
      <c r="BY383" s="81"/>
      <c r="BZ383" s="9">
        <f t="shared" si="63"/>
        <v>9</v>
      </c>
      <c r="CB383" s="3"/>
      <c r="CD383" s="10"/>
      <c r="CE383" s="95"/>
    </row>
    <row r="384" spans="1:83" s="2" customFormat="1" ht="19.5" thickBot="1" x14ac:dyDescent="0.35">
      <c r="A384" s="17">
        <v>409</v>
      </c>
      <c r="B384" s="135"/>
      <c r="C384" s="18" t="s">
        <v>65</v>
      </c>
      <c r="D384" s="19"/>
      <c r="E384" s="19"/>
      <c r="F384" s="19"/>
      <c r="G384" s="30"/>
      <c r="H384" s="31"/>
      <c r="I384" s="40"/>
      <c r="J384" s="31"/>
      <c r="K384" s="40"/>
      <c r="L384" s="31"/>
      <c r="M384" s="40"/>
      <c r="N384" s="31"/>
      <c r="O384" s="40"/>
      <c r="P384" s="31"/>
      <c r="Q384" s="40"/>
      <c r="R384" s="31"/>
      <c r="S384" s="31"/>
      <c r="T384" s="31"/>
      <c r="U384" s="40"/>
      <c r="V384" s="31"/>
      <c r="W384" s="31"/>
      <c r="X384" s="31"/>
      <c r="Y384" s="31"/>
      <c r="Z384" s="31"/>
      <c r="AA384" s="31"/>
      <c r="AB384" s="31"/>
      <c r="AC384" s="31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>
        <v>24</v>
      </c>
      <c r="AP384" s="46"/>
      <c r="AQ384" s="46"/>
      <c r="AR384" s="46"/>
      <c r="AS384" s="46"/>
      <c r="AT384" s="46"/>
      <c r="AU384" s="46"/>
      <c r="AV384" s="46"/>
      <c r="AW384" s="46"/>
      <c r="AX384" s="46"/>
      <c r="AY384" s="55">
        <f t="shared" si="65"/>
        <v>24</v>
      </c>
      <c r="AZ384" s="56"/>
      <c r="BA384" s="57"/>
      <c r="BB384" s="57">
        <f>+'[1]25'!R687</f>
        <v>0</v>
      </c>
      <c r="BC384" s="57">
        <v>18</v>
      </c>
      <c r="BD384" s="57"/>
      <c r="BE384" s="57"/>
      <c r="BF384" s="57"/>
      <c r="BG384" s="57"/>
      <c r="BH384" s="57"/>
      <c r="BI384" s="55">
        <f t="shared" si="66"/>
        <v>18</v>
      </c>
      <c r="BJ384" s="69">
        <f t="shared" si="67"/>
        <v>6</v>
      </c>
      <c r="BK384" s="69">
        <f t="shared" si="64"/>
        <v>0</v>
      </c>
      <c r="BM384" s="75"/>
      <c r="BN384" s="57">
        <f t="shared" si="62"/>
        <v>2</v>
      </c>
      <c r="BO384" s="80"/>
      <c r="BP384" s="81"/>
      <c r="BQ384" s="81">
        <v>2</v>
      </c>
      <c r="BR384" s="81"/>
      <c r="BS384" s="81"/>
      <c r="BT384" s="81">
        <v>2</v>
      </c>
      <c r="BU384" s="81"/>
      <c r="BV384" s="81"/>
      <c r="BW384" s="81"/>
      <c r="BX384" s="81"/>
      <c r="BY384" s="81"/>
      <c r="BZ384" s="9">
        <f t="shared" si="63"/>
        <v>4</v>
      </c>
      <c r="CB384" s="3"/>
      <c r="CD384" s="10"/>
      <c r="CE384" s="95"/>
    </row>
    <row r="385" spans="1:83" s="2" customFormat="1" ht="19.5" thickBot="1" x14ac:dyDescent="0.35">
      <c r="A385" s="17">
        <v>410</v>
      </c>
      <c r="B385" s="135"/>
      <c r="C385" s="18" t="s">
        <v>66</v>
      </c>
      <c r="D385" s="19"/>
      <c r="E385" s="19"/>
      <c r="F385" s="19"/>
      <c r="G385" s="30"/>
      <c r="H385" s="31"/>
      <c r="I385" s="40"/>
      <c r="J385" s="31"/>
      <c r="K385" s="40"/>
      <c r="L385" s="31"/>
      <c r="M385" s="40"/>
      <c r="N385" s="31"/>
      <c r="O385" s="40"/>
      <c r="P385" s="31"/>
      <c r="Q385" s="40"/>
      <c r="R385" s="31"/>
      <c r="S385" s="31"/>
      <c r="T385" s="31"/>
      <c r="U385" s="40"/>
      <c r="V385" s="31"/>
      <c r="W385" s="31"/>
      <c r="X385" s="31"/>
      <c r="Y385" s="31"/>
      <c r="Z385" s="31"/>
      <c r="AA385" s="31"/>
      <c r="AB385" s="31"/>
      <c r="AC385" s="31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>
        <v>18</v>
      </c>
      <c r="AP385" s="46"/>
      <c r="AQ385" s="46"/>
      <c r="AR385" s="46"/>
      <c r="AS385" s="46"/>
      <c r="AT385" s="46"/>
      <c r="AU385" s="46"/>
      <c r="AV385" s="46"/>
      <c r="AW385" s="46"/>
      <c r="AX385" s="46"/>
      <c r="AY385" s="55">
        <f t="shared" si="65"/>
        <v>18</v>
      </c>
      <c r="AZ385" s="56"/>
      <c r="BA385" s="57"/>
      <c r="BB385" s="57">
        <f>+'[1]25'!R688</f>
        <v>0</v>
      </c>
      <c r="BC385" s="57">
        <v>15</v>
      </c>
      <c r="BD385" s="57"/>
      <c r="BE385" s="57"/>
      <c r="BF385" s="57"/>
      <c r="BG385" s="57"/>
      <c r="BH385" s="57"/>
      <c r="BI385" s="55">
        <f t="shared" si="66"/>
        <v>15</v>
      </c>
      <c r="BJ385" s="69">
        <f t="shared" si="67"/>
        <v>3</v>
      </c>
      <c r="BK385" s="69">
        <f t="shared" si="64"/>
        <v>0</v>
      </c>
      <c r="BM385" s="75"/>
      <c r="BN385" s="57">
        <f t="shared" si="62"/>
        <v>0</v>
      </c>
      <c r="BO385" s="80"/>
      <c r="BP385" s="81"/>
      <c r="BQ385" s="81">
        <v>1</v>
      </c>
      <c r="BR385" s="81"/>
      <c r="BS385" s="81">
        <v>1</v>
      </c>
      <c r="BT385" s="81">
        <v>1</v>
      </c>
      <c r="BU385" s="81"/>
      <c r="BV385" s="81"/>
      <c r="BW385" s="81"/>
      <c r="BX385" s="81"/>
      <c r="BY385" s="81"/>
      <c r="BZ385" s="9">
        <f t="shared" si="63"/>
        <v>3</v>
      </c>
      <c r="CB385" s="3"/>
      <c r="CD385" s="10"/>
      <c r="CE385" s="95"/>
    </row>
    <row r="386" spans="1:83" s="2" customFormat="1" ht="19.5" thickBot="1" x14ac:dyDescent="0.35">
      <c r="A386" s="17">
        <v>411</v>
      </c>
      <c r="B386" s="135"/>
      <c r="C386" s="18" t="s">
        <v>67</v>
      </c>
      <c r="D386" s="19"/>
      <c r="E386" s="19"/>
      <c r="F386" s="19"/>
      <c r="G386" s="30"/>
      <c r="H386" s="31"/>
      <c r="I386" s="40"/>
      <c r="J386" s="31"/>
      <c r="K386" s="40"/>
      <c r="L386" s="31"/>
      <c r="M386" s="40"/>
      <c r="N386" s="31"/>
      <c r="O386" s="40"/>
      <c r="P386" s="31"/>
      <c r="Q386" s="40"/>
      <c r="R386" s="31"/>
      <c r="S386" s="31"/>
      <c r="T386" s="31"/>
      <c r="U386" s="40"/>
      <c r="V386" s="31"/>
      <c r="W386" s="31"/>
      <c r="X386" s="31"/>
      <c r="Y386" s="31"/>
      <c r="Z386" s="31"/>
      <c r="AA386" s="31"/>
      <c r="AB386" s="31"/>
      <c r="AC386" s="31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>
        <v>12</v>
      </c>
      <c r="AP386" s="46"/>
      <c r="AQ386" s="46"/>
      <c r="AR386" s="46"/>
      <c r="AS386" s="46"/>
      <c r="AT386" s="46"/>
      <c r="AU386" s="46"/>
      <c r="AV386" s="46"/>
      <c r="AW386" s="46"/>
      <c r="AX386" s="46"/>
      <c r="AY386" s="55">
        <f t="shared" si="65"/>
        <v>12</v>
      </c>
      <c r="AZ386" s="56"/>
      <c r="BA386" s="57"/>
      <c r="BB386" s="57">
        <f>+'[1]25'!R689</f>
        <v>0</v>
      </c>
      <c r="BC386" s="57">
        <v>10</v>
      </c>
      <c r="BD386" s="57"/>
      <c r="BE386" s="57"/>
      <c r="BF386" s="57"/>
      <c r="BG386" s="57"/>
      <c r="BH386" s="57"/>
      <c r="BI386" s="55">
        <f t="shared" si="66"/>
        <v>10</v>
      </c>
      <c r="BJ386" s="69">
        <f t="shared" si="67"/>
        <v>2</v>
      </c>
      <c r="BK386" s="69">
        <f t="shared" si="64"/>
        <v>0</v>
      </c>
      <c r="BM386" s="75"/>
      <c r="BN386" s="57">
        <f t="shared" si="62"/>
        <v>0</v>
      </c>
      <c r="BO386" s="80"/>
      <c r="BP386" s="81"/>
      <c r="BQ386" s="81">
        <v>1</v>
      </c>
      <c r="BR386" s="81"/>
      <c r="BS386" s="81">
        <v>1</v>
      </c>
      <c r="BT386" s="81"/>
      <c r="BU386" s="81"/>
      <c r="BV386" s="81"/>
      <c r="BW386" s="81"/>
      <c r="BX386" s="81"/>
      <c r="BY386" s="81"/>
      <c r="BZ386" s="9">
        <f t="shared" si="63"/>
        <v>2</v>
      </c>
      <c r="CB386" s="3"/>
      <c r="CD386" s="10"/>
      <c r="CE386" s="95"/>
    </row>
    <row r="387" spans="1:83" s="2" customFormat="1" ht="19.5" thickBot="1" x14ac:dyDescent="0.35">
      <c r="A387" s="17">
        <v>412</v>
      </c>
      <c r="B387" s="135"/>
      <c r="C387" s="18" t="s">
        <v>68</v>
      </c>
      <c r="D387" s="19"/>
      <c r="E387" s="19"/>
      <c r="F387" s="19"/>
      <c r="G387" s="30"/>
      <c r="H387" s="31"/>
      <c r="I387" s="40"/>
      <c r="J387" s="31"/>
      <c r="K387" s="40"/>
      <c r="L387" s="31"/>
      <c r="M387" s="40"/>
      <c r="N387" s="31"/>
      <c r="O387" s="40"/>
      <c r="P387" s="31"/>
      <c r="Q387" s="40"/>
      <c r="R387" s="31"/>
      <c r="S387" s="31"/>
      <c r="T387" s="31"/>
      <c r="U387" s="40"/>
      <c r="V387" s="31"/>
      <c r="W387" s="31"/>
      <c r="X387" s="31"/>
      <c r="Y387" s="31"/>
      <c r="Z387" s="31"/>
      <c r="AA387" s="31"/>
      <c r="AB387" s="31"/>
      <c r="AC387" s="31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>
        <v>9</v>
      </c>
      <c r="AP387" s="46"/>
      <c r="AQ387" s="46"/>
      <c r="AR387" s="46"/>
      <c r="AS387" s="46"/>
      <c r="AT387" s="46"/>
      <c r="AU387" s="46"/>
      <c r="AV387" s="46"/>
      <c r="AW387" s="46"/>
      <c r="AX387" s="46"/>
      <c r="AY387" s="55">
        <f t="shared" si="65"/>
        <v>9</v>
      </c>
      <c r="AZ387" s="56"/>
      <c r="BA387" s="57"/>
      <c r="BB387" s="57">
        <f>+'[1]25'!R690</f>
        <v>0</v>
      </c>
      <c r="BC387" s="57">
        <v>4</v>
      </c>
      <c r="BD387" s="57"/>
      <c r="BE387" s="57"/>
      <c r="BF387" s="57"/>
      <c r="BG387" s="57"/>
      <c r="BH387" s="57"/>
      <c r="BI387" s="55">
        <f t="shared" si="66"/>
        <v>4</v>
      </c>
      <c r="BJ387" s="69">
        <f t="shared" si="67"/>
        <v>5</v>
      </c>
      <c r="BK387" s="69">
        <f t="shared" si="64"/>
        <v>0</v>
      </c>
      <c r="BM387" s="75"/>
      <c r="BN387" s="57">
        <f t="shared" si="62"/>
        <v>1</v>
      </c>
      <c r="BO387" s="80"/>
      <c r="BP387" s="81">
        <v>1</v>
      </c>
      <c r="BQ387" s="81">
        <v>1</v>
      </c>
      <c r="BR387" s="81"/>
      <c r="BS387" s="81">
        <v>1</v>
      </c>
      <c r="BT387" s="81">
        <v>1</v>
      </c>
      <c r="BU387" s="81"/>
      <c r="BV387" s="81"/>
      <c r="BW387" s="81"/>
      <c r="BX387" s="81"/>
      <c r="BY387" s="81"/>
      <c r="BZ387" s="9">
        <f t="shared" si="63"/>
        <v>4</v>
      </c>
      <c r="CB387" s="3"/>
      <c r="CD387" s="10"/>
      <c r="CE387" s="95"/>
    </row>
    <row r="388" spans="1:83" s="2" customFormat="1" ht="19.5" thickBot="1" x14ac:dyDescent="0.35">
      <c r="A388" s="17">
        <v>413</v>
      </c>
      <c r="B388" s="135"/>
      <c r="C388" s="20" t="s">
        <v>69</v>
      </c>
      <c r="D388" s="21"/>
      <c r="E388" s="21"/>
      <c r="F388" s="21"/>
      <c r="G388" s="32"/>
      <c r="H388" s="33"/>
      <c r="I388" s="41"/>
      <c r="J388" s="33"/>
      <c r="K388" s="41"/>
      <c r="L388" s="33"/>
      <c r="M388" s="41"/>
      <c r="N388" s="33"/>
      <c r="O388" s="41"/>
      <c r="P388" s="33"/>
      <c r="Q388" s="41"/>
      <c r="R388" s="33"/>
      <c r="S388" s="33"/>
      <c r="T388" s="33"/>
      <c r="U388" s="41"/>
      <c r="V388" s="33"/>
      <c r="W388" s="33"/>
      <c r="X388" s="33"/>
      <c r="Y388" s="33"/>
      <c r="Z388" s="33"/>
      <c r="AA388" s="33"/>
      <c r="AB388" s="33"/>
      <c r="AC388" s="33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>
        <v>3</v>
      </c>
      <c r="AP388" s="47"/>
      <c r="AQ388" s="47"/>
      <c r="AR388" s="47"/>
      <c r="AS388" s="47"/>
      <c r="AT388" s="47"/>
      <c r="AU388" s="47"/>
      <c r="AV388" s="47"/>
      <c r="AW388" s="47"/>
      <c r="AX388" s="47"/>
      <c r="AY388" s="55">
        <f t="shared" si="65"/>
        <v>3</v>
      </c>
      <c r="AZ388" s="59"/>
      <c r="BA388" s="60"/>
      <c r="BB388" s="60">
        <f>+'[1]25'!R691</f>
        <v>0</v>
      </c>
      <c r="BC388" s="60">
        <v>1</v>
      </c>
      <c r="BD388" s="60"/>
      <c r="BE388" s="60"/>
      <c r="BF388" s="60"/>
      <c r="BG388" s="60"/>
      <c r="BH388" s="60"/>
      <c r="BI388" s="58">
        <f t="shared" si="66"/>
        <v>1</v>
      </c>
      <c r="BJ388" s="70">
        <f t="shared" si="67"/>
        <v>2</v>
      </c>
      <c r="BK388" s="70">
        <f t="shared" si="64"/>
        <v>0</v>
      </c>
      <c r="BL388" s="76"/>
      <c r="BM388" s="77"/>
      <c r="BN388" s="60">
        <f t="shared" si="62"/>
        <v>0</v>
      </c>
      <c r="BO388" s="82"/>
      <c r="BP388" s="83">
        <v>1</v>
      </c>
      <c r="BQ388" s="83"/>
      <c r="BR388" s="83">
        <v>1</v>
      </c>
      <c r="BS388" s="83"/>
      <c r="BT388" s="83"/>
      <c r="BU388" s="83"/>
      <c r="BV388" s="83"/>
      <c r="BW388" s="83"/>
      <c r="BX388" s="83"/>
      <c r="BY388" s="83"/>
      <c r="BZ388" s="9">
        <f t="shared" si="63"/>
        <v>2</v>
      </c>
      <c r="CB388" s="3"/>
      <c r="CD388" s="10"/>
      <c r="CE388" s="95"/>
    </row>
    <row r="389" spans="1:83" s="2" customFormat="1" ht="19.5" thickBot="1" x14ac:dyDescent="0.35">
      <c r="A389" s="17">
        <v>414</v>
      </c>
      <c r="B389" s="134" t="s">
        <v>143</v>
      </c>
      <c r="C389" s="18" t="s">
        <v>82</v>
      </c>
      <c r="D389" s="19"/>
      <c r="E389" s="19"/>
      <c r="F389" s="19"/>
      <c r="G389" s="30"/>
      <c r="H389" s="31"/>
      <c r="I389" s="40"/>
      <c r="J389" s="31"/>
      <c r="K389" s="40"/>
      <c r="L389" s="31"/>
      <c r="M389" s="40"/>
      <c r="N389" s="31"/>
      <c r="O389" s="40"/>
      <c r="P389" s="31"/>
      <c r="Q389" s="40"/>
      <c r="R389" s="31"/>
      <c r="S389" s="31"/>
      <c r="T389" s="31"/>
      <c r="U389" s="40"/>
      <c r="V389" s="31"/>
      <c r="W389" s="31"/>
      <c r="X389" s="31"/>
      <c r="Y389" s="31"/>
      <c r="Z389" s="31"/>
      <c r="AA389" s="31"/>
      <c r="AB389" s="31"/>
      <c r="AC389" s="31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>
        <v>3</v>
      </c>
      <c r="AP389" s="46"/>
      <c r="AQ389" s="46"/>
      <c r="AR389" s="46"/>
      <c r="AS389" s="46"/>
      <c r="AT389" s="46"/>
      <c r="AU389" s="46"/>
      <c r="AV389" s="46"/>
      <c r="AW389" s="46"/>
      <c r="AX389" s="46"/>
      <c r="AY389" s="55">
        <f t="shared" si="65"/>
        <v>3</v>
      </c>
      <c r="AZ389" s="56"/>
      <c r="BA389" s="57"/>
      <c r="BB389" s="57">
        <f>+'[1]25'!R692</f>
        <v>0</v>
      </c>
      <c r="BC389" s="57">
        <v>3</v>
      </c>
      <c r="BD389" s="57"/>
      <c r="BE389" s="57"/>
      <c r="BF389" s="57"/>
      <c r="BG389" s="57"/>
      <c r="BH389" s="57"/>
      <c r="BI389" s="55">
        <f t="shared" si="66"/>
        <v>3</v>
      </c>
      <c r="BJ389" s="69">
        <f t="shared" si="67"/>
        <v>0</v>
      </c>
      <c r="BK389" s="69">
        <f t="shared" si="64"/>
        <v>0</v>
      </c>
      <c r="BM389" s="75"/>
      <c r="BN389" s="57">
        <f t="shared" si="62"/>
        <v>0</v>
      </c>
      <c r="BO389" s="80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9">
        <f t="shared" si="63"/>
        <v>0</v>
      </c>
      <c r="CB389" s="3"/>
      <c r="CD389" s="10"/>
      <c r="CE389" s="95"/>
    </row>
    <row r="390" spans="1:83" s="2" customFormat="1" ht="19.5" thickBot="1" x14ac:dyDescent="0.35">
      <c r="A390" s="17">
        <v>415</v>
      </c>
      <c r="B390" s="135"/>
      <c r="C390" s="18" t="s">
        <v>83</v>
      </c>
      <c r="D390" s="19"/>
      <c r="E390" s="19"/>
      <c r="F390" s="19"/>
      <c r="G390" s="30"/>
      <c r="H390" s="31"/>
      <c r="I390" s="40"/>
      <c r="J390" s="31"/>
      <c r="K390" s="40"/>
      <c r="L390" s="31"/>
      <c r="M390" s="40"/>
      <c r="N390" s="31"/>
      <c r="O390" s="40"/>
      <c r="P390" s="31"/>
      <c r="Q390" s="40"/>
      <c r="R390" s="31"/>
      <c r="S390" s="31"/>
      <c r="T390" s="31"/>
      <c r="U390" s="40"/>
      <c r="V390" s="31"/>
      <c r="W390" s="31"/>
      <c r="X390" s="31"/>
      <c r="Y390" s="31"/>
      <c r="Z390" s="31"/>
      <c r="AA390" s="31"/>
      <c r="AB390" s="31"/>
      <c r="AC390" s="31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>
        <v>18</v>
      </c>
      <c r="AP390" s="46"/>
      <c r="AQ390" s="46"/>
      <c r="AR390" s="46"/>
      <c r="AS390" s="46"/>
      <c r="AT390" s="46"/>
      <c r="AU390" s="46"/>
      <c r="AV390" s="46"/>
      <c r="AW390" s="46"/>
      <c r="AX390" s="46"/>
      <c r="AY390" s="55">
        <f t="shared" si="65"/>
        <v>18</v>
      </c>
      <c r="AZ390" s="56"/>
      <c r="BA390" s="57"/>
      <c r="BB390" s="57">
        <f>+'[1]25'!R693</f>
        <v>0</v>
      </c>
      <c r="BC390" s="57">
        <v>17</v>
      </c>
      <c r="BD390" s="57"/>
      <c r="BE390" s="57"/>
      <c r="BF390" s="57"/>
      <c r="BG390" s="57"/>
      <c r="BH390" s="57"/>
      <c r="BI390" s="55">
        <f t="shared" si="66"/>
        <v>17</v>
      </c>
      <c r="BJ390" s="69">
        <f t="shared" si="67"/>
        <v>1</v>
      </c>
      <c r="BK390" s="69">
        <f t="shared" si="64"/>
        <v>0</v>
      </c>
      <c r="BM390" s="75"/>
      <c r="BN390" s="57">
        <f t="shared" si="62"/>
        <v>0</v>
      </c>
      <c r="BO390" s="80"/>
      <c r="BP390" s="81"/>
      <c r="BQ390" s="81"/>
      <c r="BR390" s="81"/>
      <c r="BS390" s="81"/>
      <c r="BT390" s="81">
        <v>1</v>
      </c>
      <c r="BU390" s="81"/>
      <c r="BV390" s="81"/>
      <c r="BW390" s="81"/>
      <c r="BX390" s="81"/>
      <c r="BY390" s="81"/>
      <c r="BZ390" s="9">
        <f t="shared" si="63"/>
        <v>1</v>
      </c>
      <c r="CB390" s="3"/>
      <c r="CD390" s="10"/>
      <c r="CE390" s="95"/>
    </row>
    <row r="391" spans="1:83" s="2" customFormat="1" ht="19.5" thickBot="1" x14ac:dyDescent="0.35">
      <c r="A391" s="17">
        <v>416</v>
      </c>
      <c r="B391" s="135"/>
      <c r="C391" s="18" t="s">
        <v>84</v>
      </c>
      <c r="D391" s="19"/>
      <c r="E391" s="19"/>
      <c r="F391" s="19"/>
      <c r="G391" s="30"/>
      <c r="H391" s="31"/>
      <c r="I391" s="40"/>
      <c r="J391" s="31"/>
      <c r="K391" s="40"/>
      <c r="L391" s="31"/>
      <c r="M391" s="40"/>
      <c r="N391" s="31"/>
      <c r="O391" s="40"/>
      <c r="P391" s="31"/>
      <c r="Q391" s="40"/>
      <c r="R391" s="31"/>
      <c r="S391" s="31"/>
      <c r="T391" s="31"/>
      <c r="U391" s="40"/>
      <c r="V391" s="31"/>
      <c r="W391" s="31"/>
      <c r="X391" s="31"/>
      <c r="Y391" s="31"/>
      <c r="Z391" s="31"/>
      <c r="AA391" s="31"/>
      <c r="AB391" s="31"/>
      <c r="AC391" s="31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>
        <v>21</v>
      </c>
      <c r="AP391" s="46"/>
      <c r="AQ391" s="46"/>
      <c r="AR391" s="46"/>
      <c r="AS391" s="46"/>
      <c r="AT391" s="46"/>
      <c r="AU391" s="46"/>
      <c r="AV391" s="46"/>
      <c r="AW391" s="46"/>
      <c r="AX391" s="46"/>
      <c r="AY391" s="55">
        <f t="shared" si="65"/>
        <v>21</v>
      </c>
      <c r="AZ391" s="56"/>
      <c r="BA391" s="57"/>
      <c r="BB391" s="57">
        <f>+'[1]25'!R694</f>
        <v>0</v>
      </c>
      <c r="BC391" s="57">
        <v>19</v>
      </c>
      <c r="BD391" s="57"/>
      <c r="BE391" s="57"/>
      <c r="BF391" s="57"/>
      <c r="BG391" s="57"/>
      <c r="BH391" s="57"/>
      <c r="BI391" s="55">
        <f t="shared" si="66"/>
        <v>19</v>
      </c>
      <c r="BJ391" s="69">
        <f t="shared" si="67"/>
        <v>2</v>
      </c>
      <c r="BK391" s="69">
        <f t="shared" si="64"/>
        <v>0</v>
      </c>
      <c r="BM391" s="75"/>
      <c r="BN391" s="57">
        <f t="shared" si="62"/>
        <v>0</v>
      </c>
      <c r="BO391" s="80"/>
      <c r="BP391" s="81">
        <v>1</v>
      </c>
      <c r="BQ391" s="81"/>
      <c r="BR391" s="81">
        <v>1</v>
      </c>
      <c r="BS391" s="81"/>
      <c r="BT391" s="81"/>
      <c r="BU391" s="81"/>
      <c r="BV391" s="81"/>
      <c r="BW391" s="81"/>
      <c r="BX391" s="81"/>
      <c r="BY391" s="81"/>
      <c r="BZ391" s="9">
        <f t="shared" si="63"/>
        <v>2</v>
      </c>
      <c r="CB391" s="3"/>
      <c r="CD391" s="10"/>
      <c r="CE391" s="95"/>
    </row>
    <row r="392" spans="1:83" s="2" customFormat="1" ht="19.5" thickBot="1" x14ac:dyDescent="0.35">
      <c r="A392" s="17">
        <v>417</v>
      </c>
      <c r="B392" s="135"/>
      <c r="C392" s="18" t="s">
        <v>85</v>
      </c>
      <c r="D392" s="19"/>
      <c r="E392" s="19"/>
      <c r="F392" s="19"/>
      <c r="G392" s="30"/>
      <c r="H392" s="31"/>
      <c r="I392" s="40"/>
      <c r="J392" s="31"/>
      <c r="K392" s="40"/>
      <c r="L392" s="31"/>
      <c r="M392" s="40"/>
      <c r="N392" s="31"/>
      <c r="O392" s="40"/>
      <c r="P392" s="31"/>
      <c r="Q392" s="40"/>
      <c r="R392" s="31"/>
      <c r="S392" s="31"/>
      <c r="T392" s="31"/>
      <c r="U392" s="40"/>
      <c r="V392" s="31"/>
      <c r="W392" s="31"/>
      <c r="X392" s="31"/>
      <c r="Y392" s="31"/>
      <c r="Z392" s="31"/>
      <c r="AA392" s="31"/>
      <c r="AB392" s="31"/>
      <c r="AC392" s="31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>
        <v>30</v>
      </c>
      <c r="AP392" s="46"/>
      <c r="AQ392" s="46"/>
      <c r="AR392" s="46"/>
      <c r="AS392" s="46"/>
      <c r="AT392" s="46"/>
      <c r="AU392" s="46"/>
      <c r="AV392" s="46"/>
      <c r="AW392" s="46"/>
      <c r="AX392" s="46"/>
      <c r="AY392" s="55">
        <f t="shared" si="65"/>
        <v>30</v>
      </c>
      <c r="AZ392" s="56"/>
      <c r="BA392" s="57"/>
      <c r="BB392" s="57">
        <f>+'[1]25'!R695</f>
        <v>0</v>
      </c>
      <c r="BC392" s="57">
        <v>27</v>
      </c>
      <c r="BD392" s="57"/>
      <c r="BE392" s="57"/>
      <c r="BF392" s="57"/>
      <c r="BG392" s="57"/>
      <c r="BH392" s="57"/>
      <c r="BI392" s="55">
        <f t="shared" si="66"/>
        <v>27</v>
      </c>
      <c r="BJ392" s="69">
        <f t="shared" si="67"/>
        <v>3</v>
      </c>
      <c r="BK392" s="69">
        <f t="shared" si="64"/>
        <v>0</v>
      </c>
      <c r="BM392" s="75"/>
      <c r="BN392" s="57">
        <f t="shared" si="62"/>
        <v>0</v>
      </c>
      <c r="BO392" s="80"/>
      <c r="BP392" s="81">
        <v>2</v>
      </c>
      <c r="BQ392" s="81"/>
      <c r="BR392" s="81"/>
      <c r="BS392" s="81">
        <v>1</v>
      </c>
      <c r="BT392" s="81"/>
      <c r="BU392" s="81"/>
      <c r="BV392" s="81"/>
      <c r="BW392" s="81"/>
      <c r="BX392" s="81"/>
      <c r="BY392" s="81"/>
      <c r="BZ392" s="9">
        <f t="shared" si="63"/>
        <v>3</v>
      </c>
      <c r="CB392" s="3"/>
      <c r="CD392" s="10"/>
      <c r="CE392" s="95"/>
    </row>
    <row r="393" spans="1:83" s="2" customFormat="1" ht="19.5" thickBot="1" x14ac:dyDescent="0.35">
      <c r="A393" s="17">
        <v>418</v>
      </c>
      <c r="B393" s="135"/>
      <c r="C393" s="18" t="s">
        <v>86</v>
      </c>
      <c r="D393" s="19"/>
      <c r="E393" s="19"/>
      <c r="F393" s="19"/>
      <c r="G393" s="30"/>
      <c r="H393" s="31"/>
      <c r="I393" s="40"/>
      <c r="J393" s="31"/>
      <c r="K393" s="40"/>
      <c r="L393" s="31"/>
      <c r="M393" s="40"/>
      <c r="N393" s="31"/>
      <c r="O393" s="40"/>
      <c r="P393" s="31"/>
      <c r="Q393" s="40"/>
      <c r="R393" s="31"/>
      <c r="S393" s="31"/>
      <c r="T393" s="31"/>
      <c r="U393" s="40"/>
      <c r="V393" s="31"/>
      <c r="W393" s="31"/>
      <c r="X393" s="31"/>
      <c r="Y393" s="31"/>
      <c r="Z393" s="31"/>
      <c r="AA393" s="31"/>
      <c r="AB393" s="31"/>
      <c r="AC393" s="31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>
        <v>21</v>
      </c>
      <c r="AP393" s="46"/>
      <c r="AQ393" s="46"/>
      <c r="AR393" s="46"/>
      <c r="AS393" s="46"/>
      <c r="AT393" s="46"/>
      <c r="AU393" s="46"/>
      <c r="AV393" s="46"/>
      <c r="AW393" s="46"/>
      <c r="AX393" s="46"/>
      <c r="AY393" s="55">
        <f t="shared" si="65"/>
        <v>21</v>
      </c>
      <c r="AZ393" s="56"/>
      <c r="BA393" s="57"/>
      <c r="BB393" s="57">
        <f>+'[1]25'!R696</f>
        <v>0</v>
      </c>
      <c r="BC393" s="57">
        <v>14</v>
      </c>
      <c r="BD393" s="57"/>
      <c r="BE393" s="57"/>
      <c r="BF393" s="57"/>
      <c r="BG393" s="57"/>
      <c r="BH393" s="57"/>
      <c r="BI393" s="55">
        <f t="shared" si="66"/>
        <v>14</v>
      </c>
      <c r="BJ393" s="69">
        <f t="shared" si="67"/>
        <v>7</v>
      </c>
      <c r="BK393" s="69">
        <f t="shared" si="64"/>
        <v>0</v>
      </c>
      <c r="BM393" s="75"/>
      <c r="BN393" s="57">
        <f t="shared" si="62"/>
        <v>1</v>
      </c>
      <c r="BO393" s="80"/>
      <c r="BP393" s="81">
        <v>2</v>
      </c>
      <c r="BQ393" s="81">
        <v>1</v>
      </c>
      <c r="BR393" s="81">
        <v>2</v>
      </c>
      <c r="BS393" s="81">
        <v>1</v>
      </c>
      <c r="BT393" s="81"/>
      <c r="BU393" s="81"/>
      <c r="BV393" s="81"/>
      <c r="BW393" s="81"/>
      <c r="BX393" s="81"/>
      <c r="BY393" s="81"/>
      <c r="BZ393" s="9">
        <f t="shared" si="63"/>
        <v>6</v>
      </c>
      <c r="CB393" s="3"/>
      <c r="CD393" s="10"/>
      <c r="CE393" s="95"/>
    </row>
    <row r="394" spans="1:83" s="2" customFormat="1" ht="19.5" thickBot="1" x14ac:dyDescent="0.35">
      <c r="A394" s="17">
        <v>419</v>
      </c>
      <c r="B394" s="135"/>
      <c r="C394" s="18" t="s">
        <v>87</v>
      </c>
      <c r="D394" s="19"/>
      <c r="E394" s="19"/>
      <c r="F394" s="19"/>
      <c r="G394" s="30"/>
      <c r="H394" s="31"/>
      <c r="I394" s="40"/>
      <c r="J394" s="31"/>
      <c r="K394" s="40"/>
      <c r="L394" s="31"/>
      <c r="M394" s="40"/>
      <c r="N394" s="31"/>
      <c r="O394" s="40"/>
      <c r="P394" s="31"/>
      <c r="Q394" s="40"/>
      <c r="R394" s="31"/>
      <c r="S394" s="31"/>
      <c r="T394" s="31"/>
      <c r="U394" s="40"/>
      <c r="V394" s="31"/>
      <c r="W394" s="31"/>
      <c r="X394" s="31"/>
      <c r="Y394" s="31"/>
      <c r="Z394" s="31"/>
      <c r="AA394" s="31"/>
      <c r="AB394" s="31"/>
      <c r="AC394" s="31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>
        <v>12</v>
      </c>
      <c r="AP394" s="46"/>
      <c r="AQ394" s="46"/>
      <c r="AR394" s="46"/>
      <c r="AS394" s="46"/>
      <c r="AT394" s="46"/>
      <c r="AU394" s="46"/>
      <c r="AV394" s="46"/>
      <c r="AW394" s="46"/>
      <c r="AX394" s="46"/>
      <c r="AY394" s="55">
        <f t="shared" si="65"/>
        <v>12</v>
      </c>
      <c r="AZ394" s="56"/>
      <c r="BA394" s="57"/>
      <c r="BB394" s="57">
        <f>+'[1]25'!R697</f>
        <v>0</v>
      </c>
      <c r="BC394" s="57">
        <v>8</v>
      </c>
      <c r="BD394" s="57"/>
      <c r="BE394" s="57"/>
      <c r="BF394" s="57"/>
      <c r="BG394" s="57"/>
      <c r="BH394" s="57"/>
      <c r="BI394" s="55">
        <f t="shared" si="66"/>
        <v>8</v>
      </c>
      <c r="BJ394" s="69">
        <f t="shared" si="67"/>
        <v>4</v>
      </c>
      <c r="BK394" s="69">
        <f t="shared" si="64"/>
        <v>0</v>
      </c>
      <c r="BM394" s="75"/>
      <c r="BN394" s="57">
        <f t="shared" si="62"/>
        <v>1</v>
      </c>
      <c r="BO394" s="80"/>
      <c r="BP394" s="81">
        <v>2</v>
      </c>
      <c r="BQ394" s="81"/>
      <c r="BR394" s="81">
        <v>1</v>
      </c>
      <c r="BS394" s="81"/>
      <c r="BT394" s="81"/>
      <c r="BU394" s="81"/>
      <c r="BV394" s="81"/>
      <c r="BW394" s="81"/>
      <c r="BX394" s="81"/>
      <c r="BY394" s="81"/>
      <c r="BZ394" s="9">
        <f t="shared" si="63"/>
        <v>3</v>
      </c>
      <c r="CB394" s="3"/>
      <c r="CD394" s="10"/>
      <c r="CE394" s="95"/>
    </row>
    <row r="395" spans="1:83" s="2" customFormat="1" ht="19.5" thickBot="1" x14ac:dyDescent="0.35">
      <c r="A395" s="17">
        <v>420</v>
      </c>
      <c r="B395" s="135"/>
      <c r="C395" s="20" t="s">
        <v>88</v>
      </c>
      <c r="D395" s="21"/>
      <c r="E395" s="21"/>
      <c r="F395" s="21"/>
      <c r="G395" s="32"/>
      <c r="H395" s="33"/>
      <c r="I395" s="41"/>
      <c r="J395" s="33"/>
      <c r="K395" s="41"/>
      <c r="L395" s="33"/>
      <c r="M395" s="41"/>
      <c r="N395" s="33"/>
      <c r="O395" s="41"/>
      <c r="P395" s="33"/>
      <c r="Q395" s="41"/>
      <c r="R395" s="33"/>
      <c r="S395" s="33"/>
      <c r="T395" s="33"/>
      <c r="U395" s="41"/>
      <c r="V395" s="33"/>
      <c r="W395" s="33"/>
      <c r="X395" s="33"/>
      <c r="Y395" s="33"/>
      <c r="Z395" s="33"/>
      <c r="AA395" s="33"/>
      <c r="AB395" s="33"/>
      <c r="AC395" s="33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>
        <v>3</v>
      </c>
      <c r="AP395" s="47"/>
      <c r="AQ395" s="47"/>
      <c r="AR395" s="47"/>
      <c r="AS395" s="47"/>
      <c r="AT395" s="47"/>
      <c r="AU395" s="47"/>
      <c r="AV395" s="47"/>
      <c r="AW395" s="47"/>
      <c r="AX395" s="47"/>
      <c r="AY395" s="55">
        <f t="shared" si="65"/>
        <v>3</v>
      </c>
      <c r="AZ395" s="59"/>
      <c r="BA395" s="60"/>
      <c r="BB395" s="60">
        <f>+'[1]25'!R698</f>
        <v>0</v>
      </c>
      <c r="BC395" s="60">
        <v>2</v>
      </c>
      <c r="BD395" s="60"/>
      <c r="BE395" s="60"/>
      <c r="BF395" s="60"/>
      <c r="BG395" s="60"/>
      <c r="BH395" s="60"/>
      <c r="BI395" s="58">
        <f t="shared" si="66"/>
        <v>2</v>
      </c>
      <c r="BJ395" s="70">
        <f t="shared" si="67"/>
        <v>1</v>
      </c>
      <c r="BK395" s="70">
        <f t="shared" si="64"/>
        <v>0</v>
      </c>
      <c r="BL395" s="76"/>
      <c r="BM395" s="77"/>
      <c r="BN395" s="60">
        <f t="shared" si="62"/>
        <v>0</v>
      </c>
      <c r="BO395" s="82"/>
      <c r="BP395" s="83">
        <v>1</v>
      </c>
      <c r="BQ395" s="83"/>
      <c r="BR395" s="83"/>
      <c r="BS395" s="83"/>
      <c r="BT395" s="83"/>
      <c r="BU395" s="83"/>
      <c r="BV395" s="83"/>
      <c r="BW395" s="83"/>
      <c r="BX395" s="83"/>
      <c r="BY395" s="83"/>
      <c r="BZ395" s="9">
        <f t="shared" si="63"/>
        <v>1</v>
      </c>
      <c r="CB395" s="3"/>
      <c r="CD395" s="10"/>
      <c r="CE395" s="95"/>
    </row>
    <row r="396" spans="1:83" s="2" customFormat="1" ht="19.5" thickBot="1" x14ac:dyDescent="0.35">
      <c r="A396" s="17">
        <v>421</v>
      </c>
      <c r="B396" s="134" t="s">
        <v>144</v>
      </c>
      <c r="C396" s="18" t="s">
        <v>80</v>
      </c>
      <c r="D396" s="19"/>
      <c r="E396" s="19"/>
      <c r="F396" s="19"/>
      <c r="G396" s="30"/>
      <c r="H396" s="31"/>
      <c r="I396" s="40"/>
      <c r="J396" s="31"/>
      <c r="K396" s="40"/>
      <c r="L396" s="31"/>
      <c r="M396" s="40"/>
      <c r="N396" s="31"/>
      <c r="O396" s="40"/>
      <c r="P396" s="31"/>
      <c r="Q396" s="40"/>
      <c r="R396" s="31"/>
      <c r="S396" s="31"/>
      <c r="T396" s="31"/>
      <c r="U396" s="40"/>
      <c r="V396" s="31"/>
      <c r="W396" s="31"/>
      <c r="X396" s="31"/>
      <c r="Y396" s="31"/>
      <c r="Z396" s="31"/>
      <c r="AA396" s="31"/>
      <c r="AB396" s="31"/>
      <c r="AC396" s="31">
        <v>9</v>
      </c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55">
        <f t="shared" si="65"/>
        <v>9</v>
      </c>
      <c r="AZ396" s="56">
        <v>0</v>
      </c>
      <c r="BA396" s="57">
        <v>0</v>
      </c>
      <c r="BB396" s="57">
        <f>+'[1]25'!R699</f>
        <v>3</v>
      </c>
      <c r="BC396" s="57">
        <v>3</v>
      </c>
      <c r="BD396" s="57"/>
      <c r="BE396" s="57"/>
      <c r="BF396" s="57"/>
      <c r="BG396" s="57"/>
      <c r="BH396" s="57"/>
      <c r="BI396" s="55">
        <f t="shared" si="66"/>
        <v>6</v>
      </c>
      <c r="BJ396" s="69">
        <f t="shared" si="67"/>
        <v>3</v>
      </c>
      <c r="BK396" s="69">
        <f t="shared" si="64"/>
        <v>0</v>
      </c>
      <c r="BM396" s="75"/>
      <c r="BN396" s="57">
        <f t="shared" si="62"/>
        <v>0</v>
      </c>
      <c r="BO396" s="80"/>
      <c r="BP396" s="81">
        <v>2</v>
      </c>
      <c r="BQ396" s="81">
        <v>1</v>
      </c>
      <c r="BR396" s="81"/>
      <c r="BS396" s="81"/>
      <c r="BT396" s="81"/>
      <c r="BU396" s="81"/>
      <c r="BV396" s="81"/>
      <c r="BW396" s="81"/>
      <c r="BX396" s="81"/>
      <c r="BY396" s="81"/>
      <c r="BZ396" s="9">
        <f t="shared" si="63"/>
        <v>3</v>
      </c>
      <c r="CB396" s="3"/>
      <c r="CD396" s="10"/>
      <c r="CE396" s="95"/>
    </row>
    <row r="397" spans="1:83" s="2" customFormat="1" ht="19.5" thickBot="1" x14ac:dyDescent="0.35">
      <c r="A397" s="17">
        <v>422</v>
      </c>
      <c r="B397" s="135"/>
      <c r="C397" s="18" t="s">
        <v>61</v>
      </c>
      <c r="D397" s="19"/>
      <c r="E397" s="19"/>
      <c r="F397" s="19"/>
      <c r="G397" s="30"/>
      <c r="H397" s="31"/>
      <c r="I397" s="40"/>
      <c r="J397" s="31"/>
      <c r="K397" s="40"/>
      <c r="L397" s="31"/>
      <c r="M397" s="40"/>
      <c r="N397" s="31"/>
      <c r="O397" s="40"/>
      <c r="P397" s="31"/>
      <c r="Q397" s="40"/>
      <c r="R397" s="31"/>
      <c r="S397" s="31"/>
      <c r="T397" s="31"/>
      <c r="U397" s="40"/>
      <c r="V397" s="31"/>
      <c r="W397" s="31"/>
      <c r="X397" s="31"/>
      <c r="Y397" s="31"/>
      <c r="Z397" s="31"/>
      <c r="AA397" s="31"/>
      <c r="AB397" s="31"/>
      <c r="AC397" s="31">
        <v>9</v>
      </c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>
        <v>9</v>
      </c>
      <c r="AT397" s="46"/>
      <c r="AU397" s="46"/>
      <c r="AV397" s="46"/>
      <c r="AW397" s="46"/>
      <c r="AX397" s="46"/>
      <c r="AY397" s="55">
        <f t="shared" si="65"/>
        <v>18</v>
      </c>
      <c r="AZ397" s="56">
        <v>0</v>
      </c>
      <c r="BA397" s="57">
        <v>0</v>
      </c>
      <c r="BB397" s="57">
        <f>+'[1]25'!R700</f>
        <v>8</v>
      </c>
      <c r="BC397" s="57"/>
      <c r="BD397" s="57"/>
      <c r="BE397" s="57"/>
      <c r="BF397" s="57"/>
      <c r="BG397" s="57"/>
      <c r="BH397" s="57"/>
      <c r="BI397" s="55">
        <f t="shared" si="66"/>
        <v>8</v>
      </c>
      <c r="BJ397" s="69">
        <f t="shared" si="67"/>
        <v>10</v>
      </c>
      <c r="BK397" s="69">
        <f t="shared" si="64"/>
        <v>0</v>
      </c>
      <c r="BM397" s="75"/>
      <c r="BN397" s="57">
        <f t="shared" si="62"/>
        <v>9</v>
      </c>
      <c r="BO397" s="80"/>
      <c r="BP397" s="81"/>
      <c r="BQ397" s="81"/>
      <c r="BR397" s="81">
        <v>1</v>
      </c>
      <c r="BS397" s="81"/>
      <c r="BT397" s="81"/>
      <c r="BU397" s="81"/>
      <c r="BV397" s="81"/>
      <c r="BW397" s="81"/>
      <c r="BX397" s="81"/>
      <c r="BY397" s="81"/>
      <c r="BZ397" s="9">
        <f t="shared" si="63"/>
        <v>1</v>
      </c>
      <c r="CB397" s="3"/>
      <c r="CD397" s="10"/>
      <c r="CE397" s="95"/>
    </row>
    <row r="398" spans="1:83" s="2" customFormat="1" ht="19.5" thickBot="1" x14ac:dyDescent="0.35">
      <c r="A398" s="17">
        <v>423</v>
      </c>
      <c r="B398" s="135"/>
      <c r="C398" s="18" t="s">
        <v>62</v>
      </c>
      <c r="D398" s="19"/>
      <c r="E398" s="19"/>
      <c r="F398" s="19"/>
      <c r="G398" s="30"/>
      <c r="H398" s="31"/>
      <c r="I398" s="40"/>
      <c r="J398" s="31"/>
      <c r="K398" s="40"/>
      <c r="L398" s="31"/>
      <c r="M398" s="40"/>
      <c r="N398" s="31"/>
      <c r="O398" s="40"/>
      <c r="P398" s="31"/>
      <c r="Q398" s="40"/>
      <c r="R398" s="31"/>
      <c r="S398" s="31"/>
      <c r="T398" s="31"/>
      <c r="U398" s="40"/>
      <c r="V398" s="31"/>
      <c r="W398" s="31"/>
      <c r="X398" s="31"/>
      <c r="Y398" s="31"/>
      <c r="Z398" s="31"/>
      <c r="AA398" s="31"/>
      <c r="AB398" s="31"/>
      <c r="AC398" s="31">
        <v>12</v>
      </c>
      <c r="AD398" s="46"/>
      <c r="AE398" s="46"/>
      <c r="AF398" s="46"/>
      <c r="AG398" s="46"/>
      <c r="AH398" s="46"/>
      <c r="AI398" s="46"/>
      <c r="AJ398" s="46"/>
      <c r="AK398" s="46">
        <v>6</v>
      </c>
      <c r="AL398" s="46"/>
      <c r="AM398" s="46"/>
      <c r="AN398" s="46"/>
      <c r="AO398" s="46"/>
      <c r="AP398" s="46"/>
      <c r="AQ398" s="46"/>
      <c r="AR398" s="46"/>
      <c r="AS398" s="46">
        <v>12</v>
      </c>
      <c r="AT398" s="46"/>
      <c r="AU398" s="46"/>
      <c r="AV398" s="46"/>
      <c r="AW398" s="46"/>
      <c r="AX398" s="46"/>
      <c r="AY398" s="55">
        <f t="shared" si="65"/>
        <v>30</v>
      </c>
      <c r="AZ398" s="56">
        <v>0</v>
      </c>
      <c r="BA398" s="57">
        <v>0</v>
      </c>
      <c r="BB398" s="57">
        <f>+'[1]25'!R701</f>
        <v>11</v>
      </c>
      <c r="BC398" s="57">
        <v>4</v>
      </c>
      <c r="BD398" s="57"/>
      <c r="BE398" s="57"/>
      <c r="BF398" s="57"/>
      <c r="BG398" s="57"/>
      <c r="BH398" s="57"/>
      <c r="BI398" s="55">
        <f t="shared" si="66"/>
        <v>15</v>
      </c>
      <c r="BJ398" s="69">
        <f t="shared" si="67"/>
        <v>15</v>
      </c>
      <c r="BK398" s="69">
        <f t="shared" si="64"/>
        <v>0</v>
      </c>
      <c r="BM398" s="75"/>
      <c r="BN398" s="57">
        <f t="shared" si="62"/>
        <v>13</v>
      </c>
      <c r="BO398" s="80"/>
      <c r="BP398" s="81">
        <v>1</v>
      </c>
      <c r="BQ398" s="81">
        <v>1</v>
      </c>
      <c r="BR398" s="81"/>
      <c r="BS398" s="81"/>
      <c r="BT398" s="81"/>
      <c r="BU398" s="81"/>
      <c r="BV398" s="81"/>
      <c r="BW398" s="81"/>
      <c r="BX398" s="81"/>
      <c r="BY398" s="81"/>
      <c r="BZ398" s="9">
        <f t="shared" si="63"/>
        <v>2</v>
      </c>
      <c r="CB398" s="3"/>
      <c r="CD398" s="10"/>
      <c r="CE398" s="95"/>
    </row>
    <row r="399" spans="1:83" s="2" customFormat="1" ht="19.5" thickBot="1" x14ac:dyDescent="0.35">
      <c r="A399" s="17">
        <v>424</v>
      </c>
      <c r="B399" s="135"/>
      <c r="C399" s="18" t="s">
        <v>63</v>
      </c>
      <c r="D399" s="19"/>
      <c r="E399" s="19"/>
      <c r="F399" s="19"/>
      <c r="G399" s="30"/>
      <c r="H399" s="31"/>
      <c r="I399" s="40"/>
      <c r="J399" s="31"/>
      <c r="K399" s="40"/>
      <c r="L399" s="31"/>
      <c r="M399" s="40"/>
      <c r="N399" s="31"/>
      <c r="O399" s="40"/>
      <c r="P399" s="31"/>
      <c r="Q399" s="40"/>
      <c r="R399" s="31"/>
      <c r="S399" s="31"/>
      <c r="T399" s="31"/>
      <c r="U399" s="40"/>
      <c r="V399" s="31"/>
      <c r="W399" s="31"/>
      <c r="X399" s="31"/>
      <c r="Y399" s="31"/>
      <c r="Z399" s="31"/>
      <c r="AA399" s="31"/>
      <c r="AB399" s="31"/>
      <c r="AC399" s="31">
        <v>18</v>
      </c>
      <c r="AD399" s="46"/>
      <c r="AE399" s="46"/>
      <c r="AF399" s="46"/>
      <c r="AG399" s="46"/>
      <c r="AH399" s="46"/>
      <c r="AI399" s="46"/>
      <c r="AJ399" s="46"/>
      <c r="AK399" s="46">
        <v>15</v>
      </c>
      <c r="AL399" s="46"/>
      <c r="AM399" s="46"/>
      <c r="AN399" s="46"/>
      <c r="AO399" s="46"/>
      <c r="AP399" s="46"/>
      <c r="AQ399" s="46"/>
      <c r="AR399" s="46"/>
      <c r="AS399" s="46">
        <v>18</v>
      </c>
      <c r="AT399" s="46"/>
      <c r="AU399" s="46"/>
      <c r="AV399" s="46"/>
      <c r="AW399" s="46"/>
      <c r="AX399" s="46"/>
      <c r="AY399" s="55">
        <f t="shared" si="65"/>
        <v>51</v>
      </c>
      <c r="AZ399" s="56">
        <v>0</v>
      </c>
      <c r="BA399" s="57">
        <v>0</v>
      </c>
      <c r="BB399" s="57">
        <f>+'[1]25'!R702</f>
        <v>19</v>
      </c>
      <c r="BC399" s="57">
        <v>13</v>
      </c>
      <c r="BD399" s="57"/>
      <c r="BE399" s="57"/>
      <c r="BF399" s="57"/>
      <c r="BG399" s="57"/>
      <c r="BH399" s="57"/>
      <c r="BI399" s="55">
        <f t="shared" si="66"/>
        <v>32</v>
      </c>
      <c r="BJ399" s="69">
        <f t="shared" si="67"/>
        <v>19</v>
      </c>
      <c r="BK399" s="69">
        <f t="shared" si="64"/>
        <v>0</v>
      </c>
      <c r="BM399" s="75"/>
      <c r="BN399" s="57">
        <f t="shared" si="62"/>
        <v>17</v>
      </c>
      <c r="BO399" s="80"/>
      <c r="BP399" s="81"/>
      <c r="BQ399" s="81">
        <v>1</v>
      </c>
      <c r="BR399" s="81"/>
      <c r="BS399" s="81">
        <v>1</v>
      </c>
      <c r="BT399" s="81"/>
      <c r="BU399" s="81"/>
      <c r="BV399" s="81"/>
      <c r="BW399" s="81"/>
      <c r="BX399" s="81"/>
      <c r="BY399" s="81"/>
      <c r="BZ399" s="9">
        <f t="shared" si="63"/>
        <v>2</v>
      </c>
      <c r="CB399" s="3"/>
      <c r="CD399" s="10"/>
      <c r="CE399" s="95"/>
    </row>
    <row r="400" spans="1:83" s="2" customFormat="1" ht="19.5" thickBot="1" x14ac:dyDescent="0.35">
      <c r="A400" s="17">
        <v>425</v>
      </c>
      <c r="B400" s="135"/>
      <c r="C400" s="18" t="s">
        <v>64</v>
      </c>
      <c r="D400" s="19"/>
      <c r="E400" s="19"/>
      <c r="F400" s="19"/>
      <c r="G400" s="30"/>
      <c r="H400" s="31"/>
      <c r="I400" s="40"/>
      <c r="J400" s="31"/>
      <c r="K400" s="40"/>
      <c r="L400" s="31"/>
      <c r="M400" s="40"/>
      <c r="N400" s="31"/>
      <c r="O400" s="40"/>
      <c r="P400" s="31"/>
      <c r="Q400" s="40"/>
      <c r="R400" s="31"/>
      <c r="S400" s="31"/>
      <c r="T400" s="31"/>
      <c r="U400" s="40"/>
      <c r="V400" s="31"/>
      <c r="W400" s="31"/>
      <c r="X400" s="31"/>
      <c r="Y400" s="31"/>
      <c r="Z400" s="31"/>
      <c r="AA400" s="31"/>
      <c r="AB400" s="31"/>
      <c r="AC400" s="31">
        <v>30</v>
      </c>
      <c r="AD400" s="46"/>
      <c r="AE400" s="46"/>
      <c r="AF400" s="46"/>
      <c r="AG400" s="46"/>
      <c r="AH400" s="46"/>
      <c r="AI400" s="46"/>
      <c r="AJ400" s="46"/>
      <c r="AK400" s="46">
        <v>18</v>
      </c>
      <c r="AL400" s="46"/>
      <c r="AM400" s="46"/>
      <c r="AN400" s="46"/>
      <c r="AO400" s="46"/>
      <c r="AP400" s="46"/>
      <c r="AQ400" s="46"/>
      <c r="AR400" s="46"/>
      <c r="AS400" s="46">
        <v>33</v>
      </c>
      <c r="AT400" s="46"/>
      <c r="AU400" s="46"/>
      <c r="AV400" s="46"/>
      <c r="AW400" s="46"/>
      <c r="AX400" s="46"/>
      <c r="AY400" s="55">
        <f t="shared" si="65"/>
        <v>81</v>
      </c>
      <c r="AZ400" s="56">
        <v>0</v>
      </c>
      <c r="BA400" s="57">
        <v>0</v>
      </c>
      <c r="BB400" s="57">
        <f>+'[1]25'!R703</f>
        <v>31</v>
      </c>
      <c r="BC400" s="57">
        <v>12</v>
      </c>
      <c r="BD400" s="57"/>
      <c r="BE400" s="57"/>
      <c r="BF400" s="57"/>
      <c r="BG400" s="57"/>
      <c r="BH400" s="57"/>
      <c r="BI400" s="55">
        <f t="shared" si="66"/>
        <v>43</v>
      </c>
      <c r="BJ400" s="69">
        <f t="shared" si="67"/>
        <v>38</v>
      </c>
      <c r="BK400" s="69">
        <f t="shared" si="64"/>
        <v>0</v>
      </c>
      <c r="BM400" s="75"/>
      <c r="BN400" s="57">
        <f t="shared" si="62"/>
        <v>34</v>
      </c>
      <c r="BO400" s="80"/>
      <c r="BP400" s="81">
        <v>1</v>
      </c>
      <c r="BQ400" s="81">
        <v>1</v>
      </c>
      <c r="BR400" s="81"/>
      <c r="BS400" s="81">
        <v>1</v>
      </c>
      <c r="BT400" s="81">
        <v>1</v>
      </c>
      <c r="BU400" s="81"/>
      <c r="BV400" s="81"/>
      <c r="BW400" s="81"/>
      <c r="BX400" s="81"/>
      <c r="BY400" s="81"/>
      <c r="BZ400" s="9">
        <f t="shared" si="63"/>
        <v>4</v>
      </c>
      <c r="CB400" s="3"/>
      <c r="CD400" s="10"/>
      <c r="CE400" s="95"/>
    </row>
    <row r="401" spans="1:83" s="2" customFormat="1" ht="19.5" thickBot="1" x14ac:dyDescent="0.35">
      <c r="A401" s="17">
        <v>426</v>
      </c>
      <c r="B401" s="135"/>
      <c r="C401" s="18" t="s">
        <v>65</v>
      </c>
      <c r="D401" s="19"/>
      <c r="E401" s="19"/>
      <c r="F401" s="19"/>
      <c r="G401" s="30"/>
      <c r="H401" s="31"/>
      <c r="I401" s="40"/>
      <c r="J401" s="31"/>
      <c r="K401" s="40"/>
      <c r="L401" s="31"/>
      <c r="M401" s="40"/>
      <c r="N401" s="31"/>
      <c r="O401" s="40"/>
      <c r="P401" s="31"/>
      <c r="Q401" s="40"/>
      <c r="R401" s="31"/>
      <c r="S401" s="31"/>
      <c r="T401" s="31"/>
      <c r="U401" s="40"/>
      <c r="V401" s="31"/>
      <c r="W401" s="31"/>
      <c r="X401" s="31"/>
      <c r="Y401" s="31"/>
      <c r="Z401" s="31"/>
      <c r="AA401" s="31"/>
      <c r="AB401" s="31"/>
      <c r="AC401" s="31">
        <v>30</v>
      </c>
      <c r="AD401" s="46"/>
      <c r="AE401" s="46"/>
      <c r="AF401" s="46"/>
      <c r="AG401" s="46"/>
      <c r="AH401" s="46"/>
      <c r="AI401" s="46"/>
      <c r="AJ401" s="46"/>
      <c r="AK401" s="46">
        <v>21</v>
      </c>
      <c r="AL401" s="46"/>
      <c r="AM401" s="46"/>
      <c r="AN401" s="46"/>
      <c r="AO401" s="46"/>
      <c r="AP401" s="46"/>
      <c r="AQ401" s="46"/>
      <c r="AR401" s="46"/>
      <c r="AS401" s="46">
        <v>33</v>
      </c>
      <c r="AT401" s="46"/>
      <c r="AU401" s="46"/>
      <c r="AV401" s="46"/>
      <c r="AW401" s="46"/>
      <c r="AX401" s="46"/>
      <c r="AY401" s="55">
        <f t="shared" si="65"/>
        <v>84</v>
      </c>
      <c r="AZ401" s="56">
        <v>0</v>
      </c>
      <c r="BA401" s="57">
        <v>0</v>
      </c>
      <c r="BB401" s="57">
        <f>+'[1]25'!R704</f>
        <v>32</v>
      </c>
      <c r="BC401" s="57">
        <v>15</v>
      </c>
      <c r="BD401" s="57"/>
      <c r="BE401" s="57"/>
      <c r="BF401" s="57"/>
      <c r="BG401" s="57"/>
      <c r="BH401" s="57"/>
      <c r="BI401" s="55">
        <f t="shared" si="66"/>
        <v>47</v>
      </c>
      <c r="BJ401" s="69">
        <f t="shared" si="67"/>
        <v>37</v>
      </c>
      <c r="BK401" s="69">
        <f t="shared" si="64"/>
        <v>0</v>
      </c>
      <c r="BM401" s="75"/>
      <c r="BN401" s="57">
        <f t="shared" si="62"/>
        <v>34</v>
      </c>
      <c r="BO401" s="80"/>
      <c r="BP401" s="81">
        <v>2</v>
      </c>
      <c r="BQ401" s="81">
        <v>1</v>
      </c>
      <c r="BR401" s="81"/>
      <c r="BS401" s="81"/>
      <c r="BT401" s="81"/>
      <c r="BU401" s="81"/>
      <c r="BV401" s="81"/>
      <c r="BW401" s="81"/>
      <c r="BX401" s="81"/>
      <c r="BY401" s="81"/>
      <c r="BZ401" s="9">
        <f t="shared" si="63"/>
        <v>3</v>
      </c>
      <c r="CB401" s="3"/>
      <c r="CD401" s="10"/>
      <c r="CE401" s="95"/>
    </row>
    <row r="402" spans="1:83" s="2" customFormat="1" ht="19.5" thickBot="1" x14ac:dyDescent="0.35">
      <c r="A402" s="17">
        <v>427</v>
      </c>
      <c r="B402" s="135"/>
      <c r="C402" s="18" t="s">
        <v>66</v>
      </c>
      <c r="D402" s="19"/>
      <c r="E402" s="19"/>
      <c r="F402" s="19"/>
      <c r="G402" s="30"/>
      <c r="H402" s="31"/>
      <c r="I402" s="40"/>
      <c r="J402" s="31"/>
      <c r="K402" s="40"/>
      <c r="L402" s="31"/>
      <c r="M402" s="40"/>
      <c r="N402" s="31"/>
      <c r="O402" s="40"/>
      <c r="P402" s="31"/>
      <c r="Q402" s="40"/>
      <c r="R402" s="31"/>
      <c r="S402" s="31"/>
      <c r="T402" s="31"/>
      <c r="U402" s="40"/>
      <c r="V402" s="31"/>
      <c r="W402" s="31"/>
      <c r="X402" s="31"/>
      <c r="Y402" s="31"/>
      <c r="Z402" s="31"/>
      <c r="AA402" s="31"/>
      <c r="AB402" s="31"/>
      <c r="AC402" s="31">
        <v>18</v>
      </c>
      <c r="AD402" s="46"/>
      <c r="AE402" s="46"/>
      <c r="AF402" s="46"/>
      <c r="AG402" s="46"/>
      <c r="AH402" s="46"/>
      <c r="AI402" s="46"/>
      <c r="AJ402" s="46"/>
      <c r="AK402" s="46">
        <v>24</v>
      </c>
      <c r="AL402" s="46"/>
      <c r="AM402" s="46"/>
      <c r="AN402" s="46"/>
      <c r="AO402" s="46"/>
      <c r="AP402" s="46"/>
      <c r="AQ402" s="46"/>
      <c r="AR402" s="46"/>
      <c r="AS402" s="46">
        <v>18</v>
      </c>
      <c r="AT402" s="46"/>
      <c r="AU402" s="46"/>
      <c r="AV402" s="46"/>
      <c r="AW402" s="46"/>
      <c r="AX402" s="46"/>
      <c r="AY402" s="55">
        <f t="shared" si="65"/>
        <v>60</v>
      </c>
      <c r="AZ402" s="56">
        <v>0</v>
      </c>
      <c r="BA402" s="57">
        <v>0</v>
      </c>
      <c r="BB402" s="57">
        <f>+'[1]25'!R705</f>
        <v>20</v>
      </c>
      <c r="BC402" s="57">
        <v>15</v>
      </c>
      <c r="BD402" s="57"/>
      <c r="BE402" s="57"/>
      <c r="BF402" s="57"/>
      <c r="BG402" s="57"/>
      <c r="BH402" s="57"/>
      <c r="BI402" s="55">
        <f t="shared" si="66"/>
        <v>35</v>
      </c>
      <c r="BJ402" s="69">
        <f t="shared" si="67"/>
        <v>25</v>
      </c>
      <c r="BK402" s="69">
        <f t="shared" si="64"/>
        <v>0</v>
      </c>
      <c r="BM402" s="75"/>
      <c r="BN402" s="57">
        <f t="shared" si="62"/>
        <v>20</v>
      </c>
      <c r="BO402" s="80"/>
      <c r="BP402" s="81">
        <v>2</v>
      </c>
      <c r="BQ402" s="81">
        <v>1</v>
      </c>
      <c r="BR402" s="81"/>
      <c r="BS402" s="81">
        <v>1</v>
      </c>
      <c r="BT402" s="81">
        <v>1</v>
      </c>
      <c r="BU402" s="81"/>
      <c r="BV402" s="81"/>
      <c r="BW402" s="81"/>
      <c r="BX402" s="81"/>
      <c r="BY402" s="81"/>
      <c r="BZ402" s="9">
        <f t="shared" si="63"/>
        <v>5</v>
      </c>
      <c r="CB402" s="3"/>
      <c r="CD402" s="10"/>
      <c r="CE402" s="95"/>
    </row>
    <row r="403" spans="1:83" s="2" customFormat="1" ht="19.5" thickBot="1" x14ac:dyDescent="0.35">
      <c r="A403" s="17">
        <v>428</v>
      </c>
      <c r="B403" s="135"/>
      <c r="C403" s="18" t="s">
        <v>67</v>
      </c>
      <c r="D403" s="19"/>
      <c r="E403" s="19"/>
      <c r="F403" s="19"/>
      <c r="G403" s="30"/>
      <c r="H403" s="31"/>
      <c r="I403" s="40"/>
      <c r="J403" s="31"/>
      <c r="K403" s="40"/>
      <c r="L403" s="31"/>
      <c r="M403" s="40"/>
      <c r="N403" s="31"/>
      <c r="O403" s="40"/>
      <c r="P403" s="31"/>
      <c r="Q403" s="40"/>
      <c r="R403" s="31"/>
      <c r="S403" s="31"/>
      <c r="T403" s="31"/>
      <c r="U403" s="40"/>
      <c r="V403" s="31"/>
      <c r="W403" s="31"/>
      <c r="X403" s="31"/>
      <c r="Y403" s="31"/>
      <c r="Z403" s="31"/>
      <c r="AA403" s="31"/>
      <c r="AB403" s="31"/>
      <c r="AC403" s="31">
        <v>15</v>
      </c>
      <c r="AD403" s="46"/>
      <c r="AE403" s="46"/>
      <c r="AF403" s="46"/>
      <c r="AG403" s="46"/>
      <c r="AH403" s="46"/>
      <c r="AI403" s="46"/>
      <c r="AJ403" s="46"/>
      <c r="AK403" s="46">
        <v>12</v>
      </c>
      <c r="AL403" s="46"/>
      <c r="AM403" s="46"/>
      <c r="AN403" s="46"/>
      <c r="AO403" s="46"/>
      <c r="AP403" s="46"/>
      <c r="AQ403" s="46"/>
      <c r="AR403" s="46"/>
      <c r="AS403" s="46">
        <v>18</v>
      </c>
      <c r="AT403" s="46"/>
      <c r="AU403" s="46"/>
      <c r="AV403" s="46"/>
      <c r="AW403" s="46"/>
      <c r="AX403" s="46"/>
      <c r="AY403" s="55">
        <f t="shared" si="65"/>
        <v>45</v>
      </c>
      <c r="AZ403" s="56">
        <v>0</v>
      </c>
      <c r="BA403" s="57">
        <v>0</v>
      </c>
      <c r="BB403" s="57">
        <f>+'[1]25'!R706</f>
        <v>16</v>
      </c>
      <c r="BC403" s="57">
        <v>7</v>
      </c>
      <c r="BD403" s="57"/>
      <c r="BE403" s="57"/>
      <c r="BF403" s="57"/>
      <c r="BG403" s="57"/>
      <c r="BH403" s="57"/>
      <c r="BI403" s="55">
        <f t="shared" si="66"/>
        <v>23</v>
      </c>
      <c r="BJ403" s="69">
        <f t="shared" si="67"/>
        <v>22</v>
      </c>
      <c r="BK403" s="69">
        <f t="shared" si="64"/>
        <v>0</v>
      </c>
      <c r="BM403" s="75"/>
      <c r="BN403" s="57">
        <f t="shared" si="62"/>
        <v>18</v>
      </c>
      <c r="BO403" s="80"/>
      <c r="BP403" s="81">
        <v>1</v>
      </c>
      <c r="BQ403" s="81">
        <v>1</v>
      </c>
      <c r="BR403" s="81">
        <v>1</v>
      </c>
      <c r="BS403" s="81">
        <v>1</v>
      </c>
      <c r="BT403" s="81"/>
      <c r="BU403" s="81"/>
      <c r="BV403" s="81"/>
      <c r="BW403" s="81"/>
      <c r="BX403" s="81"/>
      <c r="BY403" s="81"/>
      <c r="BZ403" s="9">
        <f t="shared" si="63"/>
        <v>4</v>
      </c>
      <c r="CB403" s="3"/>
      <c r="CD403" s="10"/>
      <c r="CE403" s="95"/>
    </row>
    <row r="404" spans="1:83" s="2" customFormat="1" ht="19.5" thickBot="1" x14ac:dyDescent="0.35">
      <c r="A404" s="17">
        <v>429</v>
      </c>
      <c r="B404" s="135"/>
      <c r="C404" s="18" t="s">
        <v>68</v>
      </c>
      <c r="D404" s="19"/>
      <c r="E404" s="19"/>
      <c r="F404" s="19"/>
      <c r="G404" s="30"/>
      <c r="H404" s="31"/>
      <c r="I404" s="40"/>
      <c r="J404" s="31"/>
      <c r="K404" s="40"/>
      <c r="L404" s="31"/>
      <c r="M404" s="40"/>
      <c r="N404" s="31"/>
      <c r="O404" s="40"/>
      <c r="P404" s="31"/>
      <c r="Q404" s="40"/>
      <c r="R404" s="31"/>
      <c r="S404" s="31"/>
      <c r="T404" s="31"/>
      <c r="U404" s="40"/>
      <c r="V404" s="31"/>
      <c r="W404" s="31"/>
      <c r="X404" s="31"/>
      <c r="Y404" s="31"/>
      <c r="Z404" s="31"/>
      <c r="AA404" s="31"/>
      <c r="AB404" s="31"/>
      <c r="AC404" s="31">
        <v>9</v>
      </c>
      <c r="AD404" s="46"/>
      <c r="AE404" s="46"/>
      <c r="AF404" s="46"/>
      <c r="AG404" s="46"/>
      <c r="AH404" s="46"/>
      <c r="AI404" s="46"/>
      <c r="AJ404" s="46"/>
      <c r="AK404" s="46">
        <v>6</v>
      </c>
      <c r="AL404" s="46"/>
      <c r="AM404" s="46"/>
      <c r="AN404" s="46"/>
      <c r="AO404" s="46"/>
      <c r="AP404" s="46"/>
      <c r="AQ404" s="46"/>
      <c r="AR404" s="46"/>
      <c r="AS404" s="46">
        <v>9</v>
      </c>
      <c r="AT404" s="46"/>
      <c r="AU404" s="46"/>
      <c r="AV404" s="46"/>
      <c r="AW404" s="46"/>
      <c r="AX404" s="46"/>
      <c r="AY404" s="55">
        <f t="shared" si="65"/>
        <v>24</v>
      </c>
      <c r="AZ404" s="56">
        <v>0</v>
      </c>
      <c r="BA404" s="57">
        <v>0</v>
      </c>
      <c r="BB404" s="57">
        <f>+'[1]25'!R707</f>
        <v>8</v>
      </c>
      <c r="BC404" s="57">
        <v>4</v>
      </c>
      <c r="BD404" s="57"/>
      <c r="BE404" s="57"/>
      <c r="BF404" s="57"/>
      <c r="BG404" s="57"/>
      <c r="BH404" s="57"/>
      <c r="BI404" s="55">
        <f t="shared" si="66"/>
        <v>12</v>
      </c>
      <c r="BJ404" s="69">
        <f t="shared" si="67"/>
        <v>12</v>
      </c>
      <c r="BK404" s="69">
        <f t="shared" si="64"/>
        <v>0</v>
      </c>
      <c r="BM404" s="75"/>
      <c r="BN404" s="57">
        <f t="shared" si="62"/>
        <v>12</v>
      </c>
      <c r="BO404" s="80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9">
        <f t="shared" si="63"/>
        <v>0</v>
      </c>
      <c r="CB404" s="3"/>
      <c r="CD404" s="10"/>
      <c r="CE404" s="95"/>
    </row>
    <row r="405" spans="1:83" s="2" customFormat="1" ht="19.5" thickBot="1" x14ac:dyDescent="0.35">
      <c r="A405" s="17">
        <v>430</v>
      </c>
      <c r="B405" s="135"/>
      <c r="C405" s="20" t="s">
        <v>69</v>
      </c>
      <c r="D405" s="21"/>
      <c r="E405" s="21"/>
      <c r="F405" s="21"/>
      <c r="G405" s="32"/>
      <c r="H405" s="33"/>
      <c r="I405" s="41"/>
      <c r="J405" s="33"/>
      <c r="K405" s="41"/>
      <c r="L405" s="33"/>
      <c r="M405" s="41"/>
      <c r="N405" s="33"/>
      <c r="O405" s="41"/>
      <c r="P405" s="33"/>
      <c r="Q405" s="41"/>
      <c r="R405" s="33"/>
      <c r="S405" s="33"/>
      <c r="T405" s="33"/>
      <c r="U405" s="41"/>
      <c r="V405" s="33"/>
      <c r="W405" s="33"/>
      <c r="X405" s="33"/>
      <c r="Y405" s="33"/>
      <c r="Z405" s="33"/>
      <c r="AA405" s="33"/>
      <c r="AB405" s="33"/>
      <c r="AC405" s="33">
        <v>6</v>
      </c>
      <c r="AD405" s="47"/>
      <c r="AE405" s="47"/>
      <c r="AF405" s="47"/>
      <c r="AG405" s="47"/>
      <c r="AH405" s="47"/>
      <c r="AI405" s="47"/>
      <c r="AJ405" s="47"/>
      <c r="AK405" s="47">
        <v>6</v>
      </c>
      <c r="AL405" s="47"/>
      <c r="AM405" s="47"/>
      <c r="AN405" s="47"/>
      <c r="AO405" s="47"/>
      <c r="AP405" s="47"/>
      <c r="AQ405" s="47"/>
      <c r="AR405" s="47"/>
      <c r="AS405" s="47">
        <v>6</v>
      </c>
      <c r="AT405" s="47"/>
      <c r="AU405" s="47"/>
      <c r="AV405" s="47"/>
      <c r="AW405" s="47"/>
      <c r="AX405" s="47"/>
      <c r="AY405" s="55">
        <f t="shared" si="65"/>
        <v>18</v>
      </c>
      <c r="AZ405" s="59">
        <v>0</v>
      </c>
      <c r="BA405" s="60">
        <v>0</v>
      </c>
      <c r="BB405" s="60">
        <f>+'[1]25'!R708</f>
        <v>7</v>
      </c>
      <c r="BC405" s="60">
        <v>1</v>
      </c>
      <c r="BD405" s="60"/>
      <c r="BE405" s="60"/>
      <c r="BF405" s="60"/>
      <c r="BG405" s="60"/>
      <c r="BH405" s="60"/>
      <c r="BI405" s="58">
        <f t="shared" si="66"/>
        <v>8</v>
      </c>
      <c r="BJ405" s="70">
        <f t="shared" si="67"/>
        <v>10</v>
      </c>
      <c r="BK405" s="70">
        <f t="shared" si="64"/>
        <v>0</v>
      </c>
      <c r="BL405" s="76"/>
      <c r="BM405" s="77"/>
      <c r="BN405" s="60">
        <f t="shared" si="62"/>
        <v>7</v>
      </c>
      <c r="BO405" s="82"/>
      <c r="BP405" s="83">
        <v>1</v>
      </c>
      <c r="BQ405" s="83"/>
      <c r="BR405" s="83">
        <v>1</v>
      </c>
      <c r="BS405" s="83"/>
      <c r="BT405" s="83">
        <v>1</v>
      </c>
      <c r="BU405" s="83"/>
      <c r="BV405" s="83"/>
      <c r="BW405" s="83"/>
      <c r="BX405" s="83"/>
      <c r="BY405" s="83"/>
      <c r="BZ405" s="9">
        <f t="shared" si="63"/>
        <v>3</v>
      </c>
      <c r="CB405" s="3"/>
      <c r="CD405" s="10"/>
      <c r="CE405" s="95"/>
    </row>
    <row r="406" spans="1:83" s="2" customFormat="1" ht="19.5" thickBot="1" x14ac:dyDescent="0.35">
      <c r="A406" s="17">
        <v>431</v>
      </c>
      <c r="B406" s="134" t="s">
        <v>145</v>
      </c>
      <c r="C406" s="18" t="s">
        <v>62</v>
      </c>
      <c r="D406" s="19"/>
      <c r="E406" s="19"/>
      <c r="F406" s="19"/>
      <c r="G406" s="30"/>
      <c r="H406" s="31"/>
      <c r="I406" s="40"/>
      <c r="J406" s="31"/>
      <c r="K406" s="40"/>
      <c r="L406" s="31"/>
      <c r="M406" s="40"/>
      <c r="N406" s="31"/>
      <c r="O406" s="40"/>
      <c r="P406" s="31"/>
      <c r="Q406" s="40"/>
      <c r="R406" s="31"/>
      <c r="S406" s="31"/>
      <c r="T406" s="31"/>
      <c r="U406" s="40"/>
      <c r="V406" s="31"/>
      <c r="W406" s="31"/>
      <c r="X406" s="31"/>
      <c r="Y406" s="31"/>
      <c r="Z406" s="31"/>
      <c r="AA406" s="31"/>
      <c r="AB406" s="31"/>
      <c r="AC406" s="31"/>
      <c r="AD406" s="46"/>
      <c r="AE406" s="46"/>
      <c r="AF406" s="46"/>
      <c r="AG406" s="46"/>
      <c r="AH406" s="46"/>
      <c r="AI406" s="46"/>
      <c r="AJ406" s="46"/>
      <c r="AK406" s="46"/>
      <c r="AL406" s="46">
        <v>6</v>
      </c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55">
        <f t="shared" si="65"/>
        <v>6</v>
      </c>
      <c r="AZ406" s="56"/>
      <c r="BA406" s="57"/>
      <c r="BB406" s="57">
        <f>+'[1]25'!R709</f>
        <v>0</v>
      </c>
      <c r="BC406" s="57">
        <v>3</v>
      </c>
      <c r="BD406" s="57"/>
      <c r="BE406" s="57"/>
      <c r="BF406" s="57"/>
      <c r="BG406" s="57"/>
      <c r="BH406" s="57"/>
      <c r="BI406" s="55">
        <f t="shared" si="66"/>
        <v>3</v>
      </c>
      <c r="BJ406" s="69">
        <f t="shared" si="67"/>
        <v>3</v>
      </c>
      <c r="BK406" s="69">
        <f t="shared" si="64"/>
        <v>0</v>
      </c>
      <c r="BM406" s="75"/>
      <c r="BN406" s="57">
        <f t="shared" si="62"/>
        <v>1</v>
      </c>
      <c r="BO406" s="80"/>
      <c r="BP406" s="81">
        <v>1</v>
      </c>
      <c r="BQ406" s="81"/>
      <c r="BR406" s="81">
        <v>1</v>
      </c>
      <c r="BS406" s="81"/>
      <c r="BT406" s="81"/>
      <c r="BU406" s="81"/>
      <c r="BV406" s="81"/>
      <c r="BW406" s="81"/>
      <c r="BX406" s="81"/>
      <c r="BY406" s="81"/>
      <c r="BZ406" s="9">
        <f t="shared" si="63"/>
        <v>2</v>
      </c>
      <c r="CB406" s="3"/>
      <c r="CD406" s="10"/>
      <c r="CE406" s="95"/>
    </row>
    <row r="407" spans="1:83" s="2" customFormat="1" ht="19.5" thickBot="1" x14ac:dyDescent="0.35">
      <c r="A407" s="17">
        <v>432</v>
      </c>
      <c r="B407" s="135"/>
      <c r="C407" s="18" t="s">
        <v>63</v>
      </c>
      <c r="D407" s="19"/>
      <c r="E407" s="19"/>
      <c r="F407" s="19"/>
      <c r="G407" s="30"/>
      <c r="H407" s="31"/>
      <c r="I407" s="40"/>
      <c r="J407" s="31"/>
      <c r="K407" s="40"/>
      <c r="L407" s="31"/>
      <c r="M407" s="40"/>
      <c r="N407" s="31"/>
      <c r="O407" s="40"/>
      <c r="P407" s="31"/>
      <c r="Q407" s="40"/>
      <c r="R407" s="31"/>
      <c r="S407" s="31"/>
      <c r="T407" s="31"/>
      <c r="U407" s="40"/>
      <c r="V407" s="31"/>
      <c r="W407" s="31"/>
      <c r="X407" s="31"/>
      <c r="Y407" s="31"/>
      <c r="Z407" s="31"/>
      <c r="AA407" s="31"/>
      <c r="AB407" s="31"/>
      <c r="AC407" s="31"/>
      <c r="AD407" s="46"/>
      <c r="AE407" s="46"/>
      <c r="AF407" s="46"/>
      <c r="AG407" s="46"/>
      <c r="AH407" s="46"/>
      <c r="AI407" s="46"/>
      <c r="AJ407" s="46"/>
      <c r="AK407" s="46"/>
      <c r="AL407" s="46">
        <v>12</v>
      </c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55">
        <f t="shared" si="65"/>
        <v>12</v>
      </c>
      <c r="AZ407" s="56"/>
      <c r="BA407" s="57"/>
      <c r="BB407" s="57">
        <f>+'[1]25'!R710</f>
        <v>0</v>
      </c>
      <c r="BC407" s="57">
        <v>7</v>
      </c>
      <c r="BD407" s="57"/>
      <c r="BE407" s="57"/>
      <c r="BF407" s="57"/>
      <c r="BG407" s="57"/>
      <c r="BH407" s="57"/>
      <c r="BI407" s="55">
        <f t="shared" si="66"/>
        <v>7</v>
      </c>
      <c r="BJ407" s="69">
        <f t="shared" si="67"/>
        <v>5</v>
      </c>
      <c r="BK407" s="69">
        <f t="shared" si="64"/>
        <v>0</v>
      </c>
      <c r="BM407" s="75"/>
      <c r="BN407" s="57">
        <f t="shared" si="62"/>
        <v>2</v>
      </c>
      <c r="BO407" s="80"/>
      <c r="BP407" s="81">
        <v>1</v>
      </c>
      <c r="BQ407" s="81">
        <v>1</v>
      </c>
      <c r="BR407" s="81">
        <v>1</v>
      </c>
      <c r="BS407" s="81"/>
      <c r="BT407" s="81"/>
      <c r="BU407" s="81"/>
      <c r="BV407" s="81"/>
      <c r="BW407" s="81"/>
      <c r="BX407" s="81"/>
      <c r="BY407" s="81"/>
      <c r="BZ407" s="9">
        <f t="shared" si="63"/>
        <v>3</v>
      </c>
      <c r="CB407" s="3"/>
      <c r="CD407" s="10"/>
      <c r="CE407" s="95"/>
    </row>
    <row r="408" spans="1:83" s="2" customFormat="1" ht="19.5" thickBot="1" x14ac:dyDescent="0.35">
      <c r="A408" s="17">
        <v>433</v>
      </c>
      <c r="B408" s="135"/>
      <c r="C408" s="18" t="s">
        <v>64</v>
      </c>
      <c r="D408" s="19"/>
      <c r="E408" s="19"/>
      <c r="F408" s="19"/>
      <c r="G408" s="30"/>
      <c r="H408" s="31"/>
      <c r="I408" s="40"/>
      <c r="J408" s="31"/>
      <c r="K408" s="40"/>
      <c r="L408" s="31"/>
      <c r="M408" s="40"/>
      <c r="N408" s="31"/>
      <c r="O408" s="40"/>
      <c r="P408" s="31"/>
      <c r="Q408" s="40"/>
      <c r="R408" s="31"/>
      <c r="S408" s="31"/>
      <c r="T408" s="31"/>
      <c r="U408" s="40"/>
      <c r="V408" s="31"/>
      <c r="W408" s="31"/>
      <c r="X408" s="31"/>
      <c r="Y408" s="31"/>
      <c r="Z408" s="31"/>
      <c r="AA408" s="31"/>
      <c r="AB408" s="31"/>
      <c r="AC408" s="31"/>
      <c r="AD408" s="46"/>
      <c r="AE408" s="46"/>
      <c r="AF408" s="46"/>
      <c r="AG408" s="46"/>
      <c r="AH408" s="46"/>
      <c r="AI408" s="46"/>
      <c r="AJ408" s="46"/>
      <c r="AK408" s="46"/>
      <c r="AL408" s="46">
        <v>21</v>
      </c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55">
        <f t="shared" si="65"/>
        <v>21</v>
      </c>
      <c r="AZ408" s="56"/>
      <c r="BA408" s="57"/>
      <c r="BB408" s="57">
        <f>+'[1]25'!R711</f>
        <v>0</v>
      </c>
      <c r="BC408" s="57">
        <v>6</v>
      </c>
      <c r="BD408" s="57"/>
      <c r="BE408" s="57"/>
      <c r="BF408" s="57"/>
      <c r="BG408" s="57"/>
      <c r="BH408" s="57"/>
      <c r="BI408" s="55">
        <f t="shared" si="66"/>
        <v>6</v>
      </c>
      <c r="BJ408" s="69">
        <f t="shared" si="67"/>
        <v>15</v>
      </c>
      <c r="BK408" s="69">
        <f t="shared" si="64"/>
        <v>0</v>
      </c>
      <c r="BM408" s="75"/>
      <c r="BN408" s="57">
        <f t="shared" si="62"/>
        <v>5</v>
      </c>
      <c r="BO408" s="80"/>
      <c r="BP408" s="81">
        <v>3</v>
      </c>
      <c r="BQ408" s="81">
        <v>1</v>
      </c>
      <c r="BR408" s="81">
        <v>2</v>
      </c>
      <c r="BS408" s="81">
        <v>1</v>
      </c>
      <c r="BT408" s="81">
        <v>3</v>
      </c>
      <c r="BU408" s="81"/>
      <c r="BV408" s="81"/>
      <c r="BW408" s="81"/>
      <c r="BX408" s="81"/>
      <c r="BY408" s="81"/>
      <c r="BZ408" s="9">
        <f t="shared" si="63"/>
        <v>10</v>
      </c>
      <c r="CB408" s="3"/>
      <c r="CD408" s="10"/>
      <c r="CE408" s="95"/>
    </row>
    <row r="409" spans="1:83" s="2" customFormat="1" ht="19.5" thickBot="1" x14ac:dyDescent="0.35">
      <c r="A409" s="17">
        <v>434</v>
      </c>
      <c r="B409" s="135"/>
      <c r="C409" s="18" t="s">
        <v>65</v>
      </c>
      <c r="D409" s="19"/>
      <c r="E409" s="19"/>
      <c r="F409" s="19"/>
      <c r="G409" s="30"/>
      <c r="H409" s="31"/>
      <c r="I409" s="40"/>
      <c r="J409" s="31"/>
      <c r="K409" s="40"/>
      <c r="L409" s="31"/>
      <c r="M409" s="40"/>
      <c r="N409" s="31"/>
      <c r="O409" s="40"/>
      <c r="P409" s="31"/>
      <c r="Q409" s="40"/>
      <c r="R409" s="31"/>
      <c r="S409" s="31"/>
      <c r="T409" s="31"/>
      <c r="U409" s="40"/>
      <c r="V409" s="31"/>
      <c r="W409" s="31"/>
      <c r="X409" s="31"/>
      <c r="Y409" s="31"/>
      <c r="Z409" s="31"/>
      <c r="AA409" s="31"/>
      <c r="AB409" s="31"/>
      <c r="AC409" s="31"/>
      <c r="AD409" s="46"/>
      <c r="AE409" s="46"/>
      <c r="AF409" s="46"/>
      <c r="AG409" s="46"/>
      <c r="AH409" s="46"/>
      <c r="AI409" s="46"/>
      <c r="AJ409" s="46"/>
      <c r="AK409" s="46"/>
      <c r="AL409" s="46">
        <v>24</v>
      </c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55">
        <f t="shared" si="65"/>
        <v>24</v>
      </c>
      <c r="AZ409" s="56"/>
      <c r="BA409" s="57"/>
      <c r="BB409" s="57">
        <f>+'[1]25'!R712</f>
        <v>0</v>
      </c>
      <c r="BC409" s="57">
        <v>17</v>
      </c>
      <c r="BD409" s="57"/>
      <c r="BE409" s="57"/>
      <c r="BF409" s="57"/>
      <c r="BG409" s="57"/>
      <c r="BH409" s="57"/>
      <c r="BI409" s="55">
        <f t="shared" si="66"/>
        <v>17</v>
      </c>
      <c r="BJ409" s="69">
        <f t="shared" si="67"/>
        <v>7</v>
      </c>
      <c r="BK409" s="69">
        <f t="shared" si="64"/>
        <v>0</v>
      </c>
      <c r="BM409" s="75"/>
      <c r="BN409" s="57">
        <f t="shared" si="62"/>
        <v>1</v>
      </c>
      <c r="BO409" s="80"/>
      <c r="BP409" s="81">
        <v>2</v>
      </c>
      <c r="BQ409" s="81"/>
      <c r="BR409" s="81">
        <v>2</v>
      </c>
      <c r="BS409" s="81">
        <v>2</v>
      </c>
      <c r="BT409" s="81"/>
      <c r="BU409" s="81"/>
      <c r="BV409" s="81"/>
      <c r="BW409" s="81"/>
      <c r="BX409" s="81"/>
      <c r="BY409" s="81"/>
      <c r="BZ409" s="9">
        <f t="shared" si="63"/>
        <v>6</v>
      </c>
      <c r="CB409" s="3"/>
      <c r="CD409" s="10"/>
      <c r="CE409" s="95"/>
    </row>
    <row r="410" spans="1:83" s="2" customFormat="1" ht="19.5" thickBot="1" x14ac:dyDescent="0.35">
      <c r="A410" s="17">
        <v>435</v>
      </c>
      <c r="B410" s="135"/>
      <c r="C410" s="18" t="s">
        <v>66</v>
      </c>
      <c r="D410" s="19"/>
      <c r="E410" s="19"/>
      <c r="F410" s="19"/>
      <c r="G410" s="30"/>
      <c r="H410" s="31"/>
      <c r="I410" s="40"/>
      <c r="J410" s="31"/>
      <c r="K410" s="40"/>
      <c r="L410" s="31"/>
      <c r="M410" s="40"/>
      <c r="N410" s="31"/>
      <c r="O410" s="40"/>
      <c r="P410" s="31"/>
      <c r="Q410" s="40"/>
      <c r="R410" s="31"/>
      <c r="S410" s="31"/>
      <c r="T410" s="31"/>
      <c r="U410" s="40"/>
      <c r="V410" s="31"/>
      <c r="W410" s="31"/>
      <c r="X410" s="31"/>
      <c r="Y410" s="31"/>
      <c r="Z410" s="31"/>
      <c r="AA410" s="31"/>
      <c r="AB410" s="31"/>
      <c r="AC410" s="31"/>
      <c r="AD410" s="46"/>
      <c r="AE410" s="46"/>
      <c r="AF410" s="46"/>
      <c r="AG410" s="46"/>
      <c r="AH410" s="46"/>
      <c r="AI410" s="46"/>
      <c r="AJ410" s="46"/>
      <c r="AK410" s="46"/>
      <c r="AL410" s="46">
        <v>18</v>
      </c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55">
        <f t="shared" si="65"/>
        <v>18</v>
      </c>
      <c r="AZ410" s="56"/>
      <c r="BA410" s="57"/>
      <c r="BB410" s="57">
        <f>+'[1]25'!R713</f>
        <v>0</v>
      </c>
      <c r="BC410" s="57">
        <v>12</v>
      </c>
      <c r="BD410" s="57"/>
      <c r="BE410" s="57"/>
      <c r="BF410" s="57"/>
      <c r="BG410" s="57"/>
      <c r="BH410" s="57"/>
      <c r="BI410" s="55">
        <f t="shared" si="66"/>
        <v>12</v>
      </c>
      <c r="BJ410" s="69">
        <f t="shared" si="67"/>
        <v>6</v>
      </c>
      <c r="BK410" s="69">
        <f t="shared" si="64"/>
        <v>0</v>
      </c>
      <c r="BM410" s="75"/>
      <c r="BN410" s="57">
        <f t="shared" si="62"/>
        <v>0</v>
      </c>
      <c r="BO410" s="80"/>
      <c r="BP410" s="81">
        <v>3</v>
      </c>
      <c r="BQ410" s="81"/>
      <c r="BR410" s="81">
        <v>1</v>
      </c>
      <c r="BS410" s="81">
        <v>1</v>
      </c>
      <c r="BT410" s="81">
        <v>1</v>
      </c>
      <c r="BU410" s="81"/>
      <c r="BV410" s="81"/>
      <c r="BW410" s="81"/>
      <c r="BX410" s="81"/>
      <c r="BY410" s="81"/>
      <c r="BZ410" s="9">
        <f t="shared" si="63"/>
        <v>6</v>
      </c>
      <c r="CB410" s="3"/>
      <c r="CD410" s="10"/>
      <c r="CE410" s="95"/>
    </row>
    <row r="411" spans="1:83" s="2" customFormat="1" ht="19.5" thickBot="1" x14ac:dyDescent="0.35">
      <c r="A411" s="17">
        <v>436</v>
      </c>
      <c r="B411" s="135"/>
      <c r="C411" s="18" t="s">
        <v>67</v>
      </c>
      <c r="D411" s="19"/>
      <c r="E411" s="19"/>
      <c r="F411" s="19"/>
      <c r="G411" s="30"/>
      <c r="H411" s="31"/>
      <c r="I411" s="40"/>
      <c r="J411" s="31"/>
      <c r="K411" s="40"/>
      <c r="L411" s="31"/>
      <c r="M411" s="40"/>
      <c r="N411" s="31"/>
      <c r="O411" s="40"/>
      <c r="P411" s="31"/>
      <c r="Q411" s="40"/>
      <c r="R411" s="31"/>
      <c r="S411" s="31"/>
      <c r="T411" s="31"/>
      <c r="U411" s="40"/>
      <c r="V411" s="31"/>
      <c r="W411" s="31"/>
      <c r="X411" s="31"/>
      <c r="Y411" s="31"/>
      <c r="Z411" s="31"/>
      <c r="AA411" s="31"/>
      <c r="AB411" s="31"/>
      <c r="AC411" s="31"/>
      <c r="AD411" s="46"/>
      <c r="AE411" s="46"/>
      <c r="AF411" s="46"/>
      <c r="AG411" s="46"/>
      <c r="AH411" s="46"/>
      <c r="AI411" s="46"/>
      <c r="AJ411" s="46"/>
      <c r="AK411" s="46"/>
      <c r="AL411" s="46">
        <v>12</v>
      </c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55">
        <f t="shared" si="65"/>
        <v>12</v>
      </c>
      <c r="AZ411" s="56"/>
      <c r="BA411" s="57"/>
      <c r="BB411" s="57">
        <f>+'[1]25'!R714</f>
        <v>0</v>
      </c>
      <c r="BC411" s="57">
        <v>9</v>
      </c>
      <c r="BD411" s="57"/>
      <c r="BE411" s="57"/>
      <c r="BF411" s="57"/>
      <c r="BG411" s="57"/>
      <c r="BH411" s="57"/>
      <c r="BI411" s="55">
        <f t="shared" si="66"/>
        <v>9</v>
      </c>
      <c r="BJ411" s="69">
        <f t="shared" si="67"/>
        <v>3</v>
      </c>
      <c r="BK411" s="69">
        <f t="shared" si="64"/>
        <v>0</v>
      </c>
      <c r="BM411" s="75"/>
      <c r="BN411" s="57">
        <f t="shared" si="62"/>
        <v>0</v>
      </c>
      <c r="BO411" s="80"/>
      <c r="BP411" s="81">
        <v>1</v>
      </c>
      <c r="BQ411" s="81">
        <v>1</v>
      </c>
      <c r="BR411" s="81"/>
      <c r="BS411" s="81">
        <v>1</v>
      </c>
      <c r="BT411" s="81"/>
      <c r="BU411" s="81"/>
      <c r="BV411" s="81"/>
      <c r="BW411" s="81"/>
      <c r="BX411" s="81"/>
      <c r="BY411" s="81"/>
      <c r="BZ411" s="9">
        <f t="shared" si="63"/>
        <v>3</v>
      </c>
      <c r="CB411" s="3"/>
      <c r="CD411" s="10"/>
      <c r="CE411" s="95"/>
    </row>
    <row r="412" spans="1:83" s="2" customFormat="1" ht="19.5" thickBot="1" x14ac:dyDescent="0.35">
      <c r="A412" s="17">
        <v>437</v>
      </c>
      <c r="B412" s="135"/>
      <c r="C412" s="18" t="s">
        <v>68</v>
      </c>
      <c r="D412" s="19"/>
      <c r="E412" s="19"/>
      <c r="F412" s="19"/>
      <c r="G412" s="30"/>
      <c r="H412" s="31"/>
      <c r="I412" s="40"/>
      <c r="J412" s="31"/>
      <c r="K412" s="40"/>
      <c r="L412" s="31"/>
      <c r="M412" s="40"/>
      <c r="N412" s="31"/>
      <c r="O412" s="40"/>
      <c r="P412" s="31"/>
      <c r="Q412" s="40"/>
      <c r="R412" s="31"/>
      <c r="S412" s="31"/>
      <c r="T412" s="31"/>
      <c r="U412" s="40"/>
      <c r="V412" s="31"/>
      <c r="W412" s="31"/>
      <c r="X412" s="31"/>
      <c r="Y412" s="31"/>
      <c r="Z412" s="31"/>
      <c r="AA412" s="31"/>
      <c r="AB412" s="31"/>
      <c r="AC412" s="31"/>
      <c r="AD412" s="46"/>
      <c r="AE412" s="46"/>
      <c r="AF412" s="46"/>
      <c r="AG412" s="46"/>
      <c r="AH412" s="46"/>
      <c r="AI412" s="46"/>
      <c r="AJ412" s="46"/>
      <c r="AK412" s="46"/>
      <c r="AL412" s="46">
        <v>9</v>
      </c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55">
        <f t="shared" si="65"/>
        <v>9</v>
      </c>
      <c r="AZ412" s="56"/>
      <c r="BA412" s="57"/>
      <c r="BB412" s="57">
        <f>+'[1]25'!R715</f>
        <v>0</v>
      </c>
      <c r="BC412" s="57">
        <v>3</v>
      </c>
      <c r="BD412" s="57"/>
      <c r="BE412" s="57"/>
      <c r="BF412" s="57"/>
      <c r="BG412" s="57"/>
      <c r="BH412" s="57"/>
      <c r="BI412" s="55">
        <f t="shared" si="66"/>
        <v>3</v>
      </c>
      <c r="BJ412" s="69">
        <f t="shared" si="67"/>
        <v>6</v>
      </c>
      <c r="BK412" s="69">
        <f t="shared" si="64"/>
        <v>0</v>
      </c>
      <c r="BM412" s="75"/>
      <c r="BN412" s="57">
        <f t="shared" si="62"/>
        <v>0</v>
      </c>
      <c r="BO412" s="80"/>
      <c r="BP412" s="81">
        <v>2</v>
      </c>
      <c r="BQ412" s="81">
        <v>1</v>
      </c>
      <c r="BR412" s="81">
        <v>1</v>
      </c>
      <c r="BS412" s="81">
        <v>1</v>
      </c>
      <c r="BT412" s="81">
        <v>1</v>
      </c>
      <c r="BU412" s="81"/>
      <c r="BV412" s="81"/>
      <c r="BW412" s="81"/>
      <c r="BX412" s="81"/>
      <c r="BY412" s="81"/>
      <c r="BZ412" s="9">
        <f t="shared" si="63"/>
        <v>6</v>
      </c>
      <c r="CB412" s="3"/>
      <c r="CD412" s="10"/>
      <c r="CE412" s="95"/>
    </row>
    <row r="413" spans="1:83" s="2" customFormat="1" ht="19.5" thickBot="1" x14ac:dyDescent="0.35">
      <c r="A413" s="17">
        <v>438</v>
      </c>
      <c r="B413" s="135"/>
      <c r="C413" s="20" t="s">
        <v>69</v>
      </c>
      <c r="D413" s="21"/>
      <c r="E413" s="21"/>
      <c r="F413" s="21"/>
      <c r="G413" s="32"/>
      <c r="H413" s="33"/>
      <c r="I413" s="41"/>
      <c r="J413" s="33"/>
      <c r="K413" s="41"/>
      <c r="L413" s="33"/>
      <c r="M413" s="41"/>
      <c r="N413" s="33"/>
      <c r="O413" s="41"/>
      <c r="P413" s="33"/>
      <c r="Q413" s="41"/>
      <c r="R413" s="33"/>
      <c r="S413" s="33"/>
      <c r="T413" s="33"/>
      <c r="U413" s="41"/>
      <c r="V413" s="33"/>
      <c r="W413" s="33"/>
      <c r="X413" s="33"/>
      <c r="Y413" s="33"/>
      <c r="Z413" s="33"/>
      <c r="AA413" s="33"/>
      <c r="AB413" s="33"/>
      <c r="AC413" s="33"/>
      <c r="AD413" s="47"/>
      <c r="AE413" s="47"/>
      <c r="AF413" s="47"/>
      <c r="AG413" s="47"/>
      <c r="AH413" s="47"/>
      <c r="AI413" s="47"/>
      <c r="AJ413" s="47"/>
      <c r="AK413" s="47"/>
      <c r="AL413" s="47">
        <v>6</v>
      </c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55">
        <f t="shared" si="65"/>
        <v>6</v>
      </c>
      <c r="AZ413" s="59"/>
      <c r="BA413" s="60"/>
      <c r="BB413" s="60">
        <f>+'[1]25'!R716</f>
        <v>0</v>
      </c>
      <c r="BC413" s="60">
        <v>2</v>
      </c>
      <c r="BD413" s="60"/>
      <c r="BE413" s="60"/>
      <c r="BF413" s="60"/>
      <c r="BG413" s="60"/>
      <c r="BH413" s="60"/>
      <c r="BI413" s="58">
        <f t="shared" si="66"/>
        <v>2</v>
      </c>
      <c r="BJ413" s="70">
        <f t="shared" si="67"/>
        <v>4</v>
      </c>
      <c r="BK413" s="70">
        <f t="shared" si="64"/>
        <v>0</v>
      </c>
      <c r="BL413" s="76"/>
      <c r="BM413" s="77"/>
      <c r="BN413" s="60">
        <f t="shared" si="62"/>
        <v>0</v>
      </c>
      <c r="BO413" s="82"/>
      <c r="BP413" s="83">
        <v>1</v>
      </c>
      <c r="BQ413" s="83"/>
      <c r="BR413" s="83">
        <v>1</v>
      </c>
      <c r="BS413" s="83">
        <v>1</v>
      </c>
      <c r="BT413" s="83">
        <v>1</v>
      </c>
      <c r="BU413" s="83"/>
      <c r="BV413" s="83"/>
      <c r="BW413" s="83"/>
      <c r="BX413" s="83"/>
      <c r="BY413" s="83"/>
      <c r="BZ413" s="9">
        <f t="shared" si="63"/>
        <v>4</v>
      </c>
      <c r="CB413" s="3"/>
      <c r="CD413" s="10"/>
      <c r="CE413" s="95"/>
    </row>
    <row r="414" spans="1:83" s="2" customFormat="1" ht="19.5" thickBot="1" x14ac:dyDescent="0.35">
      <c r="A414" s="17">
        <v>439</v>
      </c>
      <c r="B414" s="134" t="s">
        <v>146</v>
      </c>
      <c r="C414" s="18" t="s">
        <v>62</v>
      </c>
      <c r="D414" s="19"/>
      <c r="E414" s="19"/>
      <c r="F414" s="19"/>
      <c r="G414" s="30"/>
      <c r="H414" s="31"/>
      <c r="I414" s="40"/>
      <c r="J414" s="31"/>
      <c r="K414" s="40"/>
      <c r="L414" s="31"/>
      <c r="M414" s="40"/>
      <c r="N414" s="31"/>
      <c r="O414" s="40"/>
      <c r="P414" s="31"/>
      <c r="Q414" s="40"/>
      <c r="R414" s="31"/>
      <c r="S414" s="31"/>
      <c r="T414" s="31"/>
      <c r="U414" s="40"/>
      <c r="V414" s="31"/>
      <c r="W414" s="31"/>
      <c r="X414" s="31"/>
      <c r="Y414" s="31"/>
      <c r="Z414" s="31"/>
      <c r="AA414" s="31"/>
      <c r="AB414" s="31"/>
      <c r="AC414" s="31"/>
      <c r="AD414" s="46"/>
      <c r="AE414" s="46"/>
      <c r="AF414" s="46"/>
      <c r="AG414" s="46"/>
      <c r="AH414" s="46"/>
      <c r="AI414" s="46"/>
      <c r="AJ414" s="46"/>
      <c r="AK414" s="46"/>
      <c r="AL414" s="46">
        <v>6</v>
      </c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55">
        <f t="shared" si="65"/>
        <v>6</v>
      </c>
      <c r="AZ414" s="56"/>
      <c r="BA414" s="57"/>
      <c r="BB414" s="57">
        <f>+'[1]25'!R717</f>
        <v>0</v>
      </c>
      <c r="BC414" s="57">
        <v>2</v>
      </c>
      <c r="BD414" s="57"/>
      <c r="BE414" s="57"/>
      <c r="BF414" s="57"/>
      <c r="BG414" s="57"/>
      <c r="BH414" s="57"/>
      <c r="BI414" s="55">
        <f t="shared" si="66"/>
        <v>2</v>
      </c>
      <c r="BJ414" s="69">
        <f t="shared" si="67"/>
        <v>4</v>
      </c>
      <c r="BK414" s="69">
        <f t="shared" si="64"/>
        <v>0</v>
      </c>
      <c r="BM414" s="75"/>
      <c r="BN414" s="57">
        <f t="shared" si="62"/>
        <v>0</v>
      </c>
      <c r="BO414" s="80"/>
      <c r="BP414" s="81">
        <v>1</v>
      </c>
      <c r="BQ414" s="81">
        <v>2</v>
      </c>
      <c r="BR414" s="81">
        <v>1</v>
      </c>
      <c r="BS414" s="81"/>
      <c r="BT414" s="81"/>
      <c r="BU414" s="81"/>
      <c r="BV414" s="81"/>
      <c r="BW414" s="81"/>
      <c r="BX414" s="81"/>
      <c r="BY414" s="81"/>
      <c r="BZ414" s="9">
        <f t="shared" si="63"/>
        <v>4</v>
      </c>
      <c r="CB414" s="3"/>
      <c r="CD414" s="10"/>
      <c r="CE414" s="95"/>
    </row>
    <row r="415" spans="1:83" s="2" customFormat="1" ht="19.5" thickBot="1" x14ac:dyDescent="0.35">
      <c r="A415" s="17">
        <v>440</v>
      </c>
      <c r="B415" s="135"/>
      <c r="C415" s="18" t="s">
        <v>63</v>
      </c>
      <c r="D415" s="19"/>
      <c r="E415" s="19"/>
      <c r="F415" s="19"/>
      <c r="G415" s="30"/>
      <c r="H415" s="31"/>
      <c r="I415" s="40"/>
      <c r="J415" s="31"/>
      <c r="K415" s="40"/>
      <c r="L415" s="31"/>
      <c r="M415" s="40"/>
      <c r="N415" s="31"/>
      <c r="O415" s="40"/>
      <c r="P415" s="31"/>
      <c r="Q415" s="40"/>
      <c r="R415" s="31"/>
      <c r="S415" s="31"/>
      <c r="T415" s="31"/>
      <c r="U415" s="40"/>
      <c r="V415" s="31"/>
      <c r="W415" s="31"/>
      <c r="X415" s="31"/>
      <c r="Y415" s="31"/>
      <c r="Z415" s="31"/>
      <c r="AA415" s="31"/>
      <c r="AB415" s="31"/>
      <c r="AC415" s="31"/>
      <c r="AD415" s="46"/>
      <c r="AE415" s="46"/>
      <c r="AF415" s="46"/>
      <c r="AG415" s="46"/>
      <c r="AH415" s="46"/>
      <c r="AI415" s="46"/>
      <c r="AJ415" s="46"/>
      <c r="AK415" s="46"/>
      <c r="AL415" s="46">
        <v>12</v>
      </c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55">
        <f t="shared" si="65"/>
        <v>12</v>
      </c>
      <c r="AZ415" s="56"/>
      <c r="BA415" s="57"/>
      <c r="BB415" s="57">
        <f>+'[1]25'!R718</f>
        <v>0</v>
      </c>
      <c r="BC415" s="57">
        <v>3</v>
      </c>
      <c r="BD415" s="57"/>
      <c r="BE415" s="57"/>
      <c r="BF415" s="57"/>
      <c r="BG415" s="57"/>
      <c r="BH415" s="57"/>
      <c r="BI415" s="55">
        <f t="shared" si="66"/>
        <v>3</v>
      </c>
      <c r="BJ415" s="69">
        <f t="shared" si="67"/>
        <v>9</v>
      </c>
      <c r="BK415" s="69">
        <f t="shared" si="64"/>
        <v>0</v>
      </c>
      <c r="BM415" s="75"/>
      <c r="BN415" s="57">
        <f t="shared" si="62"/>
        <v>5</v>
      </c>
      <c r="BO415" s="80"/>
      <c r="BP415" s="81">
        <v>1</v>
      </c>
      <c r="BQ415" s="81">
        <v>1</v>
      </c>
      <c r="BR415" s="81">
        <v>1</v>
      </c>
      <c r="BS415" s="81">
        <v>1</v>
      </c>
      <c r="BT415" s="81"/>
      <c r="BU415" s="81"/>
      <c r="BV415" s="81"/>
      <c r="BW415" s="81"/>
      <c r="BX415" s="81"/>
      <c r="BY415" s="81"/>
      <c r="BZ415" s="9">
        <f t="shared" si="63"/>
        <v>4</v>
      </c>
      <c r="CB415" s="3"/>
      <c r="CD415" s="10"/>
      <c r="CE415" s="95"/>
    </row>
    <row r="416" spans="1:83" s="2" customFormat="1" ht="19.5" thickBot="1" x14ac:dyDescent="0.35">
      <c r="A416" s="17">
        <v>441</v>
      </c>
      <c r="B416" s="135"/>
      <c r="C416" s="18" t="s">
        <v>64</v>
      </c>
      <c r="D416" s="19"/>
      <c r="E416" s="19"/>
      <c r="F416" s="19"/>
      <c r="G416" s="30"/>
      <c r="H416" s="31"/>
      <c r="I416" s="40"/>
      <c r="J416" s="31"/>
      <c r="K416" s="40"/>
      <c r="L416" s="31"/>
      <c r="M416" s="40"/>
      <c r="N416" s="31"/>
      <c r="O416" s="40"/>
      <c r="P416" s="31"/>
      <c r="Q416" s="40"/>
      <c r="R416" s="31"/>
      <c r="S416" s="31"/>
      <c r="T416" s="31"/>
      <c r="U416" s="40"/>
      <c r="V416" s="31"/>
      <c r="W416" s="31"/>
      <c r="X416" s="31"/>
      <c r="Y416" s="31"/>
      <c r="Z416" s="31"/>
      <c r="AA416" s="31"/>
      <c r="AB416" s="31"/>
      <c r="AC416" s="31"/>
      <c r="AD416" s="46"/>
      <c r="AE416" s="46"/>
      <c r="AF416" s="46"/>
      <c r="AG416" s="46"/>
      <c r="AH416" s="46"/>
      <c r="AI416" s="46"/>
      <c r="AJ416" s="46"/>
      <c r="AK416" s="46"/>
      <c r="AL416" s="46">
        <v>21</v>
      </c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55">
        <f t="shared" si="65"/>
        <v>21</v>
      </c>
      <c r="AZ416" s="56"/>
      <c r="BA416" s="57"/>
      <c r="BB416" s="57">
        <f>+'[1]25'!R719</f>
        <v>0</v>
      </c>
      <c r="BC416" s="57">
        <v>14</v>
      </c>
      <c r="BD416" s="57"/>
      <c r="BE416" s="57"/>
      <c r="BF416" s="57"/>
      <c r="BG416" s="57"/>
      <c r="BH416" s="57"/>
      <c r="BI416" s="55">
        <f t="shared" si="66"/>
        <v>14</v>
      </c>
      <c r="BJ416" s="69">
        <f t="shared" si="67"/>
        <v>7</v>
      </c>
      <c r="BK416" s="69">
        <f t="shared" si="64"/>
        <v>0</v>
      </c>
      <c r="BM416" s="75"/>
      <c r="BN416" s="57">
        <f t="shared" si="62"/>
        <v>1</v>
      </c>
      <c r="BO416" s="80"/>
      <c r="BP416" s="81"/>
      <c r="BQ416" s="81">
        <v>1</v>
      </c>
      <c r="BR416" s="81">
        <v>2</v>
      </c>
      <c r="BS416" s="81">
        <v>2</v>
      </c>
      <c r="BT416" s="81">
        <v>1</v>
      </c>
      <c r="BU416" s="81"/>
      <c r="BV416" s="81"/>
      <c r="BW416" s="81"/>
      <c r="BX416" s="81"/>
      <c r="BY416" s="81"/>
      <c r="BZ416" s="9">
        <f t="shared" si="63"/>
        <v>6</v>
      </c>
      <c r="CB416" s="3"/>
      <c r="CD416" s="10"/>
      <c r="CE416" s="95"/>
    </row>
    <row r="417" spans="1:83" s="2" customFormat="1" ht="19.5" thickBot="1" x14ac:dyDescent="0.35">
      <c r="A417" s="17">
        <v>442</v>
      </c>
      <c r="B417" s="135"/>
      <c r="C417" s="18" t="s">
        <v>65</v>
      </c>
      <c r="D417" s="19"/>
      <c r="E417" s="19"/>
      <c r="F417" s="19"/>
      <c r="G417" s="30"/>
      <c r="H417" s="31"/>
      <c r="I417" s="40"/>
      <c r="J417" s="31"/>
      <c r="K417" s="40"/>
      <c r="L417" s="31"/>
      <c r="M417" s="40"/>
      <c r="N417" s="31"/>
      <c r="O417" s="40"/>
      <c r="P417" s="31"/>
      <c r="Q417" s="40"/>
      <c r="R417" s="31"/>
      <c r="S417" s="31"/>
      <c r="T417" s="31"/>
      <c r="U417" s="40"/>
      <c r="V417" s="31"/>
      <c r="W417" s="31"/>
      <c r="X417" s="31"/>
      <c r="Y417" s="31"/>
      <c r="Z417" s="31"/>
      <c r="AA417" s="31"/>
      <c r="AB417" s="31"/>
      <c r="AC417" s="31"/>
      <c r="AD417" s="46"/>
      <c r="AE417" s="46"/>
      <c r="AF417" s="46"/>
      <c r="AG417" s="46"/>
      <c r="AH417" s="46"/>
      <c r="AI417" s="46"/>
      <c r="AJ417" s="46"/>
      <c r="AK417" s="46"/>
      <c r="AL417" s="46">
        <v>24</v>
      </c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55">
        <f t="shared" si="65"/>
        <v>24</v>
      </c>
      <c r="AZ417" s="56"/>
      <c r="BA417" s="57"/>
      <c r="BB417" s="57">
        <f>+'[1]25'!R720</f>
        <v>0</v>
      </c>
      <c r="BC417" s="57">
        <v>15</v>
      </c>
      <c r="BD417" s="57"/>
      <c r="BE417" s="57"/>
      <c r="BF417" s="57"/>
      <c r="BG417" s="57"/>
      <c r="BH417" s="57"/>
      <c r="BI417" s="55">
        <f t="shared" si="66"/>
        <v>15</v>
      </c>
      <c r="BJ417" s="69">
        <f t="shared" si="67"/>
        <v>9</v>
      </c>
      <c r="BK417" s="69">
        <f t="shared" si="64"/>
        <v>0</v>
      </c>
      <c r="BM417" s="75"/>
      <c r="BN417" s="57">
        <f t="shared" si="62"/>
        <v>3</v>
      </c>
      <c r="BO417" s="80"/>
      <c r="BP417" s="81">
        <v>2</v>
      </c>
      <c r="BQ417" s="81">
        <v>1</v>
      </c>
      <c r="BR417" s="81">
        <v>2</v>
      </c>
      <c r="BS417" s="81"/>
      <c r="BT417" s="81">
        <v>1</v>
      </c>
      <c r="BU417" s="81"/>
      <c r="BV417" s="81"/>
      <c r="BW417" s="81"/>
      <c r="BX417" s="81"/>
      <c r="BY417" s="81"/>
      <c r="BZ417" s="9">
        <f t="shared" si="63"/>
        <v>6</v>
      </c>
      <c r="CB417" s="3"/>
      <c r="CD417" s="10"/>
      <c r="CE417" s="11"/>
    </row>
    <row r="418" spans="1:83" s="2" customFormat="1" ht="19.5" thickBot="1" x14ac:dyDescent="0.35">
      <c r="A418" s="17">
        <v>443</v>
      </c>
      <c r="B418" s="135"/>
      <c r="C418" s="18" t="s">
        <v>66</v>
      </c>
      <c r="D418" s="19"/>
      <c r="E418" s="19"/>
      <c r="F418" s="19"/>
      <c r="G418" s="30"/>
      <c r="H418" s="31"/>
      <c r="I418" s="40"/>
      <c r="J418" s="31"/>
      <c r="K418" s="40"/>
      <c r="L418" s="31"/>
      <c r="M418" s="40"/>
      <c r="N418" s="31"/>
      <c r="O418" s="40"/>
      <c r="P418" s="31"/>
      <c r="Q418" s="40"/>
      <c r="R418" s="31"/>
      <c r="S418" s="31"/>
      <c r="T418" s="31"/>
      <c r="U418" s="40"/>
      <c r="V418" s="31"/>
      <c r="W418" s="31"/>
      <c r="X418" s="31"/>
      <c r="Y418" s="31"/>
      <c r="Z418" s="31"/>
      <c r="AA418" s="31"/>
      <c r="AB418" s="31"/>
      <c r="AC418" s="31"/>
      <c r="AD418" s="46"/>
      <c r="AE418" s="46"/>
      <c r="AF418" s="46"/>
      <c r="AG418" s="46"/>
      <c r="AH418" s="46"/>
      <c r="AI418" s="46"/>
      <c r="AJ418" s="46"/>
      <c r="AK418" s="46"/>
      <c r="AL418" s="46">
        <v>18</v>
      </c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55">
        <f t="shared" si="65"/>
        <v>18</v>
      </c>
      <c r="AZ418" s="56"/>
      <c r="BA418" s="57"/>
      <c r="BB418" s="57">
        <f>+'[1]25'!R721</f>
        <v>0</v>
      </c>
      <c r="BC418" s="57">
        <v>8</v>
      </c>
      <c r="BD418" s="57"/>
      <c r="BE418" s="57"/>
      <c r="BF418" s="57"/>
      <c r="BG418" s="57"/>
      <c r="BH418" s="57"/>
      <c r="BI418" s="55">
        <f t="shared" si="66"/>
        <v>8</v>
      </c>
      <c r="BJ418" s="69">
        <f t="shared" si="67"/>
        <v>10</v>
      </c>
      <c r="BK418" s="69">
        <f t="shared" si="64"/>
        <v>0</v>
      </c>
      <c r="BM418" s="75"/>
      <c r="BN418" s="57">
        <f t="shared" si="62"/>
        <v>4</v>
      </c>
      <c r="BO418" s="80"/>
      <c r="BP418" s="81">
        <v>2</v>
      </c>
      <c r="BQ418" s="81">
        <v>1</v>
      </c>
      <c r="BR418" s="81">
        <v>1</v>
      </c>
      <c r="BS418" s="81">
        <v>1</v>
      </c>
      <c r="BT418" s="81">
        <v>1</v>
      </c>
      <c r="BU418" s="81"/>
      <c r="BV418" s="81"/>
      <c r="BW418" s="81"/>
      <c r="BX418" s="81"/>
      <c r="BY418" s="81"/>
      <c r="BZ418" s="9">
        <f t="shared" si="63"/>
        <v>6</v>
      </c>
      <c r="CB418" s="3"/>
      <c r="CD418" s="10"/>
      <c r="CE418" s="96"/>
    </row>
    <row r="419" spans="1:83" s="2" customFormat="1" ht="19.5" thickBot="1" x14ac:dyDescent="0.35">
      <c r="A419" s="17">
        <v>444</v>
      </c>
      <c r="B419" s="135"/>
      <c r="C419" s="18" t="s">
        <v>67</v>
      </c>
      <c r="D419" s="19"/>
      <c r="E419" s="19"/>
      <c r="F419" s="19"/>
      <c r="G419" s="30"/>
      <c r="H419" s="31"/>
      <c r="I419" s="40"/>
      <c r="J419" s="31"/>
      <c r="K419" s="40"/>
      <c r="L419" s="31"/>
      <c r="M419" s="40"/>
      <c r="N419" s="31"/>
      <c r="O419" s="40"/>
      <c r="P419" s="31"/>
      <c r="Q419" s="40"/>
      <c r="R419" s="31"/>
      <c r="S419" s="31"/>
      <c r="T419" s="31"/>
      <c r="U419" s="40"/>
      <c r="V419" s="31"/>
      <c r="W419" s="31"/>
      <c r="X419" s="31"/>
      <c r="Y419" s="31"/>
      <c r="Z419" s="31"/>
      <c r="AA419" s="31"/>
      <c r="AB419" s="31"/>
      <c r="AC419" s="31"/>
      <c r="AD419" s="46"/>
      <c r="AE419" s="46"/>
      <c r="AF419" s="46"/>
      <c r="AG419" s="46"/>
      <c r="AH419" s="46"/>
      <c r="AI419" s="46"/>
      <c r="AJ419" s="46"/>
      <c r="AK419" s="46"/>
      <c r="AL419" s="46">
        <v>12</v>
      </c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55">
        <f t="shared" si="65"/>
        <v>12</v>
      </c>
      <c r="AZ419" s="56"/>
      <c r="BA419" s="57"/>
      <c r="BB419" s="57">
        <f>+'[1]25'!R722</f>
        <v>0</v>
      </c>
      <c r="BC419" s="57">
        <v>5</v>
      </c>
      <c r="BD419" s="57"/>
      <c r="BE419" s="57"/>
      <c r="BF419" s="57"/>
      <c r="BG419" s="57"/>
      <c r="BH419" s="57"/>
      <c r="BI419" s="55">
        <f t="shared" si="66"/>
        <v>5</v>
      </c>
      <c r="BJ419" s="69">
        <f t="shared" si="67"/>
        <v>7</v>
      </c>
      <c r="BK419" s="69">
        <f t="shared" si="64"/>
        <v>0</v>
      </c>
      <c r="BM419" s="75"/>
      <c r="BN419" s="57">
        <f t="shared" si="62"/>
        <v>0</v>
      </c>
      <c r="BO419" s="80"/>
      <c r="BP419" s="81">
        <v>2</v>
      </c>
      <c r="BQ419" s="81"/>
      <c r="BR419" s="81">
        <v>2</v>
      </c>
      <c r="BS419" s="81">
        <v>2</v>
      </c>
      <c r="BT419" s="81">
        <v>1</v>
      </c>
      <c r="BU419" s="81"/>
      <c r="BV419" s="81"/>
      <c r="BW419" s="81"/>
      <c r="BX419" s="81"/>
      <c r="BY419" s="81"/>
      <c r="BZ419" s="9">
        <f t="shared" si="63"/>
        <v>7</v>
      </c>
      <c r="CB419" s="3"/>
      <c r="CD419" s="10"/>
      <c r="CE419" s="96"/>
    </row>
    <row r="420" spans="1:83" s="2" customFormat="1" ht="19.5" thickBot="1" x14ac:dyDescent="0.35">
      <c r="A420" s="17">
        <v>445</v>
      </c>
      <c r="B420" s="135"/>
      <c r="C420" s="18" t="s">
        <v>68</v>
      </c>
      <c r="D420" s="19"/>
      <c r="E420" s="19"/>
      <c r="F420" s="19"/>
      <c r="G420" s="30"/>
      <c r="H420" s="31"/>
      <c r="I420" s="40"/>
      <c r="J420" s="31"/>
      <c r="K420" s="40"/>
      <c r="L420" s="31"/>
      <c r="M420" s="40"/>
      <c r="N420" s="31"/>
      <c r="O420" s="40"/>
      <c r="P420" s="31"/>
      <c r="Q420" s="40"/>
      <c r="R420" s="31"/>
      <c r="S420" s="31"/>
      <c r="T420" s="31"/>
      <c r="U420" s="40"/>
      <c r="V420" s="31"/>
      <c r="W420" s="31"/>
      <c r="X420" s="31"/>
      <c r="Y420" s="31"/>
      <c r="Z420" s="31"/>
      <c r="AA420" s="31"/>
      <c r="AB420" s="31"/>
      <c r="AC420" s="31"/>
      <c r="AD420" s="46"/>
      <c r="AE420" s="46"/>
      <c r="AF420" s="46"/>
      <c r="AG420" s="46"/>
      <c r="AH420" s="46"/>
      <c r="AI420" s="46"/>
      <c r="AJ420" s="46"/>
      <c r="AK420" s="46"/>
      <c r="AL420" s="46">
        <v>9</v>
      </c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55">
        <f t="shared" si="65"/>
        <v>9</v>
      </c>
      <c r="AZ420" s="56"/>
      <c r="BA420" s="57"/>
      <c r="BB420" s="57">
        <f>+'[1]25'!R723</f>
        <v>0</v>
      </c>
      <c r="BC420" s="57">
        <v>4</v>
      </c>
      <c r="BD420" s="57"/>
      <c r="BE420" s="57"/>
      <c r="BF420" s="57"/>
      <c r="BG420" s="57"/>
      <c r="BH420" s="57"/>
      <c r="BI420" s="55">
        <f t="shared" si="66"/>
        <v>4</v>
      </c>
      <c r="BJ420" s="69">
        <f t="shared" si="67"/>
        <v>5</v>
      </c>
      <c r="BK420" s="69">
        <f t="shared" si="64"/>
        <v>0</v>
      </c>
      <c r="BM420" s="75"/>
      <c r="BN420" s="57">
        <f t="shared" si="62"/>
        <v>0</v>
      </c>
      <c r="BO420" s="80"/>
      <c r="BP420" s="81">
        <v>2</v>
      </c>
      <c r="BQ420" s="81"/>
      <c r="BR420" s="81"/>
      <c r="BS420" s="81">
        <v>2</v>
      </c>
      <c r="BT420" s="81">
        <v>1</v>
      </c>
      <c r="BU420" s="81"/>
      <c r="BV420" s="81"/>
      <c r="BW420" s="81"/>
      <c r="BX420" s="81"/>
      <c r="BY420" s="81"/>
      <c r="BZ420" s="9">
        <f t="shared" si="63"/>
        <v>5</v>
      </c>
      <c r="CB420" s="3"/>
      <c r="CD420" s="10"/>
      <c r="CE420" s="11"/>
    </row>
    <row r="421" spans="1:83" s="2" customFormat="1" ht="19.5" thickBot="1" x14ac:dyDescent="0.35">
      <c r="A421" s="17">
        <v>446</v>
      </c>
      <c r="B421" s="135"/>
      <c r="C421" s="20" t="s">
        <v>69</v>
      </c>
      <c r="D421" s="21"/>
      <c r="E421" s="21"/>
      <c r="F421" s="21"/>
      <c r="G421" s="32"/>
      <c r="H421" s="33"/>
      <c r="I421" s="41"/>
      <c r="J421" s="33"/>
      <c r="K421" s="41"/>
      <c r="L421" s="33"/>
      <c r="M421" s="41"/>
      <c r="N421" s="33"/>
      <c r="O421" s="41"/>
      <c r="P421" s="33"/>
      <c r="Q421" s="41"/>
      <c r="R421" s="33"/>
      <c r="S421" s="33"/>
      <c r="T421" s="33"/>
      <c r="U421" s="41"/>
      <c r="V421" s="33"/>
      <c r="W421" s="33"/>
      <c r="X421" s="33"/>
      <c r="Y421" s="33"/>
      <c r="Z421" s="33"/>
      <c r="AA421" s="33"/>
      <c r="AB421" s="33"/>
      <c r="AC421" s="33"/>
      <c r="AD421" s="47"/>
      <c r="AE421" s="47"/>
      <c r="AF421" s="47"/>
      <c r="AG421" s="47"/>
      <c r="AH421" s="47"/>
      <c r="AI421" s="47"/>
      <c r="AJ421" s="47"/>
      <c r="AK421" s="47"/>
      <c r="AL421" s="47">
        <v>6</v>
      </c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55">
        <f t="shared" si="65"/>
        <v>6</v>
      </c>
      <c r="AZ421" s="59"/>
      <c r="BA421" s="60"/>
      <c r="BB421" s="60">
        <f>+'[1]25'!R724</f>
        <v>0</v>
      </c>
      <c r="BC421" s="60">
        <v>1</v>
      </c>
      <c r="BD421" s="60"/>
      <c r="BE421" s="60"/>
      <c r="BF421" s="60"/>
      <c r="BG421" s="60"/>
      <c r="BH421" s="60"/>
      <c r="BI421" s="58">
        <f t="shared" si="66"/>
        <v>1</v>
      </c>
      <c r="BJ421" s="70">
        <f t="shared" si="67"/>
        <v>5</v>
      </c>
      <c r="BK421" s="70">
        <f t="shared" si="64"/>
        <v>0</v>
      </c>
      <c r="BL421" s="76"/>
      <c r="BM421" s="77"/>
      <c r="BN421" s="60">
        <f t="shared" si="62"/>
        <v>4</v>
      </c>
      <c r="BO421" s="82"/>
      <c r="BP421" s="83">
        <v>1</v>
      </c>
      <c r="BQ421" s="83"/>
      <c r="BR421" s="83"/>
      <c r="BS421" s="83"/>
      <c r="BT421" s="83"/>
      <c r="BU421" s="83"/>
      <c r="BV421" s="83"/>
      <c r="BW421" s="83"/>
      <c r="BX421" s="83"/>
      <c r="BY421" s="83"/>
      <c r="BZ421" s="9">
        <f t="shared" si="63"/>
        <v>1</v>
      </c>
      <c r="CB421" s="3"/>
      <c r="CD421" s="10"/>
      <c r="CE421" s="11"/>
    </row>
    <row r="422" spans="1:83" s="2" customFormat="1" ht="19.5" thickBot="1" x14ac:dyDescent="0.35">
      <c r="A422" s="17">
        <v>447</v>
      </c>
      <c r="B422" s="134" t="s">
        <v>147</v>
      </c>
      <c r="C422" s="18" t="s">
        <v>82</v>
      </c>
      <c r="D422" s="19"/>
      <c r="E422" s="19"/>
      <c r="F422" s="19"/>
      <c r="G422" s="30"/>
      <c r="H422" s="31"/>
      <c r="I422" s="40"/>
      <c r="J422" s="31"/>
      <c r="K422" s="40"/>
      <c r="L422" s="31"/>
      <c r="M422" s="40"/>
      <c r="N422" s="31"/>
      <c r="O422" s="40"/>
      <c r="P422" s="31"/>
      <c r="Q422" s="40"/>
      <c r="R422" s="31"/>
      <c r="S422" s="31"/>
      <c r="T422" s="31"/>
      <c r="U422" s="40"/>
      <c r="V422" s="31"/>
      <c r="W422" s="31"/>
      <c r="X422" s="31"/>
      <c r="Y422" s="31"/>
      <c r="Z422" s="31"/>
      <c r="AA422" s="31"/>
      <c r="AB422" s="31"/>
      <c r="AC422" s="31"/>
      <c r="AD422" s="46"/>
      <c r="AE422" s="46"/>
      <c r="AF422" s="46"/>
      <c r="AG422" s="46"/>
      <c r="AH422" s="46"/>
      <c r="AI422" s="46"/>
      <c r="AJ422" s="46"/>
      <c r="AK422" s="46"/>
      <c r="AL422" s="46">
        <v>12</v>
      </c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55">
        <f t="shared" si="65"/>
        <v>12</v>
      </c>
      <c r="AZ422" s="56"/>
      <c r="BA422" s="57"/>
      <c r="BB422" s="57">
        <f>+'[1]25'!R725</f>
        <v>0</v>
      </c>
      <c r="BC422" s="57">
        <v>4</v>
      </c>
      <c r="BD422" s="57"/>
      <c r="BE422" s="57"/>
      <c r="BF422" s="57"/>
      <c r="BG422" s="57"/>
      <c r="BH422" s="57"/>
      <c r="BI422" s="55">
        <f t="shared" si="66"/>
        <v>4</v>
      </c>
      <c r="BJ422" s="69">
        <f t="shared" si="67"/>
        <v>8</v>
      </c>
      <c r="BK422" s="69">
        <f t="shared" si="64"/>
        <v>0</v>
      </c>
      <c r="BM422" s="75"/>
      <c r="BN422" s="57">
        <f t="shared" si="62"/>
        <v>2</v>
      </c>
      <c r="BO422" s="80"/>
      <c r="BP422" s="81">
        <v>1</v>
      </c>
      <c r="BQ422" s="81">
        <v>2</v>
      </c>
      <c r="BR422" s="81">
        <v>1</v>
      </c>
      <c r="BS422" s="81">
        <v>1</v>
      </c>
      <c r="BT422" s="81">
        <v>1</v>
      </c>
      <c r="BU422" s="81"/>
      <c r="BV422" s="81"/>
      <c r="BW422" s="81"/>
      <c r="BX422" s="81"/>
      <c r="BY422" s="81"/>
      <c r="BZ422" s="9">
        <f t="shared" si="63"/>
        <v>6</v>
      </c>
      <c r="CB422" s="3"/>
      <c r="CD422" s="10"/>
      <c r="CE422" s="11"/>
    </row>
    <row r="423" spans="1:83" s="2" customFormat="1" ht="19.5" thickBot="1" x14ac:dyDescent="0.35">
      <c r="A423" s="17">
        <v>448</v>
      </c>
      <c r="B423" s="135"/>
      <c r="C423" s="18" t="s">
        <v>83</v>
      </c>
      <c r="D423" s="19"/>
      <c r="E423" s="19"/>
      <c r="F423" s="19"/>
      <c r="G423" s="30"/>
      <c r="H423" s="31"/>
      <c r="I423" s="40"/>
      <c r="J423" s="31"/>
      <c r="K423" s="40"/>
      <c r="L423" s="31"/>
      <c r="M423" s="40"/>
      <c r="N423" s="31"/>
      <c r="O423" s="40"/>
      <c r="P423" s="31"/>
      <c r="Q423" s="40"/>
      <c r="R423" s="31"/>
      <c r="S423" s="31"/>
      <c r="T423" s="31"/>
      <c r="U423" s="40"/>
      <c r="V423" s="31"/>
      <c r="W423" s="31"/>
      <c r="X423" s="31"/>
      <c r="Y423" s="31"/>
      <c r="Z423" s="31"/>
      <c r="AA423" s="31"/>
      <c r="AB423" s="31"/>
      <c r="AC423" s="31"/>
      <c r="AD423" s="46"/>
      <c r="AE423" s="46"/>
      <c r="AF423" s="46"/>
      <c r="AG423" s="46"/>
      <c r="AH423" s="46"/>
      <c r="AI423" s="46"/>
      <c r="AJ423" s="46"/>
      <c r="AK423" s="46"/>
      <c r="AL423" s="46">
        <v>18</v>
      </c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55">
        <f t="shared" si="65"/>
        <v>18</v>
      </c>
      <c r="AZ423" s="56"/>
      <c r="BA423" s="57"/>
      <c r="BB423" s="57">
        <f>+'[1]25'!R726</f>
        <v>0</v>
      </c>
      <c r="BC423" s="57">
        <v>4</v>
      </c>
      <c r="BD423" s="57"/>
      <c r="BE423" s="57"/>
      <c r="BF423" s="57"/>
      <c r="BG423" s="57"/>
      <c r="BH423" s="57"/>
      <c r="BI423" s="55">
        <f t="shared" si="66"/>
        <v>4</v>
      </c>
      <c r="BJ423" s="69">
        <f t="shared" si="67"/>
        <v>14</v>
      </c>
      <c r="BK423" s="69">
        <f t="shared" si="64"/>
        <v>0</v>
      </c>
      <c r="BM423" s="75"/>
      <c r="BN423" s="57">
        <f t="shared" si="62"/>
        <v>5</v>
      </c>
      <c r="BO423" s="80"/>
      <c r="BP423" s="81">
        <v>2</v>
      </c>
      <c r="BQ423" s="81">
        <v>3</v>
      </c>
      <c r="BR423" s="81">
        <v>1</v>
      </c>
      <c r="BS423" s="81">
        <v>2</v>
      </c>
      <c r="BT423" s="81">
        <v>1</v>
      </c>
      <c r="BU423" s="81"/>
      <c r="BV423" s="81"/>
      <c r="BW423" s="81"/>
      <c r="BX423" s="81"/>
      <c r="BY423" s="81"/>
      <c r="BZ423" s="9">
        <f t="shared" si="63"/>
        <v>9</v>
      </c>
      <c r="CB423" s="3"/>
      <c r="CD423" s="10"/>
      <c r="CE423" s="11"/>
    </row>
    <row r="424" spans="1:83" s="2" customFormat="1" ht="19.5" thickBot="1" x14ac:dyDescent="0.35">
      <c r="A424" s="17">
        <v>449</v>
      </c>
      <c r="B424" s="135"/>
      <c r="C424" s="18" t="s">
        <v>84</v>
      </c>
      <c r="D424" s="19"/>
      <c r="E424" s="19"/>
      <c r="F424" s="19"/>
      <c r="G424" s="30"/>
      <c r="H424" s="31"/>
      <c r="I424" s="40"/>
      <c r="J424" s="31"/>
      <c r="K424" s="40"/>
      <c r="L424" s="31"/>
      <c r="M424" s="40"/>
      <c r="N424" s="31"/>
      <c r="O424" s="40"/>
      <c r="P424" s="31"/>
      <c r="Q424" s="40"/>
      <c r="R424" s="31"/>
      <c r="S424" s="31"/>
      <c r="T424" s="31"/>
      <c r="U424" s="40"/>
      <c r="V424" s="31"/>
      <c r="W424" s="31"/>
      <c r="X424" s="31"/>
      <c r="Y424" s="31"/>
      <c r="Z424" s="31"/>
      <c r="AA424" s="31"/>
      <c r="AB424" s="31"/>
      <c r="AC424" s="31"/>
      <c r="AD424" s="46"/>
      <c r="AE424" s="46"/>
      <c r="AF424" s="46"/>
      <c r="AG424" s="46"/>
      <c r="AH424" s="46"/>
      <c r="AI424" s="46"/>
      <c r="AJ424" s="46"/>
      <c r="AK424" s="46"/>
      <c r="AL424" s="46">
        <v>27</v>
      </c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55">
        <f t="shared" si="65"/>
        <v>27</v>
      </c>
      <c r="AZ424" s="56"/>
      <c r="BA424" s="57"/>
      <c r="BB424" s="57">
        <f>+'[1]25'!R727</f>
        <v>0</v>
      </c>
      <c r="BC424" s="57">
        <v>19</v>
      </c>
      <c r="BD424" s="57"/>
      <c r="BE424" s="57"/>
      <c r="BF424" s="57"/>
      <c r="BG424" s="57"/>
      <c r="BH424" s="57"/>
      <c r="BI424" s="55">
        <f t="shared" si="66"/>
        <v>19</v>
      </c>
      <c r="BJ424" s="69">
        <f t="shared" si="67"/>
        <v>8</v>
      </c>
      <c r="BK424" s="69">
        <f t="shared" si="64"/>
        <v>0</v>
      </c>
      <c r="BM424" s="75"/>
      <c r="BN424" s="57">
        <f t="shared" si="62"/>
        <v>3</v>
      </c>
      <c r="BO424" s="80"/>
      <c r="BP424" s="81">
        <v>2</v>
      </c>
      <c r="BQ424" s="81">
        <v>1</v>
      </c>
      <c r="BR424" s="81">
        <v>1</v>
      </c>
      <c r="BS424" s="81"/>
      <c r="BT424" s="81">
        <v>1</v>
      </c>
      <c r="BU424" s="81"/>
      <c r="BV424" s="81"/>
      <c r="BW424" s="81"/>
      <c r="BX424" s="81"/>
      <c r="BY424" s="81"/>
      <c r="BZ424" s="9">
        <f t="shared" si="63"/>
        <v>5</v>
      </c>
      <c r="CB424" s="3"/>
      <c r="CD424" s="10"/>
      <c r="CE424" s="11"/>
    </row>
    <row r="425" spans="1:83" s="2" customFormat="1" ht="19.5" thickBot="1" x14ac:dyDescent="0.35">
      <c r="A425" s="17">
        <v>450</v>
      </c>
      <c r="B425" s="135"/>
      <c r="C425" s="18" t="s">
        <v>85</v>
      </c>
      <c r="D425" s="19"/>
      <c r="E425" s="19"/>
      <c r="F425" s="19"/>
      <c r="G425" s="30"/>
      <c r="H425" s="31"/>
      <c r="I425" s="40"/>
      <c r="J425" s="31"/>
      <c r="K425" s="40"/>
      <c r="L425" s="31"/>
      <c r="M425" s="40"/>
      <c r="N425" s="31"/>
      <c r="O425" s="40"/>
      <c r="P425" s="31"/>
      <c r="Q425" s="40"/>
      <c r="R425" s="31"/>
      <c r="S425" s="31"/>
      <c r="T425" s="31"/>
      <c r="U425" s="40"/>
      <c r="V425" s="31"/>
      <c r="W425" s="31"/>
      <c r="X425" s="31"/>
      <c r="Y425" s="31"/>
      <c r="Z425" s="31"/>
      <c r="AA425" s="31"/>
      <c r="AB425" s="31"/>
      <c r="AC425" s="31"/>
      <c r="AD425" s="46"/>
      <c r="AE425" s="46"/>
      <c r="AF425" s="46"/>
      <c r="AG425" s="46"/>
      <c r="AH425" s="46"/>
      <c r="AI425" s="46"/>
      <c r="AJ425" s="46"/>
      <c r="AK425" s="46"/>
      <c r="AL425" s="46">
        <v>24</v>
      </c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55">
        <f t="shared" si="65"/>
        <v>24</v>
      </c>
      <c r="AZ425" s="56"/>
      <c r="BA425" s="57"/>
      <c r="BB425" s="57">
        <f>+'[1]25'!R728</f>
        <v>0</v>
      </c>
      <c r="BC425" s="57">
        <v>20</v>
      </c>
      <c r="BD425" s="57"/>
      <c r="BE425" s="57"/>
      <c r="BF425" s="57"/>
      <c r="BG425" s="57"/>
      <c r="BH425" s="57"/>
      <c r="BI425" s="55">
        <f t="shared" si="66"/>
        <v>20</v>
      </c>
      <c r="BJ425" s="69">
        <f t="shared" si="67"/>
        <v>4</v>
      </c>
      <c r="BK425" s="69">
        <f t="shared" si="64"/>
        <v>0</v>
      </c>
      <c r="BM425" s="75"/>
      <c r="BN425" s="57">
        <f t="shared" si="62"/>
        <v>0</v>
      </c>
      <c r="BO425" s="80"/>
      <c r="BP425" s="81">
        <v>2</v>
      </c>
      <c r="BQ425" s="81">
        <v>1</v>
      </c>
      <c r="BR425" s="81"/>
      <c r="BS425" s="81">
        <v>1</v>
      </c>
      <c r="BT425" s="81"/>
      <c r="BU425" s="81"/>
      <c r="BV425" s="81"/>
      <c r="BW425" s="81"/>
      <c r="BX425" s="81"/>
      <c r="BY425" s="81"/>
      <c r="BZ425" s="9">
        <f t="shared" si="63"/>
        <v>4</v>
      </c>
      <c r="CB425" s="3"/>
      <c r="CD425" s="10"/>
      <c r="CE425" s="11"/>
    </row>
    <row r="426" spans="1:83" s="2" customFormat="1" ht="19.5" thickBot="1" x14ac:dyDescent="0.35">
      <c r="A426" s="17">
        <v>451</v>
      </c>
      <c r="B426" s="135"/>
      <c r="C426" s="18" t="s">
        <v>86</v>
      </c>
      <c r="D426" s="19"/>
      <c r="E426" s="19"/>
      <c r="F426" s="19"/>
      <c r="G426" s="30"/>
      <c r="H426" s="31"/>
      <c r="I426" s="40"/>
      <c r="J426" s="31"/>
      <c r="K426" s="40"/>
      <c r="L426" s="31"/>
      <c r="M426" s="40"/>
      <c r="N426" s="31"/>
      <c r="O426" s="40"/>
      <c r="P426" s="31"/>
      <c r="Q426" s="40"/>
      <c r="R426" s="31"/>
      <c r="S426" s="31"/>
      <c r="T426" s="31"/>
      <c r="U426" s="40"/>
      <c r="V426" s="31"/>
      <c r="W426" s="31"/>
      <c r="X426" s="31"/>
      <c r="Y426" s="31"/>
      <c r="Z426" s="31"/>
      <c r="AA426" s="31"/>
      <c r="AB426" s="31"/>
      <c r="AC426" s="31"/>
      <c r="AD426" s="46"/>
      <c r="AE426" s="46"/>
      <c r="AF426" s="46"/>
      <c r="AG426" s="46"/>
      <c r="AH426" s="46"/>
      <c r="AI426" s="46"/>
      <c r="AJ426" s="46"/>
      <c r="AK426" s="46"/>
      <c r="AL426" s="46">
        <v>18</v>
      </c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55">
        <f t="shared" si="65"/>
        <v>18</v>
      </c>
      <c r="AZ426" s="56"/>
      <c r="BA426" s="57"/>
      <c r="BB426" s="57">
        <f>+'[1]25'!R729</f>
        <v>0</v>
      </c>
      <c r="BC426" s="57">
        <v>13</v>
      </c>
      <c r="BD426" s="57"/>
      <c r="BE426" s="57"/>
      <c r="BF426" s="57"/>
      <c r="BG426" s="57"/>
      <c r="BH426" s="57"/>
      <c r="BI426" s="55">
        <f t="shared" si="66"/>
        <v>13</v>
      </c>
      <c r="BJ426" s="69">
        <f t="shared" si="67"/>
        <v>5</v>
      </c>
      <c r="BK426" s="69">
        <f t="shared" si="64"/>
        <v>0</v>
      </c>
      <c r="BM426" s="75"/>
      <c r="BN426" s="57">
        <f t="shared" si="62"/>
        <v>1</v>
      </c>
      <c r="BO426" s="80"/>
      <c r="BP426" s="81">
        <v>1</v>
      </c>
      <c r="BQ426" s="81">
        <v>1</v>
      </c>
      <c r="BR426" s="81"/>
      <c r="BS426" s="81"/>
      <c r="BT426" s="81">
        <v>2</v>
      </c>
      <c r="BU426" s="81"/>
      <c r="BV426" s="81"/>
      <c r="BW426" s="81"/>
      <c r="BX426" s="81"/>
      <c r="BY426" s="81"/>
      <c r="BZ426" s="9">
        <f t="shared" si="63"/>
        <v>4</v>
      </c>
      <c r="CB426" s="3"/>
      <c r="CD426" s="10"/>
      <c r="CE426" s="11"/>
    </row>
    <row r="427" spans="1:83" s="2" customFormat="1" ht="19.5" thickBot="1" x14ac:dyDescent="0.35">
      <c r="A427" s="17">
        <v>452</v>
      </c>
      <c r="B427" s="135"/>
      <c r="C427" s="20" t="s">
        <v>87</v>
      </c>
      <c r="D427" s="21"/>
      <c r="E427" s="21"/>
      <c r="F427" s="21"/>
      <c r="G427" s="32"/>
      <c r="H427" s="33"/>
      <c r="I427" s="41"/>
      <c r="J427" s="33"/>
      <c r="K427" s="41"/>
      <c r="L427" s="33"/>
      <c r="M427" s="41"/>
      <c r="N427" s="33"/>
      <c r="O427" s="41"/>
      <c r="P427" s="33"/>
      <c r="Q427" s="41"/>
      <c r="R427" s="33"/>
      <c r="S427" s="33"/>
      <c r="T427" s="33"/>
      <c r="U427" s="41"/>
      <c r="V427" s="33"/>
      <c r="W427" s="33"/>
      <c r="X427" s="33"/>
      <c r="Y427" s="33"/>
      <c r="Z427" s="33"/>
      <c r="AA427" s="33"/>
      <c r="AB427" s="33"/>
      <c r="AC427" s="33"/>
      <c r="AD427" s="47"/>
      <c r="AE427" s="47"/>
      <c r="AF427" s="47"/>
      <c r="AG427" s="47"/>
      <c r="AH427" s="47"/>
      <c r="AI427" s="47"/>
      <c r="AJ427" s="47"/>
      <c r="AK427" s="47"/>
      <c r="AL427" s="47">
        <v>9</v>
      </c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55">
        <f t="shared" si="65"/>
        <v>9</v>
      </c>
      <c r="AZ427" s="59"/>
      <c r="BA427" s="60"/>
      <c r="BB427" s="60">
        <f>+'[1]25'!R730</f>
        <v>0</v>
      </c>
      <c r="BC427" s="60">
        <v>5</v>
      </c>
      <c r="BD427" s="60"/>
      <c r="BE427" s="60"/>
      <c r="BF427" s="60"/>
      <c r="BG427" s="60"/>
      <c r="BH427" s="60"/>
      <c r="BI427" s="58">
        <f t="shared" si="66"/>
        <v>5</v>
      </c>
      <c r="BJ427" s="70">
        <f t="shared" si="67"/>
        <v>4</v>
      </c>
      <c r="BK427" s="70">
        <f t="shared" si="64"/>
        <v>0</v>
      </c>
      <c r="BL427" s="76"/>
      <c r="BM427" s="77"/>
      <c r="BN427" s="60">
        <f t="shared" si="62"/>
        <v>1</v>
      </c>
      <c r="BO427" s="82"/>
      <c r="BP427" s="83">
        <v>1</v>
      </c>
      <c r="BQ427" s="83">
        <v>1</v>
      </c>
      <c r="BR427" s="83">
        <v>1</v>
      </c>
      <c r="BS427" s="83"/>
      <c r="BT427" s="83"/>
      <c r="BU427" s="83"/>
      <c r="BV427" s="83"/>
      <c r="BW427" s="83"/>
      <c r="BX427" s="83"/>
      <c r="BY427" s="83"/>
      <c r="BZ427" s="9">
        <f t="shared" si="63"/>
        <v>3</v>
      </c>
      <c r="CB427" s="3"/>
      <c r="CD427" s="10"/>
      <c r="CE427" s="11"/>
    </row>
    <row r="428" spans="1:83" s="2" customFormat="1" ht="19.5" thickBot="1" x14ac:dyDescent="0.35">
      <c r="A428" s="17">
        <v>453</v>
      </c>
      <c r="B428" s="134" t="s">
        <v>148</v>
      </c>
      <c r="C428" s="18" t="s">
        <v>82</v>
      </c>
      <c r="D428" s="19"/>
      <c r="E428" s="19"/>
      <c r="F428" s="19"/>
      <c r="G428" s="30"/>
      <c r="H428" s="31"/>
      <c r="I428" s="40"/>
      <c r="J428" s="31"/>
      <c r="K428" s="40"/>
      <c r="L428" s="31"/>
      <c r="M428" s="40"/>
      <c r="N428" s="31"/>
      <c r="O428" s="40"/>
      <c r="P428" s="31"/>
      <c r="Q428" s="40"/>
      <c r="R428" s="31"/>
      <c r="S428" s="31"/>
      <c r="T428" s="31"/>
      <c r="U428" s="40"/>
      <c r="V428" s="31"/>
      <c r="W428" s="31"/>
      <c r="X428" s="31"/>
      <c r="Y428" s="31"/>
      <c r="Z428" s="31"/>
      <c r="AA428" s="31"/>
      <c r="AB428" s="31"/>
      <c r="AC428" s="31">
        <v>6</v>
      </c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55">
        <f t="shared" si="65"/>
        <v>6</v>
      </c>
      <c r="AZ428" s="56">
        <v>0</v>
      </c>
      <c r="BA428" s="57">
        <v>0</v>
      </c>
      <c r="BB428" s="57">
        <f>+'[1]25'!R731</f>
        <v>6</v>
      </c>
      <c r="BC428" s="57">
        <v>0</v>
      </c>
      <c r="BD428" s="57"/>
      <c r="BE428" s="57"/>
      <c r="BF428" s="57"/>
      <c r="BG428" s="57"/>
      <c r="BH428" s="57"/>
      <c r="BI428" s="55">
        <f t="shared" si="66"/>
        <v>6</v>
      </c>
      <c r="BJ428" s="69">
        <f t="shared" si="67"/>
        <v>0</v>
      </c>
      <c r="BK428" s="69">
        <f t="shared" si="64"/>
        <v>0</v>
      </c>
      <c r="BM428" s="75"/>
      <c r="BN428" s="57">
        <f t="shared" si="62"/>
        <v>0</v>
      </c>
      <c r="BO428" s="80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9">
        <f t="shared" si="63"/>
        <v>0</v>
      </c>
      <c r="CB428" s="3"/>
      <c r="CD428" s="10"/>
      <c r="CE428" s="11"/>
    </row>
    <row r="429" spans="1:83" s="2" customFormat="1" ht="19.5" thickBot="1" x14ac:dyDescent="0.35">
      <c r="A429" s="17">
        <v>454</v>
      </c>
      <c r="B429" s="135"/>
      <c r="C429" s="18" t="s">
        <v>83</v>
      </c>
      <c r="D429" s="19"/>
      <c r="E429" s="19"/>
      <c r="F429" s="19"/>
      <c r="G429" s="30"/>
      <c r="H429" s="31"/>
      <c r="I429" s="40"/>
      <c r="J429" s="31"/>
      <c r="K429" s="40"/>
      <c r="L429" s="31"/>
      <c r="M429" s="40"/>
      <c r="N429" s="31"/>
      <c r="O429" s="40"/>
      <c r="P429" s="31"/>
      <c r="Q429" s="40"/>
      <c r="R429" s="31"/>
      <c r="S429" s="31"/>
      <c r="T429" s="31"/>
      <c r="U429" s="40"/>
      <c r="V429" s="31"/>
      <c r="W429" s="31"/>
      <c r="X429" s="31"/>
      <c r="Y429" s="31"/>
      <c r="Z429" s="31"/>
      <c r="AA429" s="31"/>
      <c r="AB429" s="31"/>
      <c r="AC429" s="31">
        <v>18</v>
      </c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>
        <v>6</v>
      </c>
      <c r="AP429" s="46"/>
      <c r="AQ429" s="46"/>
      <c r="AR429" s="46"/>
      <c r="AS429" s="46"/>
      <c r="AT429" s="46"/>
      <c r="AU429" s="46"/>
      <c r="AV429" s="46"/>
      <c r="AW429" s="46"/>
      <c r="AX429" s="46"/>
      <c r="AY429" s="55">
        <f t="shared" si="65"/>
        <v>24</v>
      </c>
      <c r="AZ429" s="56">
        <v>0</v>
      </c>
      <c r="BA429" s="57">
        <v>0</v>
      </c>
      <c r="BB429" s="57">
        <f>+'[1]25'!R732</f>
        <v>13</v>
      </c>
      <c r="BC429" s="57">
        <v>9</v>
      </c>
      <c r="BD429" s="57"/>
      <c r="BE429" s="57"/>
      <c r="BF429" s="57"/>
      <c r="BG429" s="57"/>
      <c r="BH429" s="57"/>
      <c r="BI429" s="55">
        <f t="shared" si="66"/>
        <v>22</v>
      </c>
      <c r="BJ429" s="69">
        <f t="shared" si="67"/>
        <v>2</v>
      </c>
      <c r="BK429" s="69">
        <f t="shared" si="64"/>
        <v>0</v>
      </c>
      <c r="BM429" s="75"/>
      <c r="BN429" s="57">
        <f t="shared" si="62"/>
        <v>0</v>
      </c>
      <c r="BO429" s="80"/>
      <c r="BP429" s="81"/>
      <c r="BQ429" s="81"/>
      <c r="BR429" s="81">
        <v>1</v>
      </c>
      <c r="BS429" s="81"/>
      <c r="BT429" s="81">
        <v>1</v>
      </c>
      <c r="BU429" s="81"/>
      <c r="BV429" s="81"/>
      <c r="BW429" s="81"/>
      <c r="BX429" s="81"/>
      <c r="BY429" s="81"/>
      <c r="BZ429" s="9">
        <f t="shared" si="63"/>
        <v>2</v>
      </c>
      <c r="CB429" s="3"/>
      <c r="CD429" s="10"/>
      <c r="CE429" s="11"/>
    </row>
    <row r="430" spans="1:83" s="2" customFormat="1" ht="19.5" thickBot="1" x14ac:dyDescent="0.35">
      <c r="A430" s="17">
        <v>455</v>
      </c>
      <c r="B430" s="135"/>
      <c r="C430" s="18" t="s">
        <v>84</v>
      </c>
      <c r="D430" s="19"/>
      <c r="E430" s="19"/>
      <c r="F430" s="19"/>
      <c r="G430" s="30"/>
      <c r="H430" s="31"/>
      <c r="I430" s="40"/>
      <c r="J430" s="31"/>
      <c r="K430" s="40"/>
      <c r="L430" s="31"/>
      <c r="M430" s="40"/>
      <c r="N430" s="31"/>
      <c r="O430" s="40"/>
      <c r="P430" s="31"/>
      <c r="Q430" s="40"/>
      <c r="R430" s="31"/>
      <c r="S430" s="31"/>
      <c r="T430" s="31"/>
      <c r="U430" s="40"/>
      <c r="V430" s="31"/>
      <c r="W430" s="31"/>
      <c r="X430" s="31"/>
      <c r="Y430" s="31"/>
      <c r="Z430" s="31"/>
      <c r="AA430" s="31"/>
      <c r="AB430" s="31"/>
      <c r="AC430" s="31">
        <v>24</v>
      </c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>
        <v>30</v>
      </c>
      <c r="AP430" s="46"/>
      <c r="AQ430" s="46"/>
      <c r="AR430" s="46"/>
      <c r="AS430" s="46"/>
      <c r="AT430" s="46"/>
      <c r="AU430" s="46"/>
      <c r="AV430" s="46"/>
      <c r="AW430" s="46"/>
      <c r="AX430" s="46"/>
      <c r="AY430" s="55">
        <f t="shared" si="65"/>
        <v>54</v>
      </c>
      <c r="AZ430" s="56">
        <v>0</v>
      </c>
      <c r="BA430" s="57">
        <v>0</v>
      </c>
      <c r="BB430" s="57">
        <f>+'[1]25'!R733</f>
        <v>22</v>
      </c>
      <c r="BC430" s="57">
        <v>11</v>
      </c>
      <c r="BD430" s="57"/>
      <c r="BE430" s="57"/>
      <c r="BF430" s="57"/>
      <c r="BG430" s="57"/>
      <c r="BH430" s="57"/>
      <c r="BI430" s="55">
        <f t="shared" si="66"/>
        <v>33</v>
      </c>
      <c r="BJ430" s="69">
        <f t="shared" si="67"/>
        <v>21</v>
      </c>
      <c r="BK430" s="69">
        <f t="shared" si="64"/>
        <v>0</v>
      </c>
      <c r="BM430" s="75"/>
      <c r="BN430" s="57">
        <f t="shared" si="62"/>
        <v>11</v>
      </c>
      <c r="BO430" s="80"/>
      <c r="BP430" s="81">
        <v>2</v>
      </c>
      <c r="BQ430" s="81">
        <v>1</v>
      </c>
      <c r="BR430" s="81">
        <v>2</v>
      </c>
      <c r="BS430" s="81">
        <v>3</v>
      </c>
      <c r="BT430" s="81">
        <v>2</v>
      </c>
      <c r="BU430" s="81"/>
      <c r="BV430" s="81"/>
      <c r="BW430" s="81"/>
      <c r="BX430" s="81"/>
      <c r="BY430" s="81"/>
      <c r="BZ430" s="9">
        <f t="shared" si="63"/>
        <v>10</v>
      </c>
      <c r="CB430" s="3"/>
      <c r="CD430" s="10"/>
      <c r="CE430" s="11"/>
    </row>
    <row r="431" spans="1:83" s="2" customFormat="1" ht="19.5" thickBot="1" x14ac:dyDescent="0.35">
      <c r="A431" s="17">
        <v>456</v>
      </c>
      <c r="B431" s="135"/>
      <c r="C431" s="18" t="s">
        <v>85</v>
      </c>
      <c r="D431" s="19"/>
      <c r="E431" s="19"/>
      <c r="F431" s="19"/>
      <c r="G431" s="30"/>
      <c r="H431" s="31"/>
      <c r="I431" s="40"/>
      <c r="J431" s="31"/>
      <c r="K431" s="40"/>
      <c r="L431" s="31"/>
      <c r="M431" s="40"/>
      <c r="N431" s="31"/>
      <c r="O431" s="40"/>
      <c r="P431" s="31"/>
      <c r="Q431" s="40"/>
      <c r="R431" s="31"/>
      <c r="S431" s="31"/>
      <c r="T431" s="31"/>
      <c r="U431" s="40"/>
      <c r="V431" s="31"/>
      <c r="W431" s="31"/>
      <c r="X431" s="31"/>
      <c r="Y431" s="31"/>
      <c r="Z431" s="31"/>
      <c r="AA431" s="31"/>
      <c r="AB431" s="31"/>
      <c r="AC431" s="31">
        <v>24</v>
      </c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>
        <v>30</v>
      </c>
      <c r="AP431" s="46"/>
      <c r="AQ431" s="46"/>
      <c r="AR431" s="46"/>
      <c r="AS431" s="46"/>
      <c r="AT431" s="46"/>
      <c r="AU431" s="46"/>
      <c r="AV431" s="46"/>
      <c r="AW431" s="46"/>
      <c r="AX431" s="46"/>
      <c r="AY431" s="55">
        <f t="shared" si="65"/>
        <v>54</v>
      </c>
      <c r="AZ431" s="56">
        <v>0</v>
      </c>
      <c r="BA431" s="57">
        <v>0</v>
      </c>
      <c r="BB431" s="57">
        <f>+'[1]25'!R734</f>
        <v>23</v>
      </c>
      <c r="BC431" s="57">
        <v>15</v>
      </c>
      <c r="BD431" s="57"/>
      <c r="BE431" s="57"/>
      <c r="BF431" s="57"/>
      <c r="BG431" s="57"/>
      <c r="BH431" s="57"/>
      <c r="BI431" s="55">
        <f t="shared" si="66"/>
        <v>38</v>
      </c>
      <c r="BJ431" s="69">
        <f t="shared" si="67"/>
        <v>16</v>
      </c>
      <c r="BK431" s="69">
        <f t="shared" si="64"/>
        <v>0</v>
      </c>
      <c r="BM431" s="75"/>
      <c r="BN431" s="57">
        <f t="shared" si="62"/>
        <v>11</v>
      </c>
      <c r="BO431" s="80"/>
      <c r="BP431" s="81">
        <v>2</v>
      </c>
      <c r="BQ431" s="81"/>
      <c r="BR431" s="81">
        <v>1</v>
      </c>
      <c r="BS431" s="81">
        <v>1</v>
      </c>
      <c r="BT431" s="81">
        <v>1</v>
      </c>
      <c r="BU431" s="81"/>
      <c r="BV431" s="81"/>
      <c r="BW431" s="81"/>
      <c r="BX431" s="81"/>
      <c r="BY431" s="81"/>
      <c r="BZ431" s="9">
        <f t="shared" si="63"/>
        <v>5</v>
      </c>
      <c r="CB431" s="3"/>
      <c r="CD431" s="10"/>
      <c r="CE431" s="11"/>
    </row>
    <row r="432" spans="1:83" s="2" customFormat="1" ht="19.5" thickBot="1" x14ac:dyDescent="0.35">
      <c r="A432" s="17">
        <v>457</v>
      </c>
      <c r="B432" s="135"/>
      <c r="C432" s="18" t="s">
        <v>86</v>
      </c>
      <c r="D432" s="19"/>
      <c r="E432" s="19"/>
      <c r="F432" s="19"/>
      <c r="G432" s="30"/>
      <c r="H432" s="31"/>
      <c r="I432" s="40"/>
      <c r="J432" s="31"/>
      <c r="K432" s="40"/>
      <c r="L432" s="31"/>
      <c r="M432" s="40"/>
      <c r="N432" s="31"/>
      <c r="O432" s="40"/>
      <c r="P432" s="31"/>
      <c r="Q432" s="40"/>
      <c r="R432" s="31"/>
      <c r="S432" s="31"/>
      <c r="T432" s="31"/>
      <c r="U432" s="40"/>
      <c r="V432" s="31"/>
      <c r="W432" s="31"/>
      <c r="X432" s="31"/>
      <c r="Y432" s="31"/>
      <c r="Z432" s="31"/>
      <c r="AA432" s="31"/>
      <c r="AB432" s="31"/>
      <c r="AC432" s="31">
        <v>18</v>
      </c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>
        <v>18</v>
      </c>
      <c r="AP432" s="46"/>
      <c r="AQ432" s="46"/>
      <c r="AR432" s="46"/>
      <c r="AS432" s="46"/>
      <c r="AT432" s="46"/>
      <c r="AU432" s="46"/>
      <c r="AV432" s="46"/>
      <c r="AW432" s="46"/>
      <c r="AX432" s="46"/>
      <c r="AY432" s="55">
        <f t="shared" si="65"/>
        <v>36</v>
      </c>
      <c r="AZ432" s="56">
        <v>0</v>
      </c>
      <c r="BA432" s="57">
        <v>0</v>
      </c>
      <c r="BB432" s="57">
        <f>+'[1]25'!R735</f>
        <v>16</v>
      </c>
      <c r="BC432" s="57">
        <v>6</v>
      </c>
      <c r="BD432" s="57"/>
      <c r="BE432" s="57"/>
      <c r="BF432" s="57"/>
      <c r="BG432" s="57"/>
      <c r="BH432" s="57"/>
      <c r="BI432" s="55">
        <f t="shared" si="66"/>
        <v>22</v>
      </c>
      <c r="BJ432" s="69">
        <f t="shared" si="67"/>
        <v>14</v>
      </c>
      <c r="BK432" s="69">
        <f t="shared" si="64"/>
        <v>0</v>
      </c>
      <c r="BM432" s="75"/>
      <c r="BN432" s="57">
        <f t="shared" si="62"/>
        <v>7</v>
      </c>
      <c r="BO432" s="80"/>
      <c r="BP432" s="81">
        <v>1</v>
      </c>
      <c r="BQ432" s="81">
        <v>1</v>
      </c>
      <c r="BR432" s="81">
        <v>2</v>
      </c>
      <c r="BS432" s="81">
        <v>1</v>
      </c>
      <c r="BT432" s="81">
        <v>2</v>
      </c>
      <c r="BU432" s="81"/>
      <c r="BV432" s="81"/>
      <c r="BW432" s="81"/>
      <c r="BX432" s="81"/>
      <c r="BY432" s="81"/>
      <c r="BZ432" s="9">
        <f t="shared" si="63"/>
        <v>7</v>
      </c>
      <c r="CB432" s="3"/>
      <c r="CD432" s="10"/>
      <c r="CE432" s="11"/>
    </row>
    <row r="433" spans="1:83" s="2" customFormat="1" ht="19.5" thickBot="1" x14ac:dyDescent="0.35">
      <c r="A433" s="17">
        <v>458</v>
      </c>
      <c r="B433" s="135"/>
      <c r="C433" s="18" t="s">
        <v>87</v>
      </c>
      <c r="D433" s="19"/>
      <c r="E433" s="19"/>
      <c r="F433" s="19"/>
      <c r="G433" s="30"/>
      <c r="H433" s="31"/>
      <c r="I433" s="40"/>
      <c r="J433" s="31"/>
      <c r="K433" s="40"/>
      <c r="L433" s="31"/>
      <c r="M433" s="40"/>
      <c r="N433" s="31"/>
      <c r="O433" s="40"/>
      <c r="P433" s="31"/>
      <c r="Q433" s="40"/>
      <c r="R433" s="31"/>
      <c r="S433" s="31"/>
      <c r="T433" s="31"/>
      <c r="U433" s="40"/>
      <c r="V433" s="31"/>
      <c r="W433" s="31"/>
      <c r="X433" s="31"/>
      <c r="Y433" s="31"/>
      <c r="Z433" s="31"/>
      <c r="AA433" s="31"/>
      <c r="AB433" s="31"/>
      <c r="AC433" s="31">
        <v>12</v>
      </c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>
        <v>18</v>
      </c>
      <c r="AP433" s="46"/>
      <c r="AQ433" s="46"/>
      <c r="AR433" s="46"/>
      <c r="AS433" s="46"/>
      <c r="AT433" s="46"/>
      <c r="AU433" s="46"/>
      <c r="AV433" s="46"/>
      <c r="AW433" s="46"/>
      <c r="AX433" s="46"/>
      <c r="AY433" s="55">
        <f t="shared" si="65"/>
        <v>30</v>
      </c>
      <c r="AZ433" s="56">
        <v>0</v>
      </c>
      <c r="BA433" s="57">
        <v>0</v>
      </c>
      <c r="BB433" s="57">
        <f>+'[1]25'!R736</f>
        <v>11</v>
      </c>
      <c r="BC433" s="57">
        <v>5</v>
      </c>
      <c r="BD433" s="57"/>
      <c r="BE433" s="57"/>
      <c r="BF433" s="57"/>
      <c r="BG433" s="57"/>
      <c r="BH433" s="57"/>
      <c r="BI433" s="55">
        <f t="shared" si="66"/>
        <v>16</v>
      </c>
      <c r="BJ433" s="69">
        <f t="shared" si="67"/>
        <v>14</v>
      </c>
      <c r="BK433" s="69">
        <f t="shared" si="64"/>
        <v>0</v>
      </c>
      <c r="BM433" s="75"/>
      <c r="BN433" s="57">
        <f t="shared" si="62"/>
        <v>8</v>
      </c>
      <c r="BO433" s="80"/>
      <c r="BP433" s="81">
        <v>1</v>
      </c>
      <c r="BQ433" s="81">
        <v>1</v>
      </c>
      <c r="BR433" s="81">
        <v>2</v>
      </c>
      <c r="BS433" s="81"/>
      <c r="BT433" s="81">
        <v>2</v>
      </c>
      <c r="BU433" s="81"/>
      <c r="BV433" s="81"/>
      <c r="BW433" s="81"/>
      <c r="BX433" s="81"/>
      <c r="BY433" s="81"/>
      <c r="BZ433" s="9">
        <f t="shared" si="63"/>
        <v>6</v>
      </c>
      <c r="CB433" s="3"/>
      <c r="CD433" s="10"/>
      <c r="CE433" s="11"/>
    </row>
    <row r="434" spans="1:83" s="2" customFormat="1" ht="19.5" thickBot="1" x14ac:dyDescent="0.35">
      <c r="A434" s="17">
        <v>459</v>
      </c>
      <c r="B434" s="135"/>
      <c r="C434" s="20" t="s">
        <v>88</v>
      </c>
      <c r="D434" s="21"/>
      <c r="E434" s="21"/>
      <c r="F434" s="21"/>
      <c r="G434" s="32"/>
      <c r="H434" s="33"/>
      <c r="I434" s="41"/>
      <c r="J434" s="33"/>
      <c r="K434" s="41"/>
      <c r="L434" s="33"/>
      <c r="M434" s="41"/>
      <c r="N434" s="33"/>
      <c r="O434" s="41"/>
      <c r="P434" s="33"/>
      <c r="Q434" s="41"/>
      <c r="R434" s="33"/>
      <c r="S434" s="33"/>
      <c r="T434" s="33"/>
      <c r="U434" s="41"/>
      <c r="V434" s="33"/>
      <c r="W434" s="33"/>
      <c r="X434" s="33"/>
      <c r="Y434" s="33"/>
      <c r="Z434" s="33"/>
      <c r="AA434" s="33"/>
      <c r="AB434" s="33"/>
      <c r="AC434" s="33">
        <v>6</v>
      </c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>
        <v>6</v>
      </c>
      <c r="AP434" s="47"/>
      <c r="AQ434" s="47"/>
      <c r="AR434" s="47"/>
      <c r="AS434" s="47"/>
      <c r="AT434" s="47"/>
      <c r="AU434" s="47"/>
      <c r="AV434" s="47"/>
      <c r="AW434" s="47"/>
      <c r="AX434" s="47"/>
      <c r="AY434" s="55">
        <f t="shared" si="65"/>
        <v>12</v>
      </c>
      <c r="AZ434" s="59">
        <v>0</v>
      </c>
      <c r="BA434" s="60">
        <v>0</v>
      </c>
      <c r="BB434" s="60">
        <f>+'[1]25'!R737</f>
        <v>5</v>
      </c>
      <c r="BC434" s="60">
        <v>4</v>
      </c>
      <c r="BD434" s="60"/>
      <c r="BE434" s="60"/>
      <c r="BF434" s="60"/>
      <c r="BG434" s="60"/>
      <c r="BH434" s="60"/>
      <c r="BI434" s="58">
        <f t="shared" si="66"/>
        <v>9</v>
      </c>
      <c r="BJ434" s="70">
        <f t="shared" si="67"/>
        <v>3</v>
      </c>
      <c r="BK434" s="70">
        <f t="shared" si="64"/>
        <v>0</v>
      </c>
      <c r="BL434" s="76"/>
      <c r="BM434" s="77"/>
      <c r="BN434" s="60">
        <f t="shared" si="62"/>
        <v>0</v>
      </c>
      <c r="BO434" s="82"/>
      <c r="BP434" s="83">
        <v>1</v>
      </c>
      <c r="BQ434" s="83">
        <v>1</v>
      </c>
      <c r="BR434" s="83">
        <v>1</v>
      </c>
      <c r="BS434" s="83"/>
      <c r="BT434" s="83"/>
      <c r="BU434" s="83"/>
      <c r="BV434" s="83"/>
      <c r="BW434" s="83"/>
      <c r="BX434" s="83"/>
      <c r="BY434" s="83"/>
      <c r="BZ434" s="9">
        <f t="shared" si="63"/>
        <v>3</v>
      </c>
      <c r="CB434" s="3"/>
      <c r="CD434" s="10"/>
      <c r="CE434" s="11"/>
    </row>
    <row r="435" spans="1:83" s="2" customFormat="1" ht="19.5" thickBot="1" x14ac:dyDescent="0.35">
      <c r="A435" s="17">
        <v>460</v>
      </c>
      <c r="B435" s="134" t="s">
        <v>149</v>
      </c>
      <c r="C435" s="18" t="s">
        <v>61</v>
      </c>
      <c r="D435" s="19"/>
      <c r="E435" s="19"/>
      <c r="F435" s="19"/>
      <c r="G435" s="30"/>
      <c r="H435" s="31"/>
      <c r="I435" s="40"/>
      <c r="J435" s="31"/>
      <c r="K435" s="40"/>
      <c r="L435" s="31"/>
      <c r="M435" s="40"/>
      <c r="N435" s="31"/>
      <c r="O435" s="40"/>
      <c r="P435" s="31"/>
      <c r="Q435" s="40"/>
      <c r="R435" s="31"/>
      <c r="S435" s="31"/>
      <c r="T435" s="31"/>
      <c r="U435" s="40"/>
      <c r="V435" s="31"/>
      <c r="W435" s="31"/>
      <c r="X435" s="31"/>
      <c r="Y435" s="31"/>
      <c r="Z435" s="31"/>
      <c r="AA435" s="31"/>
      <c r="AB435" s="31"/>
      <c r="AC435" s="31"/>
      <c r="AD435" s="46">
        <v>6</v>
      </c>
      <c r="AE435" s="46"/>
      <c r="AF435" s="46"/>
      <c r="AG435" s="46"/>
      <c r="AH435" s="46"/>
      <c r="AI435" s="46"/>
      <c r="AJ435" s="46">
        <v>12</v>
      </c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55">
        <f t="shared" si="65"/>
        <v>18</v>
      </c>
      <c r="AZ435" s="56">
        <v>0</v>
      </c>
      <c r="BA435" s="57">
        <v>0</v>
      </c>
      <c r="BB435" s="57">
        <f>+'[1]25'!R738</f>
        <v>7</v>
      </c>
      <c r="BC435" s="57">
        <v>8</v>
      </c>
      <c r="BD435" s="57"/>
      <c r="BE435" s="57"/>
      <c r="BF435" s="57"/>
      <c r="BG435" s="57"/>
      <c r="BH435" s="57"/>
      <c r="BI435" s="55">
        <f t="shared" si="66"/>
        <v>15</v>
      </c>
      <c r="BJ435" s="69">
        <f t="shared" si="67"/>
        <v>3</v>
      </c>
      <c r="BK435" s="69">
        <f t="shared" si="64"/>
        <v>0</v>
      </c>
      <c r="BM435" s="75"/>
      <c r="BN435" s="57">
        <f t="shared" si="62"/>
        <v>1</v>
      </c>
      <c r="BO435" s="80"/>
      <c r="BP435" s="81"/>
      <c r="BQ435" s="81">
        <v>1</v>
      </c>
      <c r="BR435" s="81">
        <v>1</v>
      </c>
      <c r="BS435" s="81"/>
      <c r="BT435" s="81"/>
      <c r="BU435" s="81"/>
      <c r="BV435" s="81"/>
      <c r="BW435" s="81"/>
      <c r="BX435" s="81"/>
      <c r="BY435" s="81"/>
      <c r="BZ435" s="9">
        <f t="shared" si="63"/>
        <v>2</v>
      </c>
      <c r="CB435" s="3"/>
      <c r="CD435" s="10"/>
      <c r="CE435" s="11"/>
    </row>
    <row r="436" spans="1:83" s="2" customFormat="1" ht="19.5" thickBot="1" x14ac:dyDescent="0.35">
      <c r="A436" s="17">
        <v>461</v>
      </c>
      <c r="B436" s="135"/>
      <c r="C436" s="18" t="s">
        <v>62</v>
      </c>
      <c r="D436" s="19"/>
      <c r="E436" s="19"/>
      <c r="F436" s="19"/>
      <c r="G436" s="30"/>
      <c r="H436" s="31"/>
      <c r="I436" s="40"/>
      <c r="J436" s="31"/>
      <c r="K436" s="40"/>
      <c r="L436" s="31"/>
      <c r="M436" s="40"/>
      <c r="N436" s="31"/>
      <c r="O436" s="40"/>
      <c r="P436" s="31"/>
      <c r="Q436" s="40"/>
      <c r="R436" s="31"/>
      <c r="S436" s="31"/>
      <c r="T436" s="31"/>
      <c r="U436" s="40"/>
      <c r="V436" s="31"/>
      <c r="W436" s="31"/>
      <c r="X436" s="31"/>
      <c r="Y436" s="31"/>
      <c r="Z436" s="31"/>
      <c r="AA436" s="31"/>
      <c r="AB436" s="31"/>
      <c r="AC436" s="31"/>
      <c r="AD436" s="46">
        <v>9</v>
      </c>
      <c r="AE436" s="46"/>
      <c r="AF436" s="46"/>
      <c r="AG436" s="46"/>
      <c r="AH436" s="46"/>
      <c r="AI436" s="46"/>
      <c r="AJ436" s="46">
        <v>18</v>
      </c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55">
        <f t="shared" si="65"/>
        <v>27</v>
      </c>
      <c r="AZ436" s="56">
        <v>0</v>
      </c>
      <c r="BA436" s="57">
        <v>0</v>
      </c>
      <c r="BB436" s="57">
        <f>+'[1]25'!R739</f>
        <v>9</v>
      </c>
      <c r="BC436" s="57">
        <v>16</v>
      </c>
      <c r="BD436" s="57"/>
      <c r="BE436" s="57"/>
      <c r="BF436" s="57"/>
      <c r="BG436" s="57"/>
      <c r="BH436" s="57"/>
      <c r="BI436" s="55">
        <f t="shared" si="66"/>
        <v>25</v>
      </c>
      <c r="BJ436" s="69">
        <f t="shared" si="67"/>
        <v>2</v>
      </c>
      <c r="BK436" s="69">
        <f t="shared" si="64"/>
        <v>0</v>
      </c>
      <c r="BM436" s="75"/>
      <c r="BN436" s="57">
        <f t="shared" si="62"/>
        <v>0</v>
      </c>
      <c r="BO436" s="80"/>
      <c r="BP436" s="81"/>
      <c r="BQ436" s="81">
        <v>2</v>
      </c>
      <c r="BR436" s="81"/>
      <c r="BS436" s="81"/>
      <c r="BT436" s="81"/>
      <c r="BU436" s="81"/>
      <c r="BV436" s="81"/>
      <c r="BW436" s="81"/>
      <c r="BX436" s="81"/>
      <c r="BY436" s="81"/>
      <c r="BZ436" s="9">
        <f t="shared" si="63"/>
        <v>2</v>
      </c>
      <c r="CB436" s="3"/>
      <c r="CD436" s="10"/>
      <c r="CE436" s="11"/>
    </row>
    <row r="437" spans="1:83" s="2" customFormat="1" ht="19.5" thickBot="1" x14ac:dyDescent="0.35">
      <c r="A437" s="17">
        <v>462</v>
      </c>
      <c r="B437" s="135"/>
      <c r="C437" s="18" t="s">
        <v>63</v>
      </c>
      <c r="D437" s="19"/>
      <c r="E437" s="19"/>
      <c r="F437" s="19"/>
      <c r="G437" s="30"/>
      <c r="H437" s="31"/>
      <c r="I437" s="40"/>
      <c r="J437" s="31"/>
      <c r="K437" s="40"/>
      <c r="L437" s="31"/>
      <c r="M437" s="40"/>
      <c r="N437" s="31"/>
      <c r="O437" s="40"/>
      <c r="P437" s="31"/>
      <c r="Q437" s="40"/>
      <c r="R437" s="31"/>
      <c r="S437" s="31"/>
      <c r="T437" s="31"/>
      <c r="U437" s="40"/>
      <c r="V437" s="31"/>
      <c r="W437" s="31"/>
      <c r="X437" s="31"/>
      <c r="Y437" s="31"/>
      <c r="Z437" s="31"/>
      <c r="AA437" s="31"/>
      <c r="AB437" s="31"/>
      <c r="AC437" s="31"/>
      <c r="AD437" s="46">
        <v>15</v>
      </c>
      <c r="AE437" s="46"/>
      <c r="AF437" s="46"/>
      <c r="AG437" s="46"/>
      <c r="AH437" s="46"/>
      <c r="AI437" s="46"/>
      <c r="AJ437" s="46">
        <v>30</v>
      </c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55">
        <f t="shared" si="65"/>
        <v>45</v>
      </c>
      <c r="AZ437" s="56">
        <v>0</v>
      </c>
      <c r="BA437" s="57">
        <v>0</v>
      </c>
      <c r="BB437" s="57">
        <f>+'[1]25'!R740</f>
        <v>15</v>
      </c>
      <c r="BC437" s="57">
        <v>21</v>
      </c>
      <c r="BD437" s="57"/>
      <c r="BE437" s="57"/>
      <c r="BF437" s="57"/>
      <c r="BG437" s="57"/>
      <c r="BH437" s="57"/>
      <c r="BI437" s="55">
        <f t="shared" si="66"/>
        <v>36</v>
      </c>
      <c r="BJ437" s="69">
        <f t="shared" si="67"/>
        <v>9</v>
      </c>
      <c r="BK437" s="69">
        <f t="shared" si="64"/>
        <v>0</v>
      </c>
      <c r="BM437" s="75"/>
      <c r="BN437" s="57">
        <f t="shared" si="62"/>
        <v>3</v>
      </c>
      <c r="BO437" s="80"/>
      <c r="BP437" s="81">
        <v>2</v>
      </c>
      <c r="BQ437" s="81">
        <v>1</v>
      </c>
      <c r="BR437" s="81"/>
      <c r="BS437" s="81">
        <v>1</v>
      </c>
      <c r="BT437" s="81">
        <v>2</v>
      </c>
      <c r="BU437" s="81"/>
      <c r="BV437" s="81"/>
      <c r="BW437" s="81"/>
      <c r="BX437" s="81"/>
      <c r="BY437" s="81"/>
      <c r="BZ437" s="9">
        <f t="shared" si="63"/>
        <v>6</v>
      </c>
      <c r="CB437" s="3"/>
      <c r="CD437" s="10"/>
      <c r="CE437" s="11"/>
    </row>
    <row r="438" spans="1:83" s="2" customFormat="1" ht="19.5" thickBot="1" x14ac:dyDescent="0.35">
      <c r="A438" s="17">
        <v>463</v>
      </c>
      <c r="B438" s="135"/>
      <c r="C438" s="18" t="s">
        <v>64</v>
      </c>
      <c r="D438" s="19"/>
      <c r="E438" s="19"/>
      <c r="F438" s="19"/>
      <c r="G438" s="30"/>
      <c r="H438" s="31"/>
      <c r="I438" s="40"/>
      <c r="J438" s="31"/>
      <c r="K438" s="40"/>
      <c r="L438" s="31"/>
      <c r="M438" s="40"/>
      <c r="N438" s="31"/>
      <c r="O438" s="40"/>
      <c r="P438" s="31"/>
      <c r="Q438" s="40"/>
      <c r="R438" s="31"/>
      <c r="S438" s="31"/>
      <c r="T438" s="31"/>
      <c r="U438" s="40"/>
      <c r="V438" s="31"/>
      <c r="W438" s="31"/>
      <c r="X438" s="31"/>
      <c r="Y438" s="31"/>
      <c r="Z438" s="31"/>
      <c r="AA438" s="31"/>
      <c r="AB438" s="31"/>
      <c r="AC438" s="31"/>
      <c r="AD438" s="46">
        <v>21</v>
      </c>
      <c r="AE438" s="46"/>
      <c r="AF438" s="46"/>
      <c r="AG438" s="46"/>
      <c r="AH438" s="46"/>
      <c r="AI438" s="46">
        <v>-1</v>
      </c>
      <c r="AJ438" s="46">
        <v>42</v>
      </c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55">
        <f t="shared" si="65"/>
        <v>62</v>
      </c>
      <c r="AZ438" s="56">
        <v>0</v>
      </c>
      <c r="BA438" s="57">
        <v>0</v>
      </c>
      <c r="BB438" s="57">
        <f>+'[1]25'!R741</f>
        <v>24</v>
      </c>
      <c r="BC438" s="57">
        <v>27</v>
      </c>
      <c r="BD438" s="57"/>
      <c r="BE438" s="57"/>
      <c r="BF438" s="57"/>
      <c r="BG438" s="57"/>
      <c r="BH438" s="57"/>
      <c r="BI438" s="55">
        <f t="shared" si="66"/>
        <v>51</v>
      </c>
      <c r="BJ438" s="69">
        <f t="shared" si="67"/>
        <v>11</v>
      </c>
      <c r="BK438" s="69">
        <f t="shared" si="64"/>
        <v>0</v>
      </c>
      <c r="BM438" s="75"/>
      <c r="BN438" s="57">
        <f t="shared" si="62"/>
        <v>3</v>
      </c>
      <c r="BO438" s="80"/>
      <c r="BP438" s="81">
        <v>1</v>
      </c>
      <c r="BQ438" s="81">
        <v>2</v>
      </c>
      <c r="BR438" s="81">
        <v>1</v>
      </c>
      <c r="BS438" s="81">
        <v>2</v>
      </c>
      <c r="BT438" s="81">
        <v>2</v>
      </c>
      <c r="BU438" s="81"/>
      <c r="BV438" s="81"/>
      <c r="BW438" s="81"/>
      <c r="BX438" s="81"/>
      <c r="BY438" s="81"/>
      <c r="BZ438" s="9">
        <f t="shared" si="63"/>
        <v>8</v>
      </c>
      <c r="CB438" s="3"/>
      <c r="CD438" s="10"/>
      <c r="CE438" s="11"/>
    </row>
    <row r="439" spans="1:83" s="2" customFormat="1" ht="19.5" thickBot="1" x14ac:dyDescent="0.35">
      <c r="A439" s="17">
        <v>464</v>
      </c>
      <c r="B439" s="135"/>
      <c r="C439" s="18" t="s">
        <v>65</v>
      </c>
      <c r="D439" s="19"/>
      <c r="E439" s="19"/>
      <c r="F439" s="19"/>
      <c r="G439" s="30"/>
      <c r="H439" s="31"/>
      <c r="I439" s="40"/>
      <c r="J439" s="31"/>
      <c r="K439" s="40"/>
      <c r="L439" s="31"/>
      <c r="M439" s="40"/>
      <c r="N439" s="31"/>
      <c r="O439" s="40"/>
      <c r="P439" s="31"/>
      <c r="Q439" s="40"/>
      <c r="R439" s="31"/>
      <c r="S439" s="31"/>
      <c r="T439" s="31"/>
      <c r="U439" s="40"/>
      <c r="V439" s="31"/>
      <c r="W439" s="31"/>
      <c r="X439" s="31"/>
      <c r="Y439" s="31"/>
      <c r="Z439" s="31"/>
      <c r="AA439" s="31"/>
      <c r="AB439" s="31"/>
      <c r="AC439" s="31"/>
      <c r="AD439" s="46">
        <v>24</v>
      </c>
      <c r="AE439" s="46"/>
      <c r="AF439" s="46"/>
      <c r="AG439" s="46"/>
      <c r="AH439" s="46"/>
      <c r="AI439" s="46"/>
      <c r="AJ439" s="46">
        <v>48</v>
      </c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55">
        <f t="shared" si="65"/>
        <v>72</v>
      </c>
      <c r="AZ439" s="56">
        <v>0</v>
      </c>
      <c r="BA439" s="57">
        <v>0</v>
      </c>
      <c r="BB439" s="57">
        <f>+'[1]25'!R742</f>
        <v>25</v>
      </c>
      <c r="BC439" s="57">
        <v>25</v>
      </c>
      <c r="BD439" s="57"/>
      <c r="BE439" s="57"/>
      <c r="BF439" s="57"/>
      <c r="BG439" s="57"/>
      <c r="BH439" s="57"/>
      <c r="BI439" s="55">
        <f t="shared" si="66"/>
        <v>50</v>
      </c>
      <c r="BJ439" s="69">
        <f t="shared" si="67"/>
        <v>22</v>
      </c>
      <c r="BK439" s="69">
        <f t="shared" si="64"/>
        <v>0</v>
      </c>
      <c r="BM439" s="75"/>
      <c r="BN439" s="57">
        <f t="shared" ref="BN439:BN502" si="68">+BJ439-BZ439</f>
        <v>13</v>
      </c>
      <c r="BO439" s="80"/>
      <c r="BP439" s="81">
        <v>2</v>
      </c>
      <c r="BQ439" s="81">
        <v>1</v>
      </c>
      <c r="BR439" s="81">
        <v>1</v>
      </c>
      <c r="BS439" s="81">
        <v>3</v>
      </c>
      <c r="BT439" s="81">
        <v>2</v>
      </c>
      <c r="BU439" s="81"/>
      <c r="BV439" s="81"/>
      <c r="BW439" s="81"/>
      <c r="BX439" s="81"/>
      <c r="BY439" s="81"/>
      <c r="BZ439" s="9">
        <f t="shared" si="63"/>
        <v>9</v>
      </c>
      <c r="CB439" s="3"/>
      <c r="CD439" s="10"/>
      <c r="CE439" s="11"/>
    </row>
    <row r="440" spans="1:83" s="2" customFormat="1" ht="19.5" thickBot="1" x14ac:dyDescent="0.35">
      <c r="A440" s="17">
        <v>465</v>
      </c>
      <c r="B440" s="135"/>
      <c r="C440" s="18" t="s">
        <v>66</v>
      </c>
      <c r="D440" s="19"/>
      <c r="E440" s="19"/>
      <c r="F440" s="19"/>
      <c r="G440" s="30"/>
      <c r="H440" s="31"/>
      <c r="I440" s="40"/>
      <c r="J440" s="31"/>
      <c r="K440" s="40"/>
      <c r="L440" s="31"/>
      <c r="M440" s="40"/>
      <c r="N440" s="31"/>
      <c r="O440" s="40"/>
      <c r="P440" s="31"/>
      <c r="Q440" s="40"/>
      <c r="R440" s="31"/>
      <c r="S440" s="31"/>
      <c r="T440" s="31"/>
      <c r="U440" s="40"/>
      <c r="V440" s="31"/>
      <c r="W440" s="31"/>
      <c r="X440" s="31"/>
      <c r="Y440" s="31"/>
      <c r="Z440" s="31"/>
      <c r="AA440" s="31"/>
      <c r="AB440" s="31"/>
      <c r="AC440" s="31"/>
      <c r="AD440" s="46">
        <v>15</v>
      </c>
      <c r="AE440" s="46"/>
      <c r="AF440" s="46"/>
      <c r="AG440" s="46"/>
      <c r="AH440" s="46"/>
      <c r="AI440" s="46">
        <v>-1</v>
      </c>
      <c r="AJ440" s="46">
        <v>30</v>
      </c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55">
        <f t="shared" si="65"/>
        <v>44</v>
      </c>
      <c r="AZ440" s="56">
        <v>0</v>
      </c>
      <c r="BA440" s="57">
        <v>0</v>
      </c>
      <c r="BB440" s="57">
        <f>+'[1]25'!R743</f>
        <v>16</v>
      </c>
      <c r="BC440" s="57">
        <v>18</v>
      </c>
      <c r="BD440" s="57"/>
      <c r="BE440" s="57"/>
      <c r="BF440" s="57"/>
      <c r="BG440" s="57"/>
      <c r="BH440" s="57"/>
      <c r="BI440" s="55">
        <f t="shared" si="66"/>
        <v>34</v>
      </c>
      <c r="BJ440" s="69">
        <f t="shared" si="67"/>
        <v>10</v>
      </c>
      <c r="BK440" s="69">
        <f t="shared" si="64"/>
        <v>0</v>
      </c>
      <c r="BM440" s="75"/>
      <c r="BN440" s="57">
        <f t="shared" si="68"/>
        <v>3</v>
      </c>
      <c r="BO440" s="80"/>
      <c r="BP440" s="81">
        <v>1</v>
      </c>
      <c r="BQ440" s="81">
        <v>2</v>
      </c>
      <c r="BR440" s="81">
        <v>1</v>
      </c>
      <c r="BS440" s="81">
        <v>1</v>
      </c>
      <c r="BT440" s="81">
        <v>2</v>
      </c>
      <c r="BU440" s="81"/>
      <c r="BV440" s="81"/>
      <c r="BW440" s="81"/>
      <c r="BX440" s="81"/>
      <c r="BY440" s="81"/>
      <c r="BZ440" s="9">
        <f t="shared" si="63"/>
        <v>7</v>
      </c>
      <c r="CB440" s="3"/>
      <c r="CD440" s="10"/>
      <c r="CE440" s="11"/>
    </row>
    <row r="441" spans="1:83" s="2" customFormat="1" ht="19.5" thickBot="1" x14ac:dyDescent="0.35">
      <c r="A441" s="17">
        <v>466</v>
      </c>
      <c r="B441" s="135"/>
      <c r="C441" s="18" t="s">
        <v>67</v>
      </c>
      <c r="D441" s="19"/>
      <c r="E441" s="19"/>
      <c r="F441" s="19"/>
      <c r="G441" s="30"/>
      <c r="H441" s="31"/>
      <c r="I441" s="40"/>
      <c r="J441" s="31"/>
      <c r="K441" s="40"/>
      <c r="L441" s="31"/>
      <c r="M441" s="40"/>
      <c r="N441" s="31"/>
      <c r="O441" s="40"/>
      <c r="P441" s="31"/>
      <c r="Q441" s="40"/>
      <c r="R441" s="31"/>
      <c r="S441" s="31"/>
      <c r="T441" s="31"/>
      <c r="U441" s="40"/>
      <c r="V441" s="31"/>
      <c r="W441" s="31"/>
      <c r="X441" s="31"/>
      <c r="Y441" s="31"/>
      <c r="Z441" s="31"/>
      <c r="AA441" s="31"/>
      <c r="AB441" s="31"/>
      <c r="AC441" s="31"/>
      <c r="AD441" s="46">
        <v>12</v>
      </c>
      <c r="AE441" s="46"/>
      <c r="AF441" s="46"/>
      <c r="AG441" s="46"/>
      <c r="AH441" s="46"/>
      <c r="AI441" s="46"/>
      <c r="AJ441" s="46">
        <v>24</v>
      </c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55">
        <f t="shared" si="65"/>
        <v>36</v>
      </c>
      <c r="AZ441" s="56">
        <v>0</v>
      </c>
      <c r="BA441" s="57">
        <v>0</v>
      </c>
      <c r="BB441" s="57">
        <f>+'[1]25'!R744</f>
        <v>12</v>
      </c>
      <c r="BC441" s="57">
        <v>18</v>
      </c>
      <c r="BD441" s="57"/>
      <c r="BE441" s="57"/>
      <c r="BF441" s="57"/>
      <c r="BG441" s="57"/>
      <c r="BH441" s="57"/>
      <c r="BI441" s="55">
        <f t="shared" si="66"/>
        <v>30</v>
      </c>
      <c r="BJ441" s="69">
        <f t="shared" si="67"/>
        <v>6</v>
      </c>
      <c r="BK441" s="69">
        <f t="shared" si="64"/>
        <v>0</v>
      </c>
      <c r="BM441" s="75"/>
      <c r="BN441" s="57">
        <f t="shared" si="68"/>
        <v>2</v>
      </c>
      <c r="BO441" s="80"/>
      <c r="BP441" s="81"/>
      <c r="BQ441" s="81">
        <v>1</v>
      </c>
      <c r="BR441" s="81">
        <v>1</v>
      </c>
      <c r="BS441" s="81">
        <v>1</v>
      </c>
      <c r="BT441" s="81">
        <v>1</v>
      </c>
      <c r="BU441" s="81"/>
      <c r="BV441" s="81"/>
      <c r="BW441" s="81"/>
      <c r="BX441" s="81"/>
      <c r="BY441" s="81"/>
      <c r="BZ441" s="9">
        <f t="shared" ref="BZ441:BZ504" si="69">SUM(BP441:BY441)</f>
        <v>4</v>
      </c>
      <c r="CB441" s="3"/>
      <c r="CD441" s="10"/>
      <c r="CE441" s="11"/>
    </row>
    <row r="442" spans="1:83" s="2" customFormat="1" ht="19.5" thickBot="1" x14ac:dyDescent="0.35">
      <c r="A442" s="17">
        <v>467</v>
      </c>
      <c r="B442" s="135"/>
      <c r="C442" s="18" t="s">
        <v>68</v>
      </c>
      <c r="D442" s="19"/>
      <c r="E442" s="19"/>
      <c r="F442" s="19"/>
      <c r="G442" s="30"/>
      <c r="H442" s="31"/>
      <c r="I442" s="40"/>
      <c r="J442" s="31"/>
      <c r="K442" s="40"/>
      <c r="L442" s="31"/>
      <c r="M442" s="40"/>
      <c r="N442" s="31"/>
      <c r="O442" s="40"/>
      <c r="P442" s="31"/>
      <c r="Q442" s="40"/>
      <c r="R442" s="31"/>
      <c r="S442" s="31"/>
      <c r="T442" s="31"/>
      <c r="U442" s="40"/>
      <c r="V442" s="31"/>
      <c r="W442" s="31"/>
      <c r="X442" s="31"/>
      <c r="Y442" s="31"/>
      <c r="Z442" s="31"/>
      <c r="AA442" s="31"/>
      <c r="AB442" s="31"/>
      <c r="AC442" s="31"/>
      <c r="AD442" s="46">
        <v>9</v>
      </c>
      <c r="AE442" s="46"/>
      <c r="AF442" s="46"/>
      <c r="AG442" s="46"/>
      <c r="AH442" s="46"/>
      <c r="AI442" s="46"/>
      <c r="AJ442" s="46">
        <v>18</v>
      </c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55">
        <f t="shared" si="65"/>
        <v>27</v>
      </c>
      <c r="AZ442" s="56">
        <v>0</v>
      </c>
      <c r="BA442" s="57">
        <v>0</v>
      </c>
      <c r="BB442" s="57">
        <f>+'[1]25'!R745</f>
        <v>9</v>
      </c>
      <c r="BC442" s="57">
        <v>7</v>
      </c>
      <c r="BD442" s="57"/>
      <c r="BE442" s="57"/>
      <c r="BF442" s="57"/>
      <c r="BG442" s="57"/>
      <c r="BH442" s="57"/>
      <c r="BI442" s="55">
        <f t="shared" si="66"/>
        <v>16</v>
      </c>
      <c r="BJ442" s="69">
        <f t="shared" si="67"/>
        <v>11</v>
      </c>
      <c r="BK442" s="69">
        <f t="shared" si="64"/>
        <v>0</v>
      </c>
      <c r="BM442" s="75"/>
      <c r="BN442" s="57">
        <f t="shared" si="68"/>
        <v>5</v>
      </c>
      <c r="BO442" s="80"/>
      <c r="BP442" s="81">
        <v>1</v>
      </c>
      <c r="BQ442" s="81">
        <v>1</v>
      </c>
      <c r="BR442" s="81">
        <v>1</v>
      </c>
      <c r="BS442" s="81">
        <v>2</v>
      </c>
      <c r="BT442" s="81">
        <v>1</v>
      </c>
      <c r="BU442" s="81"/>
      <c r="BV442" s="81"/>
      <c r="BW442" s="81"/>
      <c r="BX442" s="81"/>
      <c r="BY442" s="81"/>
      <c r="BZ442" s="9">
        <f t="shared" si="69"/>
        <v>6</v>
      </c>
      <c r="CB442" s="3"/>
      <c r="CD442" s="10"/>
      <c r="CE442" s="11"/>
    </row>
    <row r="443" spans="1:83" s="2" customFormat="1" ht="19.5" thickBot="1" x14ac:dyDescent="0.35">
      <c r="A443" s="17">
        <v>468</v>
      </c>
      <c r="B443" s="135"/>
      <c r="C443" s="18" t="s">
        <v>69</v>
      </c>
      <c r="D443" s="19"/>
      <c r="E443" s="19"/>
      <c r="F443" s="19"/>
      <c r="G443" s="30"/>
      <c r="H443" s="31"/>
      <c r="I443" s="40"/>
      <c r="J443" s="31"/>
      <c r="K443" s="40"/>
      <c r="L443" s="31"/>
      <c r="M443" s="40"/>
      <c r="N443" s="31"/>
      <c r="O443" s="40"/>
      <c r="P443" s="31"/>
      <c r="Q443" s="40"/>
      <c r="R443" s="31"/>
      <c r="S443" s="31"/>
      <c r="T443" s="31"/>
      <c r="U443" s="40"/>
      <c r="V443" s="31"/>
      <c r="W443" s="31"/>
      <c r="X443" s="31"/>
      <c r="Y443" s="31"/>
      <c r="Z443" s="31"/>
      <c r="AA443" s="31"/>
      <c r="AB443" s="31"/>
      <c r="AC443" s="31"/>
      <c r="AD443" s="46">
        <v>6</v>
      </c>
      <c r="AE443" s="46"/>
      <c r="AF443" s="46"/>
      <c r="AG443" s="46"/>
      <c r="AH443" s="46"/>
      <c r="AI443" s="46"/>
      <c r="AJ443" s="46">
        <v>12</v>
      </c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55">
        <f t="shared" si="65"/>
        <v>18</v>
      </c>
      <c r="AZ443" s="56">
        <v>0</v>
      </c>
      <c r="BA443" s="57">
        <v>0</v>
      </c>
      <c r="BB443" s="57">
        <f>+'[1]25'!R746</f>
        <v>4</v>
      </c>
      <c r="BC443" s="57">
        <v>2</v>
      </c>
      <c r="BD443" s="57"/>
      <c r="BE443" s="57"/>
      <c r="BF443" s="57"/>
      <c r="BG443" s="57"/>
      <c r="BH443" s="57"/>
      <c r="BI443" s="55">
        <f t="shared" si="66"/>
        <v>6</v>
      </c>
      <c r="BJ443" s="69">
        <f t="shared" si="67"/>
        <v>12</v>
      </c>
      <c r="BK443" s="69">
        <f t="shared" si="64"/>
        <v>0</v>
      </c>
      <c r="BM443" s="75"/>
      <c r="BN443" s="57">
        <f t="shared" si="68"/>
        <v>9</v>
      </c>
      <c r="BO443" s="80"/>
      <c r="BP443" s="81">
        <v>2</v>
      </c>
      <c r="BQ443" s="81"/>
      <c r="BR443" s="81">
        <v>1</v>
      </c>
      <c r="BS443" s="81"/>
      <c r="BT443" s="81"/>
      <c r="BU443" s="81"/>
      <c r="BV443" s="81"/>
      <c r="BW443" s="81"/>
      <c r="BX443" s="81"/>
      <c r="BY443" s="81"/>
      <c r="BZ443" s="9">
        <f t="shared" si="69"/>
        <v>3</v>
      </c>
      <c r="CB443" s="3"/>
      <c r="CD443" s="10"/>
      <c r="CE443" s="11"/>
    </row>
    <row r="444" spans="1:83" s="2" customFormat="1" ht="19.5" thickBot="1" x14ac:dyDescent="0.35">
      <c r="A444" s="17">
        <v>469</v>
      </c>
      <c r="B444" s="135"/>
      <c r="C444" s="20" t="s">
        <v>70</v>
      </c>
      <c r="D444" s="21"/>
      <c r="E444" s="21"/>
      <c r="F444" s="21"/>
      <c r="G444" s="32"/>
      <c r="H444" s="33"/>
      <c r="I444" s="41"/>
      <c r="J444" s="33"/>
      <c r="K444" s="41"/>
      <c r="L444" s="33"/>
      <c r="M444" s="41"/>
      <c r="N444" s="33"/>
      <c r="O444" s="41"/>
      <c r="P444" s="33"/>
      <c r="Q444" s="41"/>
      <c r="R444" s="33"/>
      <c r="S444" s="33"/>
      <c r="T444" s="33"/>
      <c r="U444" s="41"/>
      <c r="V444" s="33"/>
      <c r="W444" s="33"/>
      <c r="X444" s="33"/>
      <c r="Y444" s="33"/>
      <c r="Z444" s="33"/>
      <c r="AA444" s="33"/>
      <c r="AB444" s="33"/>
      <c r="AC444" s="33"/>
      <c r="AD444" s="47">
        <v>3</v>
      </c>
      <c r="AE444" s="47"/>
      <c r="AF444" s="47"/>
      <c r="AG444" s="47"/>
      <c r="AH444" s="47"/>
      <c r="AI444" s="47"/>
      <c r="AJ444" s="47">
        <v>6</v>
      </c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55">
        <f t="shared" si="65"/>
        <v>9</v>
      </c>
      <c r="AZ444" s="59">
        <v>0</v>
      </c>
      <c r="BA444" s="60">
        <v>0</v>
      </c>
      <c r="BB444" s="60">
        <f>+'[1]25'!R747</f>
        <v>2</v>
      </c>
      <c r="BC444" s="60">
        <v>0</v>
      </c>
      <c r="BD444" s="60"/>
      <c r="BE444" s="60"/>
      <c r="BF444" s="60"/>
      <c r="BG444" s="60"/>
      <c r="BH444" s="60"/>
      <c r="BI444" s="58">
        <f t="shared" si="66"/>
        <v>2</v>
      </c>
      <c r="BJ444" s="70">
        <f t="shared" si="67"/>
        <v>7</v>
      </c>
      <c r="BK444" s="70">
        <f t="shared" ref="BK444:BK507" si="70">SUM(AT444:AX444)</f>
        <v>0</v>
      </c>
      <c r="BL444" s="76"/>
      <c r="BM444" s="77"/>
      <c r="BN444" s="60">
        <f t="shared" si="68"/>
        <v>4</v>
      </c>
      <c r="BO444" s="82"/>
      <c r="BP444" s="83">
        <v>2</v>
      </c>
      <c r="BQ444" s="83"/>
      <c r="BR444" s="83">
        <v>1</v>
      </c>
      <c r="BS444" s="83"/>
      <c r="BT444" s="83"/>
      <c r="BU444" s="83"/>
      <c r="BV444" s="83"/>
      <c r="BW444" s="83"/>
      <c r="BX444" s="83"/>
      <c r="BY444" s="83"/>
      <c r="BZ444" s="9">
        <f t="shared" si="69"/>
        <v>3</v>
      </c>
      <c r="CB444" s="3"/>
      <c r="CD444" s="10"/>
      <c r="CE444" s="11"/>
    </row>
    <row r="445" spans="1:83" s="2" customFormat="1" ht="19.5" thickBot="1" x14ac:dyDescent="0.35">
      <c r="A445" s="17">
        <v>470</v>
      </c>
      <c r="B445" s="134" t="s">
        <v>150</v>
      </c>
      <c r="C445" s="18" t="s">
        <v>62</v>
      </c>
      <c r="D445" s="19"/>
      <c r="E445" s="19"/>
      <c r="F445" s="19"/>
      <c r="G445" s="30"/>
      <c r="H445" s="31"/>
      <c r="I445" s="40"/>
      <c r="J445" s="31"/>
      <c r="K445" s="40"/>
      <c r="L445" s="31"/>
      <c r="M445" s="40"/>
      <c r="N445" s="31"/>
      <c r="O445" s="40"/>
      <c r="P445" s="31"/>
      <c r="Q445" s="40"/>
      <c r="R445" s="31"/>
      <c r="S445" s="31"/>
      <c r="T445" s="31"/>
      <c r="U445" s="40"/>
      <c r="V445" s="31"/>
      <c r="W445" s="31"/>
      <c r="X445" s="31"/>
      <c r="Y445" s="31"/>
      <c r="Z445" s="31"/>
      <c r="AA445" s="31"/>
      <c r="AB445" s="31"/>
      <c r="AC445" s="31"/>
      <c r="AD445" s="46">
        <v>9</v>
      </c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55">
        <f t="shared" ref="AY445:AY508" si="71">SUM(D445:AS445)</f>
        <v>9</v>
      </c>
      <c r="AZ445" s="56">
        <v>0</v>
      </c>
      <c r="BA445" s="57">
        <v>0</v>
      </c>
      <c r="BB445" s="57">
        <f>+'[1]25'!R748</f>
        <v>2</v>
      </c>
      <c r="BC445" s="57">
        <v>3</v>
      </c>
      <c r="BD445" s="57"/>
      <c r="BE445" s="57"/>
      <c r="BF445" s="57"/>
      <c r="BG445" s="57"/>
      <c r="BH445" s="57"/>
      <c r="BI445" s="55">
        <f t="shared" ref="BI445:BI508" si="72">SUM(AZ445:BH445)</f>
        <v>5</v>
      </c>
      <c r="BJ445" s="69">
        <f t="shared" ref="BJ445:BJ508" si="73">+AY445-BI445</f>
        <v>4</v>
      </c>
      <c r="BK445" s="69">
        <f t="shared" si="70"/>
        <v>0</v>
      </c>
      <c r="BM445" s="75"/>
      <c r="BN445" s="57">
        <f t="shared" si="68"/>
        <v>1</v>
      </c>
      <c r="BO445" s="80"/>
      <c r="BP445" s="81">
        <v>1</v>
      </c>
      <c r="BQ445" s="81"/>
      <c r="BR445" s="81">
        <v>2</v>
      </c>
      <c r="BS445" s="81"/>
      <c r="BT445" s="81"/>
      <c r="BU445" s="81"/>
      <c r="BV445" s="81"/>
      <c r="BW445" s="81"/>
      <c r="BX445" s="81"/>
      <c r="BY445" s="81"/>
      <c r="BZ445" s="9">
        <f t="shared" si="69"/>
        <v>3</v>
      </c>
      <c r="CB445" s="3"/>
      <c r="CD445" s="10"/>
      <c r="CE445" s="11"/>
    </row>
    <row r="446" spans="1:83" s="2" customFormat="1" ht="19.5" thickBot="1" x14ac:dyDescent="0.35">
      <c r="A446" s="17">
        <v>471</v>
      </c>
      <c r="B446" s="135"/>
      <c r="C446" s="18" t="s">
        <v>63</v>
      </c>
      <c r="D446" s="19"/>
      <c r="E446" s="19"/>
      <c r="F446" s="19"/>
      <c r="G446" s="30"/>
      <c r="H446" s="31"/>
      <c r="I446" s="40"/>
      <c r="J446" s="31"/>
      <c r="K446" s="40"/>
      <c r="L446" s="31"/>
      <c r="M446" s="40"/>
      <c r="N446" s="31"/>
      <c r="O446" s="40"/>
      <c r="P446" s="31"/>
      <c r="Q446" s="40"/>
      <c r="R446" s="31"/>
      <c r="S446" s="31"/>
      <c r="T446" s="31"/>
      <c r="U446" s="40"/>
      <c r="V446" s="31"/>
      <c r="W446" s="31"/>
      <c r="X446" s="31"/>
      <c r="Y446" s="31"/>
      <c r="Z446" s="31"/>
      <c r="AA446" s="31"/>
      <c r="AB446" s="31"/>
      <c r="AC446" s="31"/>
      <c r="AD446" s="46">
        <v>12</v>
      </c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55">
        <f t="shared" si="71"/>
        <v>12</v>
      </c>
      <c r="AZ446" s="56">
        <v>0</v>
      </c>
      <c r="BA446" s="57">
        <v>0</v>
      </c>
      <c r="BB446" s="57">
        <f>+'[1]25'!R749</f>
        <v>2</v>
      </c>
      <c r="BC446" s="57">
        <v>1</v>
      </c>
      <c r="BD446" s="57"/>
      <c r="BE446" s="57"/>
      <c r="BF446" s="57"/>
      <c r="BG446" s="57"/>
      <c r="BH446" s="57"/>
      <c r="BI446" s="55">
        <f t="shared" si="72"/>
        <v>3</v>
      </c>
      <c r="BJ446" s="69">
        <f t="shared" si="73"/>
        <v>9</v>
      </c>
      <c r="BK446" s="69">
        <f t="shared" si="70"/>
        <v>0</v>
      </c>
      <c r="BM446" s="75"/>
      <c r="BN446" s="57">
        <f t="shared" si="68"/>
        <v>2</v>
      </c>
      <c r="BO446" s="80"/>
      <c r="BP446" s="81">
        <v>1</v>
      </c>
      <c r="BQ446" s="81">
        <v>1</v>
      </c>
      <c r="BR446" s="81">
        <v>3</v>
      </c>
      <c r="BS446" s="81">
        <v>1</v>
      </c>
      <c r="BT446" s="81">
        <v>1</v>
      </c>
      <c r="BU446" s="81"/>
      <c r="BV446" s="81"/>
      <c r="BW446" s="81"/>
      <c r="BX446" s="81"/>
      <c r="BY446" s="81"/>
      <c r="BZ446" s="9">
        <f t="shared" si="69"/>
        <v>7</v>
      </c>
      <c r="CB446" s="3"/>
      <c r="CD446" s="10"/>
      <c r="CE446" s="11"/>
    </row>
    <row r="447" spans="1:83" s="2" customFormat="1" ht="19.5" thickBot="1" x14ac:dyDescent="0.35">
      <c r="A447" s="17">
        <v>472</v>
      </c>
      <c r="B447" s="135"/>
      <c r="C447" s="18" t="s">
        <v>64</v>
      </c>
      <c r="D447" s="19"/>
      <c r="E447" s="19"/>
      <c r="F447" s="19"/>
      <c r="G447" s="30"/>
      <c r="H447" s="31"/>
      <c r="I447" s="40"/>
      <c r="J447" s="31"/>
      <c r="K447" s="40"/>
      <c r="L447" s="31"/>
      <c r="M447" s="40"/>
      <c r="N447" s="31"/>
      <c r="O447" s="40"/>
      <c r="P447" s="31"/>
      <c r="Q447" s="40"/>
      <c r="R447" s="31"/>
      <c r="S447" s="31"/>
      <c r="T447" s="31"/>
      <c r="U447" s="40"/>
      <c r="V447" s="31"/>
      <c r="W447" s="31"/>
      <c r="X447" s="31"/>
      <c r="Y447" s="31"/>
      <c r="Z447" s="31"/>
      <c r="AA447" s="31"/>
      <c r="AB447" s="31"/>
      <c r="AC447" s="31"/>
      <c r="AD447" s="46">
        <v>21</v>
      </c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55">
        <f t="shared" si="71"/>
        <v>21</v>
      </c>
      <c r="AZ447" s="56">
        <v>0</v>
      </c>
      <c r="BA447" s="57">
        <v>0</v>
      </c>
      <c r="BB447" s="57">
        <f>+'[1]25'!R750</f>
        <v>0</v>
      </c>
      <c r="BC447" s="57">
        <v>2</v>
      </c>
      <c r="BD447" s="57"/>
      <c r="BE447" s="57"/>
      <c r="BF447" s="57"/>
      <c r="BG447" s="57"/>
      <c r="BH447" s="57"/>
      <c r="BI447" s="55">
        <f t="shared" si="72"/>
        <v>2</v>
      </c>
      <c r="BJ447" s="69">
        <f t="shared" si="73"/>
        <v>19</v>
      </c>
      <c r="BK447" s="69">
        <f t="shared" si="70"/>
        <v>0</v>
      </c>
      <c r="BM447" s="75"/>
      <c r="BN447" s="57">
        <f t="shared" si="68"/>
        <v>11</v>
      </c>
      <c r="BO447" s="80"/>
      <c r="BP447" s="81"/>
      <c r="BQ447" s="81">
        <v>1</v>
      </c>
      <c r="BR447" s="81">
        <v>4</v>
      </c>
      <c r="BS447" s="81">
        <v>2</v>
      </c>
      <c r="BT447" s="81">
        <v>1</v>
      </c>
      <c r="BU447" s="81"/>
      <c r="BV447" s="81"/>
      <c r="BW447" s="81"/>
      <c r="BX447" s="81"/>
      <c r="BY447" s="81"/>
      <c r="BZ447" s="9">
        <f t="shared" si="69"/>
        <v>8</v>
      </c>
      <c r="CB447" s="3"/>
      <c r="CD447" s="10"/>
      <c r="CE447" s="11"/>
    </row>
    <row r="448" spans="1:83" s="2" customFormat="1" ht="19.5" thickBot="1" x14ac:dyDescent="0.35">
      <c r="A448" s="17">
        <v>473</v>
      </c>
      <c r="B448" s="135"/>
      <c r="C448" s="18" t="s">
        <v>65</v>
      </c>
      <c r="D448" s="19"/>
      <c r="E448" s="19"/>
      <c r="F448" s="19"/>
      <c r="G448" s="30"/>
      <c r="H448" s="31"/>
      <c r="I448" s="40"/>
      <c r="J448" s="31"/>
      <c r="K448" s="40"/>
      <c r="L448" s="31"/>
      <c r="M448" s="40"/>
      <c r="N448" s="31"/>
      <c r="O448" s="40"/>
      <c r="P448" s="31"/>
      <c r="Q448" s="40"/>
      <c r="R448" s="31"/>
      <c r="S448" s="31"/>
      <c r="T448" s="31"/>
      <c r="U448" s="40"/>
      <c r="V448" s="31"/>
      <c r="W448" s="31"/>
      <c r="X448" s="31"/>
      <c r="Y448" s="31"/>
      <c r="Z448" s="31"/>
      <c r="AA448" s="31"/>
      <c r="AB448" s="31"/>
      <c r="AC448" s="31"/>
      <c r="AD448" s="46">
        <v>24</v>
      </c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55">
        <f t="shared" si="71"/>
        <v>24</v>
      </c>
      <c r="AZ448" s="56">
        <v>0</v>
      </c>
      <c r="BA448" s="57">
        <v>0</v>
      </c>
      <c r="BB448" s="57">
        <f>+'[1]25'!R751</f>
        <v>3</v>
      </c>
      <c r="BC448" s="57">
        <v>4</v>
      </c>
      <c r="BD448" s="57"/>
      <c r="BE448" s="57"/>
      <c r="BF448" s="57"/>
      <c r="BG448" s="57"/>
      <c r="BH448" s="57"/>
      <c r="BI448" s="55">
        <f t="shared" si="72"/>
        <v>7</v>
      </c>
      <c r="BJ448" s="69">
        <f t="shared" si="73"/>
        <v>17</v>
      </c>
      <c r="BK448" s="69">
        <f t="shared" si="70"/>
        <v>0</v>
      </c>
      <c r="BM448" s="75"/>
      <c r="BN448" s="57">
        <f t="shared" si="68"/>
        <v>10</v>
      </c>
      <c r="BO448" s="80"/>
      <c r="BP448" s="81">
        <v>1</v>
      </c>
      <c r="BQ448" s="81">
        <v>1</v>
      </c>
      <c r="BR448" s="81">
        <v>3</v>
      </c>
      <c r="BS448" s="81">
        <v>1</v>
      </c>
      <c r="BT448" s="81">
        <v>1</v>
      </c>
      <c r="BU448" s="81"/>
      <c r="BV448" s="81"/>
      <c r="BW448" s="81"/>
      <c r="BX448" s="81"/>
      <c r="BY448" s="81"/>
      <c r="BZ448" s="9">
        <f t="shared" si="69"/>
        <v>7</v>
      </c>
      <c r="CB448" s="3"/>
      <c r="CD448" s="10"/>
      <c r="CE448" s="11"/>
    </row>
    <row r="449" spans="1:83" s="2" customFormat="1" ht="19.5" thickBot="1" x14ac:dyDescent="0.35">
      <c r="A449" s="17">
        <v>474</v>
      </c>
      <c r="B449" s="135"/>
      <c r="C449" s="18" t="s">
        <v>66</v>
      </c>
      <c r="D449" s="19"/>
      <c r="E449" s="19"/>
      <c r="F449" s="19"/>
      <c r="G449" s="30"/>
      <c r="H449" s="31"/>
      <c r="I449" s="40"/>
      <c r="J449" s="31"/>
      <c r="K449" s="40"/>
      <c r="L449" s="31"/>
      <c r="M449" s="40"/>
      <c r="N449" s="31"/>
      <c r="O449" s="40"/>
      <c r="P449" s="31"/>
      <c r="Q449" s="40"/>
      <c r="R449" s="31"/>
      <c r="S449" s="31"/>
      <c r="T449" s="31"/>
      <c r="U449" s="40"/>
      <c r="V449" s="31"/>
      <c r="W449" s="31"/>
      <c r="X449" s="31"/>
      <c r="Y449" s="31"/>
      <c r="Z449" s="31"/>
      <c r="AA449" s="31"/>
      <c r="AB449" s="31"/>
      <c r="AC449" s="31"/>
      <c r="AD449" s="46">
        <v>15</v>
      </c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55">
        <f t="shared" si="71"/>
        <v>15</v>
      </c>
      <c r="AZ449" s="56">
        <v>0</v>
      </c>
      <c r="BA449" s="57">
        <v>0</v>
      </c>
      <c r="BB449" s="57">
        <f>+'[1]25'!R752</f>
        <v>3</v>
      </c>
      <c r="BC449" s="57">
        <v>3</v>
      </c>
      <c r="BD449" s="57"/>
      <c r="BE449" s="57"/>
      <c r="BF449" s="57"/>
      <c r="BG449" s="57"/>
      <c r="BH449" s="57"/>
      <c r="BI449" s="55">
        <f t="shared" si="72"/>
        <v>6</v>
      </c>
      <c r="BJ449" s="69">
        <f t="shared" si="73"/>
        <v>9</v>
      </c>
      <c r="BK449" s="69">
        <f t="shared" si="70"/>
        <v>0</v>
      </c>
      <c r="BM449" s="75"/>
      <c r="BN449" s="57">
        <f t="shared" si="68"/>
        <v>3</v>
      </c>
      <c r="BO449" s="80"/>
      <c r="BP449" s="81">
        <v>1</v>
      </c>
      <c r="BQ449" s="81">
        <v>1</v>
      </c>
      <c r="BR449" s="81">
        <v>2</v>
      </c>
      <c r="BS449" s="81">
        <v>1</v>
      </c>
      <c r="BT449" s="81">
        <v>1</v>
      </c>
      <c r="BU449" s="81"/>
      <c r="BV449" s="81"/>
      <c r="BW449" s="81"/>
      <c r="BX449" s="81"/>
      <c r="BY449" s="81"/>
      <c r="BZ449" s="9">
        <f t="shared" si="69"/>
        <v>6</v>
      </c>
      <c r="CB449" s="3"/>
      <c r="CD449" s="10"/>
      <c r="CE449" s="11"/>
    </row>
    <row r="450" spans="1:83" s="2" customFormat="1" ht="19.5" thickBot="1" x14ac:dyDescent="0.35">
      <c r="A450" s="17">
        <v>475</v>
      </c>
      <c r="B450" s="135"/>
      <c r="C450" s="18" t="s">
        <v>67</v>
      </c>
      <c r="D450" s="19"/>
      <c r="E450" s="19"/>
      <c r="F450" s="19"/>
      <c r="G450" s="30"/>
      <c r="H450" s="31"/>
      <c r="I450" s="40"/>
      <c r="J450" s="31"/>
      <c r="K450" s="40"/>
      <c r="L450" s="31"/>
      <c r="M450" s="40"/>
      <c r="N450" s="31"/>
      <c r="O450" s="40"/>
      <c r="P450" s="31"/>
      <c r="Q450" s="40"/>
      <c r="R450" s="31"/>
      <c r="S450" s="31"/>
      <c r="T450" s="31"/>
      <c r="U450" s="40"/>
      <c r="V450" s="31"/>
      <c r="W450" s="31"/>
      <c r="X450" s="31"/>
      <c r="Y450" s="31"/>
      <c r="Z450" s="31"/>
      <c r="AA450" s="31"/>
      <c r="AB450" s="31"/>
      <c r="AC450" s="31"/>
      <c r="AD450" s="46">
        <v>12</v>
      </c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55">
        <f t="shared" si="71"/>
        <v>12</v>
      </c>
      <c r="AZ450" s="56">
        <v>0</v>
      </c>
      <c r="BA450" s="57">
        <v>0</v>
      </c>
      <c r="BB450" s="57">
        <f>+'[1]25'!R753</f>
        <v>2</v>
      </c>
      <c r="BC450" s="57">
        <v>2</v>
      </c>
      <c r="BD450" s="57"/>
      <c r="BE450" s="57"/>
      <c r="BF450" s="57"/>
      <c r="BG450" s="57"/>
      <c r="BH450" s="57"/>
      <c r="BI450" s="55">
        <f t="shared" si="72"/>
        <v>4</v>
      </c>
      <c r="BJ450" s="69">
        <f t="shared" si="73"/>
        <v>8</v>
      </c>
      <c r="BK450" s="69">
        <f t="shared" si="70"/>
        <v>0</v>
      </c>
      <c r="BM450" s="75"/>
      <c r="BN450" s="57">
        <f t="shared" si="68"/>
        <v>5</v>
      </c>
      <c r="BO450" s="80"/>
      <c r="BP450" s="81"/>
      <c r="BQ450" s="81">
        <v>1</v>
      </c>
      <c r="BR450" s="81"/>
      <c r="BS450" s="81">
        <v>1</v>
      </c>
      <c r="BT450" s="81">
        <v>1</v>
      </c>
      <c r="BU450" s="81"/>
      <c r="BV450" s="81"/>
      <c r="BW450" s="81"/>
      <c r="BX450" s="81"/>
      <c r="BY450" s="81"/>
      <c r="BZ450" s="9">
        <f t="shared" si="69"/>
        <v>3</v>
      </c>
      <c r="CB450" s="3"/>
      <c r="CD450" s="10"/>
      <c r="CE450" s="11"/>
    </row>
    <row r="451" spans="1:83" s="2" customFormat="1" ht="19.5" thickBot="1" x14ac:dyDescent="0.35">
      <c r="A451" s="17">
        <v>476</v>
      </c>
      <c r="B451" s="135"/>
      <c r="C451" s="18" t="s">
        <v>68</v>
      </c>
      <c r="D451" s="19"/>
      <c r="E451" s="19"/>
      <c r="F451" s="19"/>
      <c r="G451" s="30"/>
      <c r="H451" s="31"/>
      <c r="I451" s="40"/>
      <c r="J451" s="31"/>
      <c r="K451" s="40"/>
      <c r="L451" s="31"/>
      <c r="M451" s="40"/>
      <c r="N451" s="31"/>
      <c r="O451" s="40"/>
      <c r="P451" s="31"/>
      <c r="Q451" s="40"/>
      <c r="R451" s="31"/>
      <c r="S451" s="31"/>
      <c r="T451" s="31"/>
      <c r="U451" s="40"/>
      <c r="V451" s="31"/>
      <c r="W451" s="31"/>
      <c r="X451" s="31"/>
      <c r="Y451" s="31"/>
      <c r="Z451" s="31"/>
      <c r="AA451" s="31"/>
      <c r="AB451" s="31"/>
      <c r="AC451" s="31"/>
      <c r="AD451" s="46">
        <v>9</v>
      </c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55">
        <f t="shared" si="71"/>
        <v>9</v>
      </c>
      <c r="AZ451" s="56">
        <v>0</v>
      </c>
      <c r="BA451" s="57">
        <v>0</v>
      </c>
      <c r="BB451" s="57">
        <f>+'[1]25'!R754</f>
        <v>2</v>
      </c>
      <c r="BC451" s="57">
        <v>0</v>
      </c>
      <c r="BD451" s="57"/>
      <c r="BE451" s="57"/>
      <c r="BF451" s="57"/>
      <c r="BG451" s="57"/>
      <c r="BH451" s="57"/>
      <c r="BI451" s="55">
        <f t="shared" si="72"/>
        <v>2</v>
      </c>
      <c r="BJ451" s="69">
        <f t="shared" si="73"/>
        <v>7</v>
      </c>
      <c r="BK451" s="69">
        <f t="shared" si="70"/>
        <v>0</v>
      </c>
      <c r="BM451" s="75"/>
      <c r="BN451" s="57">
        <f t="shared" si="68"/>
        <v>3</v>
      </c>
      <c r="BO451" s="80"/>
      <c r="BP451" s="81">
        <v>1</v>
      </c>
      <c r="BQ451" s="81">
        <v>1</v>
      </c>
      <c r="BR451" s="81">
        <v>1</v>
      </c>
      <c r="BS451" s="81">
        <v>1</v>
      </c>
      <c r="BT451" s="81"/>
      <c r="BU451" s="81"/>
      <c r="BV451" s="81"/>
      <c r="BW451" s="81"/>
      <c r="BX451" s="81"/>
      <c r="BY451" s="81"/>
      <c r="BZ451" s="9">
        <f t="shared" si="69"/>
        <v>4</v>
      </c>
      <c r="CB451" s="3"/>
      <c r="CD451" s="10"/>
      <c r="CE451" s="11"/>
    </row>
    <row r="452" spans="1:83" s="2" customFormat="1" ht="19.5" thickBot="1" x14ac:dyDescent="0.35">
      <c r="A452" s="17">
        <v>477</v>
      </c>
      <c r="B452" s="135"/>
      <c r="C452" s="20" t="s">
        <v>69</v>
      </c>
      <c r="D452" s="21"/>
      <c r="E452" s="21"/>
      <c r="F452" s="21"/>
      <c r="G452" s="32"/>
      <c r="H452" s="33"/>
      <c r="I452" s="41"/>
      <c r="J452" s="33"/>
      <c r="K452" s="41"/>
      <c r="L452" s="33"/>
      <c r="M452" s="41"/>
      <c r="N452" s="33"/>
      <c r="O452" s="41"/>
      <c r="P452" s="33"/>
      <c r="Q452" s="41"/>
      <c r="R452" s="33"/>
      <c r="S452" s="33"/>
      <c r="T452" s="33"/>
      <c r="U452" s="41"/>
      <c r="V452" s="33"/>
      <c r="W452" s="33"/>
      <c r="X452" s="33"/>
      <c r="Y452" s="33"/>
      <c r="Z452" s="33"/>
      <c r="AA452" s="33"/>
      <c r="AB452" s="33"/>
      <c r="AC452" s="33"/>
      <c r="AD452" s="47">
        <v>6</v>
      </c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55">
        <f t="shared" si="71"/>
        <v>6</v>
      </c>
      <c r="AZ452" s="59">
        <v>0</v>
      </c>
      <c r="BA452" s="60">
        <v>0</v>
      </c>
      <c r="BB452" s="60">
        <f>+'[1]25'!R755</f>
        <v>0</v>
      </c>
      <c r="BC452" s="60">
        <v>0</v>
      </c>
      <c r="BD452" s="60"/>
      <c r="BE452" s="60"/>
      <c r="BF452" s="60"/>
      <c r="BG452" s="60"/>
      <c r="BH452" s="60"/>
      <c r="BI452" s="58">
        <f t="shared" si="72"/>
        <v>0</v>
      </c>
      <c r="BJ452" s="70">
        <f t="shared" si="73"/>
        <v>6</v>
      </c>
      <c r="BK452" s="70">
        <f t="shared" si="70"/>
        <v>0</v>
      </c>
      <c r="BL452" s="76"/>
      <c r="BM452" s="77"/>
      <c r="BN452" s="60">
        <f t="shared" si="68"/>
        <v>4</v>
      </c>
      <c r="BO452" s="82"/>
      <c r="BP452" s="83">
        <v>1</v>
      </c>
      <c r="BQ452" s="83"/>
      <c r="BR452" s="83">
        <v>1</v>
      </c>
      <c r="BS452" s="83"/>
      <c r="BT452" s="83"/>
      <c r="BU452" s="83"/>
      <c r="BV452" s="83"/>
      <c r="BW452" s="83"/>
      <c r="BX452" s="83"/>
      <c r="BY452" s="83"/>
      <c r="BZ452" s="9">
        <f t="shared" si="69"/>
        <v>2</v>
      </c>
      <c r="CB452" s="3"/>
      <c r="CD452" s="10"/>
      <c r="CE452" s="11"/>
    </row>
    <row r="453" spans="1:83" s="2" customFormat="1" ht="19.5" thickBot="1" x14ac:dyDescent="0.35">
      <c r="A453" s="17">
        <v>478</v>
      </c>
      <c r="B453" s="134" t="s">
        <v>151</v>
      </c>
      <c r="C453" s="18" t="s">
        <v>62</v>
      </c>
      <c r="D453" s="19"/>
      <c r="E453" s="19"/>
      <c r="F453" s="19"/>
      <c r="G453" s="30"/>
      <c r="H453" s="31"/>
      <c r="I453" s="40"/>
      <c r="J453" s="31"/>
      <c r="K453" s="40"/>
      <c r="L453" s="31"/>
      <c r="M453" s="40"/>
      <c r="N453" s="31"/>
      <c r="O453" s="40"/>
      <c r="P453" s="31"/>
      <c r="Q453" s="40"/>
      <c r="R453" s="31"/>
      <c r="S453" s="31"/>
      <c r="T453" s="31"/>
      <c r="U453" s="40"/>
      <c r="V453" s="31"/>
      <c r="W453" s="31"/>
      <c r="X453" s="31"/>
      <c r="Y453" s="31"/>
      <c r="Z453" s="31"/>
      <c r="AA453" s="31"/>
      <c r="AB453" s="31"/>
      <c r="AC453" s="31"/>
      <c r="AD453" s="46">
        <v>9</v>
      </c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55">
        <f t="shared" si="71"/>
        <v>9</v>
      </c>
      <c r="AZ453" s="56">
        <v>0</v>
      </c>
      <c r="BA453" s="57">
        <v>0</v>
      </c>
      <c r="BB453" s="57">
        <f>+'[1]25'!R756</f>
        <v>5</v>
      </c>
      <c r="BC453" s="57">
        <v>1</v>
      </c>
      <c r="BD453" s="57"/>
      <c r="BE453" s="57"/>
      <c r="BF453" s="57"/>
      <c r="BG453" s="57"/>
      <c r="BH453" s="57"/>
      <c r="BI453" s="55">
        <f t="shared" si="72"/>
        <v>6</v>
      </c>
      <c r="BJ453" s="69">
        <f t="shared" si="73"/>
        <v>3</v>
      </c>
      <c r="BK453" s="69">
        <f t="shared" si="70"/>
        <v>0</v>
      </c>
      <c r="BM453" s="75"/>
      <c r="BN453" s="57">
        <f t="shared" si="68"/>
        <v>1</v>
      </c>
      <c r="BO453" s="80"/>
      <c r="BP453" s="81">
        <v>1</v>
      </c>
      <c r="BQ453" s="81"/>
      <c r="BR453" s="81">
        <v>1</v>
      </c>
      <c r="BS453" s="81"/>
      <c r="BT453" s="81"/>
      <c r="BU453" s="81"/>
      <c r="BV453" s="81"/>
      <c r="BW453" s="81"/>
      <c r="BX453" s="81"/>
      <c r="BY453" s="81"/>
      <c r="BZ453" s="9">
        <f t="shared" si="69"/>
        <v>2</v>
      </c>
      <c r="CB453" s="3"/>
      <c r="CD453" s="10"/>
      <c r="CE453" s="11"/>
    </row>
    <row r="454" spans="1:83" s="2" customFormat="1" ht="19.5" thickBot="1" x14ac:dyDescent="0.35">
      <c r="A454" s="17">
        <v>479</v>
      </c>
      <c r="B454" s="135"/>
      <c r="C454" s="18" t="s">
        <v>63</v>
      </c>
      <c r="D454" s="19"/>
      <c r="E454" s="19"/>
      <c r="F454" s="19"/>
      <c r="G454" s="30"/>
      <c r="H454" s="31"/>
      <c r="I454" s="40"/>
      <c r="J454" s="31"/>
      <c r="K454" s="40"/>
      <c r="L454" s="31"/>
      <c r="M454" s="40"/>
      <c r="N454" s="31"/>
      <c r="O454" s="40"/>
      <c r="P454" s="31"/>
      <c r="Q454" s="40"/>
      <c r="R454" s="31"/>
      <c r="S454" s="31"/>
      <c r="T454" s="31"/>
      <c r="U454" s="40"/>
      <c r="V454" s="31"/>
      <c r="W454" s="31"/>
      <c r="X454" s="31"/>
      <c r="Y454" s="31"/>
      <c r="Z454" s="31"/>
      <c r="AA454" s="31"/>
      <c r="AB454" s="31"/>
      <c r="AC454" s="31"/>
      <c r="AD454" s="46">
        <v>12</v>
      </c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55">
        <f t="shared" si="71"/>
        <v>12</v>
      </c>
      <c r="AZ454" s="56">
        <v>0</v>
      </c>
      <c r="BA454" s="57">
        <v>0</v>
      </c>
      <c r="BB454" s="57">
        <f>+'[1]25'!R757</f>
        <v>9</v>
      </c>
      <c r="BC454" s="57"/>
      <c r="BD454" s="57"/>
      <c r="BE454" s="57"/>
      <c r="BF454" s="57"/>
      <c r="BG454" s="57"/>
      <c r="BH454" s="57"/>
      <c r="BI454" s="55">
        <f t="shared" si="72"/>
        <v>9</v>
      </c>
      <c r="BJ454" s="69">
        <f t="shared" si="73"/>
        <v>3</v>
      </c>
      <c r="BK454" s="69">
        <f t="shared" si="70"/>
        <v>0</v>
      </c>
      <c r="BM454" s="75"/>
      <c r="BN454" s="57">
        <f t="shared" si="68"/>
        <v>0</v>
      </c>
      <c r="BO454" s="80"/>
      <c r="BP454" s="81"/>
      <c r="BQ454" s="81">
        <v>1</v>
      </c>
      <c r="BR454" s="81">
        <v>1</v>
      </c>
      <c r="BS454" s="81"/>
      <c r="BT454" s="81">
        <v>1</v>
      </c>
      <c r="BU454" s="81"/>
      <c r="BV454" s="81"/>
      <c r="BW454" s="81"/>
      <c r="BX454" s="81"/>
      <c r="BY454" s="81"/>
      <c r="BZ454" s="9">
        <f t="shared" si="69"/>
        <v>3</v>
      </c>
      <c r="CB454" s="3"/>
      <c r="CD454" s="10"/>
      <c r="CE454" s="11"/>
    </row>
    <row r="455" spans="1:83" s="2" customFormat="1" ht="19.5" thickBot="1" x14ac:dyDescent="0.35">
      <c r="A455" s="17">
        <v>480</v>
      </c>
      <c r="B455" s="135"/>
      <c r="C455" s="18" t="s">
        <v>64</v>
      </c>
      <c r="D455" s="19"/>
      <c r="E455" s="19"/>
      <c r="F455" s="19"/>
      <c r="G455" s="30"/>
      <c r="H455" s="31"/>
      <c r="I455" s="40"/>
      <c r="J455" s="31"/>
      <c r="K455" s="40"/>
      <c r="L455" s="31"/>
      <c r="M455" s="40"/>
      <c r="N455" s="31"/>
      <c r="O455" s="40"/>
      <c r="P455" s="31"/>
      <c r="Q455" s="40"/>
      <c r="R455" s="31"/>
      <c r="S455" s="31"/>
      <c r="T455" s="31"/>
      <c r="U455" s="40"/>
      <c r="V455" s="31"/>
      <c r="W455" s="31"/>
      <c r="X455" s="31"/>
      <c r="Y455" s="31"/>
      <c r="Z455" s="31"/>
      <c r="AA455" s="31"/>
      <c r="AB455" s="31"/>
      <c r="AC455" s="31"/>
      <c r="AD455" s="46">
        <v>21</v>
      </c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55">
        <f t="shared" si="71"/>
        <v>21</v>
      </c>
      <c r="AZ455" s="56">
        <v>0</v>
      </c>
      <c r="BA455" s="57">
        <v>0</v>
      </c>
      <c r="BB455" s="57">
        <f>+'[1]25'!R758</f>
        <v>4</v>
      </c>
      <c r="BC455" s="57">
        <v>6</v>
      </c>
      <c r="BD455" s="57"/>
      <c r="BE455" s="57"/>
      <c r="BF455" s="57"/>
      <c r="BG455" s="57"/>
      <c r="BH455" s="57"/>
      <c r="BI455" s="55">
        <f t="shared" si="72"/>
        <v>10</v>
      </c>
      <c r="BJ455" s="69">
        <f t="shared" si="73"/>
        <v>11</v>
      </c>
      <c r="BK455" s="69">
        <f t="shared" si="70"/>
        <v>0</v>
      </c>
      <c r="BM455" s="75"/>
      <c r="BN455" s="57">
        <f t="shared" si="68"/>
        <v>6</v>
      </c>
      <c r="BO455" s="80"/>
      <c r="BP455" s="81">
        <v>2</v>
      </c>
      <c r="BQ455" s="81"/>
      <c r="BR455" s="81">
        <v>1</v>
      </c>
      <c r="BS455" s="81">
        <v>1</v>
      </c>
      <c r="BT455" s="81">
        <v>1</v>
      </c>
      <c r="BU455" s="81"/>
      <c r="BV455" s="81"/>
      <c r="BW455" s="81"/>
      <c r="BX455" s="81"/>
      <c r="BY455" s="81"/>
      <c r="BZ455" s="9">
        <f t="shared" si="69"/>
        <v>5</v>
      </c>
      <c r="CB455" s="3"/>
      <c r="CD455" s="10"/>
      <c r="CE455" s="11"/>
    </row>
    <row r="456" spans="1:83" s="2" customFormat="1" ht="19.5" thickBot="1" x14ac:dyDescent="0.35">
      <c r="A456" s="17">
        <v>481</v>
      </c>
      <c r="B456" s="135"/>
      <c r="C456" s="18" t="s">
        <v>65</v>
      </c>
      <c r="D456" s="19"/>
      <c r="E456" s="19"/>
      <c r="F456" s="19"/>
      <c r="G456" s="30"/>
      <c r="H456" s="31"/>
      <c r="I456" s="40"/>
      <c r="J456" s="31"/>
      <c r="K456" s="40"/>
      <c r="L456" s="31"/>
      <c r="M456" s="40"/>
      <c r="N456" s="31"/>
      <c r="O456" s="40"/>
      <c r="P456" s="31"/>
      <c r="Q456" s="40"/>
      <c r="R456" s="31"/>
      <c r="S456" s="31"/>
      <c r="T456" s="31"/>
      <c r="U456" s="40"/>
      <c r="V456" s="31"/>
      <c r="W456" s="31"/>
      <c r="X456" s="31"/>
      <c r="Y456" s="31"/>
      <c r="Z456" s="31"/>
      <c r="AA456" s="31"/>
      <c r="AB456" s="31"/>
      <c r="AC456" s="31"/>
      <c r="AD456" s="46">
        <v>24</v>
      </c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55">
        <f t="shared" si="71"/>
        <v>24</v>
      </c>
      <c r="AZ456" s="56">
        <v>0</v>
      </c>
      <c r="BA456" s="57">
        <v>0</v>
      </c>
      <c r="BB456" s="57">
        <f>+'[1]25'!R759</f>
        <v>10</v>
      </c>
      <c r="BC456" s="57">
        <v>4</v>
      </c>
      <c r="BD456" s="57"/>
      <c r="BE456" s="57"/>
      <c r="BF456" s="57"/>
      <c r="BG456" s="57"/>
      <c r="BH456" s="57"/>
      <c r="BI456" s="55">
        <f t="shared" si="72"/>
        <v>14</v>
      </c>
      <c r="BJ456" s="69">
        <f t="shared" si="73"/>
        <v>10</v>
      </c>
      <c r="BK456" s="69">
        <f t="shared" si="70"/>
        <v>0</v>
      </c>
      <c r="BM456" s="75"/>
      <c r="BN456" s="57">
        <f t="shared" si="68"/>
        <v>4</v>
      </c>
      <c r="BO456" s="80"/>
      <c r="BP456" s="81">
        <v>1</v>
      </c>
      <c r="BQ456" s="81">
        <v>1</v>
      </c>
      <c r="BR456" s="81">
        <v>1</v>
      </c>
      <c r="BS456" s="81">
        <v>2</v>
      </c>
      <c r="BT456" s="81">
        <v>1</v>
      </c>
      <c r="BU456" s="81"/>
      <c r="BV456" s="81"/>
      <c r="BW456" s="81"/>
      <c r="BX456" s="81"/>
      <c r="BY456" s="81"/>
      <c r="BZ456" s="9">
        <f t="shared" si="69"/>
        <v>6</v>
      </c>
      <c r="CB456" s="3"/>
      <c r="CD456" s="10"/>
      <c r="CE456" s="11"/>
    </row>
    <row r="457" spans="1:83" s="2" customFormat="1" ht="19.5" thickBot="1" x14ac:dyDescent="0.35">
      <c r="A457" s="17">
        <v>482</v>
      </c>
      <c r="B457" s="135"/>
      <c r="C457" s="18" t="s">
        <v>66</v>
      </c>
      <c r="D457" s="19"/>
      <c r="E457" s="19"/>
      <c r="F457" s="19"/>
      <c r="G457" s="30"/>
      <c r="H457" s="31"/>
      <c r="I457" s="40"/>
      <c r="J457" s="31"/>
      <c r="K457" s="40"/>
      <c r="L457" s="31"/>
      <c r="M457" s="40"/>
      <c r="N457" s="31"/>
      <c r="O457" s="40"/>
      <c r="P457" s="31"/>
      <c r="Q457" s="40"/>
      <c r="R457" s="31"/>
      <c r="S457" s="31"/>
      <c r="T457" s="31"/>
      <c r="U457" s="40"/>
      <c r="V457" s="31"/>
      <c r="W457" s="31"/>
      <c r="X457" s="31"/>
      <c r="Y457" s="31"/>
      <c r="Z457" s="31"/>
      <c r="AA457" s="31"/>
      <c r="AB457" s="31"/>
      <c r="AC457" s="31"/>
      <c r="AD457" s="46">
        <v>15</v>
      </c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55">
        <f t="shared" si="71"/>
        <v>15</v>
      </c>
      <c r="AZ457" s="56">
        <v>0</v>
      </c>
      <c r="BA457" s="57">
        <v>0</v>
      </c>
      <c r="BB457" s="57">
        <f>+'[1]25'!R760</f>
        <v>13</v>
      </c>
      <c r="BC457" s="57">
        <v>1</v>
      </c>
      <c r="BD457" s="57"/>
      <c r="BE457" s="57"/>
      <c r="BF457" s="57"/>
      <c r="BG457" s="57"/>
      <c r="BH457" s="57"/>
      <c r="BI457" s="55">
        <f t="shared" si="72"/>
        <v>14</v>
      </c>
      <c r="BJ457" s="69">
        <f t="shared" si="73"/>
        <v>1</v>
      </c>
      <c r="BK457" s="69">
        <f t="shared" si="70"/>
        <v>0</v>
      </c>
      <c r="BM457" s="75"/>
      <c r="BN457" s="57">
        <f t="shared" si="68"/>
        <v>0</v>
      </c>
      <c r="BO457" s="80"/>
      <c r="BP457" s="81"/>
      <c r="BQ457" s="81"/>
      <c r="BR457" s="81"/>
      <c r="BS457" s="81"/>
      <c r="BT457" s="81">
        <v>1</v>
      </c>
      <c r="BU457" s="81"/>
      <c r="BV457" s="81"/>
      <c r="BW457" s="81"/>
      <c r="BX457" s="81"/>
      <c r="BY457" s="81"/>
      <c r="BZ457" s="9">
        <f t="shared" si="69"/>
        <v>1</v>
      </c>
      <c r="CB457" s="3"/>
      <c r="CD457" s="10"/>
      <c r="CE457" s="11"/>
    </row>
    <row r="458" spans="1:83" s="2" customFormat="1" ht="19.5" thickBot="1" x14ac:dyDescent="0.35">
      <c r="A458" s="17">
        <v>483</v>
      </c>
      <c r="B458" s="135"/>
      <c r="C458" s="18" t="s">
        <v>67</v>
      </c>
      <c r="D458" s="19"/>
      <c r="E458" s="19"/>
      <c r="F458" s="19"/>
      <c r="G458" s="30"/>
      <c r="H458" s="31"/>
      <c r="I458" s="40"/>
      <c r="J458" s="31"/>
      <c r="K458" s="40"/>
      <c r="L458" s="31"/>
      <c r="M458" s="40"/>
      <c r="N458" s="31"/>
      <c r="O458" s="40"/>
      <c r="P458" s="31"/>
      <c r="Q458" s="40"/>
      <c r="R458" s="31"/>
      <c r="S458" s="31"/>
      <c r="T458" s="31"/>
      <c r="U458" s="40"/>
      <c r="V458" s="31"/>
      <c r="W458" s="31"/>
      <c r="X458" s="31"/>
      <c r="Y458" s="31"/>
      <c r="Z458" s="31"/>
      <c r="AA458" s="31"/>
      <c r="AB458" s="31"/>
      <c r="AC458" s="31"/>
      <c r="AD458" s="46">
        <v>12</v>
      </c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55">
        <f t="shared" si="71"/>
        <v>12</v>
      </c>
      <c r="AZ458" s="56">
        <v>0</v>
      </c>
      <c r="BA458" s="57">
        <v>0</v>
      </c>
      <c r="BB458" s="57">
        <f>+'[1]25'!R761</f>
        <v>9</v>
      </c>
      <c r="BC458" s="57">
        <v>1</v>
      </c>
      <c r="BD458" s="57"/>
      <c r="BE458" s="57"/>
      <c r="BF458" s="57"/>
      <c r="BG458" s="57"/>
      <c r="BH458" s="57"/>
      <c r="BI458" s="55">
        <f t="shared" si="72"/>
        <v>10</v>
      </c>
      <c r="BJ458" s="69">
        <f t="shared" si="73"/>
        <v>2</v>
      </c>
      <c r="BK458" s="69">
        <f t="shared" si="70"/>
        <v>0</v>
      </c>
      <c r="BM458" s="75"/>
      <c r="BN458" s="57">
        <f t="shared" si="68"/>
        <v>0</v>
      </c>
      <c r="BO458" s="80"/>
      <c r="BP458" s="81">
        <v>1</v>
      </c>
      <c r="BQ458" s="81"/>
      <c r="BR458" s="81"/>
      <c r="BS458" s="81"/>
      <c r="BT458" s="81">
        <v>1</v>
      </c>
      <c r="BU458" s="81"/>
      <c r="BV458" s="81"/>
      <c r="BW458" s="81"/>
      <c r="BX458" s="81"/>
      <c r="BY458" s="81"/>
      <c r="BZ458" s="9">
        <f t="shared" si="69"/>
        <v>2</v>
      </c>
      <c r="CB458" s="3"/>
      <c r="CD458" s="10"/>
      <c r="CE458" s="11"/>
    </row>
    <row r="459" spans="1:83" s="2" customFormat="1" ht="19.5" thickBot="1" x14ac:dyDescent="0.35">
      <c r="A459" s="17">
        <v>484</v>
      </c>
      <c r="B459" s="135"/>
      <c r="C459" s="18" t="s">
        <v>68</v>
      </c>
      <c r="D459" s="19"/>
      <c r="E459" s="19"/>
      <c r="F459" s="19"/>
      <c r="G459" s="30"/>
      <c r="H459" s="31"/>
      <c r="I459" s="40"/>
      <c r="J459" s="31"/>
      <c r="K459" s="40"/>
      <c r="L459" s="31"/>
      <c r="M459" s="40"/>
      <c r="N459" s="31"/>
      <c r="O459" s="40"/>
      <c r="P459" s="31"/>
      <c r="Q459" s="40"/>
      <c r="R459" s="31"/>
      <c r="S459" s="31"/>
      <c r="T459" s="31"/>
      <c r="U459" s="40"/>
      <c r="V459" s="31"/>
      <c r="W459" s="31"/>
      <c r="X459" s="31"/>
      <c r="Y459" s="31"/>
      <c r="Z459" s="31"/>
      <c r="AA459" s="31"/>
      <c r="AB459" s="31"/>
      <c r="AC459" s="31"/>
      <c r="AD459" s="46">
        <v>9</v>
      </c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55">
        <f t="shared" si="71"/>
        <v>9</v>
      </c>
      <c r="AZ459" s="56">
        <v>0</v>
      </c>
      <c r="BA459" s="57">
        <v>0</v>
      </c>
      <c r="BB459" s="57">
        <f>+'[1]25'!R762</f>
        <v>1</v>
      </c>
      <c r="BC459" s="57">
        <v>2</v>
      </c>
      <c r="BD459" s="57"/>
      <c r="BE459" s="57"/>
      <c r="BF459" s="57"/>
      <c r="BG459" s="57"/>
      <c r="BH459" s="57"/>
      <c r="BI459" s="55">
        <f t="shared" si="72"/>
        <v>3</v>
      </c>
      <c r="BJ459" s="69">
        <f t="shared" si="73"/>
        <v>6</v>
      </c>
      <c r="BK459" s="69">
        <f t="shared" si="70"/>
        <v>0</v>
      </c>
      <c r="BM459" s="75"/>
      <c r="BN459" s="57">
        <f t="shared" si="68"/>
        <v>2</v>
      </c>
      <c r="BO459" s="80"/>
      <c r="BP459" s="81">
        <v>2</v>
      </c>
      <c r="BQ459" s="81"/>
      <c r="BR459" s="81">
        <v>1</v>
      </c>
      <c r="BS459" s="81">
        <v>1</v>
      </c>
      <c r="BT459" s="81"/>
      <c r="BU459" s="81"/>
      <c r="BV459" s="81"/>
      <c r="BW459" s="81"/>
      <c r="BX459" s="81"/>
      <c r="BY459" s="81"/>
      <c r="BZ459" s="9">
        <f t="shared" si="69"/>
        <v>4</v>
      </c>
      <c r="CB459" s="3"/>
      <c r="CD459" s="10"/>
      <c r="CE459" s="11"/>
    </row>
    <row r="460" spans="1:83" s="2" customFormat="1" ht="19.5" thickBot="1" x14ac:dyDescent="0.35">
      <c r="A460" s="17">
        <v>485</v>
      </c>
      <c r="B460" s="135"/>
      <c r="C460" s="20" t="s">
        <v>69</v>
      </c>
      <c r="D460" s="21"/>
      <c r="E460" s="21"/>
      <c r="F460" s="21"/>
      <c r="G460" s="32"/>
      <c r="H460" s="33"/>
      <c r="I460" s="41"/>
      <c r="J460" s="33"/>
      <c r="K460" s="41"/>
      <c r="L460" s="33"/>
      <c r="M460" s="41"/>
      <c r="N460" s="33"/>
      <c r="O460" s="41"/>
      <c r="P460" s="33"/>
      <c r="Q460" s="41"/>
      <c r="R460" s="33"/>
      <c r="S460" s="33"/>
      <c r="T460" s="33"/>
      <c r="U460" s="41"/>
      <c r="V460" s="33"/>
      <c r="W460" s="33"/>
      <c r="X460" s="33"/>
      <c r="Y460" s="33"/>
      <c r="Z460" s="33"/>
      <c r="AA460" s="33"/>
      <c r="AB460" s="33"/>
      <c r="AC460" s="33"/>
      <c r="AD460" s="47">
        <v>6</v>
      </c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55">
        <f t="shared" si="71"/>
        <v>6</v>
      </c>
      <c r="AZ460" s="59">
        <v>0</v>
      </c>
      <c r="BA460" s="60">
        <v>0</v>
      </c>
      <c r="BB460" s="60">
        <f>+'[1]25'!R763</f>
        <v>0</v>
      </c>
      <c r="BC460" s="60">
        <v>0</v>
      </c>
      <c r="BD460" s="60"/>
      <c r="BE460" s="60"/>
      <c r="BF460" s="60"/>
      <c r="BG460" s="60"/>
      <c r="BH460" s="60"/>
      <c r="BI460" s="58">
        <f t="shared" si="72"/>
        <v>0</v>
      </c>
      <c r="BJ460" s="70">
        <f t="shared" si="73"/>
        <v>6</v>
      </c>
      <c r="BK460" s="70">
        <f t="shared" si="70"/>
        <v>0</v>
      </c>
      <c r="BL460" s="76"/>
      <c r="BM460" s="77"/>
      <c r="BN460" s="60">
        <f t="shared" si="68"/>
        <v>4</v>
      </c>
      <c r="BO460" s="82"/>
      <c r="BP460" s="83">
        <v>1</v>
      </c>
      <c r="BQ460" s="83"/>
      <c r="BR460" s="83">
        <v>1</v>
      </c>
      <c r="BS460" s="83"/>
      <c r="BT460" s="83"/>
      <c r="BU460" s="83"/>
      <c r="BV460" s="83"/>
      <c r="BW460" s="83"/>
      <c r="BX460" s="83"/>
      <c r="BY460" s="83"/>
      <c r="BZ460" s="9">
        <f t="shared" si="69"/>
        <v>2</v>
      </c>
      <c r="CB460" s="3"/>
      <c r="CD460" s="10"/>
      <c r="CE460" s="11"/>
    </row>
    <row r="461" spans="1:83" s="2" customFormat="1" ht="19.5" thickBot="1" x14ac:dyDescent="0.35">
      <c r="A461" s="17">
        <v>486</v>
      </c>
      <c r="B461" s="134" t="s">
        <v>152</v>
      </c>
      <c r="C461" s="18" t="s">
        <v>82</v>
      </c>
      <c r="D461" s="19"/>
      <c r="E461" s="19"/>
      <c r="F461" s="19"/>
      <c r="G461" s="30"/>
      <c r="H461" s="31"/>
      <c r="I461" s="40"/>
      <c r="J461" s="31"/>
      <c r="K461" s="40"/>
      <c r="L461" s="31"/>
      <c r="M461" s="40"/>
      <c r="N461" s="31"/>
      <c r="O461" s="40"/>
      <c r="P461" s="31"/>
      <c r="Q461" s="40"/>
      <c r="R461" s="31"/>
      <c r="S461" s="31"/>
      <c r="T461" s="31"/>
      <c r="U461" s="40"/>
      <c r="V461" s="31"/>
      <c r="W461" s="31"/>
      <c r="X461" s="31"/>
      <c r="Y461" s="31"/>
      <c r="Z461" s="31"/>
      <c r="AA461" s="31"/>
      <c r="AB461" s="31"/>
      <c r="AC461" s="31"/>
      <c r="AD461" s="46">
        <v>9</v>
      </c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55">
        <f t="shared" si="71"/>
        <v>9</v>
      </c>
      <c r="AZ461" s="56">
        <v>0</v>
      </c>
      <c r="BA461" s="57">
        <v>0</v>
      </c>
      <c r="BB461" s="57">
        <f>+'[1]25'!R764</f>
        <v>4</v>
      </c>
      <c r="BC461" s="57">
        <v>3</v>
      </c>
      <c r="BD461" s="57"/>
      <c r="BE461" s="57"/>
      <c r="BF461" s="57"/>
      <c r="BG461" s="57"/>
      <c r="BH461" s="57"/>
      <c r="BI461" s="55">
        <f t="shared" si="72"/>
        <v>7</v>
      </c>
      <c r="BJ461" s="69">
        <f t="shared" si="73"/>
        <v>2</v>
      </c>
      <c r="BK461" s="69">
        <f t="shared" si="70"/>
        <v>0</v>
      </c>
      <c r="BM461" s="75"/>
      <c r="BN461" s="57">
        <f t="shared" si="68"/>
        <v>2</v>
      </c>
      <c r="BO461" s="80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9">
        <f t="shared" si="69"/>
        <v>0</v>
      </c>
      <c r="CB461" s="3"/>
      <c r="CD461" s="10"/>
      <c r="CE461" s="11"/>
    </row>
    <row r="462" spans="1:83" s="2" customFormat="1" ht="19.5" thickBot="1" x14ac:dyDescent="0.35">
      <c r="A462" s="17">
        <v>487</v>
      </c>
      <c r="B462" s="135"/>
      <c r="C462" s="18" t="s">
        <v>83</v>
      </c>
      <c r="D462" s="19"/>
      <c r="E462" s="19"/>
      <c r="F462" s="19"/>
      <c r="G462" s="30"/>
      <c r="H462" s="31"/>
      <c r="I462" s="40"/>
      <c r="J462" s="31"/>
      <c r="K462" s="40"/>
      <c r="L462" s="31"/>
      <c r="M462" s="40"/>
      <c r="N462" s="31"/>
      <c r="O462" s="40"/>
      <c r="P462" s="31"/>
      <c r="Q462" s="40"/>
      <c r="R462" s="31"/>
      <c r="S462" s="31"/>
      <c r="T462" s="31"/>
      <c r="U462" s="40"/>
      <c r="V462" s="31"/>
      <c r="W462" s="31"/>
      <c r="X462" s="31"/>
      <c r="Y462" s="31"/>
      <c r="Z462" s="31"/>
      <c r="AA462" s="31"/>
      <c r="AB462" s="31"/>
      <c r="AC462" s="31"/>
      <c r="AD462" s="46">
        <v>18</v>
      </c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55">
        <f t="shared" si="71"/>
        <v>18</v>
      </c>
      <c r="AZ462" s="56">
        <v>0</v>
      </c>
      <c r="BA462" s="57">
        <v>0</v>
      </c>
      <c r="BB462" s="57">
        <v>16</v>
      </c>
      <c r="BC462" s="57">
        <v>2</v>
      </c>
      <c r="BD462" s="57"/>
      <c r="BE462" s="57"/>
      <c r="BF462" s="57"/>
      <c r="BG462" s="57"/>
      <c r="BH462" s="57"/>
      <c r="BI462" s="55">
        <f t="shared" si="72"/>
        <v>18</v>
      </c>
      <c r="BJ462" s="69">
        <f t="shared" si="73"/>
        <v>0</v>
      </c>
      <c r="BK462" s="69">
        <f t="shared" si="70"/>
        <v>0</v>
      </c>
      <c r="BM462" s="75"/>
      <c r="BN462" s="57">
        <f t="shared" si="68"/>
        <v>0</v>
      </c>
      <c r="BO462" s="80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9">
        <f t="shared" si="69"/>
        <v>0</v>
      </c>
      <c r="CB462" s="3"/>
      <c r="CD462" s="10"/>
      <c r="CE462" s="11"/>
    </row>
    <row r="463" spans="1:83" s="2" customFormat="1" ht="19.5" thickBot="1" x14ac:dyDescent="0.35">
      <c r="A463" s="17">
        <v>488</v>
      </c>
      <c r="B463" s="135"/>
      <c r="C463" s="18" t="s">
        <v>84</v>
      </c>
      <c r="D463" s="19"/>
      <c r="E463" s="19"/>
      <c r="F463" s="19"/>
      <c r="G463" s="30"/>
      <c r="H463" s="31"/>
      <c r="I463" s="40"/>
      <c r="J463" s="31"/>
      <c r="K463" s="40"/>
      <c r="L463" s="31"/>
      <c r="M463" s="40"/>
      <c r="N463" s="31"/>
      <c r="O463" s="40"/>
      <c r="P463" s="31"/>
      <c r="Q463" s="40"/>
      <c r="R463" s="31"/>
      <c r="S463" s="31"/>
      <c r="T463" s="31"/>
      <c r="U463" s="40"/>
      <c r="V463" s="31"/>
      <c r="W463" s="31"/>
      <c r="X463" s="31"/>
      <c r="Y463" s="31"/>
      <c r="Z463" s="31"/>
      <c r="AA463" s="31"/>
      <c r="AB463" s="31"/>
      <c r="AC463" s="31"/>
      <c r="AD463" s="46">
        <v>30</v>
      </c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55">
        <f t="shared" si="71"/>
        <v>30</v>
      </c>
      <c r="AZ463" s="56">
        <v>0</v>
      </c>
      <c r="BA463" s="57">
        <v>0</v>
      </c>
      <c r="BB463" s="57">
        <f>+'[1]25'!R766</f>
        <v>25</v>
      </c>
      <c r="BC463" s="57">
        <v>2</v>
      </c>
      <c r="BD463" s="57"/>
      <c r="BE463" s="57"/>
      <c r="BF463" s="57"/>
      <c r="BG463" s="57"/>
      <c r="BH463" s="57"/>
      <c r="BI463" s="55">
        <f t="shared" si="72"/>
        <v>27</v>
      </c>
      <c r="BJ463" s="69">
        <f t="shared" si="73"/>
        <v>3</v>
      </c>
      <c r="BK463" s="69">
        <f t="shared" si="70"/>
        <v>0</v>
      </c>
      <c r="BM463" s="75"/>
      <c r="BN463" s="57">
        <f t="shared" si="68"/>
        <v>1</v>
      </c>
      <c r="BO463" s="80"/>
      <c r="BP463" s="81"/>
      <c r="BQ463" s="81"/>
      <c r="BR463" s="81"/>
      <c r="BS463" s="81">
        <v>2</v>
      </c>
      <c r="BT463" s="81"/>
      <c r="BU463" s="81"/>
      <c r="BV463" s="81"/>
      <c r="BW463" s="81"/>
      <c r="BX463" s="81"/>
      <c r="BY463" s="81"/>
      <c r="BZ463" s="9">
        <f t="shared" si="69"/>
        <v>2</v>
      </c>
      <c r="CB463" s="3"/>
      <c r="CD463" s="10"/>
      <c r="CE463" s="11"/>
    </row>
    <row r="464" spans="1:83" s="2" customFormat="1" ht="19.5" thickBot="1" x14ac:dyDescent="0.35">
      <c r="A464" s="17">
        <v>489</v>
      </c>
      <c r="B464" s="135"/>
      <c r="C464" s="18" t="s">
        <v>85</v>
      </c>
      <c r="D464" s="19"/>
      <c r="E464" s="19"/>
      <c r="F464" s="19"/>
      <c r="G464" s="30"/>
      <c r="H464" s="31"/>
      <c r="I464" s="40"/>
      <c r="J464" s="31"/>
      <c r="K464" s="40"/>
      <c r="L464" s="31"/>
      <c r="M464" s="40"/>
      <c r="N464" s="31"/>
      <c r="O464" s="40"/>
      <c r="P464" s="31"/>
      <c r="Q464" s="40"/>
      <c r="R464" s="31"/>
      <c r="S464" s="31"/>
      <c r="T464" s="31"/>
      <c r="U464" s="40"/>
      <c r="V464" s="31"/>
      <c r="W464" s="31"/>
      <c r="X464" s="31"/>
      <c r="Y464" s="31"/>
      <c r="Z464" s="31"/>
      <c r="AA464" s="31"/>
      <c r="AB464" s="31"/>
      <c r="AC464" s="31"/>
      <c r="AD464" s="46">
        <v>27</v>
      </c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55">
        <f t="shared" si="71"/>
        <v>27</v>
      </c>
      <c r="AZ464" s="56">
        <v>0</v>
      </c>
      <c r="BA464" s="57">
        <v>0</v>
      </c>
      <c r="BB464" s="57">
        <v>26</v>
      </c>
      <c r="BC464" s="57">
        <v>0</v>
      </c>
      <c r="BD464" s="57"/>
      <c r="BE464" s="57"/>
      <c r="BF464" s="57"/>
      <c r="BG464" s="57"/>
      <c r="BH464" s="57"/>
      <c r="BI464" s="55">
        <f t="shared" si="72"/>
        <v>26</v>
      </c>
      <c r="BJ464" s="69">
        <f t="shared" si="73"/>
        <v>1</v>
      </c>
      <c r="BK464" s="69">
        <f t="shared" si="70"/>
        <v>0</v>
      </c>
      <c r="BM464" s="75"/>
      <c r="BN464" s="57">
        <f t="shared" si="68"/>
        <v>1</v>
      </c>
      <c r="BO464" s="80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9">
        <f t="shared" si="69"/>
        <v>0</v>
      </c>
      <c r="CB464" s="3"/>
      <c r="CD464" s="10"/>
      <c r="CE464" s="11"/>
    </row>
    <row r="465" spans="1:83" s="2" customFormat="1" ht="19.5" thickBot="1" x14ac:dyDescent="0.35">
      <c r="A465" s="17">
        <v>490</v>
      </c>
      <c r="B465" s="135"/>
      <c r="C465" s="18" t="s">
        <v>86</v>
      </c>
      <c r="D465" s="19"/>
      <c r="E465" s="19"/>
      <c r="F465" s="19"/>
      <c r="G465" s="30"/>
      <c r="H465" s="31"/>
      <c r="I465" s="40"/>
      <c r="J465" s="31"/>
      <c r="K465" s="40"/>
      <c r="L465" s="31"/>
      <c r="M465" s="40"/>
      <c r="N465" s="31"/>
      <c r="O465" s="40"/>
      <c r="P465" s="31"/>
      <c r="Q465" s="40"/>
      <c r="R465" s="31"/>
      <c r="S465" s="31"/>
      <c r="T465" s="31"/>
      <c r="U465" s="40"/>
      <c r="V465" s="31"/>
      <c r="W465" s="31"/>
      <c r="X465" s="31"/>
      <c r="Y465" s="31"/>
      <c r="Z465" s="31"/>
      <c r="AA465" s="31"/>
      <c r="AB465" s="31"/>
      <c r="AC465" s="31"/>
      <c r="AD465" s="46">
        <v>18</v>
      </c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55">
        <f t="shared" si="71"/>
        <v>18</v>
      </c>
      <c r="AZ465" s="56">
        <v>0</v>
      </c>
      <c r="BA465" s="57">
        <v>0</v>
      </c>
      <c r="BB465" s="57">
        <v>16</v>
      </c>
      <c r="BC465" s="57">
        <v>0</v>
      </c>
      <c r="BD465" s="57"/>
      <c r="BE465" s="57"/>
      <c r="BF465" s="57"/>
      <c r="BG465" s="57"/>
      <c r="BH465" s="57"/>
      <c r="BI465" s="55">
        <f t="shared" si="72"/>
        <v>16</v>
      </c>
      <c r="BJ465" s="69">
        <f t="shared" si="73"/>
        <v>2</v>
      </c>
      <c r="BK465" s="69">
        <f t="shared" si="70"/>
        <v>0</v>
      </c>
      <c r="BM465" s="75"/>
      <c r="BN465" s="57">
        <f t="shared" si="68"/>
        <v>2</v>
      </c>
      <c r="BO465" s="80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9">
        <f t="shared" si="69"/>
        <v>0</v>
      </c>
      <c r="CB465" s="3"/>
      <c r="CD465" s="10"/>
      <c r="CE465" s="11"/>
    </row>
    <row r="466" spans="1:83" s="2" customFormat="1" ht="19.5" thickBot="1" x14ac:dyDescent="0.35">
      <c r="A466" s="17">
        <v>491</v>
      </c>
      <c r="B466" s="135"/>
      <c r="C466" s="20" t="s">
        <v>87</v>
      </c>
      <c r="D466" s="21"/>
      <c r="E466" s="21"/>
      <c r="F466" s="21"/>
      <c r="G466" s="32"/>
      <c r="H466" s="33"/>
      <c r="I466" s="41"/>
      <c r="J466" s="33"/>
      <c r="K466" s="41"/>
      <c r="L466" s="33"/>
      <c r="M466" s="41"/>
      <c r="N466" s="33"/>
      <c r="O466" s="41"/>
      <c r="P466" s="33"/>
      <c r="Q466" s="41"/>
      <c r="R466" s="33"/>
      <c r="S466" s="33"/>
      <c r="T466" s="33"/>
      <c r="U466" s="41"/>
      <c r="V466" s="33"/>
      <c r="W466" s="33"/>
      <c r="X466" s="33"/>
      <c r="Y466" s="33"/>
      <c r="Z466" s="33"/>
      <c r="AA466" s="33"/>
      <c r="AB466" s="33"/>
      <c r="AC466" s="33"/>
      <c r="AD466" s="47">
        <v>6</v>
      </c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55">
        <f t="shared" si="71"/>
        <v>6</v>
      </c>
      <c r="AZ466" s="59">
        <v>0</v>
      </c>
      <c r="BA466" s="60">
        <v>0</v>
      </c>
      <c r="BB466" s="60">
        <v>5</v>
      </c>
      <c r="BC466" s="60">
        <v>0</v>
      </c>
      <c r="BD466" s="60"/>
      <c r="BE466" s="60"/>
      <c r="BF466" s="60"/>
      <c r="BG466" s="60"/>
      <c r="BH466" s="60"/>
      <c r="BI466" s="58">
        <f t="shared" si="72"/>
        <v>5</v>
      </c>
      <c r="BJ466" s="70">
        <f t="shared" si="73"/>
        <v>1</v>
      </c>
      <c r="BK466" s="70">
        <f t="shared" si="70"/>
        <v>0</v>
      </c>
      <c r="BL466" s="76"/>
      <c r="BM466" s="77"/>
      <c r="BN466" s="60">
        <f t="shared" si="68"/>
        <v>1</v>
      </c>
      <c r="BO466" s="82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9">
        <f t="shared" si="69"/>
        <v>0</v>
      </c>
      <c r="CB466" s="3"/>
      <c r="CD466" s="10"/>
      <c r="CE466" s="11"/>
    </row>
    <row r="467" spans="1:83" s="2" customFormat="1" ht="19.5" thickBot="1" x14ac:dyDescent="0.35">
      <c r="A467" s="17">
        <v>492</v>
      </c>
      <c r="B467" s="134" t="s">
        <v>153</v>
      </c>
      <c r="C467" s="18" t="s">
        <v>82</v>
      </c>
      <c r="D467" s="19"/>
      <c r="E467" s="19"/>
      <c r="F467" s="19"/>
      <c r="G467" s="30"/>
      <c r="H467" s="31"/>
      <c r="I467" s="40"/>
      <c r="J467" s="31"/>
      <c r="K467" s="40"/>
      <c r="L467" s="31"/>
      <c r="M467" s="40"/>
      <c r="N467" s="31"/>
      <c r="O467" s="40"/>
      <c r="P467" s="31"/>
      <c r="Q467" s="40"/>
      <c r="R467" s="31"/>
      <c r="S467" s="31"/>
      <c r="T467" s="31"/>
      <c r="U467" s="40"/>
      <c r="V467" s="31"/>
      <c r="W467" s="31"/>
      <c r="X467" s="31"/>
      <c r="Y467" s="31"/>
      <c r="Z467" s="31"/>
      <c r="AA467" s="31"/>
      <c r="AB467" s="31"/>
      <c r="AC467" s="31"/>
      <c r="AD467" s="46">
        <v>9</v>
      </c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55">
        <f t="shared" si="71"/>
        <v>9</v>
      </c>
      <c r="AZ467" s="56">
        <v>0</v>
      </c>
      <c r="BA467" s="57">
        <v>0</v>
      </c>
      <c r="BB467" s="57">
        <f>+'[1]25'!R770</f>
        <v>2</v>
      </c>
      <c r="BC467" s="57">
        <v>3</v>
      </c>
      <c r="BD467" s="57"/>
      <c r="BE467" s="57"/>
      <c r="BF467" s="57"/>
      <c r="BG467" s="57"/>
      <c r="BH467" s="57"/>
      <c r="BI467" s="55">
        <f t="shared" si="72"/>
        <v>5</v>
      </c>
      <c r="BJ467" s="69">
        <f t="shared" si="73"/>
        <v>4</v>
      </c>
      <c r="BK467" s="69">
        <f t="shared" si="70"/>
        <v>0</v>
      </c>
      <c r="BM467" s="75"/>
      <c r="BN467" s="57">
        <f t="shared" si="68"/>
        <v>1</v>
      </c>
      <c r="BO467" s="80"/>
      <c r="BP467" s="81"/>
      <c r="BQ467" s="81"/>
      <c r="BR467" s="81">
        <v>2</v>
      </c>
      <c r="BS467" s="81">
        <v>1</v>
      </c>
      <c r="BT467" s="81"/>
      <c r="BU467" s="81"/>
      <c r="BV467" s="81"/>
      <c r="BW467" s="81"/>
      <c r="BX467" s="81"/>
      <c r="BY467" s="81"/>
      <c r="BZ467" s="9">
        <f t="shared" si="69"/>
        <v>3</v>
      </c>
      <c r="CB467" s="3"/>
      <c r="CD467" s="10"/>
      <c r="CE467" s="11"/>
    </row>
    <row r="468" spans="1:83" s="2" customFormat="1" ht="19.5" thickBot="1" x14ac:dyDescent="0.35">
      <c r="A468" s="17">
        <v>493</v>
      </c>
      <c r="B468" s="135"/>
      <c r="C468" s="18" t="s">
        <v>83</v>
      </c>
      <c r="D468" s="19"/>
      <c r="E468" s="19"/>
      <c r="F468" s="19"/>
      <c r="G468" s="30"/>
      <c r="H468" s="31"/>
      <c r="I468" s="40"/>
      <c r="J468" s="31"/>
      <c r="K468" s="40"/>
      <c r="L468" s="31"/>
      <c r="M468" s="40"/>
      <c r="N468" s="31"/>
      <c r="O468" s="40"/>
      <c r="P468" s="31"/>
      <c r="Q468" s="40"/>
      <c r="R468" s="31"/>
      <c r="S468" s="31"/>
      <c r="T468" s="31"/>
      <c r="U468" s="40"/>
      <c r="V468" s="31"/>
      <c r="W468" s="31"/>
      <c r="X468" s="31"/>
      <c r="Y468" s="31"/>
      <c r="Z468" s="31"/>
      <c r="AA468" s="31"/>
      <c r="AB468" s="31"/>
      <c r="AC468" s="31"/>
      <c r="AD468" s="46">
        <v>18</v>
      </c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55">
        <f t="shared" si="71"/>
        <v>18</v>
      </c>
      <c r="AZ468" s="56">
        <v>0</v>
      </c>
      <c r="BA468" s="57">
        <v>0</v>
      </c>
      <c r="BB468" s="57">
        <f>+'[1]25'!R771</f>
        <v>1</v>
      </c>
      <c r="BC468" s="57">
        <v>4</v>
      </c>
      <c r="BD468" s="57"/>
      <c r="BE468" s="57"/>
      <c r="BF468" s="57"/>
      <c r="BG468" s="57"/>
      <c r="BH468" s="57"/>
      <c r="BI468" s="55">
        <f t="shared" si="72"/>
        <v>5</v>
      </c>
      <c r="BJ468" s="69">
        <f t="shared" si="73"/>
        <v>13</v>
      </c>
      <c r="BK468" s="69">
        <f t="shared" si="70"/>
        <v>0</v>
      </c>
      <c r="BM468" s="75"/>
      <c r="BN468" s="57">
        <f t="shared" si="68"/>
        <v>8</v>
      </c>
      <c r="BO468" s="80"/>
      <c r="BP468" s="81"/>
      <c r="BQ468" s="81">
        <v>1</v>
      </c>
      <c r="BR468" s="81">
        <v>2</v>
      </c>
      <c r="BS468" s="81">
        <v>2</v>
      </c>
      <c r="BT468" s="81"/>
      <c r="BU468" s="81"/>
      <c r="BV468" s="81"/>
      <c r="BW468" s="81"/>
      <c r="BX468" s="81"/>
      <c r="BY468" s="81"/>
      <c r="BZ468" s="9">
        <f t="shared" si="69"/>
        <v>5</v>
      </c>
      <c r="CB468" s="3"/>
      <c r="CD468" s="10"/>
      <c r="CE468" s="11"/>
    </row>
    <row r="469" spans="1:83" s="2" customFormat="1" ht="19.5" thickBot="1" x14ac:dyDescent="0.35">
      <c r="A469" s="17">
        <v>494</v>
      </c>
      <c r="B469" s="135"/>
      <c r="C469" s="18" t="s">
        <v>84</v>
      </c>
      <c r="D469" s="19"/>
      <c r="E469" s="19"/>
      <c r="F469" s="19"/>
      <c r="G469" s="30"/>
      <c r="H469" s="31"/>
      <c r="I469" s="40"/>
      <c r="J469" s="31"/>
      <c r="K469" s="40"/>
      <c r="L469" s="31"/>
      <c r="M469" s="40"/>
      <c r="N469" s="31"/>
      <c r="O469" s="40"/>
      <c r="P469" s="31"/>
      <c r="Q469" s="40"/>
      <c r="R469" s="31"/>
      <c r="S469" s="31"/>
      <c r="T469" s="31"/>
      <c r="U469" s="40"/>
      <c r="V469" s="31"/>
      <c r="W469" s="31"/>
      <c r="X469" s="31"/>
      <c r="Y469" s="31"/>
      <c r="Z469" s="31"/>
      <c r="AA469" s="31"/>
      <c r="AB469" s="31"/>
      <c r="AC469" s="31"/>
      <c r="AD469" s="46">
        <v>30</v>
      </c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55">
        <f t="shared" si="71"/>
        <v>30</v>
      </c>
      <c r="AZ469" s="56">
        <v>0</v>
      </c>
      <c r="BA469" s="57">
        <v>0</v>
      </c>
      <c r="BB469" s="57">
        <f>+'[1]25'!R772</f>
        <v>2</v>
      </c>
      <c r="BC469" s="57">
        <v>11</v>
      </c>
      <c r="BD469" s="57"/>
      <c r="BE469" s="57"/>
      <c r="BF469" s="57"/>
      <c r="BG469" s="57"/>
      <c r="BH469" s="57"/>
      <c r="BI469" s="55">
        <f t="shared" si="72"/>
        <v>13</v>
      </c>
      <c r="BJ469" s="69">
        <f t="shared" si="73"/>
        <v>17</v>
      </c>
      <c r="BK469" s="69">
        <f t="shared" si="70"/>
        <v>0</v>
      </c>
      <c r="BM469" s="75"/>
      <c r="BN469" s="57">
        <f t="shared" si="68"/>
        <v>13</v>
      </c>
      <c r="BO469" s="80"/>
      <c r="BP469" s="81"/>
      <c r="BQ469" s="81">
        <v>1</v>
      </c>
      <c r="BR469" s="81">
        <v>2</v>
      </c>
      <c r="BS469" s="81">
        <v>1</v>
      </c>
      <c r="BT469" s="81"/>
      <c r="BU469" s="81"/>
      <c r="BV469" s="81"/>
      <c r="BW469" s="81"/>
      <c r="BX469" s="81"/>
      <c r="BY469" s="81"/>
      <c r="BZ469" s="9">
        <f t="shared" si="69"/>
        <v>4</v>
      </c>
      <c r="CB469" s="3"/>
      <c r="CD469" s="10"/>
      <c r="CE469" s="11"/>
    </row>
    <row r="470" spans="1:83" s="2" customFormat="1" ht="19.5" thickBot="1" x14ac:dyDescent="0.35">
      <c r="A470" s="17">
        <v>495</v>
      </c>
      <c r="B470" s="135"/>
      <c r="C470" s="18" t="s">
        <v>85</v>
      </c>
      <c r="D470" s="19"/>
      <c r="E470" s="19"/>
      <c r="F470" s="19"/>
      <c r="G470" s="30"/>
      <c r="H470" s="31"/>
      <c r="I470" s="40"/>
      <c r="J470" s="31"/>
      <c r="K470" s="40"/>
      <c r="L470" s="31"/>
      <c r="M470" s="40"/>
      <c r="N470" s="31"/>
      <c r="O470" s="40"/>
      <c r="P470" s="31"/>
      <c r="Q470" s="40"/>
      <c r="R470" s="31"/>
      <c r="S470" s="31"/>
      <c r="T470" s="31"/>
      <c r="U470" s="40"/>
      <c r="V470" s="31"/>
      <c r="W470" s="31"/>
      <c r="X470" s="31"/>
      <c r="Y470" s="31"/>
      <c r="Z470" s="31"/>
      <c r="AA470" s="31"/>
      <c r="AB470" s="31"/>
      <c r="AC470" s="31"/>
      <c r="AD470" s="46">
        <v>27</v>
      </c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55">
        <f t="shared" si="71"/>
        <v>27</v>
      </c>
      <c r="AZ470" s="56">
        <v>0</v>
      </c>
      <c r="BA470" s="57">
        <v>0</v>
      </c>
      <c r="BB470" s="57">
        <f>+'[1]25'!R773</f>
        <v>10</v>
      </c>
      <c r="BC470" s="57">
        <v>7</v>
      </c>
      <c r="BD470" s="57"/>
      <c r="BE470" s="57"/>
      <c r="BF470" s="57"/>
      <c r="BG470" s="57"/>
      <c r="BH470" s="57"/>
      <c r="BI470" s="55">
        <f t="shared" si="72"/>
        <v>17</v>
      </c>
      <c r="BJ470" s="69">
        <f t="shared" si="73"/>
        <v>10</v>
      </c>
      <c r="BK470" s="69">
        <f t="shared" si="70"/>
        <v>0</v>
      </c>
      <c r="BM470" s="75"/>
      <c r="BN470" s="57">
        <f t="shared" si="68"/>
        <v>7</v>
      </c>
      <c r="BO470" s="80"/>
      <c r="BP470" s="81"/>
      <c r="BQ470" s="81">
        <v>1</v>
      </c>
      <c r="BR470" s="81">
        <v>2</v>
      </c>
      <c r="BS470" s="81"/>
      <c r="BT470" s="81"/>
      <c r="BU470" s="81"/>
      <c r="BV470" s="81"/>
      <c r="BW470" s="81"/>
      <c r="BX470" s="81"/>
      <c r="BY470" s="81"/>
      <c r="BZ470" s="9">
        <f t="shared" si="69"/>
        <v>3</v>
      </c>
      <c r="CB470" s="3"/>
      <c r="CD470" s="10"/>
      <c r="CE470" s="11"/>
    </row>
    <row r="471" spans="1:83" s="2" customFormat="1" ht="19.5" thickBot="1" x14ac:dyDescent="0.35">
      <c r="A471" s="17">
        <v>496</v>
      </c>
      <c r="B471" s="135"/>
      <c r="C471" s="18" t="s">
        <v>86</v>
      </c>
      <c r="D471" s="19"/>
      <c r="E471" s="19"/>
      <c r="F471" s="19"/>
      <c r="G471" s="30"/>
      <c r="H471" s="31"/>
      <c r="I471" s="40"/>
      <c r="J471" s="31"/>
      <c r="K471" s="40"/>
      <c r="L471" s="31"/>
      <c r="M471" s="40"/>
      <c r="N471" s="31"/>
      <c r="O471" s="40"/>
      <c r="P471" s="31"/>
      <c r="Q471" s="40"/>
      <c r="R471" s="31"/>
      <c r="S471" s="31"/>
      <c r="T471" s="31"/>
      <c r="U471" s="40"/>
      <c r="V471" s="31"/>
      <c r="W471" s="31"/>
      <c r="X471" s="31"/>
      <c r="Y471" s="31"/>
      <c r="Z471" s="31"/>
      <c r="AA471" s="31"/>
      <c r="AB471" s="31"/>
      <c r="AC471" s="31"/>
      <c r="AD471" s="46">
        <v>18</v>
      </c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55">
        <f t="shared" si="71"/>
        <v>18</v>
      </c>
      <c r="AZ471" s="56">
        <v>0</v>
      </c>
      <c r="BA471" s="57">
        <v>0</v>
      </c>
      <c r="BB471" s="57">
        <f>+'[1]25'!R774</f>
        <v>6</v>
      </c>
      <c r="BC471" s="57">
        <v>6</v>
      </c>
      <c r="BD471" s="57"/>
      <c r="BE471" s="57"/>
      <c r="BF471" s="57"/>
      <c r="BG471" s="57"/>
      <c r="BH471" s="57"/>
      <c r="BI471" s="55">
        <f t="shared" si="72"/>
        <v>12</v>
      </c>
      <c r="BJ471" s="69">
        <f t="shared" si="73"/>
        <v>6</v>
      </c>
      <c r="BK471" s="69">
        <f t="shared" si="70"/>
        <v>0</v>
      </c>
      <c r="BM471" s="75"/>
      <c r="BN471" s="57">
        <f t="shared" si="68"/>
        <v>2</v>
      </c>
      <c r="BO471" s="80"/>
      <c r="BP471" s="81"/>
      <c r="BQ471" s="81">
        <v>1</v>
      </c>
      <c r="BR471" s="81">
        <v>2</v>
      </c>
      <c r="BS471" s="81">
        <v>1</v>
      </c>
      <c r="BT471" s="81"/>
      <c r="BU471" s="81"/>
      <c r="BV471" s="81"/>
      <c r="BW471" s="81"/>
      <c r="BX471" s="81"/>
      <c r="BY471" s="81"/>
      <c r="BZ471" s="9">
        <f t="shared" si="69"/>
        <v>4</v>
      </c>
      <c r="CB471" s="3"/>
      <c r="CD471" s="10"/>
      <c r="CE471" s="11"/>
    </row>
    <row r="472" spans="1:83" s="2" customFormat="1" ht="19.5" thickBot="1" x14ac:dyDescent="0.35">
      <c r="A472" s="17">
        <v>497</v>
      </c>
      <c r="B472" s="135"/>
      <c r="C472" s="20" t="s">
        <v>87</v>
      </c>
      <c r="D472" s="21"/>
      <c r="E472" s="21"/>
      <c r="F472" s="21"/>
      <c r="G472" s="32"/>
      <c r="H472" s="33"/>
      <c r="I472" s="41"/>
      <c r="J472" s="33"/>
      <c r="K472" s="41"/>
      <c r="L472" s="33"/>
      <c r="M472" s="41"/>
      <c r="N472" s="33"/>
      <c r="O472" s="41"/>
      <c r="P472" s="33"/>
      <c r="Q472" s="41"/>
      <c r="R472" s="33"/>
      <c r="S472" s="33"/>
      <c r="T472" s="33"/>
      <c r="U472" s="41"/>
      <c r="V472" s="33"/>
      <c r="W472" s="33"/>
      <c r="X472" s="33"/>
      <c r="Y472" s="33"/>
      <c r="Z472" s="33"/>
      <c r="AA472" s="33"/>
      <c r="AB472" s="33"/>
      <c r="AC472" s="33"/>
      <c r="AD472" s="47">
        <v>6</v>
      </c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55">
        <f t="shared" si="71"/>
        <v>6</v>
      </c>
      <c r="AZ472" s="59">
        <v>0</v>
      </c>
      <c r="BA472" s="60">
        <v>0</v>
      </c>
      <c r="BB472" s="60">
        <f>+'[1]25'!R775</f>
        <v>2</v>
      </c>
      <c r="BC472" s="60">
        <v>1</v>
      </c>
      <c r="BD472" s="60"/>
      <c r="BE472" s="60"/>
      <c r="BF472" s="60"/>
      <c r="BG472" s="60"/>
      <c r="BH472" s="60"/>
      <c r="BI472" s="58">
        <f t="shared" si="72"/>
        <v>3</v>
      </c>
      <c r="BJ472" s="70">
        <f t="shared" si="73"/>
        <v>3</v>
      </c>
      <c r="BK472" s="70">
        <f t="shared" si="70"/>
        <v>0</v>
      </c>
      <c r="BL472" s="76"/>
      <c r="BM472" s="77"/>
      <c r="BN472" s="60">
        <f t="shared" si="68"/>
        <v>1</v>
      </c>
      <c r="BO472" s="82"/>
      <c r="BP472" s="83"/>
      <c r="BQ472" s="83">
        <v>1</v>
      </c>
      <c r="BR472" s="83">
        <v>1</v>
      </c>
      <c r="BS472" s="83"/>
      <c r="BT472" s="83"/>
      <c r="BU472" s="83"/>
      <c r="BV472" s="83"/>
      <c r="BW472" s="83"/>
      <c r="BX472" s="83"/>
      <c r="BY472" s="83"/>
      <c r="BZ472" s="9">
        <f t="shared" si="69"/>
        <v>2</v>
      </c>
      <c r="CB472" s="3"/>
      <c r="CD472" s="10"/>
      <c r="CE472" s="11"/>
    </row>
    <row r="473" spans="1:83" s="2" customFormat="1" ht="19.5" thickBot="1" x14ac:dyDescent="0.35">
      <c r="A473" s="17">
        <v>498</v>
      </c>
      <c r="B473" s="134" t="s">
        <v>154</v>
      </c>
      <c r="C473" s="18" t="s">
        <v>61</v>
      </c>
      <c r="D473" s="19"/>
      <c r="E473" s="19"/>
      <c r="F473" s="19"/>
      <c r="G473" s="30"/>
      <c r="H473" s="31"/>
      <c r="I473" s="40"/>
      <c r="J473" s="31"/>
      <c r="K473" s="40"/>
      <c r="L473" s="31"/>
      <c r="M473" s="40"/>
      <c r="N473" s="31"/>
      <c r="O473" s="40"/>
      <c r="P473" s="31"/>
      <c r="Q473" s="40"/>
      <c r="R473" s="31"/>
      <c r="S473" s="31"/>
      <c r="T473" s="31"/>
      <c r="U473" s="40"/>
      <c r="V473" s="31"/>
      <c r="W473" s="31"/>
      <c r="X473" s="31"/>
      <c r="Y473" s="31"/>
      <c r="Z473" s="31"/>
      <c r="AA473" s="31"/>
      <c r="AB473" s="31"/>
      <c r="AC473" s="31"/>
      <c r="AD473" s="46">
        <v>3</v>
      </c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>
        <v>6</v>
      </c>
      <c r="AR473" s="46"/>
      <c r="AS473" s="46"/>
      <c r="AT473" s="46"/>
      <c r="AU473" s="46"/>
      <c r="AV473" s="46"/>
      <c r="AW473" s="46"/>
      <c r="AX473" s="46"/>
      <c r="AY473" s="55">
        <f t="shared" si="71"/>
        <v>9</v>
      </c>
      <c r="AZ473" s="56">
        <v>0</v>
      </c>
      <c r="BA473" s="57">
        <v>0</v>
      </c>
      <c r="BB473" s="57">
        <f>+'[1]25'!R776</f>
        <v>3</v>
      </c>
      <c r="BC473" s="57">
        <v>2</v>
      </c>
      <c r="BD473" s="57"/>
      <c r="BE473" s="57"/>
      <c r="BF473" s="57"/>
      <c r="BG473" s="57"/>
      <c r="BH473" s="57"/>
      <c r="BI473" s="55">
        <f t="shared" si="72"/>
        <v>5</v>
      </c>
      <c r="BJ473" s="69">
        <f t="shared" si="73"/>
        <v>4</v>
      </c>
      <c r="BK473" s="69">
        <f t="shared" si="70"/>
        <v>0</v>
      </c>
      <c r="BM473" s="75"/>
      <c r="BN473" s="57">
        <f t="shared" si="68"/>
        <v>4</v>
      </c>
      <c r="BO473" s="80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9">
        <f t="shared" si="69"/>
        <v>0</v>
      </c>
      <c r="CB473" s="3"/>
      <c r="CD473" s="10"/>
      <c r="CE473" s="11"/>
    </row>
    <row r="474" spans="1:83" s="2" customFormat="1" ht="19.5" thickBot="1" x14ac:dyDescent="0.35">
      <c r="A474" s="17">
        <v>499</v>
      </c>
      <c r="B474" s="135"/>
      <c r="C474" s="18" t="s">
        <v>62</v>
      </c>
      <c r="D474" s="19"/>
      <c r="E474" s="19"/>
      <c r="F474" s="19"/>
      <c r="G474" s="30"/>
      <c r="H474" s="31"/>
      <c r="I474" s="40"/>
      <c r="J474" s="31"/>
      <c r="K474" s="40"/>
      <c r="L474" s="31"/>
      <c r="M474" s="40"/>
      <c r="N474" s="31"/>
      <c r="O474" s="40"/>
      <c r="P474" s="31"/>
      <c r="Q474" s="40"/>
      <c r="R474" s="31"/>
      <c r="S474" s="31"/>
      <c r="T474" s="31"/>
      <c r="U474" s="40"/>
      <c r="V474" s="31"/>
      <c r="W474" s="31"/>
      <c r="X474" s="31"/>
      <c r="Y474" s="31"/>
      <c r="Z474" s="31"/>
      <c r="AA474" s="31"/>
      <c r="AB474" s="31"/>
      <c r="AC474" s="31"/>
      <c r="AD474" s="46">
        <v>9</v>
      </c>
      <c r="AE474" s="46"/>
      <c r="AF474" s="46"/>
      <c r="AG474" s="46"/>
      <c r="AH474" s="46"/>
      <c r="AI474" s="46"/>
      <c r="AJ474" s="46">
        <v>6</v>
      </c>
      <c r="AK474" s="46"/>
      <c r="AL474" s="46"/>
      <c r="AM474" s="46"/>
      <c r="AN474" s="46">
        <v>6</v>
      </c>
      <c r="AO474" s="46"/>
      <c r="AP474" s="46"/>
      <c r="AQ474" s="46">
        <v>9</v>
      </c>
      <c r="AR474" s="46"/>
      <c r="AS474" s="46"/>
      <c r="AT474" s="46"/>
      <c r="AU474" s="46"/>
      <c r="AV474" s="46"/>
      <c r="AW474" s="46"/>
      <c r="AX474" s="46"/>
      <c r="AY474" s="55">
        <f t="shared" si="71"/>
        <v>30</v>
      </c>
      <c r="AZ474" s="56">
        <v>0</v>
      </c>
      <c r="BA474" s="57">
        <v>0</v>
      </c>
      <c r="BB474" s="57">
        <f>+'[1]25'!R777</f>
        <v>6</v>
      </c>
      <c r="BC474" s="57">
        <v>8</v>
      </c>
      <c r="BD474" s="57"/>
      <c r="BE474" s="57"/>
      <c r="BF474" s="57"/>
      <c r="BG474" s="57"/>
      <c r="BH474" s="57"/>
      <c r="BI474" s="55">
        <f t="shared" si="72"/>
        <v>14</v>
      </c>
      <c r="BJ474" s="69">
        <f t="shared" si="73"/>
        <v>16</v>
      </c>
      <c r="BK474" s="69">
        <f t="shared" si="70"/>
        <v>0</v>
      </c>
      <c r="BM474" s="75"/>
      <c r="BN474" s="57">
        <f t="shared" si="68"/>
        <v>9</v>
      </c>
      <c r="BO474" s="80"/>
      <c r="BP474" s="81">
        <v>2</v>
      </c>
      <c r="BQ474" s="81"/>
      <c r="BR474" s="81">
        <v>2</v>
      </c>
      <c r="BS474" s="81">
        <v>1</v>
      </c>
      <c r="BT474" s="81">
        <v>2</v>
      </c>
      <c r="BU474" s="81"/>
      <c r="BV474" s="81"/>
      <c r="BW474" s="81"/>
      <c r="BX474" s="81"/>
      <c r="BY474" s="81"/>
      <c r="BZ474" s="9">
        <f t="shared" si="69"/>
        <v>7</v>
      </c>
      <c r="CB474" s="3"/>
      <c r="CD474" s="10"/>
      <c r="CE474" s="11"/>
    </row>
    <row r="475" spans="1:83" s="2" customFormat="1" ht="19.5" thickBot="1" x14ac:dyDescent="0.35">
      <c r="A475" s="17">
        <v>500</v>
      </c>
      <c r="B475" s="135"/>
      <c r="C475" s="18" t="s">
        <v>63</v>
      </c>
      <c r="D475" s="19"/>
      <c r="E475" s="19"/>
      <c r="F475" s="19"/>
      <c r="G475" s="30"/>
      <c r="H475" s="31"/>
      <c r="I475" s="40"/>
      <c r="J475" s="31"/>
      <c r="K475" s="40"/>
      <c r="L475" s="31"/>
      <c r="M475" s="40"/>
      <c r="N475" s="31"/>
      <c r="O475" s="40"/>
      <c r="P475" s="31"/>
      <c r="Q475" s="40"/>
      <c r="R475" s="31"/>
      <c r="S475" s="31"/>
      <c r="T475" s="31"/>
      <c r="U475" s="40"/>
      <c r="V475" s="31"/>
      <c r="W475" s="31"/>
      <c r="X475" s="31"/>
      <c r="Y475" s="31"/>
      <c r="Z475" s="31"/>
      <c r="AA475" s="31"/>
      <c r="AB475" s="31"/>
      <c r="AC475" s="31"/>
      <c r="AD475" s="46">
        <v>15</v>
      </c>
      <c r="AE475" s="46"/>
      <c r="AF475" s="46"/>
      <c r="AG475" s="46"/>
      <c r="AH475" s="46"/>
      <c r="AI475" s="46"/>
      <c r="AJ475" s="46">
        <v>12</v>
      </c>
      <c r="AK475" s="46"/>
      <c r="AL475" s="46"/>
      <c r="AM475" s="46"/>
      <c r="AN475" s="46">
        <v>12</v>
      </c>
      <c r="AO475" s="46"/>
      <c r="AP475" s="46"/>
      <c r="AQ475" s="46">
        <v>12</v>
      </c>
      <c r="AR475" s="46"/>
      <c r="AS475" s="46"/>
      <c r="AT475" s="46"/>
      <c r="AU475" s="46"/>
      <c r="AV475" s="46"/>
      <c r="AW475" s="46"/>
      <c r="AX475" s="46"/>
      <c r="AY475" s="55">
        <f t="shared" si="71"/>
        <v>51</v>
      </c>
      <c r="AZ475" s="56">
        <v>0</v>
      </c>
      <c r="BA475" s="57">
        <v>0</v>
      </c>
      <c r="BB475" s="57">
        <f>+'[1]25'!R778</f>
        <v>13</v>
      </c>
      <c r="BC475" s="57">
        <v>18</v>
      </c>
      <c r="BD475" s="57"/>
      <c r="BE475" s="57"/>
      <c r="BF475" s="57"/>
      <c r="BG475" s="57"/>
      <c r="BH475" s="57"/>
      <c r="BI475" s="55">
        <f t="shared" si="72"/>
        <v>31</v>
      </c>
      <c r="BJ475" s="69">
        <f t="shared" si="73"/>
        <v>20</v>
      </c>
      <c r="BK475" s="69">
        <f t="shared" si="70"/>
        <v>0</v>
      </c>
      <c r="BM475" s="75"/>
      <c r="BN475" s="57">
        <f t="shared" si="68"/>
        <v>10</v>
      </c>
      <c r="BO475" s="80"/>
      <c r="BP475" s="81">
        <v>2</v>
      </c>
      <c r="BQ475" s="81">
        <v>1</v>
      </c>
      <c r="BR475" s="81">
        <v>3</v>
      </c>
      <c r="BS475" s="81">
        <v>1</v>
      </c>
      <c r="BT475" s="81">
        <v>2</v>
      </c>
      <c r="BU475" s="81"/>
      <c r="BV475" s="81">
        <v>1</v>
      </c>
      <c r="BW475" s="81"/>
      <c r="BX475" s="81"/>
      <c r="BY475" s="81"/>
      <c r="BZ475" s="9">
        <f t="shared" si="69"/>
        <v>10</v>
      </c>
      <c r="CB475" s="3"/>
      <c r="CD475" s="10"/>
      <c r="CE475" s="11"/>
    </row>
    <row r="476" spans="1:83" s="2" customFormat="1" ht="19.5" thickBot="1" x14ac:dyDescent="0.35">
      <c r="A476" s="17">
        <v>501</v>
      </c>
      <c r="B476" s="135"/>
      <c r="C476" s="18" t="s">
        <v>64</v>
      </c>
      <c r="D476" s="19"/>
      <c r="E476" s="19"/>
      <c r="F476" s="19"/>
      <c r="G476" s="30"/>
      <c r="H476" s="31"/>
      <c r="I476" s="40"/>
      <c r="J476" s="31"/>
      <c r="K476" s="40"/>
      <c r="L476" s="31"/>
      <c r="M476" s="40"/>
      <c r="N476" s="31"/>
      <c r="O476" s="40"/>
      <c r="P476" s="31"/>
      <c r="Q476" s="40"/>
      <c r="R476" s="31"/>
      <c r="S476" s="31"/>
      <c r="T476" s="31"/>
      <c r="U476" s="40"/>
      <c r="V476" s="31"/>
      <c r="W476" s="31"/>
      <c r="X476" s="31"/>
      <c r="Y476" s="31"/>
      <c r="Z476" s="31"/>
      <c r="AA476" s="31"/>
      <c r="AB476" s="31"/>
      <c r="AC476" s="31"/>
      <c r="AD476" s="46">
        <v>21</v>
      </c>
      <c r="AE476" s="46"/>
      <c r="AF476" s="46"/>
      <c r="AG476" s="46"/>
      <c r="AH476" s="46"/>
      <c r="AI476" s="46"/>
      <c r="AJ476" s="46">
        <v>18</v>
      </c>
      <c r="AK476" s="46"/>
      <c r="AL476" s="46"/>
      <c r="AM476" s="46"/>
      <c r="AN476" s="46">
        <v>18</v>
      </c>
      <c r="AO476" s="46"/>
      <c r="AP476" s="46"/>
      <c r="AQ476" s="46">
        <v>27</v>
      </c>
      <c r="AR476" s="46"/>
      <c r="AS476" s="46"/>
      <c r="AT476" s="46"/>
      <c r="AU476" s="46"/>
      <c r="AV476" s="46"/>
      <c r="AW476" s="46"/>
      <c r="AX476" s="46"/>
      <c r="AY476" s="55">
        <f t="shared" si="71"/>
        <v>84</v>
      </c>
      <c r="AZ476" s="56">
        <v>0</v>
      </c>
      <c r="BA476" s="57">
        <v>0</v>
      </c>
      <c r="BB476" s="57">
        <f>+'[1]25'!R779</f>
        <v>20</v>
      </c>
      <c r="BC476" s="57">
        <v>16</v>
      </c>
      <c r="BD476" s="57"/>
      <c r="BE476" s="57"/>
      <c r="BF476" s="57"/>
      <c r="BG476" s="57"/>
      <c r="BH476" s="57"/>
      <c r="BI476" s="55">
        <f t="shared" si="72"/>
        <v>36</v>
      </c>
      <c r="BJ476" s="69">
        <f t="shared" si="73"/>
        <v>48</v>
      </c>
      <c r="BK476" s="69">
        <f t="shared" si="70"/>
        <v>0</v>
      </c>
      <c r="BM476" s="75"/>
      <c r="BN476" s="57">
        <f t="shared" si="68"/>
        <v>36</v>
      </c>
      <c r="BO476" s="80"/>
      <c r="BP476" s="81">
        <v>2</v>
      </c>
      <c r="BQ476" s="81"/>
      <c r="BR476" s="81">
        <v>2</v>
      </c>
      <c r="BS476" s="81">
        <v>5</v>
      </c>
      <c r="BT476" s="81">
        <v>2</v>
      </c>
      <c r="BU476" s="81"/>
      <c r="BV476" s="81">
        <v>1</v>
      </c>
      <c r="BW476" s="81"/>
      <c r="BX476" s="81"/>
      <c r="BY476" s="81"/>
      <c r="BZ476" s="9">
        <f t="shared" si="69"/>
        <v>12</v>
      </c>
      <c r="CB476" s="3"/>
      <c r="CD476" s="10"/>
      <c r="CE476" s="11"/>
    </row>
    <row r="477" spans="1:83" s="2" customFormat="1" ht="19.5" thickBot="1" x14ac:dyDescent="0.35">
      <c r="A477" s="17">
        <v>502</v>
      </c>
      <c r="B477" s="135"/>
      <c r="C477" s="18" t="s">
        <v>65</v>
      </c>
      <c r="D477" s="19"/>
      <c r="E477" s="19"/>
      <c r="F477" s="19"/>
      <c r="G477" s="30"/>
      <c r="H477" s="31"/>
      <c r="I477" s="40"/>
      <c r="J477" s="31"/>
      <c r="K477" s="40"/>
      <c r="L477" s="31"/>
      <c r="M477" s="40"/>
      <c r="N477" s="31"/>
      <c r="O477" s="40"/>
      <c r="P477" s="31"/>
      <c r="Q477" s="40"/>
      <c r="R477" s="31"/>
      <c r="S477" s="31"/>
      <c r="T477" s="31"/>
      <c r="U477" s="40"/>
      <c r="V477" s="31"/>
      <c r="W477" s="31"/>
      <c r="X477" s="31"/>
      <c r="Y477" s="31"/>
      <c r="Z477" s="31"/>
      <c r="AA477" s="31"/>
      <c r="AB477" s="31"/>
      <c r="AC477" s="31"/>
      <c r="AD477" s="46">
        <v>30</v>
      </c>
      <c r="AE477" s="46"/>
      <c r="AF477" s="46"/>
      <c r="AG477" s="46"/>
      <c r="AH477" s="46"/>
      <c r="AI477" s="46"/>
      <c r="AJ477" s="46">
        <v>27</v>
      </c>
      <c r="AK477" s="46"/>
      <c r="AL477" s="46"/>
      <c r="AM477" s="46"/>
      <c r="AN477" s="46">
        <v>18</v>
      </c>
      <c r="AO477" s="46"/>
      <c r="AP477" s="46"/>
      <c r="AQ477" s="46">
        <v>27</v>
      </c>
      <c r="AR477" s="46"/>
      <c r="AS477" s="46"/>
      <c r="AT477" s="46"/>
      <c r="AU477" s="46"/>
      <c r="AV477" s="46"/>
      <c r="AW477" s="46"/>
      <c r="AX477" s="46"/>
      <c r="AY477" s="55">
        <f t="shared" si="71"/>
        <v>102</v>
      </c>
      <c r="AZ477" s="56">
        <v>0</v>
      </c>
      <c r="BA477" s="57">
        <v>0</v>
      </c>
      <c r="BB477" s="57">
        <f>+'[1]25'!R780</f>
        <v>28</v>
      </c>
      <c r="BC477" s="57">
        <v>27</v>
      </c>
      <c r="BD477" s="57"/>
      <c r="BE477" s="57"/>
      <c r="BF477" s="57"/>
      <c r="BG477" s="57"/>
      <c r="BH477" s="57"/>
      <c r="BI477" s="55">
        <f t="shared" si="72"/>
        <v>55</v>
      </c>
      <c r="BJ477" s="69">
        <f t="shared" si="73"/>
        <v>47</v>
      </c>
      <c r="BK477" s="69">
        <f t="shared" si="70"/>
        <v>0</v>
      </c>
      <c r="BM477" s="75"/>
      <c r="BN477" s="57">
        <f t="shared" si="68"/>
        <v>40</v>
      </c>
      <c r="BO477" s="80"/>
      <c r="BP477" s="81">
        <v>2</v>
      </c>
      <c r="BQ477" s="81">
        <v>1</v>
      </c>
      <c r="BR477" s="81">
        <v>1</v>
      </c>
      <c r="BS477" s="81"/>
      <c r="BT477" s="81">
        <v>1</v>
      </c>
      <c r="BU477" s="81"/>
      <c r="BV477" s="81">
        <v>1</v>
      </c>
      <c r="BW477" s="81">
        <v>1</v>
      </c>
      <c r="BX477" s="81"/>
      <c r="BY477" s="81"/>
      <c r="BZ477" s="9">
        <f t="shared" si="69"/>
        <v>7</v>
      </c>
      <c r="CB477" s="3"/>
      <c r="CD477" s="10"/>
      <c r="CE477" s="11"/>
    </row>
    <row r="478" spans="1:83" s="2" customFormat="1" ht="19.5" thickBot="1" x14ac:dyDescent="0.35">
      <c r="A478" s="17">
        <v>503</v>
      </c>
      <c r="B478" s="135"/>
      <c r="C478" s="18" t="s">
        <v>66</v>
      </c>
      <c r="D478" s="19"/>
      <c r="E478" s="19"/>
      <c r="F478" s="19"/>
      <c r="G478" s="30"/>
      <c r="H478" s="31"/>
      <c r="I478" s="40"/>
      <c r="J478" s="31"/>
      <c r="K478" s="40"/>
      <c r="L478" s="31"/>
      <c r="M478" s="40"/>
      <c r="N478" s="31"/>
      <c r="O478" s="40"/>
      <c r="P478" s="31"/>
      <c r="Q478" s="40"/>
      <c r="R478" s="31"/>
      <c r="S478" s="31"/>
      <c r="T478" s="31"/>
      <c r="U478" s="40"/>
      <c r="V478" s="31"/>
      <c r="W478" s="31"/>
      <c r="X478" s="31"/>
      <c r="Y478" s="31"/>
      <c r="Z478" s="31"/>
      <c r="AA478" s="31"/>
      <c r="AB478" s="31"/>
      <c r="AC478" s="31"/>
      <c r="AD478" s="46">
        <v>24</v>
      </c>
      <c r="AE478" s="46"/>
      <c r="AF478" s="46"/>
      <c r="AG478" s="46"/>
      <c r="AH478" s="46"/>
      <c r="AI478" s="46"/>
      <c r="AJ478" s="46">
        <v>18</v>
      </c>
      <c r="AK478" s="46"/>
      <c r="AL478" s="46"/>
      <c r="AM478" s="46"/>
      <c r="AN478" s="46">
        <v>30</v>
      </c>
      <c r="AO478" s="46"/>
      <c r="AP478" s="46"/>
      <c r="AQ478" s="46">
        <v>24</v>
      </c>
      <c r="AR478" s="46"/>
      <c r="AS478" s="46"/>
      <c r="AT478" s="46"/>
      <c r="AU478" s="46"/>
      <c r="AV478" s="46"/>
      <c r="AW478" s="46"/>
      <c r="AX478" s="46"/>
      <c r="AY478" s="55">
        <f t="shared" si="71"/>
        <v>96</v>
      </c>
      <c r="AZ478" s="56">
        <v>0</v>
      </c>
      <c r="BA478" s="57">
        <v>0</v>
      </c>
      <c r="BB478" s="57">
        <f>+'[1]25'!R781</f>
        <v>24</v>
      </c>
      <c r="BC478" s="57">
        <v>20</v>
      </c>
      <c r="BD478" s="57"/>
      <c r="BE478" s="57"/>
      <c r="BF478" s="57"/>
      <c r="BG478" s="57"/>
      <c r="BH478" s="57"/>
      <c r="BI478" s="55">
        <f t="shared" si="72"/>
        <v>44</v>
      </c>
      <c r="BJ478" s="69">
        <f t="shared" si="73"/>
        <v>52</v>
      </c>
      <c r="BK478" s="69">
        <f t="shared" si="70"/>
        <v>0</v>
      </c>
      <c r="BM478" s="75"/>
      <c r="BN478" s="57">
        <f t="shared" si="68"/>
        <v>45</v>
      </c>
      <c r="BO478" s="80"/>
      <c r="BP478" s="81">
        <v>2</v>
      </c>
      <c r="BQ478" s="81">
        <v>2</v>
      </c>
      <c r="BR478" s="81"/>
      <c r="BS478" s="81">
        <v>1</v>
      </c>
      <c r="BT478" s="81">
        <v>1</v>
      </c>
      <c r="BU478" s="81"/>
      <c r="BV478" s="81">
        <v>1</v>
      </c>
      <c r="BW478" s="81"/>
      <c r="BX478" s="81"/>
      <c r="BY478" s="81"/>
      <c r="BZ478" s="9">
        <f t="shared" si="69"/>
        <v>7</v>
      </c>
      <c r="CB478" s="3"/>
      <c r="CD478" s="10"/>
      <c r="CE478" s="11"/>
    </row>
    <row r="479" spans="1:83" s="2" customFormat="1" ht="19.5" thickBot="1" x14ac:dyDescent="0.35">
      <c r="A479" s="17">
        <v>504</v>
      </c>
      <c r="B479" s="135"/>
      <c r="C479" s="18" t="s">
        <v>67</v>
      </c>
      <c r="D479" s="19"/>
      <c r="E479" s="19"/>
      <c r="F479" s="19"/>
      <c r="G479" s="30"/>
      <c r="H479" s="31"/>
      <c r="I479" s="40"/>
      <c r="J479" s="31"/>
      <c r="K479" s="40"/>
      <c r="L479" s="31"/>
      <c r="M479" s="40"/>
      <c r="N479" s="31"/>
      <c r="O479" s="40"/>
      <c r="P479" s="31"/>
      <c r="Q479" s="40"/>
      <c r="R479" s="31"/>
      <c r="S479" s="31"/>
      <c r="T479" s="31"/>
      <c r="U479" s="40"/>
      <c r="V479" s="31"/>
      <c r="W479" s="31"/>
      <c r="X479" s="31"/>
      <c r="Y479" s="31"/>
      <c r="Z479" s="31"/>
      <c r="AA479" s="31"/>
      <c r="AB479" s="31"/>
      <c r="AC479" s="31"/>
      <c r="AD479" s="46">
        <v>12</v>
      </c>
      <c r="AE479" s="46"/>
      <c r="AF479" s="46"/>
      <c r="AG479" s="46"/>
      <c r="AH479" s="46"/>
      <c r="AI479" s="46"/>
      <c r="AJ479" s="46">
        <v>12</v>
      </c>
      <c r="AK479" s="46"/>
      <c r="AL479" s="46"/>
      <c r="AM479" s="46"/>
      <c r="AN479" s="46">
        <v>12</v>
      </c>
      <c r="AO479" s="46"/>
      <c r="AP479" s="46"/>
      <c r="AQ479" s="46">
        <v>18</v>
      </c>
      <c r="AR479" s="46"/>
      <c r="AS479" s="46"/>
      <c r="AT479" s="46"/>
      <c r="AU479" s="46"/>
      <c r="AV479" s="46"/>
      <c r="AW479" s="46"/>
      <c r="AX479" s="46"/>
      <c r="AY479" s="55">
        <f t="shared" si="71"/>
        <v>54</v>
      </c>
      <c r="AZ479" s="56">
        <v>0</v>
      </c>
      <c r="BA479" s="57">
        <v>0</v>
      </c>
      <c r="BB479" s="57">
        <f>+'[1]25'!R782</f>
        <v>11</v>
      </c>
      <c r="BC479" s="57">
        <v>14</v>
      </c>
      <c r="BD479" s="57"/>
      <c r="BE479" s="57"/>
      <c r="BF479" s="57"/>
      <c r="BG479" s="57"/>
      <c r="BH479" s="57"/>
      <c r="BI479" s="55">
        <f t="shared" si="72"/>
        <v>25</v>
      </c>
      <c r="BJ479" s="69">
        <f t="shared" si="73"/>
        <v>29</v>
      </c>
      <c r="BK479" s="69">
        <f t="shared" si="70"/>
        <v>0</v>
      </c>
      <c r="BM479" s="75"/>
      <c r="BN479" s="57">
        <f t="shared" si="68"/>
        <v>23</v>
      </c>
      <c r="BO479" s="80"/>
      <c r="BP479" s="81">
        <v>1</v>
      </c>
      <c r="BQ479" s="81">
        <v>1</v>
      </c>
      <c r="BR479" s="81">
        <v>1</v>
      </c>
      <c r="BS479" s="81">
        <v>1</v>
      </c>
      <c r="BT479" s="81">
        <v>1</v>
      </c>
      <c r="BU479" s="81"/>
      <c r="BV479" s="81"/>
      <c r="BW479" s="81">
        <v>1</v>
      </c>
      <c r="BX479" s="81"/>
      <c r="BY479" s="81"/>
      <c r="BZ479" s="9">
        <f t="shared" si="69"/>
        <v>6</v>
      </c>
      <c r="CB479" s="3"/>
      <c r="CD479" s="10"/>
      <c r="CE479" s="11"/>
    </row>
    <row r="480" spans="1:83" s="2" customFormat="1" ht="19.5" thickBot="1" x14ac:dyDescent="0.35">
      <c r="A480" s="17">
        <v>505</v>
      </c>
      <c r="B480" s="135"/>
      <c r="C480" s="18" t="s">
        <v>68</v>
      </c>
      <c r="D480" s="19"/>
      <c r="E480" s="19"/>
      <c r="F480" s="19"/>
      <c r="G480" s="30"/>
      <c r="H480" s="31"/>
      <c r="I480" s="40"/>
      <c r="J480" s="31"/>
      <c r="K480" s="40"/>
      <c r="L480" s="31"/>
      <c r="M480" s="40"/>
      <c r="N480" s="31"/>
      <c r="O480" s="40"/>
      <c r="P480" s="31"/>
      <c r="Q480" s="40"/>
      <c r="R480" s="31"/>
      <c r="S480" s="31"/>
      <c r="T480" s="31"/>
      <c r="U480" s="40"/>
      <c r="V480" s="31"/>
      <c r="W480" s="31"/>
      <c r="X480" s="31"/>
      <c r="Y480" s="31"/>
      <c r="Z480" s="31"/>
      <c r="AA480" s="31"/>
      <c r="AB480" s="31"/>
      <c r="AC480" s="31"/>
      <c r="AD480" s="46">
        <v>9</v>
      </c>
      <c r="AE480" s="46"/>
      <c r="AF480" s="46"/>
      <c r="AG480" s="46"/>
      <c r="AH480" s="46"/>
      <c r="AI480" s="46"/>
      <c r="AJ480" s="46">
        <v>6</v>
      </c>
      <c r="AK480" s="46"/>
      <c r="AL480" s="46"/>
      <c r="AM480" s="46"/>
      <c r="AN480" s="46">
        <v>6</v>
      </c>
      <c r="AO480" s="46"/>
      <c r="AP480" s="46"/>
      <c r="AQ480" s="46">
        <v>9</v>
      </c>
      <c r="AR480" s="46"/>
      <c r="AS480" s="46"/>
      <c r="AT480" s="46"/>
      <c r="AU480" s="46"/>
      <c r="AV480" s="46"/>
      <c r="AW480" s="46"/>
      <c r="AX480" s="46"/>
      <c r="AY480" s="55">
        <f t="shared" si="71"/>
        <v>30</v>
      </c>
      <c r="AZ480" s="56">
        <v>0</v>
      </c>
      <c r="BA480" s="57">
        <v>0</v>
      </c>
      <c r="BB480" s="57">
        <f>+'[1]25'!R783</f>
        <v>8</v>
      </c>
      <c r="BC480" s="57">
        <v>7</v>
      </c>
      <c r="BD480" s="57"/>
      <c r="BE480" s="57"/>
      <c r="BF480" s="57"/>
      <c r="BG480" s="57"/>
      <c r="BH480" s="57"/>
      <c r="BI480" s="55">
        <f t="shared" si="72"/>
        <v>15</v>
      </c>
      <c r="BJ480" s="69">
        <f t="shared" si="73"/>
        <v>15</v>
      </c>
      <c r="BK480" s="69">
        <f t="shared" si="70"/>
        <v>0</v>
      </c>
      <c r="BM480" s="75"/>
      <c r="BN480" s="57">
        <f t="shared" si="68"/>
        <v>11</v>
      </c>
      <c r="BO480" s="80"/>
      <c r="BP480" s="81">
        <v>1</v>
      </c>
      <c r="BQ480" s="81">
        <v>1</v>
      </c>
      <c r="BR480" s="81">
        <v>1</v>
      </c>
      <c r="BS480" s="81">
        <v>1</v>
      </c>
      <c r="BT480" s="81"/>
      <c r="BU480" s="81"/>
      <c r="BV480" s="81"/>
      <c r="BW480" s="81"/>
      <c r="BX480" s="81"/>
      <c r="BY480" s="81"/>
      <c r="BZ480" s="9">
        <f t="shared" si="69"/>
        <v>4</v>
      </c>
      <c r="CB480" s="3"/>
      <c r="CD480" s="10"/>
      <c r="CE480" s="11"/>
    </row>
    <row r="481" spans="1:83" s="2" customFormat="1" ht="19.5" thickBot="1" x14ac:dyDescent="0.35">
      <c r="A481" s="17">
        <v>506</v>
      </c>
      <c r="B481" s="135"/>
      <c r="C481" s="18" t="s">
        <v>69</v>
      </c>
      <c r="D481" s="19"/>
      <c r="E481" s="19"/>
      <c r="F481" s="19"/>
      <c r="G481" s="30"/>
      <c r="H481" s="31"/>
      <c r="I481" s="40"/>
      <c r="J481" s="31"/>
      <c r="K481" s="40"/>
      <c r="L481" s="31"/>
      <c r="M481" s="40"/>
      <c r="N481" s="31"/>
      <c r="O481" s="40"/>
      <c r="P481" s="31"/>
      <c r="Q481" s="40"/>
      <c r="R481" s="31"/>
      <c r="S481" s="31"/>
      <c r="T481" s="31"/>
      <c r="U481" s="40"/>
      <c r="V481" s="31"/>
      <c r="W481" s="31"/>
      <c r="X481" s="31"/>
      <c r="Y481" s="31"/>
      <c r="Z481" s="31"/>
      <c r="AA481" s="31"/>
      <c r="AB481" s="31"/>
      <c r="AC481" s="31"/>
      <c r="AD481" s="46">
        <v>6</v>
      </c>
      <c r="AE481" s="46"/>
      <c r="AF481" s="46"/>
      <c r="AG481" s="46"/>
      <c r="AH481" s="46"/>
      <c r="AI481" s="46"/>
      <c r="AJ481" s="46">
        <v>6</v>
      </c>
      <c r="AK481" s="46"/>
      <c r="AL481" s="46"/>
      <c r="AM481" s="46"/>
      <c r="AN481" s="46">
        <v>6</v>
      </c>
      <c r="AO481" s="46"/>
      <c r="AP481" s="46"/>
      <c r="AQ481" s="46">
        <v>9</v>
      </c>
      <c r="AR481" s="46"/>
      <c r="AS481" s="46"/>
      <c r="AT481" s="46"/>
      <c r="AU481" s="46"/>
      <c r="AV481" s="46"/>
      <c r="AW481" s="46"/>
      <c r="AX481" s="46"/>
      <c r="AY481" s="55">
        <f t="shared" si="71"/>
        <v>27</v>
      </c>
      <c r="AZ481" s="56">
        <v>0</v>
      </c>
      <c r="BA481" s="57">
        <v>0</v>
      </c>
      <c r="BB481" s="57">
        <f>+'[1]25'!R784</f>
        <v>5</v>
      </c>
      <c r="BC481" s="57">
        <v>2</v>
      </c>
      <c r="BD481" s="57"/>
      <c r="BE481" s="57"/>
      <c r="BF481" s="57"/>
      <c r="BG481" s="57"/>
      <c r="BH481" s="57"/>
      <c r="BI481" s="55">
        <f t="shared" si="72"/>
        <v>7</v>
      </c>
      <c r="BJ481" s="69">
        <f t="shared" si="73"/>
        <v>20</v>
      </c>
      <c r="BK481" s="69">
        <f t="shared" si="70"/>
        <v>0</v>
      </c>
      <c r="BM481" s="75"/>
      <c r="BN481" s="57">
        <f t="shared" si="68"/>
        <v>17</v>
      </c>
      <c r="BO481" s="80"/>
      <c r="BP481" s="81">
        <v>2</v>
      </c>
      <c r="BQ481" s="81"/>
      <c r="BR481" s="81">
        <v>1</v>
      </c>
      <c r="BS481" s="81"/>
      <c r="BT481" s="81"/>
      <c r="BU481" s="81"/>
      <c r="BV481" s="81"/>
      <c r="BW481" s="81"/>
      <c r="BX481" s="81"/>
      <c r="BY481" s="81"/>
      <c r="BZ481" s="9">
        <f t="shared" si="69"/>
        <v>3</v>
      </c>
      <c r="CB481" s="3"/>
      <c r="CD481" s="10"/>
      <c r="CE481" s="11"/>
    </row>
    <row r="482" spans="1:83" s="2" customFormat="1" ht="19.5" thickBot="1" x14ac:dyDescent="0.35">
      <c r="A482" s="17">
        <v>507</v>
      </c>
      <c r="B482" s="135"/>
      <c r="C482" s="20" t="s">
        <v>70</v>
      </c>
      <c r="D482" s="21"/>
      <c r="E482" s="21"/>
      <c r="F482" s="21"/>
      <c r="G482" s="32"/>
      <c r="H482" s="33"/>
      <c r="I482" s="41"/>
      <c r="J482" s="33"/>
      <c r="K482" s="41"/>
      <c r="L482" s="33"/>
      <c r="M482" s="41"/>
      <c r="N482" s="33"/>
      <c r="O482" s="41"/>
      <c r="P482" s="33"/>
      <c r="Q482" s="41"/>
      <c r="R482" s="33"/>
      <c r="S482" s="33"/>
      <c r="T482" s="33"/>
      <c r="U482" s="41"/>
      <c r="V482" s="33"/>
      <c r="W482" s="33"/>
      <c r="X482" s="33"/>
      <c r="Y482" s="33"/>
      <c r="Z482" s="33"/>
      <c r="AA482" s="33"/>
      <c r="AB482" s="33"/>
      <c r="AC482" s="33"/>
      <c r="AD482" s="47">
        <v>3</v>
      </c>
      <c r="AE482" s="47"/>
      <c r="AF482" s="47"/>
      <c r="AG482" s="47"/>
      <c r="AH482" s="47"/>
      <c r="AI482" s="47"/>
      <c r="AJ482" s="47">
        <v>3</v>
      </c>
      <c r="AK482" s="47"/>
      <c r="AL482" s="47"/>
      <c r="AM482" s="47"/>
      <c r="AN482" s="47"/>
      <c r="AO482" s="47"/>
      <c r="AP482" s="47"/>
      <c r="AQ482" s="47">
        <v>3</v>
      </c>
      <c r="AR482" s="47"/>
      <c r="AS482" s="47"/>
      <c r="AT482" s="47"/>
      <c r="AU482" s="47"/>
      <c r="AV482" s="47"/>
      <c r="AW482" s="47"/>
      <c r="AX482" s="47"/>
      <c r="AY482" s="55">
        <f t="shared" si="71"/>
        <v>9</v>
      </c>
      <c r="AZ482" s="59">
        <v>0</v>
      </c>
      <c r="BA482" s="60">
        <v>0</v>
      </c>
      <c r="BB482" s="60">
        <f>+'[1]25'!R785</f>
        <v>2</v>
      </c>
      <c r="BC482" s="60">
        <v>1</v>
      </c>
      <c r="BD482" s="60"/>
      <c r="BE482" s="60"/>
      <c r="BF482" s="60"/>
      <c r="BG482" s="60"/>
      <c r="BH482" s="60"/>
      <c r="BI482" s="58">
        <f t="shared" si="72"/>
        <v>3</v>
      </c>
      <c r="BJ482" s="70">
        <f t="shared" si="73"/>
        <v>6</v>
      </c>
      <c r="BK482" s="70">
        <f t="shared" si="70"/>
        <v>0</v>
      </c>
      <c r="BL482" s="76"/>
      <c r="BM482" s="77"/>
      <c r="BN482" s="60">
        <f t="shared" si="68"/>
        <v>4</v>
      </c>
      <c r="BO482" s="82"/>
      <c r="BP482" s="83">
        <v>2</v>
      </c>
      <c r="BQ482" s="83"/>
      <c r="BR482" s="83"/>
      <c r="BS482" s="83"/>
      <c r="BT482" s="83"/>
      <c r="BU482" s="83"/>
      <c r="BV482" s="83"/>
      <c r="BW482" s="83"/>
      <c r="BX482" s="83"/>
      <c r="BY482" s="83"/>
      <c r="BZ482" s="9">
        <f t="shared" si="69"/>
        <v>2</v>
      </c>
      <c r="CB482" s="3"/>
      <c r="CD482" s="10"/>
      <c r="CE482" s="11"/>
    </row>
    <row r="483" spans="1:83" s="2" customFormat="1" ht="19.5" thickBot="1" x14ac:dyDescent="0.35">
      <c r="A483" s="17">
        <v>508</v>
      </c>
      <c r="B483" s="134" t="s">
        <v>155</v>
      </c>
      <c r="C483" s="18" t="s">
        <v>62</v>
      </c>
      <c r="D483" s="19"/>
      <c r="E483" s="19"/>
      <c r="F483" s="19"/>
      <c r="G483" s="30"/>
      <c r="H483" s="31"/>
      <c r="I483" s="40"/>
      <c r="J483" s="31"/>
      <c r="K483" s="40"/>
      <c r="L483" s="31"/>
      <c r="M483" s="40"/>
      <c r="N483" s="31"/>
      <c r="O483" s="40"/>
      <c r="P483" s="31"/>
      <c r="Q483" s="40"/>
      <c r="R483" s="31"/>
      <c r="S483" s="31"/>
      <c r="T483" s="31"/>
      <c r="U483" s="40"/>
      <c r="V483" s="31"/>
      <c r="W483" s="31"/>
      <c r="X483" s="31"/>
      <c r="Y483" s="31"/>
      <c r="Z483" s="31"/>
      <c r="AA483" s="31"/>
      <c r="AB483" s="31"/>
      <c r="AC483" s="31"/>
      <c r="AD483" s="46"/>
      <c r="AE483" s="46"/>
      <c r="AF483" s="46"/>
      <c r="AG483" s="46"/>
      <c r="AH483" s="46"/>
      <c r="AI483" s="46"/>
      <c r="AJ483" s="46">
        <v>6</v>
      </c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55">
        <f t="shared" si="71"/>
        <v>6</v>
      </c>
      <c r="AZ483" s="56"/>
      <c r="BA483" s="57"/>
      <c r="BB483" s="57">
        <f>+'[1]25'!R786</f>
        <v>0</v>
      </c>
      <c r="BC483" s="57">
        <v>3</v>
      </c>
      <c r="BD483" s="57"/>
      <c r="BE483" s="57"/>
      <c r="BF483" s="57"/>
      <c r="BG483" s="57"/>
      <c r="BH483" s="57"/>
      <c r="BI483" s="55">
        <f t="shared" si="72"/>
        <v>3</v>
      </c>
      <c r="BJ483" s="69">
        <f t="shared" si="73"/>
        <v>3</v>
      </c>
      <c r="BK483" s="69">
        <f t="shared" si="70"/>
        <v>0</v>
      </c>
      <c r="BM483" s="75"/>
      <c r="BN483" s="57">
        <f t="shared" si="68"/>
        <v>0</v>
      </c>
      <c r="BO483" s="80"/>
      <c r="BP483" s="81">
        <v>1</v>
      </c>
      <c r="BQ483" s="81"/>
      <c r="BR483" s="81">
        <v>2</v>
      </c>
      <c r="BS483" s="81"/>
      <c r="BT483" s="81"/>
      <c r="BU483" s="81"/>
      <c r="BV483" s="81"/>
      <c r="BW483" s="81"/>
      <c r="BX483" s="81"/>
      <c r="BY483" s="81"/>
      <c r="BZ483" s="9">
        <f t="shared" si="69"/>
        <v>3</v>
      </c>
      <c r="CB483" s="3"/>
      <c r="CD483" s="10"/>
      <c r="CE483" s="11"/>
    </row>
    <row r="484" spans="1:83" s="2" customFormat="1" ht="19.5" thickBot="1" x14ac:dyDescent="0.35">
      <c r="A484" s="17">
        <v>509</v>
      </c>
      <c r="B484" s="135"/>
      <c r="C484" s="18" t="s">
        <v>63</v>
      </c>
      <c r="D484" s="19"/>
      <c r="E484" s="19"/>
      <c r="F484" s="19"/>
      <c r="G484" s="30"/>
      <c r="H484" s="31"/>
      <c r="I484" s="40"/>
      <c r="J484" s="31"/>
      <c r="K484" s="40"/>
      <c r="L484" s="31"/>
      <c r="M484" s="40"/>
      <c r="N484" s="31"/>
      <c r="O484" s="40"/>
      <c r="P484" s="31"/>
      <c r="Q484" s="40"/>
      <c r="R484" s="31"/>
      <c r="S484" s="31"/>
      <c r="T484" s="31"/>
      <c r="U484" s="40"/>
      <c r="V484" s="31"/>
      <c r="W484" s="31"/>
      <c r="X484" s="31"/>
      <c r="Y484" s="31"/>
      <c r="Z484" s="31"/>
      <c r="AA484" s="31"/>
      <c r="AB484" s="31"/>
      <c r="AC484" s="31"/>
      <c r="AD484" s="46"/>
      <c r="AE484" s="46"/>
      <c r="AF484" s="46"/>
      <c r="AG484" s="46"/>
      <c r="AH484" s="46"/>
      <c r="AI484" s="46"/>
      <c r="AJ484" s="46">
        <v>12</v>
      </c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55">
        <f t="shared" si="71"/>
        <v>12</v>
      </c>
      <c r="AZ484" s="56"/>
      <c r="BA484" s="57"/>
      <c r="BB484" s="57">
        <f>+'[1]25'!R787</f>
        <v>2</v>
      </c>
      <c r="BC484" s="57">
        <v>5</v>
      </c>
      <c r="BD484" s="57"/>
      <c r="BE484" s="57"/>
      <c r="BF484" s="57"/>
      <c r="BG484" s="57"/>
      <c r="BH484" s="57"/>
      <c r="BI484" s="55">
        <f t="shared" si="72"/>
        <v>7</v>
      </c>
      <c r="BJ484" s="69">
        <f t="shared" si="73"/>
        <v>5</v>
      </c>
      <c r="BK484" s="69">
        <f t="shared" si="70"/>
        <v>0</v>
      </c>
      <c r="BM484" s="75"/>
      <c r="BN484" s="57">
        <f t="shared" si="68"/>
        <v>0</v>
      </c>
      <c r="BO484" s="80"/>
      <c r="BP484" s="81">
        <v>1</v>
      </c>
      <c r="BQ484" s="81">
        <v>1</v>
      </c>
      <c r="BR484" s="81">
        <v>2</v>
      </c>
      <c r="BS484" s="81">
        <v>1</v>
      </c>
      <c r="BT484" s="81"/>
      <c r="BU484" s="81"/>
      <c r="BV484" s="81"/>
      <c r="BW484" s="81"/>
      <c r="BX484" s="81"/>
      <c r="BY484" s="81"/>
      <c r="BZ484" s="9">
        <f t="shared" si="69"/>
        <v>5</v>
      </c>
      <c r="CB484" s="3"/>
      <c r="CD484" s="10"/>
      <c r="CE484" s="11"/>
    </row>
    <row r="485" spans="1:83" s="2" customFormat="1" ht="19.5" thickBot="1" x14ac:dyDescent="0.35">
      <c r="A485" s="17">
        <v>510</v>
      </c>
      <c r="B485" s="135"/>
      <c r="C485" s="18" t="s">
        <v>64</v>
      </c>
      <c r="D485" s="19"/>
      <c r="E485" s="19"/>
      <c r="F485" s="19"/>
      <c r="G485" s="30"/>
      <c r="H485" s="31"/>
      <c r="I485" s="40"/>
      <c r="J485" s="31"/>
      <c r="K485" s="40"/>
      <c r="L485" s="31"/>
      <c r="M485" s="40"/>
      <c r="N485" s="31"/>
      <c r="O485" s="40"/>
      <c r="P485" s="31"/>
      <c r="Q485" s="40"/>
      <c r="R485" s="31"/>
      <c r="S485" s="31"/>
      <c r="T485" s="31"/>
      <c r="U485" s="40"/>
      <c r="V485" s="31"/>
      <c r="W485" s="31"/>
      <c r="X485" s="31"/>
      <c r="Y485" s="31"/>
      <c r="Z485" s="31"/>
      <c r="AA485" s="31"/>
      <c r="AB485" s="31"/>
      <c r="AC485" s="31"/>
      <c r="AD485" s="46"/>
      <c r="AE485" s="46"/>
      <c r="AF485" s="46"/>
      <c r="AG485" s="46"/>
      <c r="AH485" s="46"/>
      <c r="AI485" s="46"/>
      <c r="AJ485" s="46">
        <v>18</v>
      </c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55">
        <f t="shared" si="71"/>
        <v>18</v>
      </c>
      <c r="AZ485" s="56"/>
      <c r="BA485" s="57"/>
      <c r="BB485" s="57">
        <f>+'[1]25'!R788</f>
        <v>0</v>
      </c>
      <c r="BC485" s="57">
        <v>4</v>
      </c>
      <c r="BD485" s="57"/>
      <c r="BE485" s="57"/>
      <c r="BF485" s="57"/>
      <c r="BG485" s="57"/>
      <c r="BH485" s="57"/>
      <c r="BI485" s="55">
        <f t="shared" si="72"/>
        <v>4</v>
      </c>
      <c r="BJ485" s="69">
        <f t="shared" si="73"/>
        <v>14</v>
      </c>
      <c r="BK485" s="69">
        <f t="shared" si="70"/>
        <v>0</v>
      </c>
      <c r="BM485" s="75"/>
      <c r="BN485" s="57">
        <f t="shared" si="68"/>
        <v>6</v>
      </c>
      <c r="BO485" s="80"/>
      <c r="BP485" s="81">
        <v>1</v>
      </c>
      <c r="BQ485" s="81">
        <v>1</v>
      </c>
      <c r="BR485" s="81">
        <v>2</v>
      </c>
      <c r="BS485" s="81">
        <v>2</v>
      </c>
      <c r="BT485" s="81">
        <v>1</v>
      </c>
      <c r="BU485" s="81"/>
      <c r="BV485" s="81"/>
      <c r="BW485" s="81">
        <v>1</v>
      </c>
      <c r="BX485" s="81"/>
      <c r="BY485" s="81"/>
      <c r="BZ485" s="9">
        <f t="shared" si="69"/>
        <v>8</v>
      </c>
      <c r="CB485" s="3"/>
      <c r="CD485" s="10"/>
      <c r="CE485" s="11"/>
    </row>
    <row r="486" spans="1:83" s="2" customFormat="1" ht="19.5" thickBot="1" x14ac:dyDescent="0.35">
      <c r="A486" s="17">
        <v>511</v>
      </c>
      <c r="B486" s="135"/>
      <c r="C486" s="18" t="s">
        <v>65</v>
      </c>
      <c r="D486" s="19"/>
      <c r="E486" s="19"/>
      <c r="F486" s="19"/>
      <c r="G486" s="30"/>
      <c r="H486" s="31"/>
      <c r="I486" s="40"/>
      <c r="J486" s="31"/>
      <c r="K486" s="40"/>
      <c r="L486" s="31"/>
      <c r="M486" s="40"/>
      <c r="N486" s="31"/>
      <c r="O486" s="40"/>
      <c r="P486" s="31"/>
      <c r="Q486" s="40"/>
      <c r="R486" s="31"/>
      <c r="S486" s="31"/>
      <c r="T486" s="31"/>
      <c r="U486" s="40"/>
      <c r="V486" s="31"/>
      <c r="W486" s="31"/>
      <c r="X486" s="31"/>
      <c r="Y486" s="31"/>
      <c r="Z486" s="31"/>
      <c r="AA486" s="31"/>
      <c r="AB486" s="31"/>
      <c r="AC486" s="31"/>
      <c r="AD486" s="46"/>
      <c r="AE486" s="46"/>
      <c r="AF486" s="46"/>
      <c r="AG486" s="46"/>
      <c r="AH486" s="46"/>
      <c r="AI486" s="46"/>
      <c r="AJ486" s="46">
        <v>27</v>
      </c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55">
        <f t="shared" si="71"/>
        <v>27</v>
      </c>
      <c r="AZ486" s="56"/>
      <c r="BA486" s="57"/>
      <c r="BB486" s="57">
        <f>+'[1]25'!R789</f>
        <v>0</v>
      </c>
      <c r="BC486" s="57">
        <v>7</v>
      </c>
      <c r="BD486" s="57"/>
      <c r="BE486" s="57"/>
      <c r="BF486" s="57"/>
      <c r="BG486" s="57"/>
      <c r="BH486" s="57"/>
      <c r="BI486" s="55">
        <f t="shared" si="72"/>
        <v>7</v>
      </c>
      <c r="BJ486" s="69">
        <f t="shared" si="73"/>
        <v>20</v>
      </c>
      <c r="BK486" s="69">
        <f t="shared" si="70"/>
        <v>0</v>
      </c>
      <c r="BM486" s="75"/>
      <c r="BN486" s="57">
        <f t="shared" si="68"/>
        <v>13</v>
      </c>
      <c r="BO486" s="80"/>
      <c r="BP486" s="81">
        <v>1</v>
      </c>
      <c r="BQ486" s="81">
        <v>1</v>
      </c>
      <c r="BR486" s="81">
        <v>3</v>
      </c>
      <c r="BS486" s="81">
        <v>1</v>
      </c>
      <c r="BT486" s="81">
        <v>1</v>
      </c>
      <c r="BU486" s="81"/>
      <c r="BV486" s="81"/>
      <c r="BW486" s="81"/>
      <c r="BX486" s="81"/>
      <c r="BY486" s="81"/>
      <c r="BZ486" s="9">
        <f t="shared" si="69"/>
        <v>7</v>
      </c>
      <c r="CB486" s="3"/>
      <c r="CD486" s="10"/>
      <c r="CE486" s="11"/>
    </row>
    <row r="487" spans="1:83" s="2" customFormat="1" ht="19.5" thickBot="1" x14ac:dyDescent="0.35">
      <c r="A487" s="17">
        <v>512</v>
      </c>
      <c r="B487" s="135"/>
      <c r="C487" s="18" t="s">
        <v>66</v>
      </c>
      <c r="D487" s="19"/>
      <c r="E487" s="19"/>
      <c r="F487" s="19"/>
      <c r="G487" s="30"/>
      <c r="H487" s="31"/>
      <c r="I487" s="40"/>
      <c r="J487" s="31"/>
      <c r="K487" s="40"/>
      <c r="L487" s="31"/>
      <c r="M487" s="40"/>
      <c r="N487" s="31"/>
      <c r="O487" s="40"/>
      <c r="P487" s="31"/>
      <c r="Q487" s="40"/>
      <c r="R487" s="31"/>
      <c r="S487" s="31"/>
      <c r="T487" s="31"/>
      <c r="U487" s="40"/>
      <c r="V487" s="31"/>
      <c r="W487" s="31"/>
      <c r="X487" s="31"/>
      <c r="Y487" s="31"/>
      <c r="Z487" s="31"/>
      <c r="AA487" s="31"/>
      <c r="AB487" s="31"/>
      <c r="AC487" s="31"/>
      <c r="AD487" s="46"/>
      <c r="AE487" s="46"/>
      <c r="AF487" s="46"/>
      <c r="AG487" s="46"/>
      <c r="AH487" s="46"/>
      <c r="AI487" s="46"/>
      <c r="AJ487" s="46">
        <v>21</v>
      </c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55">
        <f t="shared" si="71"/>
        <v>21</v>
      </c>
      <c r="AZ487" s="56"/>
      <c r="BA487" s="57"/>
      <c r="BB487" s="57">
        <f>+'[1]25'!R790</f>
        <v>0</v>
      </c>
      <c r="BC487" s="57">
        <v>8</v>
      </c>
      <c r="BD487" s="57"/>
      <c r="BE487" s="57"/>
      <c r="BF487" s="57"/>
      <c r="BG487" s="57"/>
      <c r="BH487" s="57"/>
      <c r="BI487" s="55">
        <f t="shared" si="72"/>
        <v>8</v>
      </c>
      <c r="BJ487" s="69">
        <f t="shared" si="73"/>
        <v>13</v>
      </c>
      <c r="BK487" s="69">
        <f t="shared" si="70"/>
        <v>0</v>
      </c>
      <c r="BM487" s="75"/>
      <c r="BN487" s="57">
        <f t="shared" si="68"/>
        <v>5</v>
      </c>
      <c r="BO487" s="80"/>
      <c r="BP487" s="81">
        <v>1</v>
      </c>
      <c r="BQ487" s="81">
        <v>1</v>
      </c>
      <c r="BR487" s="81">
        <v>1</v>
      </c>
      <c r="BS487" s="81">
        <v>1</v>
      </c>
      <c r="BT487" s="81">
        <v>2</v>
      </c>
      <c r="BU487" s="81"/>
      <c r="BV487" s="81"/>
      <c r="BW487" s="81">
        <v>1</v>
      </c>
      <c r="BX487" s="81">
        <v>1</v>
      </c>
      <c r="BY487" s="81"/>
      <c r="BZ487" s="9">
        <f t="shared" si="69"/>
        <v>8</v>
      </c>
      <c r="CB487" s="3"/>
      <c r="CD487" s="10"/>
      <c r="CE487" s="11"/>
    </row>
    <row r="488" spans="1:83" s="2" customFormat="1" ht="19.5" thickBot="1" x14ac:dyDescent="0.35">
      <c r="A488" s="17">
        <v>513</v>
      </c>
      <c r="B488" s="135"/>
      <c r="C488" s="18" t="s">
        <v>67</v>
      </c>
      <c r="D488" s="19"/>
      <c r="E488" s="19"/>
      <c r="F488" s="19"/>
      <c r="G488" s="30"/>
      <c r="H488" s="31"/>
      <c r="I488" s="40"/>
      <c r="J488" s="31"/>
      <c r="K488" s="40"/>
      <c r="L488" s="31"/>
      <c r="M488" s="40"/>
      <c r="N488" s="31"/>
      <c r="O488" s="40"/>
      <c r="P488" s="31"/>
      <c r="Q488" s="40"/>
      <c r="R488" s="31"/>
      <c r="S488" s="31"/>
      <c r="T488" s="31"/>
      <c r="U488" s="40"/>
      <c r="V488" s="31"/>
      <c r="W488" s="31"/>
      <c r="X488" s="31"/>
      <c r="Y488" s="31"/>
      <c r="Z488" s="31"/>
      <c r="AA488" s="31"/>
      <c r="AB488" s="31"/>
      <c r="AC488" s="31"/>
      <c r="AD488" s="46"/>
      <c r="AE488" s="46"/>
      <c r="AF488" s="46"/>
      <c r="AG488" s="46"/>
      <c r="AH488" s="46"/>
      <c r="AI488" s="46"/>
      <c r="AJ488" s="46">
        <v>12</v>
      </c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55">
        <f t="shared" si="71"/>
        <v>12</v>
      </c>
      <c r="AZ488" s="56"/>
      <c r="BA488" s="57"/>
      <c r="BB488" s="57">
        <f>+'[1]25'!R791</f>
        <v>0</v>
      </c>
      <c r="BC488" s="57">
        <v>8</v>
      </c>
      <c r="BD488" s="57"/>
      <c r="BE488" s="57"/>
      <c r="BF488" s="57"/>
      <c r="BG488" s="57"/>
      <c r="BH488" s="57"/>
      <c r="BI488" s="55">
        <f t="shared" si="72"/>
        <v>8</v>
      </c>
      <c r="BJ488" s="69">
        <f t="shared" si="73"/>
        <v>4</v>
      </c>
      <c r="BK488" s="69">
        <f t="shared" si="70"/>
        <v>0</v>
      </c>
      <c r="BM488" s="75"/>
      <c r="BN488" s="57">
        <f t="shared" si="68"/>
        <v>1</v>
      </c>
      <c r="BO488" s="80"/>
      <c r="BP488" s="81">
        <v>1</v>
      </c>
      <c r="BQ488" s="81">
        <v>1</v>
      </c>
      <c r="BR488" s="81"/>
      <c r="BS488" s="81">
        <v>1</v>
      </c>
      <c r="BT488" s="81"/>
      <c r="BU488" s="81"/>
      <c r="BV488" s="81"/>
      <c r="BW488" s="81"/>
      <c r="BX488" s="81"/>
      <c r="BY488" s="81"/>
      <c r="BZ488" s="9">
        <f t="shared" si="69"/>
        <v>3</v>
      </c>
      <c r="CB488" s="3"/>
      <c r="CD488" s="10"/>
      <c r="CE488" s="11"/>
    </row>
    <row r="489" spans="1:83" s="2" customFormat="1" ht="19.5" thickBot="1" x14ac:dyDescent="0.35">
      <c r="A489" s="17">
        <v>514</v>
      </c>
      <c r="B489" s="135"/>
      <c r="C489" s="18" t="s">
        <v>68</v>
      </c>
      <c r="D489" s="19"/>
      <c r="E489" s="19"/>
      <c r="F489" s="19"/>
      <c r="G489" s="30"/>
      <c r="H489" s="31"/>
      <c r="I489" s="40"/>
      <c r="J489" s="31"/>
      <c r="K489" s="40"/>
      <c r="L489" s="31"/>
      <c r="M489" s="40"/>
      <c r="N489" s="31"/>
      <c r="O489" s="40"/>
      <c r="P489" s="31"/>
      <c r="Q489" s="40"/>
      <c r="R489" s="31"/>
      <c r="S489" s="31"/>
      <c r="T489" s="31"/>
      <c r="U489" s="40"/>
      <c r="V489" s="31"/>
      <c r="W489" s="31"/>
      <c r="X489" s="31"/>
      <c r="Y489" s="31"/>
      <c r="Z489" s="31"/>
      <c r="AA489" s="31"/>
      <c r="AB489" s="31"/>
      <c r="AC489" s="31"/>
      <c r="AD489" s="46"/>
      <c r="AE489" s="46"/>
      <c r="AF489" s="46"/>
      <c r="AG489" s="46"/>
      <c r="AH489" s="46"/>
      <c r="AI489" s="46"/>
      <c r="AJ489" s="46">
        <v>6</v>
      </c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55">
        <f t="shared" si="71"/>
        <v>6</v>
      </c>
      <c r="AZ489" s="56"/>
      <c r="BA489" s="57"/>
      <c r="BB489" s="57">
        <f>+'[1]25'!R792</f>
        <v>0</v>
      </c>
      <c r="BC489" s="57">
        <v>2</v>
      </c>
      <c r="BD489" s="57"/>
      <c r="BE489" s="57"/>
      <c r="BF489" s="57"/>
      <c r="BG489" s="57"/>
      <c r="BH489" s="57"/>
      <c r="BI489" s="55">
        <f t="shared" si="72"/>
        <v>2</v>
      </c>
      <c r="BJ489" s="69">
        <f t="shared" si="73"/>
        <v>4</v>
      </c>
      <c r="BK489" s="69">
        <f t="shared" si="70"/>
        <v>0</v>
      </c>
      <c r="BM489" s="75"/>
      <c r="BN489" s="57">
        <f t="shared" si="68"/>
        <v>2</v>
      </c>
      <c r="BO489" s="80"/>
      <c r="BP489" s="81">
        <v>1</v>
      </c>
      <c r="BQ489" s="81"/>
      <c r="BR489" s="81">
        <v>1</v>
      </c>
      <c r="BS489" s="81"/>
      <c r="BT489" s="81"/>
      <c r="BU489" s="81"/>
      <c r="BV489" s="81"/>
      <c r="BW489" s="81"/>
      <c r="BX489" s="81"/>
      <c r="BY489" s="81"/>
      <c r="BZ489" s="9">
        <f t="shared" si="69"/>
        <v>2</v>
      </c>
      <c r="CB489" s="3"/>
      <c r="CD489" s="10"/>
      <c r="CE489" s="11"/>
    </row>
    <row r="490" spans="1:83" s="2" customFormat="1" ht="19.5" thickBot="1" x14ac:dyDescent="0.35">
      <c r="A490" s="17">
        <v>515</v>
      </c>
      <c r="B490" s="135"/>
      <c r="C490" s="20" t="s">
        <v>69</v>
      </c>
      <c r="D490" s="21"/>
      <c r="E490" s="21"/>
      <c r="F490" s="21"/>
      <c r="G490" s="32"/>
      <c r="H490" s="33"/>
      <c r="I490" s="41"/>
      <c r="J490" s="33"/>
      <c r="K490" s="41"/>
      <c r="L490" s="33"/>
      <c r="M490" s="41"/>
      <c r="N490" s="33"/>
      <c r="O490" s="41"/>
      <c r="P490" s="33"/>
      <c r="Q490" s="41"/>
      <c r="R490" s="33"/>
      <c r="S490" s="33"/>
      <c r="T490" s="33"/>
      <c r="U490" s="41"/>
      <c r="V490" s="33"/>
      <c r="W490" s="33"/>
      <c r="X490" s="33"/>
      <c r="Y490" s="33"/>
      <c r="Z490" s="33"/>
      <c r="AA490" s="33"/>
      <c r="AB490" s="33"/>
      <c r="AC490" s="33"/>
      <c r="AD490" s="47"/>
      <c r="AE490" s="47"/>
      <c r="AF490" s="47"/>
      <c r="AG490" s="47"/>
      <c r="AH490" s="47"/>
      <c r="AI490" s="47"/>
      <c r="AJ490" s="47">
        <v>6</v>
      </c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55">
        <f t="shared" si="71"/>
        <v>6</v>
      </c>
      <c r="AZ490" s="59"/>
      <c r="BA490" s="60"/>
      <c r="BB490" s="60">
        <f>+'[1]25'!R793</f>
        <v>0</v>
      </c>
      <c r="BC490" s="60">
        <v>0</v>
      </c>
      <c r="BD490" s="60"/>
      <c r="BE490" s="60"/>
      <c r="BF490" s="60"/>
      <c r="BG490" s="60"/>
      <c r="BH490" s="60"/>
      <c r="BI490" s="58">
        <f t="shared" si="72"/>
        <v>0</v>
      </c>
      <c r="BJ490" s="70">
        <f t="shared" si="73"/>
        <v>6</v>
      </c>
      <c r="BK490" s="70">
        <f t="shared" si="70"/>
        <v>0</v>
      </c>
      <c r="BL490" s="76"/>
      <c r="BM490" s="77"/>
      <c r="BN490" s="60">
        <f t="shared" si="68"/>
        <v>4</v>
      </c>
      <c r="BO490" s="82"/>
      <c r="BP490" s="83">
        <v>1</v>
      </c>
      <c r="BQ490" s="83"/>
      <c r="BR490" s="83">
        <v>1</v>
      </c>
      <c r="BS490" s="83"/>
      <c r="BT490" s="83"/>
      <c r="BU490" s="83"/>
      <c r="BV490" s="83"/>
      <c r="BW490" s="83"/>
      <c r="BX490" s="83"/>
      <c r="BY490" s="83"/>
      <c r="BZ490" s="9">
        <f t="shared" si="69"/>
        <v>2</v>
      </c>
      <c r="CB490" s="3"/>
      <c r="CD490" s="10"/>
      <c r="CE490" s="11"/>
    </row>
    <row r="491" spans="1:83" s="2" customFormat="1" ht="19.5" thickBot="1" x14ac:dyDescent="0.35">
      <c r="A491" s="17">
        <v>516</v>
      </c>
      <c r="B491" s="134" t="s">
        <v>156</v>
      </c>
      <c r="C491" s="18" t="s">
        <v>61</v>
      </c>
      <c r="D491" s="19"/>
      <c r="E491" s="19"/>
      <c r="F491" s="19"/>
      <c r="G491" s="30"/>
      <c r="H491" s="31"/>
      <c r="I491" s="40"/>
      <c r="J491" s="31"/>
      <c r="K491" s="40"/>
      <c r="L491" s="31"/>
      <c r="M491" s="40"/>
      <c r="N491" s="31"/>
      <c r="O491" s="40"/>
      <c r="P491" s="31"/>
      <c r="Q491" s="40"/>
      <c r="R491" s="31"/>
      <c r="S491" s="31"/>
      <c r="T491" s="31"/>
      <c r="U491" s="40"/>
      <c r="V491" s="31"/>
      <c r="W491" s="31"/>
      <c r="X491" s="31"/>
      <c r="Y491" s="31"/>
      <c r="Z491" s="31"/>
      <c r="AA491" s="31"/>
      <c r="AB491" s="31"/>
      <c r="AC491" s="31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>
        <v>3</v>
      </c>
      <c r="AT491" s="46"/>
      <c r="AU491" s="46"/>
      <c r="AV491" s="46"/>
      <c r="AW491" s="46"/>
      <c r="AX491" s="46"/>
      <c r="AY491" s="55">
        <f t="shared" si="71"/>
        <v>3</v>
      </c>
      <c r="AZ491" s="56"/>
      <c r="BA491" s="57"/>
      <c r="BB491" s="57"/>
      <c r="BC491" s="57"/>
      <c r="BD491" s="57"/>
      <c r="BE491" s="57"/>
      <c r="BF491" s="57"/>
      <c r="BG491" s="57"/>
      <c r="BH491" s="57"/>
      <c r="BI491" s="55">
        <f t="shared" si="72"/>
        <v>0</v>
      </c>
      <c r="BJ491" s="69">
        <f t="shared" si="73"/>
        <v>3</v>
      </c>
      <c r="BK491" s="69">
        <f t="shared" si="70"/>
        <v>0</v>
      </c>
      <c r="BM491" s="75"/>
      <c r="BN491" s="57">
        <f t="shared" si="68"/>
        <v>3</v>
      </c>
      <c r="BO491" s="80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9">
        <f t="shared" si="69"/>
        <v>0</v>
      </c>
      <c r="CB491" s="3"/>
      <c r="CD491" s="10"/>
      <c r="CE491" s="11"/>
    </row>
    <row r="492" spans="1:83" s="2" customFormat="1" ht="19.5" thickBot="1" x14ac:dyDescent="0.35">
      <c r="A492" s="17">
        <v>517</v>
      </c>
      <c r="B492" s="135"/>
      <c r="C492" s="18" t="s">
        <v>62</v>
      </c>
      <c r="D492" s="19"/>
      <c r="E492" s="19"/>
      <c r="F492" s="19"/>
      <c r="G492" s="30"/>
      <c r="H492" s="31"/>
      <c r="I492" s="40"/>
      <c r="J492" s="31"/>
      <c r="K492" s="40"/>
      <c r="L492" s="31"/>
      <c r="M492" s="40"/>
      <c r="N492" s="31"/>
      <c r="O492" s="40"/>
      <c r="P492" s="31"/>
      <c r="Q492" s="40"/>
      <c r="R492" s="31"/>
      <c r="S492" s="31"/>
      <c r="T492" s="31"/>
      <c r="U492" s="40"/>
      <c r="V492" s="31"/>
      <c r="W492" s="31"/>
      <c r="X492" s="31"/>
      <c r="Y492" s="31"/>
      <c r="Z492" s="31"/>
      <c r="AA492" s="31"/>
      <c r="AB492" s="31"/>
      <c r="AC492" s="31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>
        <v>9</v>
      </c>
      <c r="AT492" s="46"/>
      <c r="AU492" s="46"/>
      <c r="AV492" s="46"/>
      <c r="AW492" s="46"/>
      <c r="AX492" s="46"/>
      <c r="AY492" s="55">
        <f t="shared" si="71"/>
        <v>9</v>
      </c>
      <c r="AZ492" s="56"/>
      <c r="BA492" s="57"/>
      <c r="BB492" s="57"/>
      <c r="BC492" s="57"/>
      <c r="BD492" s="57"/>
      <c r="BE492" s="57"/>
      <c r="BF492" s="57"/>
      <c r="BG492" s="57"/>
      <c r="BH492" s="57"/>
      <c r="BI492" s="55">
        <f t="shared" si="72"/>
        <v>0</v>
      </c>
      <c r="BJ492" s="69">
        <f t="shared" si="73"/>
        <v>9</v>
      </c>
      <c r="BK492" s="69">
        <f t="shared" si="70"/>
        <v>0</v>
      </c>
      <c r="BM492" s="75"/>
      <c r="BN492" s="57">
        <f t="shared" si="68"/>
        <v>9</v>
      </c>
      <c r="BO492" s="80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9">
        <f t="shared" si="69"/>
        <v>0</v>
      </c>
      <c r="CB492" s="3"/>
      <c r="CD492" s="10"/>
      <c r="CE492" s="11"/>
    </row>
    <row r="493" spans="1:83" s="2" customFormat="1" ht="19.5" thickBot="1" x14ac:dyDescent="0.35">
      <c r="A493" s="17">
        <v>518</v>
      </c>
      <c r="B493" s="135"/>
      <c r="C493" s="18" t="s">
        <v>63</v>
      </c>
      <c r="D493" s="19"/>
      <c r="E493" s="19"/>
      <c r="F493" s="19"/>
      <c r="G493" s="30"/>
      <c r="H493" s="31"/>
      <c r="I493" s="40"/>
      <c r="J493" s="31"/>
      <c r="K493" s="40"/>
      <c r="L493" s="31"/>
      <c r="M493" s="40"/>
      <c r="N493" s="31"/>
      <c r="O493" s="40"/>
      <c r="P493" s="31"/>
      <c r="Q493" s="40"/>
      <c r="R493" s="31"/>
      <c r="S493" s="31"/>
      <c r="T493" s="31"/>
      <c r="U493" s="40"/>
      <c r="V493" s="31"/>
      <c r="W493" s="31"/>
      <c r="X493" s="31"/>
      <c r="Y493" s="31"/>
      <c r="Z493" s="31"/>
      <c r="AA493" s="31"/>
      <c r="AB493" s="31"/>
      <c r="AC493" s="31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>
        <v>18</v>
      </c>
      <c r="AT493" s="46"/>
      <c r="AU493" s="46"/>
      <c r="AV493" s="46"/>
      <c r="AW493" s="46"/>
      <c r="AX493" s="46"/>
      <c r="AY493" s="55">
        <f t="shared" si="71"/>
        <v>18</v>
      </c>
      <c r="AZ493" s="56"/>
      <c r="BA493" s="57"/>
      <c r="BB493" s="57"/>
      <c r="BC493" s="57"/>
      <c r="BD493" s="57"/>
      <c r="BE493" s="57"/>
      <c r="BF493" s="57"/>
      <c r="BG493" s="57"/>
      <c r="BH493" s="57"/>
      <c r="BI493" s="55">
        <f t="shared" si="72"/>
        <v>0</v>
      </c>
      <c r="BJ493" s="69">
        <f t="shared" si="73"/>
        <v>18</v>
      </c>
      <c r="BK493" s="69">
        <f t="shared" si="70"/>
        <v>0</v>
      </c>
      <c r="BM493" s="75"/>
      <c r="BN493" s="57">
        <f t="shared" si="68"/>
        <v>18</v>
      </c>
      <c r="BO493" s="80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9">
        <f t="shared" si="69"/>
        <v>0</v>
      </c>
      <c r="CB493" s="3"/>
      <c r="CD493" s="10"/>
      <c r="CE493" s="11"/>
    </row>
    <row r="494" spans="1:83" s="2" customFormat="1" ht="19.5" thickBot="1" x14ac:dyDescent="0.35">
      <c r="A494" s="17">
        <v>519</v>
      </c>
      <c r="B494" s="135"/>
      <c r="C494" s="18" t="s">
        <v>64</v>
      </c>
      <c r="D494" s="19"/>
      <c r="E494" s="19"/>
      <c r="F494" s="19"/>
      <c r="G494" s="30"/>
      <c r="H494" s="31"/>
      <c r="I494" s="40"/>
      <c r="J494" s="31"/>
      <c r="K494" s="40"/>
      <c r="L494" s="31"/>
      <c r="M494" s="40"/>
      <c r="N494" s="31"/>
      <c r="O494" s="40"/>
      <c r="P494" s="31"/>
      <c r="Q494" s="40"/>
      <c r="R494" s="31"/>
      <c r="S494" s="31"/>
      <c r="T494" s="31"/>
      <c r="U494" s="40"/>
      <c r="V494" s="31"/>
      <c r="W494" s="31"/>
      <c r="X494" s="31"/>
      <c r="Y494" s="31"/>
      <c r="Z494" s="31"/>
      <c r="AA494" s="31"/>
      <c r="AB494" s="31"/>
      <c r="AC494" s="31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>
        <v>24</v>
      </c>
      <c r="AT494" s="46"/>
      <c r="AU494" s="46"/>
      <c r="AV494" s="46"/>
      <c r="AW494" s="46"/>
      <c r="AX494" s="46"/>
      <c r="AY494" s="55">
        <f t="shared" si="71"/>
        <v>24</v>
      </c>
      <c r="AZ494" s="56"/>
      <c r="BA494" s="57"/>
      <c r="BB494" s="57"/>
      <c r="BC494" s="57"/>
      <c r="BD494" s="57"/>
      <c r="BE494" s="57"/>
      <c r="BF494" s="57"/>
      <c r="BG494" s="57"/>
      <c r="BH494" s="57"/>
      <c r="BI494" s="55">
        <f t="shared" si="72"/>
        <v>0</v>
      </c>
      <c r="BJ494" s="69">
        <f t="shared" si="73"/>
        <v>24</v>
      </c>
      <c r="BK494" s="69">
        <f t="shared" si="70"/>
        <v>0</v>
      </c>
      <c r="BM494" s="75"/>
      <c r="BN494" s="57">
        <f t="shared" si="68"/>
        <v>24</v>
      </c>
      <c r="BO494" s="80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9">
        <f t="shared" si="69"/>
        <v>0</v>
      </c>
      <c r="CB494" s="3"/>
      <c r="CD494" s="10"/>
      <c r="CE494" s="11"/>
    </row>
    <row r="495" spans="1:83" s="2" customFormat="1" ht="19.5" thickBot="1" x14ac:dyDescent="0.35">
      <c r="A495" s="17">
        <v>520</v>
      </c>
      <c r="B495" s="135"/>
      <c r="C495" s="18" t="s">
        <v>65</v>
      </c>
      <c r="D495" s="19"/>
      <c r="E495" s="19"/>
      <c r="F495" s="19"/>
      <c r="G495" s="30"/>
      <c r="H495" s="31"/>
      <c r="I495" s="40"/>
      <c r="J495" s="31"/>
      <c r="K495" s="40"/>
      <c r="L495" s="31"/>
      <c r="M495" s="40"/>
      <c r="N495" s="31"/>
      <c r="O495" s="40"/>
      <c r="P495" s="31"/>
      <c r="Q495" s="40"/>
      <c r="R495" s="31"/>
      <c r="S495" s="31"/>
      <c r="T495" s="31"/>
      <c r="U495" s="40"/>
      <c r="V495" s="31"/>
      <c r="W495" s="31"/>
      <c r="X495" s="31"/>
      <c r="Y495" s="31"/>
      <c r="Z495" s="31"/>
      <c r="AA495" s="31"/>
      <c r="AB495" s="31"/>
      <c r="AC495" s="31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>
        <v>30</v>
      </c>
      <c r="AT495" s="46"/>
      <c r="AU495" s="46"/>
      <c r="AV495" s="46"/>
      <c r="AW495" s="46"/>
      <c r="AX495" s="46"/>
      <c r="AY495" s="55">
        <f t="shared" si="71"/>
        <v>30</v>
      </c>
      <c r="AZ495" s="56"/>
      <c r="BA495" s="57"/>
      <c r="BB495" s="57"/>
      <c r="BC495" s="57"/>
      <c r="BD495" s="57"/>
      <c r="BE495" s="57"/>
      <c r="BF495" s="57"/>
      <c r="BG495" s="57"/>
      <c r="BH495" s="57"/>
      <c r="BI495" s="55">
        <f t="shared" si="72"/>
        <v>0</v>
      </c>
      <c r="BJ495" s="69">
        <f t="shared" si="73"/>
        <v>30</v>
      </c>
      <c r="BK495" s="69">
        <f t="shared" si="70"/>
        <v>0</v>
      </c>
      <c r="BM495" s="75"/>
      <c r="BN495" s="57">
        <f t="shared" si="68"/>
        <v>30</v>
      </c>
      <c r="BO495" s="80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9">
        <f t="shared" si="69"/>
        <v>0</v>
      </c>
      <c r="CB495" s="3"/>
      <c r="CD495" s="10"/>
      <c r="CE495" s="11"/>
    </row>
    <row r="496" spans="1:83" s="2" customFormat="1" ht="19.5" thickBot="1" x14ac:dyDescent="0.35">
      <c r="A496" s="17">
        <v>521</v>
      </c>
      <c r="B496" s="135"/>
      <c r="C496" s="18" t="s">
        <v>66</v>
      </c>
      <c r="D496" s="19"/>
      <c r="E496" s="19"/>
      <c r="F496" s="19"/>
      <c r="G496" s="30"/>
      <c r="H496" s="31"/>
      <c r="I496" s="40"/>
      <c r="J496" s="31"/>
      <c r="K496" s="40"/>
      <c r="L496" s="31"/>
      <c r="M496" s="40"/>
      <c r="N496" s="31"/>
      <c r="O496" s="40"/>
      <c r="P496" s="31"/>
      <c r="Q496" s="40"/>
      <c r="R496" s="31"/>
      <c r="S496" s="31"/>
      <c r="T496" s="31"/>
      <c r="U496" s="40"/>
      <c r="V496" s="31"/>
      <c r="W496" s="31"/>
      <c r="X496" s="31"/>
      <c r="Y496" s="31"/>
      <c r="Z496" s="31"/>
      <c r="AA496" s="31"/>
      <c r="AB496" s="31"/>
      <c r="AC496" s="31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>
        <v>21</v>
      </c>
      <c r="AT496" s="46"/>
      <c r="AU496" s="46"/>
      <c r="AV496" s="46"/>
      <c r="AW496" s="46"/>
      <c r="AX496" s="46"/>
      <c r="AY496" s="55">
        <f t="shared" si="71"/>
        <v>21</v>
      </c>
      <c r="AZ496" s="56"/>
      <c r="BA496" s="57"/>
      <c r="BB496" s="57"/>
      <c r="BC496" s="57"/>
      <c r="BD496" s="57"/>
      <c r="BE496" s="57"/>
      <c r="BF496" s="57"/>
      <c r="BG496" s="57"/>
      <c r="BH496" s="57"/>
      <c r="BI496" s="55">
        <f t="shared" si="72"/>
        <v>0</v>
      </c>
      <c r="BJ496" s="69">
        <f t="shared" si="73"/>
        <v>21</v>
      </c>
      <c r="BK496" s="69">
        <f t="shared" si="70"/>
        <v>0</v>
      </c>
      <c r="BM496" s="75"/>
      <c r="BN496" s="57">
        <f t="shared" si="68"/>
        <v>21</v>
      </c>
      <c r="BO496" s="80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9">
        <f t="shared" si="69"/>
        <v>0</v>
      </c>
      <c r="CB496" s="3"/>
      <c r="CD496" s="10"/>
      <c r="CE496" s="11"/>
    </row>
    <row r="497" spans="1:83" s="2" customFormat="1" ht="19.5" thickBot="1" x14ac:dyDescent="0.35">
      <c r="A497" s="17">
        <v>522</v>
      </c>
      <c r="B497" s="135"/>
      <c r="C497" s="18" t="s">
        <v>67</v>
      </c>
      <c r="D497" s="19"/>
      <c r="E497" s="19"/>
      <c r="F497" s="19"/>
      <c r="G497" s="30"/>
      <c r="H497" s="31"/>
      <c r="I497" s="40"/>
      <c r="J497" s="31"/>
      <c r="K497" s="40"/>
      <c r="L497" s="31"/>
      <c r="M497" s="40"/>
      <c r="N497" s="31"/>
      <c r="O497" s="40"/>
      <c r="P497" s="31"/>
      <c r="Q497" s="40"/>
      <c r="R497" s="31"/>
      <c r="S497" s="31"/>
      <c r="T497" s="31"/>
      <c r="U497" s="40"/>
      <c r="V497" s="31"/>
      <c r="W497" s="31"/>
      <c r="X497" s="31"/>
      <c r="Y497" s="31"/>
      <c r="Z497" s="31"/>
      <c r="AA497" s="31"/>
      <c r="AB497" s="31"/>
      <c r="AC497" s="31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>
        <v>12</v>
      </c>
      <c r="AT497" s="46"/>
      <c r="AU497" s="46"/>
      <c r="AV497" s="46"/>
      <c r="AW497" s="46"/>
      <c r="AX497" s="46"/>
      <c r="AY497" s="55">
        <f t="shared" si="71"/>
        <v>12</v>
      </c>
      <c r="AZ497" s="56"/>
      <c r="BA497" s="57"/>
      <c r="BB497" s="57"/>
      <c r="BC497" s="57"/>
      <c r="BD497" s="57"/>
      <c r="BE497" s="57"/>
      <c r="BF497" s="57"/>
      <c r="BG497" s="57"/>
      <c r="BH497" s="57"/>
      <c r="BI497" s="55">
        <f t="shared" si="72"/>
        <v>0</v>
      </c>
      <c r="BJ497" s="69">
        <f t="shared" si="73"/>
        <v>12</v>
      </c>
      <c r="BK497" s="69">
        <f t="shared" si="70"/>
        <v>0</v>
      </c>
      <c r="BM497" s="75"/>
      <c r="BN497" s="57">
        <f t="shared" si="68"/>
        <v>12</v>
      </c>
      <c r="BO497" s="80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9">
        <f t="shared" si="69"/>
        <v>0</v>
      </c>
      <c r="CB497" s="3"/>
      <c r="CD497" s="10"/>
      <c r="CE497" s="11"/>
    </row>
    <row r="498" spans="1:83" s="2" customFormat="1" ht="19.5" thickBot="1" x14ac:dyDescent="0.35">
      <c r="A498" s="17">
        <v>523</v>
      </c>
      <c r="B498" s="135"/>
      <c r="C498" s="18" t="s">
        <v>68</v>
      </c>
      <c r="D498" s="19"/>
      <c r="E498" s="19"/>
      <c r="F498" s="19"/>
      <c r="G498" s="30"/>
      <c r="H498" s="31"/>
      <c r="I498" s="40"/>
      <c r="J498" s="31"/>
      <c r="K498" s="40"/>
      <c r="L498" s="31"/>
      <c r="M498" s="40"/>
      <c r="N498" s="31"/>
      <c r="O498" s="40"/>
      <c r="P498" s="31"/>
      <c r="Q498" s="40"/>
      <c r="R498" s="31"/>
      <c r="S498" s="31"/>
      <c r="T498" s="31"/>
      <c r="U498" s="40"/>
      <c r="V498" s="31"/>
      <c r="W498" s="31"/>
      <c r="X498" s="31"/>
      <c r="Y498" s="31"/>
      <c r="Z498" s="31"/>
      <c r="AA498" s="31"/>
      <c r="AB498" s="31"/>
      <c r="AC498" s="31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>
        <v>9</v>
      </c>
      <c r="AT498" s="46"/>
      <c r="AU498" s="46"/>
      <c r="AV498" s="46"/>
      <c r="AW498" s="46"/>
      <c r="AX498" s="46"/>
      <c r="AY498" s="55">
        <f t="shared" si="71"/>
        <v>9</v>
      </c>
      <c r="AZ498" s="56"/>
      <c r="BA498" s="57"/>
      <c r="BB498" s="57"/>
      <c r="BC498" s="57"/>
      <c r="BD498" s="57"/>
      <c r="BE498" s="57"/>
      <c r="BF498" s="57"/>
      <c r="BG498" s="57"/>
      <c r="BH498" s="57"/>
      <c r="BI498" s="55">
        <f t="shared" si="72"/>
        <v>0</v>
      </c>
      <c r="BJ498" s="69">
        <f t="shared" si="73"/>
        <v>9</v>
      </c>
      <c r="BK498" s="69">
        <f t="shared" si="70"/>
        <v>0</v>
      </c>
      <c r="BM498" s="75"/>
      <c r="BN498" s="57">
        <f t="shared" si="68"/>
        <v>9</v>
      </c>
      <c r="BO498" s="80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9">
        <f t="shared" si="69"/>
        <v>0</v>
      </c>
      <c r="CB498" s="3"/>
      <c r="CD498" s="10"/>
      <c r="CE498" s="11"/>
    </row>
    <row r="499" spans="1:83" s="2" customFormat="1" ht="19.5" thickBot="1" x14ac:dyDescent="0.35">
      <c r="A499" s="17">
        <v>524</v>
      </c>
      <c r="B499" s="135"/>
      <c r="C499" s="20" t="s">
        <v>69</v>
      </c>
      <c r="D499" s="21"/>
      <c r="E499" s="21"/>
      <c r="F499" s="21"/>
      <c r="G499" s="32"/>
      <c r="H499" s="33"/>
      <c r="I499" s="41"/>
      <c r="J499" s="33"/>
      <c r="K499" s="41"/>
      <c r="L499" s="33"/>
      <c r="M499" s="41"/>
      <c r="N499" s="33"/>
      <c r="O499" s="41"/>
      <c r="P499" s="33"/>
      <c r="Q499" s="41"/>
      <c r="R499" s="33"/>
      <c r="S499" s="33"/>
      <c r="T499" s="33"/>
      <c r="U499" s="41"/>
      <c r="V499" s="33"/>
      <c r="W499" s="33"/>
      <c r="X499" s="33"/>
      <c r="Y499" s="33"/>
      <c r="Z499" s="33"/>
      <c r="AA499" s="33"/>
      <c r="AB499" s="33"/>
      <c r="AC499" s="33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>
        <v>6</v>
      </c>
      <c r="AT499" s="47"/>
      <c r="AU499" s="47"/>
      <c r="AV499" s="47"/>
      <c r="AW499" s="47"/>
      <c r="AX499" s="47"/>
      <c r="AY499" s="55">
        <f t="shared" si="71"/>
        <v>6</v>
      </c>
      <c r="AZ499" s="59"/>
      <c r="BA499" s="60"/>
      <c r="BB499" s="60"/>
      <c r="BC499" s="60"/>
      <c r="BD499" s="60"/>
      <c r="BE499" s="60"/>
      <c r="BF499" s="60"/>
      <c r="BG499" s="60"/>
      <c r="BH499" s="60"/>
      <c r="BI499" s="58">
        <f t="shared" si="72"/>
        <v>0</v>
      </c>
      <c r="BJ499" s="70">
        <f t="shared" si="73"/>
        <v>6</v>
      </c>
      <c r="BK499" s="70">
        <f t="shared" si="70"/>
        <v>0</v>
      </c>
      <c r="BL499" s="76"/>
      <c r="BM499" s="77"/>
      <c r="BN499" s="60">
        <f t="shared" si="68"/>
        <v>6</v>
      </c>
      <c r="BO499" s="82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9">
        <f t="shared" si="69"/>
        <v>0</v>
      </c>
      <c r="CB499" s="3"/>
      <c r="CD499" s="10"/>
      <c r="CE499" s="11"/>
    </row>
    <row r="500" spans="1:83" s="2" customFormat="1" ht="19.5" thickBot="1" x14ac:dyDescent="0.35">
      <c r="A500" s="17">
        <v>525</v>
      </c>
      <c r="B500" s="134" t="s">
        <v>157</v>
      </c>
      <c r="C500" s="18">
        <v>36</v>
      </c>
      <c r="D500" s="19"/>
      <c r="E500" s="19"/>
      <c r="F500" s="19"/>
      <c r="G500" s="30"/>
      <c r="H500" s="31"/>
      <c r="I500" s="40"/>
      <c r="J500" s="31"/>
      <c r="K500" s="40"/>
      <c r="L500" s="31"/>
      <c r="M500" s="40"/>
      <c r="N500" s="31"/>
      <c r="O500" s="40"/>
      <c r="P500" s="31"/>
      <c r="Q500" s="40"/>
      <c r="R500" s="31"/>
      <c r="S500" s="31"/>
      <c r="T500" s="31"/>
      <c r="U500" s="40"/>
      <c r="V500" s="31"/>
      <c r="W500" s="31"/>
      <c r="X500" s="31"/>
      <c r="Y500" s="31"/>
      <c r="Z500" s="31"/>
      <c r="AA500" s="31"/>
      <c r="AB500" s="31"/>
      <c r="AC500" s="31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>
        <v>6</v>
      </c>
      <c r="AP500" s="46"/>
      <c r="AQ500" s="46"/>
      <c r="AR500" s="46"/>
      <c r="AS500" s="46"/>
      <c r="AT500" s="46"/>
      <c r="AU500" s="46"/>
      <c r="AV500" s="46"/>
      <c r="AW500" s="46"/>
      <c r="AX500" s="46"/>
      <c r="AY500" s="55">
        <f t="shared" si="71"/>
        <v>6</v>
      </c>
      <c r="AZ500" s="56"/>
      <c r="BA500" s="57"/>
      <c r="BB500" s="57">
        <f>+'[1]25'!R794</f>
        <v>0</v>
      </c>
      <c r="BC500" s="57">
        <v>3</v>
      </c>
      <c r="BD500" s="57"/>
      <c r="BE500" s="57"/>
      <c r="BF500" s="57"/>
      <c r="BG500" s="57"/>
      <c r="BH500" s="57"/>
      <c r="BI500" s="55">
        <f t="shared" si="72"/>
        <v>3</v>
      </c>
      <c r="BJ500" s="69">
        <f t="shared" si="73"/>
        <v>3</v>
      </c>
      <c r="BK500" s="69">
        <f t="shared" si="70"/>
        <v>0</v>
      </c>
      <c r="BM500" s="75"/>
      <c r="BN500" s="57">
        <f t="shared" si="68"/>
        <v>0</v>
      </c>
      <c r="BO500" s="80"/>
      <c r="BP500" s="81">
        <v>1</v>
      </c>
      <c r="BQ500" s="81"/>
      <c r="BR500" s="81">
        <v>1</v>
      </c>
      <c r="BS500" s="81">
        <v>1</v>
      </c>
      <c r="BT500" s="81"/>
      <c r="BU500" s="81"/>
      <c r="BV500" s="81"/>
      <c r="BW500" s="81"/>
      <c r="BX500" s="81"/>
      <c r="BY500" s="81"/>
      <c r="BZ500" s="9">
        <f t="shared" si="69"/>
        <v>3</v>
      </c>
      <c r="CB500" s="3"/>
      <c r="CD500" s="10"/>
      <c r="CE500" s="11"/>
    </row>
    <row r="501" spans="1:83" s="2" customFormat="1" ht="19.5" thickBot="1" x14ac:dyDescent="0.35">
      <c r="A501" s="17">
        <v>526</v>
      </c>
      <c r="B501" s="134"/>
      <c r="C501" s="18">
        <v>37</v>
      </c>
      <c r="D501" s="19"/>
      <c r="E501" s="19"/>
      <c r="F501" s="19"/>
      <c r="G501" s="30"/>
      <c r="H501" s="31"/>
      <c r="I501" s="40"/>
      <c r="J501" s="31"/>
      <c r="K501" s="40"/>
      <c r="L501" s="31"/>
      <c r="M501" s="40"/>
      <c r="N501" s="31"/>
      <c r="O501" s="40"/>
      <c r="P501" s="31"/>
      <c r="Q501" s="40"/>
      <c r="R501" s="31"/>
      <c r="S501" s="31"/>
      <c r="T501" s="31"/>
      <c r="U501" s="40"/>
      <c r="V501" s="31"/>
      <c r="W501" s="31"/>
      <c r="X501" s="31"/>
      <c r="Y501" s="31"/>
      <c r="Z501" s="31"/>
      <c r="AA501" s="31"/>
      <c r="AB501" s="31"/>
      <c r="AC501" s="31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>
        <v>9</v>
      </c>
      <c r="AP501" s="46"/>
      <c r="AQ501" s="46"/>
      <c r="AR501" s="46"/>
      <c r="AS501" s="46"/>
      <c r="AT501" s="46"/>
      <c r="AU501" s="46"/>
      <c r="AV501" s="46"/>
      <c r="AW501" s="46"/>
      <c r="AX501" s="46"/>
      <c r="AY501" s="55">
        <f t="shared" si="71"/>
        <v>9</v>
      </c>
      <c r="AZ501" s="56"/>
      <c r="BA501" s="57"/>
      <c r="BB501" s="57">
        <f>+'[1]25'!R795</f>
        <v>0</v>
      </c>
      <c r="BC501" s="57">
        <v>4</v>
      </c>
      <c r="BD501" s="57"/>
      <c r="BE501" s="57"/>
      <c r="BF501" s="57"/>
      <c r="BG501" s="57"/>
      <c r="BH501" s="57"/>
      <c r="BI501" s="55">
        <f t="shared" si="72"/>
        <v>4</v>
      </c>
      <c r="BJ501" s="69">
        <f t="shared" si="73"/>
        <v>5</v>
      </c>
      <c r="BK501" s="69">
        <f t="shared" si="70"/>
        <v>0</v>
      </c>
      <c r="BM501" s="75"/>
      <c r="BN501" s="57">
        <f t="shared" si="68"/>
        <v>2</v>
      </c>
      <c r="BO501" s="80"/>
      <c r="BP501" s="81">
        <v>1</v>
      </c>
      <c r="BQ501" s="81"/>
      <c r="BR501" s="81">
        <v>1</v>
      </c>
      <c r="BS501" s="81">
        <v>1</v>
      </c>
      <c r="BT501" s="81"/>
      <c r="BU501" s="81"/>
      <c r="BV501" s="81"/>
      <c r="BW501" s="81"/>
      <c r="BX501" s="81"/>
      <c r="BY501" s="81"/>
      <c r="BZ501" s="9">
        <f t="shared" si="69"/>
        <v>3</v>
      </c>
      <c r="CB501" s="3"/>
      <c r="CD501" s="10"/>
      <c r="CE501" s="11"/>
    </row>
    <row r="502" spans="1:83" s="2" customFormat="1" ht="19.5" thickBot="1" x14ac:dyDescent="0.35">
      <c r="A502" s="17">
        <v>527</v>
      </c>
      <c r="B502" s="134"/>
      <c r="C502" s="18">
        <v>38</v>
      </c>
      <c r="D502" s="19"/>
      <c r="E502" s="19"/>
      <c r="F502" s="19"/>
      <c r="G502" s="30"/>
      <c r="H502" s="31"/>
      <c r="I502" s="40"/>
      <c r="J502" s="31"/>
      <c r="K502" s="40"/>
      <c r="L502" s="31"/>
      <c r="M502" s="40"/>
      <c r="N502" s="31"/>
      <c r="O502" s="40"/>
      <c r="P502" s="31"/>
      <c r="Q502" s="40"/>
      <c r="R502" s="31"/>
      <c r="S502" s="31"/>
      <c r="T502" s="31"/>
      <c r="U502" s="40"/>
      <c r="V502" s="31"/>
      <c r="W502" s="31"/>
      <c r="X502" s="31"/>
      <c r="Y502" s="31"/>
      <c r="Z502" s="31"/>
      <c r="AA502" s="31"/>
      <c r="AB502" s="31"/>
      <c r="AC502" s="31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>
        <v>15</v>
      </c>
      <c r="AP502" s="46"/>
      <c r="AQ502" s="46"/>
      <c r="AR502" s="46"/>
      <c r="AS502" s="46"/>
      <c r="AT502" s="46"/>
      <c r="AU502" s="46"/>
      <c r="AV502" s="46"/>
      <c r="AW502" s="46"/>
      <c r="AX502" s="46"/>
      <c r="AY502" s="55">
        <f t="shared" si="71"/>
        <v>15</v>
      </c>
      <c r="AZ502" s="56"/>
      <c r="BA502" s="57"/>
      <c r="BB502" s="57">
        <f>+'[1]25'!R796</f>
        <v>0</v>
      </c>
      <c r="BC502" s="57">
        <v>7</v>
      </c>
      <c r="BD502" s="57"/>
      <c r="BE502" s="57"/>
      <c r="BF502" s="57"/>
      <c r="BG502" s="57"/>
      <c r="BH502" s="57"/>
      <c r="BI502" s="55">
        <f t="shared" si="72"/>
        <v>7</v>
      </c>
      <c r="BJ502" s="69">
        <f t="shared" si="73"/>
        <v>8</v>
      </c>
      <c r="BK502" s="69">
        <f t="shared" si="70"/>
        <v>0</v>
      </c>
      <c r="BM502" s="75"/>
      <c r="BN502" s="57">
        <f t="shared" si="68"/>
        <v>6</v>
      </c>
      <c r="BO502" s="80"/>
      <c r="BP502" s="81">
        <v>1</v>
      </c>
      <c r="BQ502" s="81"/>
      <c r="BR502" s="81"/>
      <c r="BS502" s="81">
        <v>1</v>
      </c>
      <c r="BT502" s="81"/>
      <c r="BU502" s="81"/>
      <c r="BV502" s="81"/>
      <c r="BW502" s="81"/>
      <c r="BX502" s="81"/>
      <c r="BY502" s="81"/>
      <c r="BZ502" s="9">
        <f t="shared" si="69"/>
        <v>2</v>
      </c>
      <c r="CB502" s="3"/>
      <c r="CD502" s="10"/>
      <c r="CE502" s="11"/>
    </row>
    <row r="503" spans="1:83" s="2" customFormat="1" ht="18.75" customHeight="1" thickBot="1" x14ac:dyDescent="0.35">
      <c r="A503" s="17">
        <v>528</v>
      </c>
      <c r="B503" s="134"/>
      <c r="C503" s="18">
        <v>39</v>
      </c>
      <c r="D503" s="19"/>
      <c r="E503" s="19"/>
      <c r="F503" s="19"/>
      <c r="G503" s="30"/>
      <c r="H503" s="31"/>
      <c r="I503" s="40"/>
      <c r="J503" s="31"/>
      <c r="K503" s="40"/>
      <c r="L503" s="31"/>
      <c r="M503" s="40"/>
      <c r="N503" s="31"/>
      <c r="O503" s="40"/>
      <c r="P503" s="31"/>
      <c r="Q503" s="40"/>
      <c r="R503" s="31"/>
      <c r="S503" s="31"/>
      <c r="T503" s="31"/>
      <c r="U503" s="40"/>
      <c r="V503" s="31"/>
      <c r="W503" s="31"/>
      <c r="X503" s="31"/>
      <c r="Y503" s="31"/>
      <c r="Z503" s="31"/>
      <c r="AA503" s="31"/>
      <c r="AB503" s="31"/>
      <c r="AC503" s="31"/>
      <c r="AD503" s="46"/>
      <c r="AE503" s="46"/>
      <c r="AF503" s="46"/>
      <c r="AG503" s="46"/>
      <c r="AH503" s="46"/>
      <c r="AI503" s="46"/>
      <c r="AJ503" s="46"/>
      <c r="AK503" s="46">
        <v>3</v>
      </c>
      <c r="AL503" s="46"/>
      <c r="AM503" s="46"/>
      <c r="AN503" s="46"/>
      <c r="AO503" s="46">
        <v>21</v>
      </c>
      <c r="AP503" s="46"/>
      <c r="AQ503" s="46"/>
      <c r="AR503" s="46"/>
      <c r="AS503" s="46"/>
      <c r="AT503" s="46"/>
      <c r="AU503" s="46"/>
      <c r="AV503" s="46"/>
      <c r="AW503" s="46"/>
      <c r="AX503" s="46"/>
      <c r="AY503" s="55">
        <f t="shared" si="71"/>
        <v>24</v>
      </c>
      <c r="AZ503" s="56"/>
      <c r="BA503" s="57"/>
      <c r="BB503" s="57">
        <f>+'[1]25'!R797</f>
        <v>0</v>
      </c>
      <c r="BC503" s="57">
        <v>4</v>
      </c>
      <c r="BD503" s="57"/>
      <c r="BE503" s="57"/>
      <c r="BF503" s="57"/>
      <c r="BG503" s="57"/>
      <c r="BH503" s="57"/>
      <c r="BI503" s="55">
        <f t="shared" si="72"/>
        <v>4</v>
      </c>
      <c r="BJ503" s="69">
        <f t="shared" si="73"/>
        <v>20</v>
      </c>
      <c r="BK503" s="69">
        <f t="shared" si="70"/>
        <v>0</v>
      </c>
      <c r="BM503" s="75"/>
      <c r="BN503" s="57">
        <f t="shared" ref="BN503:BN566" si="74">+BJ503-BZ503</f>
        <v>17</v>
      </c>
      <c r="BO503" s="80"/>
      <c r="BP503" s="81">
        <v>1</v>
      </c>
      <c r="BQ503" s="81"/>
      <c r="BR503" s="81">
        <v>1</v>
      </c>
      <c r="BS503" s="81">
        <v>1</v>
      </c>
      <c r="BT503" s="81"/>
      <c r="BU503" s="81"/>
      <c r="BV503" s="81"/>
      <c r="BW503" s="81"/>
      <c r="BX503" s="81"/>
      <c r="BY503" s="81"/>
      <c r="BZ503" s="9">
        <f t="shared" si="69"/>
        <v>3</v>
      </c>
      <c r="CB503" s="3"/>
      <c r="CD503" s="10"/>
      <c r="CE503" s="11"/>
    </row>
    <row r="504" spans="1:83" s="2" customFormat="1" ht="19.5" thickBot="1" x14ac:dyDescent="0.35">
      <c r="A504" s="17">
        <v>529</v>
      </c>
      <c r="B504" s="134"/>
      <c r="C504" s="18">
        <v>40</v>
      </c>
      <c r="D504" s="19"/>
      <c r="E504" s="19"/>
      <c r="F504" s="19"/>
      <c r="G504" s="30"/>
      <c r="H504" s="31"/>
      <c r="I504" s="40"/>
      <c r="J504" s="31"/>
      <c r="K504" s="40"/>
      <c r="L504" s="31"/>
      <c r="M504" s="40"/>
      <c r="N504" s="31"/>
      <c r="O504" s="40"/>
      <c r="P504" s="31"/>
      <c r="Q504" s="40"/>
      <c r="R504" s="31"/>
      <c r="S504" s="31"/>
      <c r="T504" s="31"/>
      <c r="U504" s="40"/>
      <c r="V504" s="31"/>
      <c r="W504" s="31"/>
      <c r="X504" s="31"/>
      <c r="Y504" s="31"/>
      <c r="Z504" s="31"/>
      <c r="AA504" s="31"/>
      <c r="AB504" s="31"/>
      <c r="AC504" s="31"/>
      <c r="AD504" s="46"/>
      <c r="AE504" s="46"/>
      <c r="AF504" s="46"/>
      <c r="AG504" s="46"/>
      <c r="AH504" s="46"/>
      <c r="AI504" s="46"/>
      <c r="AJ504" s="46"/>
      <c r="AK504" s="46">
        <v>9</v>
      </c>
      <c r="AL504" s="46"/>
      <c r="AM504" s="46"/>
      <c r="AN504" s="46"/>
      <c r="AO504" s="46">
        <v>15</v>
      </c>
      <c r="AP504" s="46"/>
      <c r="AQ504" s="46"/>
      <c r="AR504" s="46"/>
      <c r="AS504" s="46"/>
      <c r="AT504" s="46"/>
      <c r="AU504" s="46"/>
      <c r="AV504" s="46"/>
      <c r="AW504" s="46"/>
      <c r="AX504" s="46"/>
      <c r="AY504" s="55">
        <f t="shared" si="71"/>
        <v>24</v>
      </c>
      <c r="AZ504" s="56"/>
      <c r="BA504" s="57"/>
      <c r="BB504" s="57">
        <f>+'[1]25'!R798</f>
        <v>0</v>
      </c>
      <c r="BC504" s="57">
        <v>6</v>
      </c>
      <c r="BD504" s="57"/>
      <c r="BE504" s="57"/>
      <c r="BF504" s="57"/>
      <c r="BG504" s="57"/>
      <c r="BH504" s="57"/>
      <c r="BI504" s="55">
        <f t="shared" si="72"/>
        <v>6</v>
      </c>
      <c r="BJ504" s="69">
        <f t="shared" si="73"/>
        <v>18</v>
      </c>
      <c r="BK504" s="69">
        <f t="shared" si="70"/>
        <v>0</v>
      </c>
      <c r="BM504" s="75"/>
      <c r="BN504" s="57">
        <f t="shared" si="74"/>
        <v>14</v>
      </c>
      <c r="BO504" s="80"/>
      <c r="BP504" s="81">
        <v>2</v>
      </c>
      <c r="BQ504" s="81"/>
      <c r="BR504" s="81">
        <v>1</v>
      </c>
      <c r="BS504" s="81">
        <v>1</v>
      </c>
      <c r="BT504" s="81"/>
      <c r="BU504" s="81"/>
      <c r="BV504" s="81"/>
      <c r="BW504" s="81"/>
      <c r="BX504" s="81"/>
      <c r="BY504" s="81"/>
      <c r="BZ504" s="9">
        <f t="shared" si="69"/>
        <v>4</v>
      </c>
      <c r="CB504" s="3"/>
      <c r="CD504" s="10"/>
      <c r="CE504" s="11"/>
    </row>
    <row r="505" spans="1:83" s="2" customFormat="1" ht="19.5" thickBot="1" x14ac:dyDescent="0.35">
      <c r="A505" s="17">
        <v>530</v>
      </c>
      <c r="B505" s="134"/>
      <c r="C505" s="18">
        <v>41</v>
      </c>
      <c r="D505" s="19"/>
      <c r="E505" s="19"/>
      <c r="F505" s="19"/>
      <c r="G505" s="30"/>
      <c r="H505" s="31"/>
      <c r="I505" s="40"/>
      <c r="J505" s="31"/>
      <c r="K505" s="40"/>
      <c r="L505" s="31"/>
      <c r="M505" s="40"/>
      <c r="N505" s="31"/>
      <c r="O505" s="40"/>
      <c r="P505" s="31"/>
      <c r="Q505" s="40"/>
      <c r="R505" s="31"/>
      <c r="S505" s="31"/>
      <c r="T505" s="31"/>
      <c r="U505" s="40"/>
      <c r="V505" s="31"/>
      <c r="W505" s="31"/>
      <c r="X505" s="31"/>
      <c r="Y505" s="31"/>
      <c r="Z505" s="31"/>
      <c r="AA505" s="31"/>
      <c r="AB505" s="31"/>
      <c r="AC505" s="31"/>
      <c r="AD505" s="46"/>
      <c r="AE505" s="46"/>
      <c r="AF505" s="46"/>
      <c r="AG505" s="46"/>
      <c r="AH505" s="46"/>
      <c r="AI505" s="46"/>
      <c r="AJ505" s="46"/>
      <c r="AK505" s="46">
        <v>15</v>
      </c>
      <c r="AL505" s="46"/>
      <c r="AM505" s="46"/>
      <c r="AN505" s="46"/>
      <c r="AO505" s="46">
        <v>12</v>
      </c>
      <c r="AP505" s="46"/>
      <c r="AQ505" s="46"/>
      <c r="AR505" s="46"/>
      <c r="AS505" s="46"/>
      <c r="AT505" s="46"/>
      <c r="AU505" s="46"/>
      <c r="AV505" s="46"/>
      <c r="AW505" s="46"/>
      <c r="AX505" s="46"/>
      <c r="AY505" s="55">
        <f t="shared" si="71"/>
        <v>27</v>
      </c>
      <c r="AZ505" s="56"/>
      <c r="BA505" s="57"/>
      <c r="BB505" s="57">
        <f>+'[1]25'!R799</f>
        <v>1</v>
      </c>
      <c r="BC505" s="57">
        <v>13</v>
      </c>
      <c r="BD505" s="57"/>
      <c r="BE505" s="57"/>
      <c r="BF505" s="57"/>
      <c r="BG505" s="57"/>
      <c r="BH505" s="57"/>
      <c r="BI505" s="55">
        <f t="shared" si="72"/>
        <v>14</v>
      </c>
      <c r="BJ505" s="69">
        <f t="shared" si="73"/>
        <v>13</v>
      </c>
      <c r="BK505" s="69">
        <f t="shared" si="70"/>
        <v>0</v>
      </c>
      <c r="BM505" s="75"/>
      <c r="BN505" s="57">
        <f t="shared" si="74"/>
        <v>7</v>
      </c>
      <c r="BO505" s="80"/>
      <c r="BP505" s="81">
        <v>1</v>
      </c>
      <c r="BQ505" s="81"/>
      <c r="BR505" s="81">
        <v>2</v>
      </c>
      <c r="BS505" s="81">
        <v>1</v>
      </c>
      <c r="BT505" s="81">
        <v>1</v>
      </c>
      <c r="BU505" s="81"/>
      <c r="BV505" s="81"/>
      <c r="BW505" s="81"/>
      <c r="BX505" s="81">
        <v>1</v>
      </c>
      <c r="BY505" s="81"/>
      <c r="BZ505" s="9">
        <f t="shared" ref="BZ505:BZ568" si="75">SUM(BP505:BY505)</f>
        <v>6</v>
      </c>
      <c r="CB505" s="3"/>
      <c r="CD505" s="10"/>
      <c r="CE505" s="11"/>
    </row>
    <row r="506" spans="1:83" s="2" customFormat="1" ht="19.5" thickBot="1" x14ac:dyDescent="0.35">
      <c r="A506" s="17">
        <v>531</v>
      </c>
      <c r="B506" s="134"/>
      <c r="C506" s="18">
        <v>42</v>
      </c>
      <c r="D506" s="19"/>
      <c r="E506" s="19"/>
      <c r="F506" s="19"/>
      <c r="G506" s="30"/>
      <c r="H506" s="31"/>
      <c r="I506" s="40"/>
      <c r="J506" s="31"/>
      <c r="K506" s="40"/>
      <c r="L506" s="31"/>
      <c r="M506" s="40"/>
      <c r="N506" s="31"/>
      <c r="O506" s="40"/>
      <c r="P506" s="31"/>
      <c r="Q506" s="40"/>
      <c r="R506" s="31"/>
      <c r="S506" s="31"/>
      <c r="T506" s="31"/>
      <c r="U506" s="40"/>
      <c r="V506" s="31"/>
      <c r="W506" s="31"/>
      <c r="X506" s="31"/>
      <c r="Y506" s="31"/>
      <c r="Z506" s="31"/>
      <c r="AA506" s="31"/>
      <c r="AB506" s="31"/>
      <c r="AC506" s="31"/>
      <c r="AD506" s="46"/>
      <c r="AE506" s="46"/>
      <c r="AF506" s="46"/>
      <c r="AG506" s="46"/>
      <c r="AH506" s="46"/>
      <c r="AI506" s="46"/>
      <c r="AJ506" s="46"/>
      <c r="AK506" s="46">
        <v>21</v>
      </c>
      <c r="AL506" s="46"/>
      <c r="AM506" s="46"/>
      <c r="AN506" s="46"/>
      <c r="AO506" s="46">
        <v>12</v>
      </c>
      <c r="AP506" s="46"/>
      <c r="AQ506" s="46"/>
      <c r="AR506" s="46"/>
      <c r="AS506" s="46"/>
      <c r="AT506" s="46"/>
      <c r="AU506" s="46"/>
      <c r="AV506" s="46"/>
      <c r="AW506" s="46"/>
      <c r="AX506" s="46"/>
      <c r="AY506" s="55">
        <f t="shared" si="71"/>
        <v>33</v>
      </c>
      <c r="AZ506" s="56"/>
      <c r="BA506" s="57"/>
      <c r="BB506" s="57">
        <f>+'[1]25'!R800</f>
        <v>0</v>
      </c>
      <c r="BC506" s="57">
        <v>11</v>
      </c>
      <c r="BD506" s="57"/>
      <c r="BE506" s="57"/>
      <c r="BF506" s="57"/>
      <c r="BG506" s="57"/>
      <c r="BH506" s="57"/>
      <c r="BI506" s="55">
        <f t="shared" si="72"/>
        <v>11</v>
      </c>
      <c r="BJ506" s="69">
        <f t="shared" si="73"/>
        <v>22</v>
      </c>
      <c r="BK506" s="69">
        <f t="shared" si="70"/>
        <v>0</v>
      </c>
      <c r="BM506" s="75"/>
      <c r="BN506" s="57">
        <f t="shared" si="74"/>
        <v>16</v>
      </c>
      <c r="BO506" s="80"/>
      <c r="BP506" s="81"/>
      <c r="BQ506" s="81"/>
      <c r="BR506" s="81">
        <v>1</v>
      </c>
      <c r="BS506" s="81">
        <v>2</v>
      </c>
      <c r="BT506" s="81">
        <v>1</v>
      </c>
      <c r="BU506" s="81"/>
      <c r="BV506" s="81"/>
      <c r="BW506" s="81">
        <v>1</v>
      </c>
      <c r="BX506" s="81">
        <v>1</v>
      </c>
      <c r="BY506" s="81"/>
      <c r="BZ506" s="9">
        <f t="shared" si="75"/>
        <v>6</v>
      </c>
      <c r="CB506" s="3"/>
      <c r="CD506" s="10"/>
      <c r="CE506" s="11"/>
    </row>
    <row r="507" spans="1:83" s="2" customFormat="1" ht="19.5" thickBot="1" x14ac:dyDescent="0.35">
      <c r="A507" s="17">
        <v>532</v>
      </c>
      <c r="B507" s="134"/>
      <c r="C507" s="18">
        <v>43</v>
      </c>
      <c r="D507" s="19"/>
      <c r="E507" s="19"/>
      <c r="F507" s="19"/>
      <c r="G507" s="30"/>
      <c r="H507" s="31"/>
      <c r="I507" s="40"/>
      <c r="J507" s="31"/>
      <c r="K507" s="40"/>
      <c r="L507" s="31"/>
      <c r="M507" s="40"/>
      <c r="N507" s="31"/>
      <c r="O507" s="40"/>
      <c r="P507" s="31"/>
      <c r="Q507" s="40"/>
      <c r="R507" s="31"/>
      <c r="S507" s="31"/>
      <c r="T507" s="31"/>
      <c r="U507" s="40"/>
      <c r="V507" s="31"/>
      <c r="W507" s="31"/>
      <c r="X507" s="31"/>
      <c r="Y507" s="31"/>
      <c r="Z507" s="31"/>
      <c r="AA507" s="31"/>
      <c r="AB507" s="31"/>
      <c r="AC507" s="31"/>
      <c r="AD507" s="46"/>
      <c r="AE507" s="46"/>
      <c r="AF507" s="46"/>
      <c r="AG507" s="46"/>
      <c r="AH507" s="46"/>
      <c r="AI507" s="46"/>
      <c r="AJ507" s="46"/>
      <c r="AK507" s="46">
        <v>24</v>
      </c>
      <c r="AL507" s="46"/>
      <c r="AM507" s="46"/>
      <c r="AN507" s="46"/>
      <c r="AO507" s="46">
        <v>18</v>
      </c>
      <c r="AP507" s="46"/>
      <c r="AQ507" s="46"/>
      <c r="AR507" s="46"/>
      <c r="AS507" s="46"/>
      <c r="AT507" s="46"/>
      <c r="AU507" s="46"/>
      <c r="AV507" s="46"/>
      <c r="AW507" s="46"/>
      <c r="AX507" s="46"/>
      <c r="AY507" s="55">
        <f t="shared" si="71"/>
        <v>42</v>
      </c>
      <c r="AZ507" s="56"/>
      <c r="BA507" s="57"/>
      <c r="BB507" s="57">
        <f>+'[1]25'!R801</f>
        <v>1</v>
      </c>
      <c r="BC507" s="57">
        <v>13</v>
      </c>
      <c r="BD507" s="57"/>
      <c r="BE507" s="57"/>
      <c r="BF507" s="57"/>
      <c r="BG507" s="57"/>
      <c r="BH507" s="57"/>
      <c r="BI507" s="55">
        <f t="shared" si="72"/>
        <v>14</v>
      </c>
      <c r="BJ507" s="69">
        <f t="shared" si="73"/>
        <v>28</v>
      </c>
      <c r="BK507" s="69">
        <f t="shared" si="70"/>
        <v>0</v>
      </c>
      <c r="BM507" s="75"/>
      <c r="BN507" s="57">
        <f t="shared" si="74"/>
        <v>19</v>
      </c>
      <c r="BO507" s="80"/>
      <c r="BP507" s="81">
        <v>1</v>
      </c>
      <c r="BQ507" s="81"/>
      <c r="BR507" s="81">
        <v>2</v>
      </c>
      <c r="BS507" s="81">
        <v>2</v>
      </c>
      <c r="BT507" s="81">
        <v>2</v>
      </c>
      <c r="BU507" s="81"/>
      <c r="BV507" s="81"/>
      <c r="BW507" s="81">
        <v>1</v>
      </c>
      <c r="BX507" s="81">
        <v>1</v>
      </c>
      <c r="BY507" s="81"/>
      <c r="BZ507" s="9">
        <f t="shared" si="75"/>
        <v>9</v>
      </c>
      <c r="CB507" s="3"/>
      <c r="CD507" s="10"/>
      <c r="CE507" s="11"/>
    </row>
    <row r="508" spans="1:83" s="2" customFormat="1" ht="19.5" thickBot="1" x14ac:dyDescent="0.35">
      <c r="A508" s="17">
        <v>533</v>
      </c>
      <c r="B508" s="134"/>
      <c r="C508" s="18">
        <v>44</v>
      </c>
      <c r="D508" s="19"/>
      <c r="E508" s="19"/>
      <c r="F508" s="19"/>
      <c r="G508" s="30"/>
      <c r="H508" s="31"/>
      <c r="I508" s="40"/>
      <c r="J508" s="31"/>
      <c r="K508" s="40"/>
      <c r="L508" s="31"/>
      <c r="M508" s="40"/>
      <c r="N508" s="31"/>
      <c r="O508" s="40"/>
      <c r="P508" s="31"/>
      <c r="Q508" s="40"/>
      <c r="R508" s="31"/>
      <c r="S508" s="31"/>
      <c r="T508" s="31"/>
      <c r="U508" s="40"/>
      <c r="V508" s="31"/>
      <c r="W508" s="31"/>
      <c r="X508" s="31"/>
      <c r="Y508" s="31"/>
      <c r="Z508" s="31"/>
      <c r="AA508" s="31"/>
      <c r="AB508" s="31"/>
      <c r="AC508" s="31"/>
      <c r="AD508" s="46"/>
      <c r="AE508" s="46"/>
      <c r="AF508" s="46"/>
      <c r="AG508" s="46"/>
      <c r="AH508" s="46"/>
      <c r="AI508" s="46"/>
      <c r="AJ508" s="46"/>
      <c r="AK508" s="46">
        <v>18</v>
      </c>
      <c r="AL508" s="46"/>
      <c r="AM508" s="46"/>
      <c r="AN508" s="46"/>
      <c r="AO508" s="46">
        <v>12</v>
      </c>
      <c r="AP508" s="46"/>
      <c r="AQ508" s="46"/>
      <c r="AR508" s="46"/>
      <c r="AS508" s="46"/>
      <c r="AT508" s="46"/>
      <c r="AU508" s="46"/>
      <c r="AV508" s="46"/>
      <c r="AW508" s="46"/>
      <c r="AX508" s="46"/>
      <c r="AY508" s="55">
        <f t="shared" si="71"/>
        <v>30</v>
      </c>
      <c r="AZ508" s="56"/>
      <c r="BA508" s="57"/>
      <c r="BB508" s="57">
        <f>+'[1]25'!R802</f>
        <v>0</v>
      </c>
      <c r="BC508" s="57">
        <v>15</v>
      </c>
      <c r="BD508" s="57"/>
      <c r="BE508" s="57"/>
      <c r="BF508" s="57"/>
      <c r="BG508" s="57"/>
      <c r="BH508" s="57"/>
      <c r="BI508" s="55">
        <f t="shared" si="72"/>
        <v>15</v>
      </c>
      <c r="BJ508" s="69">
        <f t="shared" si="73"/>
        <v>15</v>
      </c>
      <c r="BK508" s="69">
        <f t="shared" ref="BK508:BK571" si="76">SUM(AT508:AX508)</f>
        <v>0</v>
      </c>
      <c r="BM508" s="75"/>
      <c r="BN508" s="57">
        <f t="shared" si="74"/>
        <v>8</v>
      </c>
      <c r="BO508" s="80"/>
      <c r="BP508" s="81">
        <v>1</v>
      </c>
      <c r="BQ508" s="81">
        <v>1</v>
      </c>
      <c r="BR508" s="81">
        <v>2</v>
      </c>
      <c r="BS508" s="81">
        <v>2</v>
      </c>
      <c r="BT508" s="81"/>
      <c r="BU508" s="81"/>
      <c r="BV508" s="81"/>
      <c r="BW508" s="81"/>
      <c r="BX508" s="81">
        <v>1</v>
      </c>
      <c r="BY508" s="81"/>
      <c r="BZ508" s="9">
        <f t="shared" si="75"/>
        <v>7</v>
      </c>
      <c r="CB508" s="3"/>
      <c r="CD508" s="10"/>
      <c r="CE508" s="11"/>
    </row>
    <row r="509" spans="1:83" s="2" customFormat="1" ht="19.5" thickBot="1" x14ac:dyDescent="0.35">
      <c r="A509" s="17">
        <v>534</v>
      </c>
      <c r="B509" s="134"/>
      <c r="C509" s="18">
        <v>45</v>
      </c>
      <c r="D509" s="19"/>
      <c r="E509" s="19"/>
      <c r="F509" s="19"/>
      <c r="G509" s="30"/>
      <c r="H509" s="31"/>
      <c r="I509" s="40"/>
      <c r="J509" s="31"/>
      <c r="K509" s="40"/>
      <c r="L509" s="31"/>
      <c r="M509" s="40"/>
      <c r="N509" s="31"/>
      <c r="O509" s="40"/>
      <c r="P509" s="31"/>
      <c r="Q509" s="40"/>
      <c r="R509" s="31"/>
      <c r="S509" s="31"/>
      <c r="T509" s="31"/>
      <c r="U509" s="40"/>
      <c r="V509" s="31"/>
      <c r="W509" s="31"/>
      <c r="X509" s="31"/>
      <c r="Y509" s="31"/>
      <c r="Z509" s="31"/>
      <c r="AA509" s="31"/>
      <c r="AB509" s="31"/>
      <c r="AC509" s="31"/>
      <c r="AD509" s="46"/>
      <c r="AE509" s="46"/>
      <c r="AF509" s="46"/>
      <c r="AG509" s="46"/>
      <c r="AH509" s="46"/>
      <c r="AI509" s="46"/>
      <c r="AJ509" s="46"/>
      <c r="AK509" s="46">
        <v>12</v>
      </c>
      <c r="AL509" s="46"/>
      <c r="AM509" s="46"/>
      <c r="AN509" s="46"/>
      <c r="AO509" s="46">
        <v>6</v>
      </c>
      <c r="AP509" s="46"/>
      <c r="AQ509" s="46"/>
      <c r="AR509" s="46"/>
      <c r="AS509" s="46"/>
      <c r="AT509" s="46"/>
      <c r="AU509" s="46"/>
      <c r="AV509" s="46"/>
      <c r="AW509" s="46"/>
      <c r="AX509" s="46"/>
      <c r="AY509" s="55">
        <f t="shared" ref="AY509:AY572" si="77">SUM(D509:AS509)</f>
        <v>18</v>
      </c>
      <c r="AZ509" s="56"/>
      <c r="BA509" s="57"/>
      <c r="BB509" s="57">
        <f>+'[1]25'!R803</f>
        <v>0</v>
      </c>
      <c r="BC509" s="57">
        <v>7</v>
      </c>
      <c r="BD509" s="57"/>
      <c r="BE509" s="57"/>
      <c r="BF509" s="57"/>
      <c r="BG509" s="57"/>
      <c r="BH509" s="57"/>
      <c r="BI509" s="55">
        <f t="shared" ref="BI509:BI572" si="78">SUM(AZ509:BH509)</f>
        <v>7</v>
      </c>
      <c r="BJ509" s="69">
        <f t="shared" ref="BJ509:BJ572" si="79">+AY509-BI509</f>
        <v>11</v>
      </c>
      <c r="BK509" s="69">
        <f t="shared" si="76"/>
        <v>0</v>
      </c>
      <c r="BM509" s="75"/>
      <c r="BN509" s="57">
        <f t="shared" si="74"/>
        <v>5</v>
      </c>
      <c r="BO509" s="80"/>
      <c r="BP509" s="81"/>
      <c r="BQ509" s="81">
        <v>1</v>
      </c>
      <c r="BR509" s="81">
        <v>1</v>
      </c>
      <c r="BS509" s="81">
        <v>2</v>
      </c>
      <c r="BT509" s="81"/>
      <c r="BU509" s="81"/>
      <c r="BV509" s="81"/>
      <c r="BW509" s="81">
        <v>1</v>
      </c>
      <c r="BX509" s="81">
        <v>1</v>
      </c>
      <c r="BY509" s="81"/>
      <c r="BZ509" s="9">
        <f t="shared" si="75"/>
        <v>6</v>
      </c>
      <c r="CB509" s="3"/>
      <c r="CD509" s="10"/>
      <c r="CE509" s="11"/>
    </row>
    <row r="510" spans="1:83" s="2" customFormat="1" ht="19.5" thickBot="1" x14ac:dyDescent="0.35">
      <c r="A510" s="17">
        <v>535</v>
      </c>
      <c r="B510" s="134"/>
      <c r="C510" s="18">
        <v>46</v>
      </c>
      <c r="D510" s="19"/>
      <c r="E510" s="19"/>
      <c r="F510" s="19"/>
      <c r="G510" s="30"/>
      <c r="H510" s="31"/>
      <c r="I510" s="40"/>
      <c r="J510" s="31"/>
      <c r="K510" s="40"/>
      <c r="L510" s="31"/>
      <c r="M510" s="40"/>
      <c r="N510" s="31"/>
      <c r="O510" s="40"/>
      <c r="P510" s="31"/>
      <c r="Q510" s="40"/>
      <c r="R510" s="31"/>
      <c r="S510" s="31"/>
      <c r="T510" s="31"/>
      <c r="U510" s="40"/>
      <c r="V510" s="31"/>
      <c r="W510" s="31"/>
      <c r="X510" s="31"/>
      <c r="Y510" s="31"/>
      <c r="Z510" s="31"/>
      <c r="AA510" s="31"/>
      <c r="AB510" s="31"/>
      <c r="AC510" s="31"/>
      <c r="AD510" s="46"/>
      <c r="AE510" s="46"/>
      <c r="AF510" s="46"/>
      <c r="AG510" s="46"/>
      <c r="AH510" s="46"/>
      <c r="AI510" s="46"/>
      <c r="AJ510" s="46"/>
      <c r="AK510" s="46">
        <v>9</v>
      </c>
      <c r="AL510" s="46"/>
      <c r="AM510" s="46"/>
      <c r="AN510" s="46"/>
      <c r="AO510" s="46">
        <v>6</v>
      </c>
      <c r="AP510" s="46"/>
      <c r="AQ510" s="46"/>
      <c r="AR510" s="46"/>
      <c r="AS510" s="46"/>
      <c r="AT510" s="46"/>
      <c r="AU510" s="46"/>
      <c r="AV510" s="46"/>
      <c r="AW510" s="46"/>
      <c r="AX510" s="46"/>
      <c r="AY510" s="55">
        <f t="shared" si="77"/>
        <v>15</v>
      </c>
      <c r="AZ510" s="56"/>
      <c r="BA510" s="57"/>
      <c r="BB510" s="57">
        <f>+'[1]25'!R804</f>
        <v>0</v>
      </c>
      <c r="BC510" s="57">
        <v>3</v>
      </c>
      <c r="BD510" s="57"/>
      <c r="BE510" s="57"/>
      <c r="BF510" s="57"/>
      <c r="BG510" s="57"/>
      <c r="BH510" s="57"/>
      <c r="BI510" s="55">
        <f t="shared" si="78"/>
        <v>3</v>
      </c>
      <c r="BJ510" s="69">
        <f t="shared" si="79"/>
        <v>12</v>
      </c>
      <c r="BK510" s="69">
        <f t="shared" si="76"/>
        <v>0</v>
      </c>
      <c r="BM510" s="75"/>
      <c r="BN510" s="57">
        <f t="shared" si="74"/>
        <v>9</v>
      </c>
      <c r="BO510" s="80"/>
      <c r="BP510" s="81"/>
      <c r="BQ510" s="81">
        <v>1</v>
      </c>
      <c r="BR510" s="81">
        <v>1</v>
      </c>
      <c r="BS510" s="81">
        <v>1</v>
      </c>
      <c r="BT510" s="81"/>
      <c r="BU510" s="81"/>
      <c r="BV510" s="81"/>
      <c r="BW510" s="81"/>
      <c r="BX510" s="81"/>
      <c r="BY510" s="81"/>
      <c r="BZ510" s="9">
        <f t="shared" si="75"/>
        <v>3</v>
      </c>
      <c r="CB510" s="3"/>
      <c r="CD510" s="10"/>
      <c r="CE510" s="11"/>
    </row>
    <row r="511" spans="1:83" s="2" customFormat="1" ht="19.5" thickBot="1" x14ac:dyDescent="0.35">
      <c r="A511" s="17">
        <v>536</v>
      </c>
      <c r="B511" s="134"/>
      <c r="C511" s="18">
        <v>47</v>
      </c>
      <c r="D511" s="19"/>
      <c r="E511" s="19"/>
      <c r="F511" s="19"/>
      <c r="G511" s="30"/>
      <c r="H511" s="31"/>
      <c r="I511" s="40"/>
      <c r="J511" s="31"/>
      <c r="K511" s="40"/>
      <c r="L511" s="31"/>
      <c r="M511" s="40"/>
      <c r="N511" s="31"/>
      <c r="O511" s="40"/>
      <c r="P511" s="31"/>
      <c r="Q511" s="40"/>
      <c r="R511" s="31"/>
      <c r="S511" s="31"/>
      <c r="T511" s="31"/>
      <c r="U511" s="40"/>
      <c r="V511" s="31"/>
      <c r="W511" s="31"/>
      <c r="X511" s="31"/>
      <c r="Y511" s="31"/>
      <c r="Z511" s="31"/>
      <c r="AA511" s="31"/>
      <c r="AB511" s="31"/>
      <c r="AC511" s="31"/>
      <c r="AD511" s="46"/>
      <c r="AE511" s="46"/>
      <c r="AF511" s="46"/>
      <c r="AG511" s="46"/>
      <c r="AH511" s="46"/>
      <c r="AI511" s="46"/>
      <c r="AJ511" s="46"/>
      <c r="AK511" s="46">
        <v>6</v>
      </c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55">
        <f t="shared" si="77"/>
        <v>6</v>
      </c>
      <c r="AZ511" s="56"/>
      <c r="BA511" s="57"/>
      <c r="BB511" s="57">
        <f>+'[1]25'!R805</f>
        <v>0</v>
      </c>
      <c r="BC511" s="57">
        <v>0</v>
      </c>
      <c r="BD511" s="57"/>
      <c r="BE511" s="57"/>
      <c r="BF511" s="57"/>
      <c r="BG511" s="57"/>
      <c r="BH511" s="57"/>
      <c r="BI511" s="55">
        <f t="shared" si="78"/>
        <v>0</v>
      </c>
      <c r="BJ511" s="69">
        <f t="shared" si="79"/>
        <v>6</v>
      </c>
      <c r="BK511" s="69">
        <f t="shared" si="76"/>
        <v>0</v>
      </c>
      <c r="BM511" s="75"/>
      <c r="BN511" s="57">
        <f t="shared" si="74"/>
        <v>3</v>
      </c>
      <c r="BO511" s="80"/>
      <c r="BP511" s="81">
        <v>1</v>
      </c>
      <c r="BQ511" s="81"/>
      <c r="BR511" s="81">
        <v>1</v>
      </c>
      <c r="BS511" s="81">
        <v>1</v>
      </c>
      <c r="BT511" s="81"/>
      <c r="BU511" s="81"/>
      <c r="BV511" s="81"/>
      <c r="BW511" s="81"/>
      <c r="BX511" s="81"/>
      <c r="BY511" s="81"/>
      <c r="BZ511" s="9">
        <f t="shared" si="75"/>
        <v>3</v>
      </c>
      <c r="CB511" s="3"/>
      <c r="CD511" s="10"/>
      <c r="CE511" s="11"/>
    </row>
    <row r="512" spans="1:83" s="2" customFormat="1" ht="19.5" thickBot="1" x14ac:dyDescent="0.35">
      <c r="A512" s="17">
        <v>537</v>
      </c>
      <c r="B512" s="134"/>
      <c r="C512" s="20">
        <v>48</v>
      </c>
      <c r="D512" s="21"/>
      <c r="E512" s="21"/>
      <c r="F512" s="21"/>
      <c r="G512" s="32"/>
      <c r="H512" s="33"/>
      <c r="I512" s="41"/>
      <c r="J512" s="33"/>
      <c r="K512" s="41"/>
      <c r="L512" s="33"/>
      <c r="M512" s="41"/>
      <c r="N512" s="33"/>
      <c r="O512" s="41"/>
      <c r="P512" s="33"/>
      <c r="Q512" s="41"/>
      <c r="R512" s="33"/>
      <c r="S512" s="33"/>
      <c r="T512" s="33"/>
      <c r="U512" s="41"/>
      <c r="V512" s="33"/>
      <c r="W512" s="33"/>
      <c r="X512" s="33"/>
      <c r="Y512" s="33"/>
      <c r="Z512" s="33"/>
      <c r="AA512" s="33"/>
      <c r="AB512" s="33"/>
      <c r="AC512" s="33"/>
      <c r="AD512" s="47"/>
      <c r="AE512" s="47"/>
      <c r="AF512" s="47"/>
      <c r="AG512" s="47"/>
      <c r="AH512" s="47"/>
      <c r="AI512" s="47"/>
      <c r="AJ512" s="47"/>
      <c r="AK512" s="47">
        <v>3</v>
      </c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55">
        <f t="shared" si="77"/>
        <v>3</v>
      </c>
      <c r="AZ512" s="59"/>
      <c r="BA512" s="60"/>
      <c r="BB512" s="60">
        <f>+'[1]25'!R806</f>
        <v>0</v>
      </c>
      <c r="BC512" s="60">
        <v>0</v>
      </c>
      <c r="BD512" s="60"/>
      <c r="BE512" s="60"/>
      <c r="BF512" s="60"/>
      <c r="BG512" s="60"/>
      <c r="BH512" s="60"/>
      <c r="BI512" s="58">
        <f t="shared" si="78"/>
        <v>0</v>
      </c>
      <c r="BJ512" s="70">
        <f t="shared" si="79"/>
        <v>3</v>
      </c>
      <c r="BK512" s="70">
        <f t="shared" si="76"/>
        <v>0</v>
      </c>
      <c r="BL512" s="76"/>
      <c r="BM512" s="77"/>
      <c r="BN512" s="60">
        <f t="shared" si="74"/>
        <v>1</v>
      </c>
      <c r="BO512" s="82"/>
      <c r="BP512" s="83">
        <v>1</v>
      </c>
      <c r="BQ512" s="83"/>
      <c r="BR512" s="83">
        <v>1</v>
      </c>
      <c r="BS512" s="83"/>
      <c r="BT512" s="83"/>
      <c r="BU512" s="83"/>
      <c r="BV512" s="83"/>
      <c r="BW512" s="83"/>
      <c r="BX512" s="83"/>
      <c r="BY512" s="83"/>
      <c r="BZ512" s="9">
        <f t="shared" si="75"/>
        <v>2</v>
      </c>
      <c r="CB512" s="3"/>
      <c r="CD512" s="10"/>
      <c r="CE512" s="11"/>
    </row>
    <row r="513" spans="1:83" s="2" customFormat="1" ht="19.5" thickBot="1" x14ac:dyDescent="0.35">
      <c r="A513" s="17">
        <v>538</v>
      </c>
      <c r="B513" s="134" t="s">
        <v>158</v>
      </c>
      <c r="C513" s="18">
        <v>40</v>
      </c>
      <c r="D513" s="19"/>
      <c r="E513" s="19"/>
      <c r="F513" s="19"/>
      <c r="G513" s="30"/>
      <c r="H513" s="31"/>
      <c r="I513" s="40"/>
      <c r="J513" s="31"/>
      <c r="K513" s="40"/>
      <c r="L513" s="31"/>
      <c r="M513" s="40"/>
      <c r="N513" s="31"/>
      <c r="O513" s="40"/>
      <c r="P513" s="31"/>
      <c r="Q513" s="40"/>
      <c r="R513" s="31"/>
      <c r="S513" s="31"/>
      <c r="T513" s="31"/>
      <c r="U513" s="40"/>
      <c r="V513" s="31"/>
      <c r="W513" s="31"/>
      <c r="X513" s="31"/>
      <c r="Y513" s="31"/>
      <c r="Z513" s="31"/>
      <c r="AA513" s="31"/>
      <c r="AB513" s="31"/>
      <c r="AC513" s="31"/>
      <c r="AD513" s="46"/>
      <c r="AE513" s="46"/>
      <c r="AF513" s="46"/>
      <c r="AG513" s="46"/>
      <c r="AH513" s="46"/>
      <c r="AI513" s="46"/>
      <c r="AJ513" s="46"/>
      <c r="AK513" s="46">
        <v>6</v>
      </c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55">
        <f t="shared" si="77"/>
        <v>6</v>
      </c>
      <c r="AZ513" s="56"/>
      <c r="BA513" s="57"/>
      <c r="BB513" s="57">
        <f>+'[1]25'!R807</f>
        <v>0</v>
      </c>
      <c r="BC513" s="57">
        <v>3</v>
      </c>
      <c r="BD513" s="57"/>
      <c r="BE513" s="57"/>
      <c r="BF513" s="57"/>
      <c r="BG513" s="57"/>
      <c r="BH513" s="57"/>
      <c r="BI513" s="55">
        <f t="shared" si="78"/>
        <v>3</v>
      </c>
      <c r="BJ513" s="69">
        <f t="shared" si="79"/>
        <v>3</v>
      </c>
      <c r="BK513" s="69">
        <f t="shared" si="76"/>
        <v>0</v>
      </c>
      <c r="BM513" s="75"/>
      <c r="BN513" s="57">
        <f t="shared" si="74"/>
        <v>0</v>
      </c>
      <c r="BO513" s="80"/>
      <c r="BP513" s="81"/>
      <c r="BQ513" s="81"/>
      <c r="BR513" s="81">
        <v>2</v>
      </c>
      <c r="BS513" s="81">
        <v>1</v>
      </c>
      <c r="BT513" s="81"/>
      <c r="BU513" s="81"/>
      <c r="BV513" s="81"/>
      <c r="BW513" s="81"/>
      <c r="BX513" s="81"/>
      <c r="BY513" s="81"/>
      <c r="BZ513" s="9">
        <f t="shared" si="75"/>
        <v>3</v>
      </c>
      <c r="CB513" s="3"/>
      <c r="CD513" s="10"/>
      <c r="CE513" s="11"/>
    </row>
    <row r="514" spans="1:83" s="2" customFormat="1" ht="19.5" thickBot="1" x14ac:dyDescent="0.35">
      <c r="A514" s="17">
        <v>539</v>
      </c>
      <c r="B514" s="135"/>
      <c r="C514" s="18">
        <v>41</v>
      </c>
      <c r="D514" s="19"/>
      <c r="E514" s="19"/>
      <c r="F514" s="19"/>
      <c r="G514" s="30"/>
      <c r="H514" s="31"/>
      <c r="I514" s="40"/>
      <c r="J514" s="31"/>
      <c r="K514" s="40"/>
      <c r="L514" s="31"/>
      <c r="M514" s="40"/>
      <c r="N514" s="31"/>
      <c r="O514" s="40"/>
      <c r="P514" s="31"/>
      <c r="Q514" s="40"/>
      <c r="R514" s="31"/>
      <c r="S514" s="31"/>
      <c r="T514" s="31"/>
      <c r="U514" s="40"/>
      <c r="V514" s="31"/>
      <c r="W514" s="31"/>
      <c r="X514" s="31"/>
      <c r="Y514" s="31"/>
      <c r="Z514" s="31"/>
      <c r="AA514" s="31"/>
      <c r="AB514" s="31"/>
      <c r="AC514" s="31"/>
      <c r="AD514" s="46"/>
      <c r="AE514" s="46"/>
      <c r="AF514" s="46"/>
      <c r="AG514" s="46"/>
      <c r="AH514" s="46"/>
      <c r="AI514" s="46"/>
      <c r="AJ514" s="46"/>
      <c r="AK514" s="46">
        <v>12</v>
      </c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55">
        <f t="shared" si="77"/>
        <v>12</v>
      </c>
      <c r="AZ514" s="56"/>
      <c r="BA514" s="57"/>
      <c r="BB514" s="57">
        <f>+'[1]25'!R808</f>
        <v>0</v>
      </c>
      <c r="BC514" s="57">
        <v>5</v>
      </c>
      <c r="BD514" s="57"/>
      <c r="BE514" s="57"/>
      <c r="BF514" s="57"/>
      <c r="BG514" s="57"/>
      <c r="BH514" s="57"/>
      <c r="BI514" s="55">
        <f t="shared" si="78"/>
        <v>5</v>
      </c>
      <c r="BJ514" s="69">
        <f t="shared" si="79"/>
        <v>7</v>
      </c>
      <c r="BK514" s="69">
        <f t="shared" si="76"/>
        <v>0</v>
      </c>
      <c r="BM514" s="75"/>
      <c r="BN514" s="57">
        <f t="shared" si="74"/>
        <v>2</v>
      </c>
      <c r="BO514" s="80"/>
      <c r="BP514" s="81">
        <v>1</v>
      </c>
      <c r="BQ514" s="81">
        <v>1</v>
      </c>
      <c r="BR514" s="81">
        <v>2</v>
      </c>
      <c r="BS514" s="81">
        <v>1</v>
      </c>
      <c r="BT514" s="81"/>
      <c r="BU514" s="81"/>
      <c r="BV514" s="81"/>
      <c r="BW514" s="81"/>
      <c r="BX514" s="81"/>
      <c r="BY514" s="81"/>
      <c r="BZ514" s="9">
        <f t="shared" si="75"/>
        <v>5</v>
      </c>
      <c r="CB514" s="3"/>
      <c r="CD514" s="10"/>
      <c r="CE514" s="11"/>
    </row>
    <row r="515" spans="1:83" s="2" customFormat="1" ht="19.5" thickBot="1" x14ac:dyDescent="0.35">
      <c r="A515" s="17">
        <v>540</v>
      </c>
      <c r="B515" s="135"/>
      <c r="C515" s="18">
        <v>42</v>
      </c>
      <c r="D515" s="19"/>
      <c r="E515" s="19"/>
      <c r="F515" s="19"/>
      <c r="G515" s="30"/>
      <c r="H515" s="31"/>
      <c r="I515" s="40"/>
      <c r="J515" s="31"/>
      <c r="K515" s="40"/>
      <c r="L515" s="31"/>
      <c r="M515" s="40"/>
      <c r="N515" s="31"/>
      <c r="O515" s="40"/>
      <c r="P515" s="31"/>
      <c r="Q515" s="40"/>
      <c r="R515" s="31"/>
      <c r="S515" s="31"/>
      <c r="T515" s="31"/>
      <c r="U515" s="40"/>
      <c r="V515" s="31"/>
      <c r="W515" s="31"/>
      <c r="X515" s="31"/>
      <c r="Y515" s="31"/>
      <c r="Z515" s="31"/>
      <c r="AA515" s="31"/>
      <c r="AB515" s="31"/>
      <c r="AC515" s="31"/>
      <c r="AD515" s="46"/>
      <c r="AE515" s="46"/>
      <c r="AF515" s="46"/>
      <c r="AG515" s="46"/>
      <c r="AH515" s="46"/>
      <c r="AI515" s="46"/>
      <c r="AJ515" s="46"/>
      <c r="AK515" s="46">
        <v>21</v>
      </c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55">
        <f t="shared" si="77"/>
        <v>21</v>
      </c>
      <c r="AZ515" s="56"/>
      <c r="BA515" s="57"/>
      <c r="BB515" s="57">
        <f>+'[1]25'!R809</f>
        <v>0</v>
      </c>
      <c r="BC515" s="57">
        <v>8</v>
      </c>
      <c r="BD515" s="57"/>
      <c r="BE515" s="57"/>
      <c r="BF515" s="57"/>
      <c r="BG515" s="57"/>
      <c r="BH515" s="57"/>
      <c r="BI515" s="55">
        <f t="shared" si="78"/>
        <v>8</v>
      </c>
      <c r="BJ515" s="69">
        <f t="shared" si="79"/>
        <v>13</v>
      </c>
      <c r="BK515" s="69">
        <f t="shared" si="76"/>
        <v>0</v>
      </c>
      <c r="BM515" s="75"/>
      <c r="BN515" s="57">
        <f t="shared" si="74"/>
        <v>6</v>
      </c>
      <c r="BO515" s="80"/>
      <c r="BP515" s="81"/>
      <c r="BQ515" s="81"/>
      <c r="BR515" s="81">
        <v>2</v>
      </c>
      <c r="BS515" s="81">
        <v>2</v>
      </c>
      <c r="BT515" s="81">
        <v>1</v>
      </c>
      <c r="BU515" s="81"/>
      <c r="BV515" s="81"/>
      <c r="BW515" s="81">
        <v>1</v>
      </c>
      <c r="BX515" s="81">
        <v>1</v>
      </c>
      <c r="BY515" s="81"/>
      <c r="BZ515" s="9">
        <f t="shared" si="75"/>
        <v>7</v>
      </c>
      <c r="CB515" s="3"/>
      <c r="CD515" s="10"/>
      <c r="CE515" s="11"/>
    </row>
    <row r="516" spans="1:83" s="2" customFormat="1" ht="19.5" thickBot="1" x14ac:dyDescent="0.35">
      <c r="A516" s="17">
        <v>541</v>
      </c>
      <c r="B516" s="135"/>
      <c r="C516" s="18">
        <v>43</v>
      </c>
      <c r="D516" s="19"/>
      <c r="E516" s="19"/>
      <c r="F516" s="19"/>
      <c r="G516" s="30"/>
      <c r="H516" s="31"/>
      <c r="I516" s="40"/>
      <c r="J516" s="31"/>
      <c r="K516" s="40"/>
      <c r="L516" s="31"/>
      <c r="M516" s="40"/>
      <c r="N516" s="31"/>
      <c r="O516" s="40"/>
      <c r="P516" s="31"/>
      <c r="Q516" s="40"/>
      <c r="R516" s="31"/>
      <c r="S516" s="31"/>
      <c r="T516" s="31"/>
      <c r="U516" s="40"/>
      <c r="V516" s="31"/>
      <c r="W516" s="31"/>
      <c r="X516" s="31"/>
      <c r="Y516" s="31"/>
      <c r="Z516" s="31"/>
      <c r="AA516" s="31"/>
      <c r="AB516" s="31"/>
      <c r="AC516" s="31"/>
      <c r="AD516" s="46"/>
      <c r="AE516" s="46"/>
      <c r="AF516" s="46"/>
      <c r="AG516" s="46"/>
      <c r="AH516" s="46"/>
      <c r="AI516" s="46"/>
      <c r="AJ516" s="46"/>
      <c r="AK516" s="46">
        <v>24</v>
      </c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55">
        <f t="shared" si="77"/>
        <v>24</v>
      </c>
      <c r="AZ516" s="56"/>
      <c r="BA516" s="57"/>
      <c r="BB516" s="57">
        <f>+'[1]25'!R810</f>
        <v>0</v>
      </c>
      <c r="BC516" s="57">
        <v>3</v>
      </c>
      <c r="BD516" s="57"/>
      <c r="BE516" s="57"/>
      <c r="BF516" s="57"/>
      <c r="BG516" s="57"/>
      <c r="BH516" s="57"/>
      <c r="BI516" s="55">
        <f t="shared" si="78"/>
        <v>3</v>
      </c>
      <c r="BJ516" s="69">
        <f t="shared" si="79"/>
        <v>21</v>
      </c>
      <c r="BK516" s="69">
        <f t="shared" si="76"/>
        <v>0</v>
      </c>
      <c r="BM516" s="75"/>
      <c r="BN516" s="57">
        <f t="shared" si="74"/>
        <v>13</v>
      </c>
      <c r="BO516" s="80"/>
      <c r="BP516" s="81"/>
      <c r="BQ516" s="81">
        <v>1</v>
      </c>
      <c r="BR516" s="81">
        <v>2</v>
      </c>
      <c r="BS516" s="81">
        <v>2</v>
      </c>
      <c r="BT516" s="81">
        <v>1</v>
      </c>
      <c r="BU516" s="81"/>
      <c r="BV516" s="81"/>
      <c r="BW516" s="81">
        <v>1</v>
      </c>
      <c r="BX516" s="81">
        <v>1</v>
      </c>
      <c r="BY516" s="81"/>
      <c r="BZ516" s="9">
        <f t="shared" si="75"/>
        <v>8</v>
      </c>
      <c r="CB516" s="3"/>
      <c r="CD516" s="10"/>
      <c r="CE516" s="11"/>
    </row>
    <row r="517" spans="1:83" s="2" customFormat="1" ht="19.5" thickBot="1" x14ac:dyDescent="0.35">
      <c r="A517" s="17">
        <v>542</v>
      </c>
      <c r="B517" s="135"/>
      <c r="C517" s="18">
        <v>44</v>
      </c>
      <c r="D517" s="19"/>
      <c r="E517" s="19"/>
      <c r="F517" s="19"/>
      <c r="G517" s="30"/>
      <c r="H517" s="31"/>
      <c r="I517" s="40"/>
      <c r="J517" s="31"/>
      <c r="K517" s="40"/>
      <c r="L517" s="31"/>
      <c r="M517" s="40"/>
      <c r="N517" s="31"/>
      <c r="O517" s="40"/>
      <c r="P517" s="31"/>
      <c r="Q517" s="40"/>
      <c r="R517" s="31"/>
      <c r="S517" s="31"/>
      <c r="T517" s="31"/>
      <c r="U517" s="40"/>
      <c r="V517" s="31"/>
      <c r="W517" s="31"/>
      <c r="X517" s="31"/>
      <c r="Y517" s="31"/>
      <c r="Z517" s="31"/>
      <c r="AA517" s="31"/>
      <c r="AB517" s="31"/>
      <c r="AC517" s="31"/>
      <c r="AD517" s="46"/>
      <c r="AE517" s="46"/>
      <c r="AF517" s="46"/>
      <c r="AG517" s="46"/>
      <c r="AH517" s="46"/>
      <c r="AI517" s="46"/>
      <c r="AJ517" s="46"/>
      <c r="AK517" s="46">
        <v>18</v>
      </c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55">
        <f t="shared" si="77"/>
        <v>18</v>
      </c>
      <c r="AZ517" s="56"/>
      <c r="BA517" s="57"/>
      <c r="BB517" s="57">
        <f>+'[1]25'!R811</f>
        <v>0</v>
      </c>
      <c r="BC517" s="57">
        <v>8</v>
      </c>
      <c r="BD517" s="57"/>
      <c r="BE517" s="57"/>
      <c r="BF517" s="57"/>
      <c r="BG517" s="57"/>
      <c r="BH517" s="57"/>
      <c r="BI517" s="55">
        <f t="shared" si="78"/>
        <v>8</v>
      </c>
      <c r="BJ517" s="69">
        <f t="shared" si="79"/>
        <v>10</v>
      </c>
      <c r="BK517" s="69">
        <f t="shared" si="76"/>
        <v>0</v>
      </c>
      <c r="BM517" s="75"/>
      <c r="BN517" s="57">
        <f t="shared" si="74"/>
        <v>1</v>
      </c>
      <c r="BO517" s="80"/>
      <c r="BP517" s="81">
        <v>1</v>
      </c>
      <c r="BQ517" s="81">
        <v>1</v>
      </c>
      <c r="BR517" s="81">
        <v>2</v>
      </c>
      <c r="BS517" s="81">
        <v>2</v>
      </c>
      <c r="BT517" s="81">
        <v>1</v>
      </c>
      <c r="BU517" s="81"/>
      <c r="BV517" s="81"/>
      <c r="BW517" s="81">
        <v>1</v>
      </c>
      <c r="BX517" s="81">
        <v>1</v>
      </c>
      <c r="BY517" s="81"/>
      <c r="BZ517" s="9">
        <f t="shared" si="75"/>
        <v>9</v>
      </c>
      <c r="CB517" s="3"/>
      <c r="CD517" s="10"/>
      <c r="CE517" s="11"/>
    </row>
    <row r="518" spans="1:83" s="2" customFormat="1" ht="19.5" thickBot="1" x14ac:dyDescent="0.35">
      <c r="A518" s="17">
        <v>543</v>
      </c>
      <c r="B518" s="135"/>
      <c r="C518" s="18">
        <v>45</v>
      </c>
      <c r="D518" s="19"/>
      <c r="E518" s="19"/>
      <c r="F518" s="19"/>
      <c r="G518" s="30"/>
      <c r="H518" s="31"/>
      <c r="I518" s="40"/>
      <c r="J518" s="31"/>
      <c r="K518" s="40"/>
      <c r="L518" s="31"/>
      <c r="M518" s="40"/>
      <c r="N518" s="31"/>
      <c r="O518" s="40"/>
      <c r="P518" s="31"/>
      <c r="Q518" s="40"/>
      <c r="R518" s="31"/>
      <c r="S518" s="31"/>
      <c r="T518" s="31"/>
      <c r="U518" s="40"/>
      <c r="V518" s="31"/>
      <c r="W518" s="31"/>
      <c r="X518" s="31"/>
      <c r="Y518" s="31"/>
      <c r="Z518" s="31"/>
      <c r="AA518" s="31"/>
      <c r="AB518" s="31"/>
      <c r="AC518" s="31"/>
      <c r="AD518" s="46"/>
      <c r="AE518" s="46"/>
      <c r="AF518" s="46"/>
      <c r="AG518" s="46"/>
      <c r="AH518" s="46"/>
      <c r="AI518" s="46"/>
      <c r="AJ518" s="46"/>
      <c r="AK518" s="46">
        <v>12</v>
      </c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55">
        <f t="shared" si="77"/>
        <v>12</v>
      </c>
      <c r="AZ518" s="56"/>
      <c r="BA518" s="57"/>
      <c r="BB518" s="57">
        <f>+'[1]25'!R812</f>
        <v>0</v>
      </c>
      <c r="BC518" s="57">
        <v>7</v>
      </c>
      <c r="BD518" s="57"/>
      <c r="BE518" s="57"/>
      <c r="BF518" s="57"/>
      <c r="BG518" s="57"/>
      <c r="BH518" s="57"/>
      <c r="BI518" s="55">
        <f t="shared" si="78"/>
        <v>7</v>
      </c>
      <c r="BJ518" s="69">
        <f t="shared" si="79"/>
        <v>5</v>
      </c>
      <c r="BK518" s="69">
        <f t="shared" si="76"/>
        <v>0</v>
      </c>
      <c r="BM518" s="75"/>
      <c r="BN518" s="57">
        <f t="shared" si="74"/>
        <v>1</v>
      </c>
      <c r="BO518" s="80"/>
      <c r="BP518" s="81">
        <v>1</v>
      </c>
      <c r="BQ518" s="81">
        <v>1</v>
      </c>
      <c r="BR518" s="81">
        <v>1</v>
      </c>
      <c r="BS518" s="81">
        <v>1</v>
      </c>
      <c r="BT518" s="81"/>
      <c r="BU518" s="81"/>
      <c r="BV518" s="81"/>
      <c r="BW518" s="81"/>
      <c r="BX518" s="81"/>
      <c r="BY518" s="81"/>
      <c r="BZ518" s="9">
        <f t="shared" si="75"/>
        <v>4</v>
      </c>
      <c r="CB518" s="3"/>
      <c r="CD518" s="10"/>
      <c r="CE518" s="11"/>
    </row>
    <row r="519" spans="1:83" s="2" customFormat="1" ht="19.5" thickBot="1" x14ac:dyDescent="0.35">
      <c r="A519" s="17">
        <v>544</v>
      </c>
      <c r="B519" s="135"/>
      <c r="C519" s="18">
        <v>46</v>
      </c>
      <c r="D519" s="19"/>
      <c r="E519" s="19"/>
      <c r="F519" s="19"/>
      <c r="G519" s="30"/>
      <c r="H519" s="31"/>
      <c r="I519" s="40"/>
      <c r="J519" s="31"/>
      <c r="K519" s="40"/>
      <c r="L519" s="31"/>
      <c r="M519" s="40"/>
      <c r="N519" s="31"/>
      <c r="O519" s="40"/>
      <c r="P519" s="31"/>
      <c r="Q519" s="40"/>
      <c r="R519" s="31"/>
      <c r="S519" s="31"/>
      <c r="T519" s="31"/>
      <c r="U519" s="40"/>
      <c r="V519" s="31"/>
      <c r="W519" s="31"/>
      <c r="X519" s="31"/>
      <c r="Y519" s="31"/>
      <c r="Z519" s="31"/>
      <c r="AA519" s="31"/>
      <c r="AB519" s="31"/>
      <c r="AC519" s="31"/>
      <c r="AD519" s="46"/>
      <c r="AE519" s="46"/>
      <c r="AF519" s="46"/>
      <c r="AG519" s="46"/>
      <c r="AH519" s="46"/>
      <c r="AI519" s="46"/>
      <c r="AJ519" s="46"/>
      <c r="AK519" s="46">
        <v>9</v>
      </c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55">
        <f t="shared" si="77"/>
        <v>9</v>
      </c>
      <c r="AZ519" s="56"/>
      <c r="BA519" s="57"/>
      <c r="BB519" s="57">
        <f>+'[1]25'!R813</f>
        <v>0</v>
      </c>
      <c r="BC519" s="57">
        <v>1</v>
      </c>
      <c r="BD519" s="57"/>
      <c r="BE519" s="57"/>
      <c r="BF519" s="57"/>
      <c r="BG519" s="57"/>
      <c r="BH519" s="57"/>
      <c r="BI519" s="55">
        <f t="shared" si="78"/>
        <v>1</v>
      </c>
      <c r="BJ519" s="69">
        <f t="shared" si="79"/>
        <v>8</v>
      </c>
      <c r="BK519" s="69">
        <f t="shared" si="76"/>
        <v>0</v>
      </c>
      <c r="BM519" s="75"/>
      <c r="BN519" s="57">
        <f t="shared" si="74"/>
        <v>3</v>
      </c>
      <c r="BO519" s="80"/>
      <c r="BP519" s="81">
        <v>1</v>
      </c>
      <c r="BQ519" s="81">
        <v>1</v>
      </c>
      <c r="BR519" s="81">
        <v>2</v>
      </c>
      <c r="BS519" s="81">
        <v>1</v>
      </c>
      <c r="BT519" s="81"/>
      <c r="BU519" s="81"/>
      <c r="BV519" s="81"/>
      <c r="BW519" s="81"/>
      <c r="BX519" s="81"/>
      <c r="BY519" s="81"/>
      <c r="BZ519" s="9">
        <f t="shared" si="75"/>
        <v>5</v>
      </c>
      <c r="CB519" s="3"/>
      <c r="CD519" s="10"/>
      <c r="CE519" s="11"/>
    </row>
    <row r="520" spans="1:83" s="2" customFormat="1" ht="19.5" thickBot="1" x14ac:dyDescent="0.35">
      <c r="A520" s="17">
        <v>545</v>
      </c>
      <c r="B520" s="135"/>
      <c r="C520" s="20">
        <v>47</v>
      </c>
      <c r="D520" s="21"/>
      <c r="E520" s="21"/>
      <c r="F520" s="21"/>
      <c r="G520" s="32"/>
      <c r="H520" s="33"/>
      <c r="I520" s="41"/>
      <c r="J520" s="33"/>
      <c r="K520" s="41"/>
      <c r="L520" s="33"/>
      <c r="M520" s="41"/>
      <c r="N520" s="33"/>
      <c r="O520" s="41"/>
      <c r="P520" s="33"/>
      <c r="Q520" s="41"/>
      <c r="R520" s="33"/>
      <c r="S520" s="33"/>
      <c r="T520" s="33"/>
      <c r="U520" s="41"/>
      <c r="V520" s="33"/>
      <c r="W520" s="33"/>
      <c r="X520" s="33"/>
      <c r="Y520" s="33"/>
      <c r="Z520" s="33"/>
      <c r="AA520" s="33"/>
      <c r="AB520" s="33"/>
      <c r="AC520" s="33"/>
      <c r="AD520" s="47"/>
      <c r="AE520" s="47"/>
      <c r="AF520" s="47"/>
      <c r="AG520" s="47"/>
      <c r="AH520" s="47"/>
      <c r="AI520" s="47"/>
      <c r="AJ520" s="47"/>
      <c r="AK520" s="47">
        <v>6</v>
      </c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55">
        <f t="shared" si="77"/>
        <v>6</v>
      </c>
      <c r="AZ520" s="59"/>
      <c r="BA520" s="60"/>
      <c r="BB520" s="60">
        <f>+'[1]25'!R814</f>
        <v>0</v>
      </c>
      <c r="BC520" s="60">
        <v>1</v>
      </c>
      <c r="BD520" s="60"/>
      <c r="BE520" s="60"/>
      <c r="BF520" s="60"/>
      <c r="BG520" s="60"/>
      <c r="BH520" s="60"/>
      <c r="BI520" s="58">
        <f t="shared" si="78"/>
        <v>1</v>
      </c>
      <c r="BJ520" s="70">
        <f t="shared" si="79"/>
        <v>5</v>
      </c>
      <c r="BK520" s="70">
        <f t="shared" si="76"/>
        <v>0</v>
      </c>
      <c r="BL520" s="76"/>
      <c r="BM520" s="77"/>
      <c r="BN520" s="60">
        <f t="shared" si="74"/>
        <v>3</v>
      </c>
      <c r="BO520" s="82"/>
      <c r="BP520" s="83">
        <v>1</v>
      </c>
      <c r="BQ520" s="83"/>
      <c r="BR520" s="83"/>
      <c r="BS520" s="83">
        <v>1</v>
      </c>
      <c r="BT520" s="83"/>
      <c r="BU520" s="83"/>
      <c r="BV520" s="83"/>
      <c r="BW520" s="83"/>
      <c r="BX520" s="83"/>
      <c r="BY520" s="83"/>
      <c r="BZ520" s="9">
        <f t="shared" si="75"/>
        <v>2</v>
      </c>
      <c r="CB520" s="3"/>
      <c r="CD520" s="10"/>
      <c r="CE520" s="11"/>
    </row>
    <row r="521" spans="1:83" s="2" customFormat="1" ht="19.5" thickBot="1" x14ac:dyDescent="0.35">
      <c r="A521" s="17">
        <v>546</v>
      </c>
      <c r="B521" s="134" t="s">
        <v>159</v>
      </c>
      <c r="C521" s="18" t="s">
        <v>61</v>
      </c>
      <c r="D521" s="19"/>
      <c r="E521" s="19"/>
      <c r="F521" s="19"/>
      <c r="G521" s="30"/>
      <c r="H521" s="31"/>
      <c r="I521" s="40"/>
      <c r="J521" s="31"/>
      <c r="K521" s="40"/>
      <c r="L521" s="31"/>
      <c r="M521" s="40"/>
      <c r="N521" s="31"/>
      <c r="O521" s="40"/>
      <c r="P521" s="31"/>
      <c r="Q521" s="40"/>
      <c r="R521" s="31"/>
      <c r="S521" s="31"/>
      <c r="T521" s="31"/>
      <c r="U521" s="40"/>
      <c r="V521" s="31"/>
      <c r="W521" s="31"/>
      <c r="X521" s="31"/>
      <c r="Y521" s="31"/>
      <c r="Z521" s="31"/>
      <c r="AA521" s="31"/>
      <c r="AB521" s="31"/>
      <c r="AC521" s="31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>
        <v>3</v>
      </c>
      <c r="AT521" s="46"/>
      <c r="AU521" s="46"/>
      <c r="AV521" s="46"/>
      <c r="AW521" s="46"/>
      <c r="AX521" s="46"/>
      <c r="AY521" s="55">
        <f t="shared" si="77"/>
        <v>3</v>
      </c>
      <c r="AZ521" s="56"/>
      <c r="BA521" s="57"/>
      <c r="BB521" s="57"/>
      <c r="BC521" s="57"/>
      <c r="BD521" s="57"/>
      <c r="BE521" s="57"/>
      <c r="BF521" s="57"/>
      <c r="BG521" s="57"/>
      <c r="BH521" s="57"/>
      <c r="BI521" s="55">
        <f t="shared" si="78"/>
        <v>0</v>
      </c>
      <c r="BJ521" s="69">
        <f t="shared" si="79"/>
        <v>3</v>
      </c>
      <c r="BK521" s="69">
        <f t="shared" si="76"/>
        <v>0</v>
      </c>
      <c r="BM521" s="75"/>
      <c r="BN521" s="57">
        <f t="shared" si="74"/>
        <v>3</v>
      </c>
      <c r="BO521" s="80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9">
        <f t="shared" si="75"/>
        <v>0</v>
      </c>
      <c r="CB521" s="3"/>
      <c r="CD521" s="10"/>
      <c r="CE521" s="11"/>
    </row>
    <row r="522" spans="1:83" s="2" customFormat="1" ht="18.75" customHeight="1" thickBot="1" x14ac:dyDescent="0.35">
      <c r="A522" s="17">
        <v>547</v>
      </c>
      <c r="B522" s="134"/>
      <c r="C522" s="18" t="s">
        <v>62</v>
      </c>
      <c r="D522" s="19"/>
      <c r="E522" s="19"/>
      <c r="F522" s="19"/>
      <c r="G522" s="30"/>
      <c r="H522" s="31"/>
      <c r="I522" s="40"/>
      <c r="J522" s="31"/>
      <c r="K522" s="40"/>
      <c r="L522" s="31"/>
      <c r="M522" s="40"/>
      <c r="N522" s="31"/>
      <c r="O522" s="40"/>
      <c r="P522" s="31"/>
      <c r="Q522" s="40"/>
      <c r="R522" s="31"/>
      <c r="S522" s="31"/>
      <c r="T522" s="31"/>
      <c r="U522" s="40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>
        <v>9</v>
      </c>
      <c r="AL522" s="31"/>
      <c r="AM522" s="31"/>
      <c r="AN522" s="31"/>
      <c r="AO522" s="31">
        <v>9</v>
      </c>
      <c r="AP522" s="31"/>
      <c r="AQ522" s="31"/>
      <c r="AR522" s="31"/>
      <c r="AS522" s="31"/>
      <c r="AT522" s="31"/>
      <c r="AU522" s="31"/>
      <c r="AV522" s="31"/>
      <c r="AW522" s="31"/>
      <c r="AX522" s="31"/>
      <c r="AY522" s="55">
        <f t="shared" si="77"/>
        <v>18</v>
      </c>
      <c r="AZ522" s="57"/>
      <c r="BA522" s="57"/>
      <c r="BB522" s="57">
        <f>+'[1]25'!R815</f>
        <v>0</v>
      </c>
      <c r="BC522" s="57">
        <v>9</v>
      </c>
      <c r="BD522" s="57"/>
      <c r="BE522" s="57"/>
      <c r="BF522" s="57"/>
      <c r="BG522" s="57"/>
      <c r="BH522" s="57"/>
      <c r="BI522" s="55">
        <f t="shared" si="78"/>
        <v>9</v>
      </c>
      <c r="BJ522" s="69">
        <f t="shared" si="79"/>
        <v>9</v>
      </c>
      <c r="BK522" s="69">
        <f t="shared" si="76"/>
        <v>0</v>
      </c>
      <c r="BM522" s="75"/>
      <c r="BN522" s="57">
        <f t="shared" si="74"/>
        <v>6</v>
      </c>
      <c r="BO522" s="80"/>
      <c r="BP522" s="81">
        <v>1</v>
      </c>
      <c r="BQ522" s="81"/>
      <c r="BR522" s="81">
        <v>2</v>
      </c>
      <c r="BS522" s="81"/>
      <c r="BT522" s="81"/>
      <c r="BU522" s="81"/>
      <c r="BV522" s="81"/>
      <c r="BW522" s="81"/>
      <c r="BX522" s="81"/>
      <c r="BY522" s="81"/>
      <c r="BZ522" s="9">
        <f t="shared" si="75"/>
        <v>3</v>
      </c>
      <c r="CB522" s="3"/>
      <c r="CD522" s="10"/>
      <c r="CE522" s="11"/>
    </row>
    <row r="523" spans="1:83" s="2" customFormat="1" ht="19.5" thickBot="1" x14ac:dyDescent="0.35">
      <c r="A523" s="17">
        <v>548</v>
      </c>
      <c r="B523" s="134"/>
      <c r="C523" s="18" t="s">
        <v>63</v>
      </c>
      <c r="D523" s="19"/>
      <c r="E523" s="19"/>
      <c r="F523" s="19"/>
      <c r="G523" s="30"/>
      <c r="H523" s="31"/>
      <c r="I523" s="40"/>
      <c r="J523" s="31"/>
      <c r="K523" s="40"/>
      <c r="L523" s="31"/>
      <c r="M523" s="40"/>
      <c r="N523" s="31"/>
      <c r="O523" s="40"/>
      <c r="P523" s="31"/>
      <c r="Q523" s="40"/>
      <c r="R523" s="31"/>
      <c r="S523" s="31"/>
      <c r="T523" s="31"/>
      <c r="U523" s="40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>
        <v>12</v>
      </c>
      <c r="AL523" s="31"/>
      <c r="AM523" s="31"/>
      <c r="AN523" s="31"/>
      <c r="AO523" s="31">
        <v>12</v>
      </c>
      <c r="AP523" s="31"/>
      <c r="AQ523" s="31"/>
      <c r="AR523" s="31"/>
      <c r="AS523" s="31">
        <v>3</v>
      </c>
      <c r="AT523" s="31"/>
      <c r="AU523" s="31"/>
      <c r="AV523" s="31"/>
      <c r="AW523" s="31"/>
      <c r="AX523" s="31"/>
      <c r="AY523" s="55">
        <f t="shared" si="77"/>
        <v>27</v>
      </c>
      <c r="AZ523" s="57"/>
      <c r="BA523" s="57"/>
      <c r="BB523" s="57">
        <f>+'[1]25'!R816</f>
        <v>1</v>
      </c>
      <c r="BC523" s="57">
        <v>20</v>
      </c>
      <c r="BD523" s="57"/>
      <c r="BE523" s="57"/>
      <c r="BF523" s="57"/>
      <c r="BG523" s="57"/>
      <c r="BH523" s="57"/>
      <c r="BI523" s="55">
        <f t="shared" si="78"/>
        <v>21</v>
      </c>
      <c r="BJ523" s="69">
        <f t="shared" si="79"/>
        <v>6</v>
      </c>
      <c r="BK523" s="69">
        <f t="shared" si="76"/>
        <v>0</v>
      </c>
      <c r="BM523" s="75"/>
      <c r="BN523" s="57">
        <f t="shared" si="74"/>
        <v>3</v>
      </c>
      <c r="BO523" s="80"/>
      <c r="BP523" s="81"/>
      <c r="BQ523" s="81"/>
      <c r="BR523" s="81">
        <v>2</v>
      </c>
      <c r="BS523" s="81">
        <v>1</v>
      </c>
      <c r="BT523" s="81"/>
      <c r="BU523" s="81"/>
      <c r="BV523" s="81"/>
      <c r="BW523" s="81"/>
      <c r="BX523" s="81"/>
      <c r="BY523" s="81"/>
      <c r="BZ523" s="9">
        <f t="shared" si="75"/>
        <v>3</v>
      </c>
      <c r="CB523" s="3"/>
      <c r="CD523" s="10"/>
      <c r="CE523" s="11"/>
    </row>
    <row r="524" spans="1:83" s="2" customFormat="1" ht="19.5" thickBot="1" x14ac:dyDescent="0.35">
      <c r="A524" s="17">
        <v>549</v>
      </c>
      <c r="B524" s="134"/>
      <c r="C524" s="18" t="s">
        <v>64</v>
      </c>
      <c r="D524" s="19"/>
      <c r="E524" s="19"/>
      <c r="F524" s="19"/>
      <c r="G524" s="30"/>
      <c r="H524" s="31"/>
      <c r="I524" s="40"/>
      <c r="J524" s="31"/>
      <c r="K524" s="40"/>
      <c r="L524" s="31"/>
      <c r="M524" s="40"/>
      <c r="N524" s="31"/>
      <c r="O524" s="40"/>
      <c r="P524" s="31"/>
      <c r="Q524" s="40"/>
      <c r="R524" s="31"/>
      <c r="S524" s="31"/>
      <c r="T524" s="31"/>
      <c r="U524" s="40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>
        <v>21</v>
      </c>
      <c r="AL524" s="31"/>
      <c r="AM524" s="31"/>
      <c r="AN524" s="31"/>
      <c r="AO524" s="31">
        <v>21</v>
      </c>
      <c r="AP524" s="31"/>
      <c r="AQ524" s="31"/>
      <c r="AR524" s="31"/>
      <c r="AS524" s="31">
        <v>6</v>
      </c>
      <c r="AT524" s="31"/>
      <c r="AU524" s="31"/>
      <c r="AV524" s="31"/>
      <c r="AW524" s="31"/>
      <c r="AX524" s="31"/>
      <c r="AY524" s="55">
        <f t="shared" si="77"/>
        <v>48</v>
      </c>
      <c r="AZ524" s="57"/>
      <c r="BA524" s="57"/>
      <c r="BB524" s="57">
        <f>+'[1]25'!R817</f>
        <v>1</v>
      </c>
      <c r="BC524" s="57">
        <v>31</v>
      </c>
      <c r="BD524" s="57"/>
      <c r="BE524" s="57"/>
      <c r="BF524" s="57"/>
      <c r="BG524" s="57"/>
      <c r="BH524" s="57"/>
      <c r="BI524" s="55">
        <f t="shared" si="78"/>
        <v>32</v>
      </c>
      <c r="BJ524" s="69">
        <f t="shared" si="79"/>
        <v>16</v>
      </c>
      <c r="BK524" s="69">
        <f t="shared" si="76"/>
        <v>0</v>
      </c>
      <c r="BM524" s="75"/>
      <c r="BN524" s="57">
        <f t="shared" si="74"/>
        <v>8</v>
      </c>
      <c r="BO524" s="80"/>
      <c r="BP524" s="81">
        <v>2</v>
      </c>
      <c r="BQ524" s="81">
        <v>1</v>
      </c>
      <c r="BR524" s="81">
        <v>1</v>
      </c>
      <c r="BS524" s="81">
        <v>3</v>
      </c>
      <c r="BT524" s="81">
        <v>1</v>
      </c>
      <c r="BU524" s="81"/>
      <c r="BV524" s="81"/>
      <c r="BW524" s="81"/>
      <c r="BX524" s="81"/>
      <c r="BY524" s="81"/>
      <c r="BZ524" s="9">
        <f t="shared" si="75"/>
        <v>8</v>
      </c>
      <c r="CB524" s="3"/>
      <c r="CD524" s="10"/>
      <c r="CE524" s="11"/>
    </row>
    <row r="525" spans="1:83" s="2" customFormat="1" ht="19.5" thickBot="1" x14ac:dyDescent="0.35">
      <c r="A525" s="17">
        <v>550</v>
      </c>
      <c r="B525" s="134"/>
      <c r="C525" s="18" t="s">
        <v>65</v>
      </c>
      <c r="D525" s="19"/>
      <c r="E525" s="19"/>
      <c r="F525" s="19"/>
      <c r="G525" s="30"/>
      <c r="H525" s="31"/>
      <c r="I525" s="40"/>
      <c r="J525" s="31"/>
      <c r="K525" s="40"/>
      <c r="L525" s="31"/>
      <c r="M525" s="40"/>
      <c r="N525" s="31"/>
      <c r="O525" s="40"/>
      <c r="P525" s="31"/>
      <c r="Q525" s="40"/>
      <c r="R525" s="31"/>
      <c r="S525" s="31"/>
      <c r="T525" s="31"/>
      <c r="U525" s="40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>
        <v>24</v>
      </c>
      <c r="AL525" s="31"/>
      <c r="AM525" s="31"/>
      <c r="AN525" s="31"/>
      <c r="AO525" s="31">
        <v>24</v>
      </c>
      <c r="AP525" s="31"/>
      <c r="AQ525" s="31"/>
      <c r="AR525" s="31"/>
      <c r="AS525" s="31">
        <v>6</v>
      </c>
      <c r="AT525" s="31"/>
      <c r="AU525" s="31"/>
      <c r="AV525" s="31"/>
      <c r="AW525" s="31"/>
      <c r="AX525" s="31"/>
      <c r="AY525" s="55">
        <f t="shared" si="77"/>
        <v>54</v>
      </c>
      <c r="AZ525" s="57"/>
      <c r="BA525" s="57"/>
      <c r="BB525" s="57">
        <f>+'[1]25'!R818</f>
        <v>2</v>
      </c>
      <c r="BC525" s="57">
        <v>36</v>
      </c>
      <c r="BD525" s="57"/>
      <c r="BE525" s="57"/>
      <c r="BF525" s="57"/>
      <c r="BG525" s="57"/>
      <c r="BH525" s="57"/>
      <c r="BI525" s="55">
        <f t="shared" si="78"/>
        <v>38</v>
      </c>
      <c r="BJ525" s="69">
        <f t="shared" si="79"/>
        <v>16</v>
      </c>
      <c r="BK525" s="69">
        <f t="shared" si="76"/>
        <v>0</v>
      </c>
      <c r="BM525" s="75"/>
      <c r="BN525" s="57">
        <f t="shared" si="74"/>
        <v>8</v>
      </c>
      <c r="BO525" s="80"/>
      <c r="BP525" s="81">
        <v>2</v>
      </c>
      <c r="BQ525" s="81">
        <v>2</v>
      </c>
      <c r="BR525" s="81">
        <v>1</v>
      </c>
      <c r="BS525" s="81">
        <v>1</v>
      </c>
      <c r="BT525" s="81">
        <v>2</v>
      </c>
      <c r="BU525" s="81"/>
      <c r="BV525" s="81"/>
      <c r="BW525" s="81"/>
      <c r="BX525" s="81"/>
      <c r="BY525" s="81"/>
      <c r="BZ525" s="9">
        <f t="shared" si="75"/>
        <v>8</v>
      </c>
      <c r="CB525" s="3"/>
      <c r="CD525" s="10"/>
      <c r="CE525" s="11"/>
    </row>
    <row r="526" spans="1:83" s="2" customFormat="1" ht="19.5" thickBot="1" x14ac:dyDescent="0.35">
      <c r="A526" s="17">
        <v>551</v>
      </c>
      <c r="B526" s="134"/>
      <c r="C526" s="18" t="s">
        <v>66</v>
      </c>
      <c r="D526" s="19"/>
      <c r="E526" s="19"/>
      <c r="F526" s="19"/>
      <c r="G526" s="30"/>
      <c r="H526" s="31"/>
      <c r="I526" s="40"/>
      <c r="J526" s="31"/>
      <c r="K526" s="40"/>
      <c r="L526" s="31"/>
      <c r="M526" s="40"/>
      <c r="N526" s="31"/>
      <c r="O526" s="40"/>
      <c r="P526" s="31"/>
      <c r="Q526" s="40"/>
      <c r="R526" s="31"/>
      <c r="S526" s="31"/>
      <c r="T526" s="31"/>
      <c r="U526" s="40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>
        <v>15</v>
      </c>
      <c r="AL526" s="31"/>
      <c r="AM526" s="31"/>
      <c r="AN526" s="31"/>
      <c r="AO526" s="31">
        <v>15</v>
      </c>
      <c r="AP526" s="31"/>
      <c r="AQ526" s="31"/>
      <c r="AR526" s="31"/>
      <c r="AS526" s="31">
        <v>3</v>
      </c>
      <c r="AT526" s="31"/>
      <c r="AU526" s="31"/>
      <c r="AV526" s="31"/>
      <c r="AW526" s="31"/>
      <c r="AX526" s="31"/>
      <c r="AY526" s="55">
        <f t="shared" si="77"/>
        <v>33</v>
      </c>
      <c r="AZ526" s="57"/>
      <c r="BA526" s="57"/>
      <c r="BB526" s="57">
        <f>+'[1]25'!R819</f>
        <v>2</v>
      </c>
      <c r="BC526" s="57">
        <v>20</v>
      </c>
      <c r="BD526" s="57"/>
      <c r="BE526" s="57"/>
      <c r="BF526" s="57"/>
      <c r="BG526" s="57"/>
      <c r="BH526" s="57"/>
      <c r="BI526" s="55">
        <f t="shared" si="78"/>
        <v>22</v>
      </c>
      <c r="BJ526" s="69">
        <f t="shared" si="79"/>
        <v>11</v>
      </c>
      <c r="BK526" s="69">
        <f t="shared" si="76"/>
        <v>0</v>
      </c>
      <c r="BM526" s="75"/>
      <c r="BN526" s="57">
        <f t="shared" si="74"/>
        <v>5</v>
      </c>
      <c r="BO526" s="80"/>
      <c r="BP526" s="81">
        <v>1</v>
      </c>
      <c r="BQ526" s="81">
        <v>1</v>
      </c>
      <c r="BR526" s="81">
        <v>1</v>
      </c>
      <c r="BS526" s="81">
        <v>2</v>
      </c>
      <c r="BT526" s="81">
        <v>1</v>
      </c>
      <c r="BU526" s="81"/>
      <c r="BV526" s="81"/>
      <c r="BW526" s="81"/>
      <c r="BX526" s="81"/>
      <c r="BY526" s="81"/>
      <c r="BZ526" s="9">
        <f t="shared" si="75"/>
        <v>6</v>
      </c>
      <c r="CB526" s="3"/>
      <c r="CD526" s="10"/>
      <c r="CE526" s="11"/>
    </row>
    <row r="527" spans="1:83" s="2" customFormat="1" ht="19.5" thickBot="1" x14ac:dyDescent="0.35">
      <c r="A527" s="17">
        <v>552</v>
      </c>
      <c r="B527" s="134"/>
      <c r="C527" s="18" t="s">
        <v>67</v>
      </c>
      <c r="D527" s="19"/>
      <c r="E527" s="19"/>
      <c r="F527" s="19"/>
      <c r="G527" s="30"/>
      <c r="H527" s="31"/>
      <c r="I527" s="40"/>
      <c r="J527" s="31"/>
      <c r="K527" s="40"/>
      <c r="L527" s="31"/>
      <c r="M527" s="40"/>
      <c r="N527" s="31"/>
      <c r="O527" s="40"/>
      <c r="P527" s="31"/>
      <c r="Q527" s="40"/>
      <c r="R527" s="31"/>
      <c r="S527" s="31"/>
      <c r="T527" s="31"/>
      <c r="U527" s="40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>
        <v>12</v>
      </c>
      <c r="AL527" s="31"/>
      <c r="AM527" s="31"/>
      <c r="AN527" s="31"/>
      <c r="AO527" s="31">
        <v>12</v>
      </c>
      <c r="AP527" s="31"/>
      <c r="AQ527" s="31"/>
      <c r="AR527" s="31"/>
      <c r="AS527" s="31">
        <v>3</v>
      </c>
      <c r="AT527" s="31"/>
      <c r="AU527" s="31"/>
      <c r="AV527" s="31"/>
      <c r="AW527" s="31"/>
      <c r="AX527" s="31"/>
      <c r="AY527" s="55">
        <f t="shared" si="77"/>
        <v>27</v>
      </c>
      <c r="AZ527" s="57"/>
      <c r="BA527" s="57"/>
      <c r="BB527" s="57">
        <f>+'[1]25'!R820</f>
        <v>0</v>
      </c>
      <c r="BC527" s="57">
        <v>16</v>
      </c>
      <c r="BD527" s="57"/>
      <c r="BE527" s="57"/>
      <c r="BF527" s="57"/>
      <c r="BG527" s="57"/>
      <c r="BH527" s="57"/>
      <c r="BI527" s="55">
        <f t="shared" si="78"/>
        <v>16</v>
      </c>
      <c r="BJ527" s="69">
        <f t="shared" si="79"/>
        <v>11</v>
      </c>
      <c r="BK527" s="69">
        <f t="shared" si="76"/>
        <v>0</v>
      </c>
      <c r="BM527" s="75"/>
      <c r="BN527" s="57">
        <f t="shared" si="74"/>
        <v>9</v>
      </c>
      <c r="BO527" s="80"/>
      <c r="BP527" s="81">
        <v>1</v>
      </c>
      <c r="BQ527" s="81"/>
      <c r="BR527" s="81"/>
      <c r="BS527" s="81">
        <v>1</v>
      </c>
      <c r="BT527" s="81"/>
      <c r="BU527" s="81"/>
      <c r="BV527" s="81"/>
      <c r="BW527" s="81"/>
      <c r="BX527" s="81"/>
      <c r="BY527" s="81"/>
      <c r="BZ527" s="9">
        <f t="shared" si="75"/>
        <v>2</v>
      </c>
      <c r="CB527" s="3"/>
      <c r="CD527" s="10"/>
      <c r="CE527" s="11"/>
    </row>
    <row r="528" spans="1:83" s="2" customFormat="1" ht="19.5" thickBot="1" x14ac:dyDescent="0.35">
      <c r="A528" s="17">
        <v>553</v>
      </c>
      <c r="B528" s="134"/>
      <c r="C528" s="18" t="s">
        <v>68</v>
      </c>
      <c r="D528" s="19"/>
      <c r="E528" s="19"/>
      <c r="F528" s="19"/>
      <c r="G528" s="30"/>
      <c r="H528" s="31"/>
      <c r="I528" s="40"/>
      <c r="J528" s="31"/>
      <c r="K528" s="40"/>
      <c r="L528" s="31"/>
      <c r="M528" s="40"/>
      <c r="N528" s="31"/>
      <c r="O528" s="40"/>
      <c r="P528" s="31"/>
      <c r="Q528" s="40"/>
      <c r="R528" s="31"/>
      <c r="S528" s="31"/>
      <c r="T528" s="31"/>
      <c r="U528" s="40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>
        <v>9</v>
      </c>
      <c r="AL528" s="31"/>
      <c r="AM528" s="31"/>
      <c r="AN528" s="31"/>
      <c r="AO528" s="31">
        <v>9</v>
      </c>
      <c r="AP528" s="31"/>
      <c r="AQ528" s="31"/>
      <c r="AR528" s="31"/>
      <c r="AS528" s="31"/>
      <c r="AT528" s="31"/>
      <c r="AU528" s="31"/>
      <c r="AV528" s="31"/>
      <c r="AW528" s="31"/>
      <c r="AX528" s="31"/>
      <c r="AY528" s="55">
        <f t="shared" si="77"/>
        <v>18</v>
      </c>
      <c r="AZ528" s="57"/>
      <c r="BA528" s="57"/>
      <c r="BB528" s="57">
        <f>+'[1]25'!R821</f>
        <v>0</v>
      </c>
      <c r="BC528" s="57">
        <v>8</v>
      </c>
      <c r="BD528" s="57"/>
      <c r="BE528" s="57"/>
      <c r="BF528" s="57"/>
      <c r="BG528" s="57"/>
      <c r="BH528" s="57"/>
      <c r="BI528" s="55">
        <f t="shared" si="78"/>
        <v>8</v>
      </c>
      <c r="BJ528" s="69">
        <f t="shared" si="79"/>
        <v>10</v>
      </c>
      <c r="BK528" s="69">
        <f t="shared" si="76"/>
        <v>0</v>
      </c>
      <c r="BM528" s="75"/>
      <c r="BN528" s="57">
        <f t="shared" si="74"/>
        <v>7</v>
      </c>
      <c r="BO528" s="80"/>
      <c r="BP528" s="81">
        <v>1</v>
      </c>
      <c r="BQ528" s="81">
        <v>1</v>
      </c>
      <c r="BR528" s="81">
        <v>1</v>
      </c>
      <c r="BS528" s="81"/>
      <c r="BT528" s="81"/>
      <c r="BU528" s="81"/>
      <c r="BV528" s="81"/>
      <c r="BW528" s="81"/>
      <c r="BX528" s="81"/>
      <c r="BY528" s="81"/>
      <c r="BZ528" s="9">
        <f t="shared" si="75"/>
        <v>3</v>
      </c>
      <c r="CB528" s="3"/>
      <c r="CD528" s="10"/>
      <c r="CE528" s="11"/>
    </row>
    <row r="529" spans="1:83" s="2" customFormat="1" ht="19.5" thickBot="1" x14ac:dyDescent="0.35">
      <c r="A529" s="17">
        <v>554</v>
      </c>
      <c r="B529" s="134"/>
      <c r="C529" s="20" t="s">
        <v>69</v>
      </c>
      <c r="D529" s="21"/>
      <c r="E529" s="21"/>
      <c r="F529" s="21"/>
      <c r="G529" s="32"/>
      <c r="H529" s="33"/>
      <c r="I529" s="41"/>
      <c r="J529" s="33"/>
      <c r="K529" s="41"/>
      <c r="L529" s="33"/>
      <c r="M529" s="41"/>
      <c r="N529" s="33"/>
      <c r="O529" s="41"/>
      <c r="P529" s="33"/>
      <c r="Q529" s="41"/>
      <c r="R529" s="33"/>
      <c r="S529" s="33"/>
      <c r="T529" s="33"/>
      <c r="U529" s="41"/>
      <c r="V529" s="33"/>
      <c r="W529" s="33"/>
      <c r="X529" s="33"/>
      <c r="Y529" s="33"/>
      <c r="Z529" s="33"/>
      <c r="AA529" s="33"/>
      <c r="AB529" s="33"/>
      <c r="AC529" s="33"/>
      <c r="AD529" s="47"/>
      <c r="AE529" s="47"/>
      <c r="AF529" s="47"/>
      <c r="AG529" s="47"/>
      <c r="AH529" s="47"/>
      <c r="AI529" s="47"/>
      <c r="AJ529" s="47"/>
      <c r="AK529" s="47">
        <v>6</v>
      </c>
      <c r="AL529" s="47"/>
      <c r="AM529" s="47"/>
      <c r="AN529" s="47"/>
      <c r="AO529" s="47">
        <v>6</v>
      </c>
      <c r="AP529" s="47"/>
      <c r="AQ529" s="47"/>
      <c r="AR529" s="47"/>
      <c r="AS529" s="47"/>
      <c r="AT529" s="47"/>
      <c r="AU529" s="47"/>
      <c r="AV529" s="47"/>
      <c r="AW529" s="47"/>
      <c r="AX529" s="47"/>
      <c r="AY529" s="55">
        <f t="shared" si="77"/>
        <v>12</v>
      </c>
      <c r="AZ529" s="59"/>
      <c r="BA529" s="60"/>
      <c r="BB529" s="60">
        <f>+'[1]25'!R822</f>
        <v>0</v>
      </c>
      <c r="BC529" s="60">
        <v>2</v>
      </c>
      <c r="BD529" s="60"/>
      <c r="BE529" s="60"/>
      <c r="BF529" s="60"/>
      <c r="BG529" s="60"/>
      <c r="BH529" s="60"/>
      <c r="BI529" s="58">
        <f t="shared" si="78"/>
        <v>2</v>
      </c>
      <c r="BJ529" s="70">
        <f t="shared" si="79"/>
        <v>10</v>
      </c>
      <c r="BK529" s="70">
        <f t="shared" si="76"/>
        <v>0</v>
      </c>
      <c r="BL529" s="76"/>
      <c r="BM529" s="77"/>
      <c r="BN529" s="60">
        <f t="shared" si="74"/>
        <v>8</v>
      </c>
      <c r="BO529" s="82"/>
      <c r="BP529" s="83">
        <v>1</v>
      </c>
      <c r="BQ529" s="83"/>
      <c r="BR529" s="83">
        <v>1</v>
      </c>
      <c r="BS529" s="83"/>
      <c r="BT529" s="83"/>
      <c r="BU529" s="83"/>
      <c r="BV529" s="83"/>
      <c r="BW529" s="83"/>
      <c r="BX529" s="83"/>
      <c r="BY529" s="83"/>
      <c r="BZ529" s="9">
        <f t="shared" si="75"/>
        <v>2</v>
      </c>
      <c r="CB529" s="3"/>
      <c r="CD529" s="10"/>
      <c r="CE529" s="11"/>
    </row>
    <row r="530" spans="1:83" s="2" customFormat="1" ht="19.5" thickBot="1" x14ac:dyDescent="0.35">
      <c r="A530" s="17">
        <v>555</v>
      </c>
      <c r="B530" s="134" t="s">
        <v>160</v>
      </c>
      <c r="C530" s="18" t="s">
        <v>62</v>
      </c>
      <c r="D530" s="19"/>
      <c r="E530" s="19"/>
      <c r="F530" s="19"/>
      <c r="G530" s="30"/>
      <c r="H530" s="31"/>
      <c r="I530" s="40"/>
      <c r="J530" s="31"/>
      <c r="K530" s="40"/>
      <c r="L530" s="31"/>
      <c r="M530" s="40"/>
      <c r="N530" s="31"/>
      <c r="O530" s="40"/>
      <c r="P530" s="31"/>
      <c r="Q530" s="40"/>
      <c r="R530" s="31"/>
      <c r="S530" s="31"/>
      <c r="T530" s="31"/>
      <c r="U530" s="40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>
        <v>9</v>
      </c>
      <c r="AP530" s="31"/>
      <c r="AQ530" s="31"/>
      <c r="AR530" s="31"/>
      <c r="AS530" s="31"/>
      <c r="AT530" s="31"/>
      <c r="AU530" s="31"/>
      <c r="AV530" s="31"/>
      <c r="AW530" s="31"/>
      <c r="AX530" s="31"/>
      <c r="AY530" s="55">
        <f t="shared" si="77"/>
        <v>9</v>
      </c>
      <c r="AZ530" s="57"/>
      <c r="BA530" s="57"/>
      <c r="BB530" s="57">
        <f>+'[1]25'!R823</f>
        <v>0</v>
      </c>
      <c r="BC530" s="57">
        <v>3</v>
      </c>
      <c r="BD530" s="57"/>
      <c r="BE530" s="57"/>
      <c r="BF530" s="57"/>
      <c r="BG530" s="57"/>
      <c r="BH530" s="57"/>
      <c r="BI530" s="55">
        <f t="shared" si="78"/>
        <v>3</v>
      </c>
      <c r="BJ530" s="69">
        <f t="shared" si="79"/>
        <v>6</v>
      </c>
      <c r="BK530" s="69">
        <f t="shared" si="76"/>
        <v>0</v>
      </c>
      <c r="BM530" s="75"/>
      <c r="BN530" s="57">
        <f t="shared" si="74"/>
        <v>2</v>
      </c>
      <c r="BO530" s="80"/>
      <c r="BP530" s="81">
        <v>1</v>
      </c>
      <c r="BQ530" s="81">
        <v>1</v>
      </c>
      <c r="BR530" s="81">
        <v>2</v>
      </c>
      <c r="BS530" s="81"/>
      <c r="BT530" s="81"/>
      <c r="BU530" s="81"/>
      <c r="BV530" s="81"/>
      <c r="BW530" s="81"/>
      <c r="BX530" s="81"/>
      <c r="BY530" s="81"/>
      <c r="BZ530" s="9">
        <f t="shared" si="75"/>
        <v>4</v>
      </c>
      <c r="CB530" s="3"/>
      <c r="CD530" s="10"/>
      <c r="CE530" s="11"/>
    </row>
    <row r="531" spans="1:83" s="2" customFormat="1" ht="19.5" thickBot="1" x14ac:dyDescent="0.35">
      <c r="A531" s="17">
        <v>556</v>
      </c>
      <c r="B531" s="135"/>
      <c r="C531" s="18" t="s">
        <v>63</v>
      </c>
      <c r="D531" s="19"/>
      <c r="E531" s="19"/>
      <c r="F531" s="19"/>
      <c r="G531" s="30"/>
      <c r="H531" s="31"/>
      <c r="I531" s="40"/>
      <c r="J531" s="31"/>
      <c r="K531" s="40"/>
      <c r="L531" s="31"/>
      <c r="M531" s="40"/>
      <c r="N531" s="31"/>
      <c r="O531" s="40"/>
      <c r="P531" s="31"/>
      <c r="Q531" s="40"/>
      <c r="R531" s="31"/>
      <c r="S531" s="31"/>
      <c r="T531" s="31"/>
      <c r="U531" s="40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>
        <v>12</v>
      </c>
      <c r="AP531" s="31"/>
      <c r="AQ531" s="31"/>
      <c r="AR531" s="31"/>
      <c r="AS531" s="31"/>
      <c r="AT531" s="31"/>
      <c r="AU531" s="31"/>
      <c r="AV531" s="31"/>
      <c r="AW531" s="31"/>
      <c r="AX531" s="31"/>
      <c r="AY531" s="55">
        <f t="shared" si="77"/>
        <v>12</v>
      </c>
      <c r="AZ531" s="57"/>
      <c r="BA531" s="57"/>
      <c r="BB531" s="57">
        <f>+'[1]25'!R824</f>
        <v>0</v>
      </c>
      <c r="BC531" s="57">
        <v>5</v>
      </c>
      <c r="BD531" s="57"/>
      <c r="BE531" s="57"/>
      <c r="BF531" s="57"/>
      <c r="BG531" s="57"/>
      <c r="BH531" s="57"/>
      <c r="BI531" s="55">
        <f t="shared" si="78"/>
        <v>5</v>
      </c>
      <c r="BJ531" s="69">
        <f t="shared" si="79"/>
        <v>7</v>
      </c>
      <c r="BK531" s="69">
        <f t="shared" si="76"/>
        <v>0</v>
      </c>
      <c r="BM531" s="75"/>
      <c r="BN531" s="57">
        <f t="shared" si="74"/>
        <v>4</v>
      </c>
      <c r="BO531" s="80"/>
      <c r="BP531" s="81">
        <v>1</v>
      </c>
      <c r="BQ531" s="81">
        <v>1</v>
      </c>
      <c r="BR531" s="81">
        <v>1</v>
      </c>
      <c r="BS531" s="81"/>
      <c r="BT531" s="81"/>
      <c r="BU531" s="81"/>
      <c r="BV531" s="81"/>
      <c r="BW531" s="81"/>
      <c r="BX531" s="81"/>
      <c r="BY531" s="81"/>
      <c r="BZ531" s="9">
        <f t="shared" si="75"/>
        <v>3</v>
      </c>
      <c r="CB531" s="3"/>
      <c r="CD531" s="10"/>
      <c r="CE531" s="11"/>
    </row>
    <row r="532" spans="1:83" s="2" customFormat="1" ht="19.5" thickBot="1" x14ac:dyDescent="0.35">
      <c r="A532" s="17">
        <v>557</v>
      </c>
      <c r="B532" s="135"/>
      <c r="C532" s="24" t="s">
        <v>64</v>
      </c>
      <c r="D532" s="25"/>
      <c r="E532" s="25"/>
      <c r="F532" s="25"/>
      <c r="G532" s="36"/>
      <c r="H532" s="37"/>
      <c r="I532" s="43"/>
      <c r="J532" s="37"/>
      <c r="K532" s="43"/>
      <c r="L532" s="37"/>
      <c r="M532" s="43"/>
      <c r="N532" s="37"/>
      <c r="O532" s="43"/>
      <c r="P532" s="37"/>
      <c r="Q532" s="43"/>
      <c r="R532" s="37"/>
      <c r="S532" s="37"/>
      <c r="T532" s="37"/>
      <c r="U532" s="43"/>
      <c r="V532" s="37"/>
      <c r="W532" s="37"/>
      <c r="X532" s="37"/>
      <c r="Y532" s="37"/>
      <c r="Z532" s="37"/>
      <c r="AA532" s="37"/>
      <c r="AB532" s="37"/>
      <c r="AC532" s="37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>
        <v>21</v>
      </c>
      <c r="AP532" s="49"/>
      <c r="AQ532" s="49"/>
      <c r="AR532" s="49"/>
      <c r="AS532" s="49"/>
      <c r="AT532" s="49"/>
      <c r="AU532" s="49"/>
      <c r="AV532" s="49"/>
      <c r="AW532" s="49"/>
      <c r="AX532" s="49"/>
      <c r="AY532" s="55">
        <f t="shared" si="77"/>
        <v>21</v>
      </c>
      <c r="AZ532" s="64"/>
      <c r="BA532" s="65"/>
      <c r="BB532" s="65">
        <f>+'[1]25'!R825</f>
        <v>0</v>
      </c>
      <c r="BC532" s="65">
        <v>6</v>
      </c>
      <c r="BD532" s="65"/>
      <c r="BE532" s="65"/>
      <c r="BF532" s="65"/>
      <c r="BG532" s="65"/>
      <c r="BH532" s="65"/>
      <c r="BI532" s="55">
        <f t="shared" si="78"/>
        <v>6</v>
      </c>
      <c r="BJ532" s="69">
        <f t="shared" si="79"/>
        <v>15</v>
      </c>
      <c r="BK532" s="69">
        <f t="shared" si="76"/>
        <v>0</v>
      </c>
      <c r="BM532" s="75"/>
      <c r="BN532" s="57">
        <f t="shared" si="74"/>
        <v>9</v>
      </c>
      <c r="BO532" s="84"/>
      <c r="BP532" s="85">
        <v>1</v>
      </c>
      <c r="BQ532" s="85">
        <v>1</v>
      </c>
      <c r="BR532" s="85">
        <v>4</v>
      </c>
      <c r="BS532" s="85"/>
      <c r="BT532" s="85"/>
      <c r="BU532" s="85"/>
      <c r="BV532" s="85"/>
      <c r="BW532" s="85"/>
      <c r="BX532" s="85"/>
      <c r="BY532" s="85"/>
      <c r="BZ532" s="9">
        <f t="shared" si="75"/>
        <v>6</v>
      </c>
      <c r="CB532" s="3"/>
      <c r="CD532" s="10"/>
      <c r="CE532" s="11"/>
    </row>
    <row r="533" spans="1:83" s="2" customFormat="1" ht="19.5" thickBot="1" x14ac:dyDescent="0.35">
      <c r="A533" s="17">
        <v>558</v>
      </c>
      <c r="B533" s="135"/>
      <c r="C533" s="18" t="s">
        <v>65</v>
      </c>
      <c r="D533" s="19"/>
      <c r="E533" s="19"/>
      <c r="F533" s="19"/>
      <c r="G533" s="30"/>
      <c r="H533" s="31"/>
      <c r="I533" s="40"/>
      <c r="J533" s="31"/>
      <c r="K533" s="40"/>
      <c r="L533" s="31"/>
      <c r="M533" s="40"/>
      <c r="N533" s="31"/>
      <c r="O533" s="40"/>
      <c r="P533" s="31"/>
      <c r="Q533" s="40"/>
      <c r="R533" s="31"/>
      <c r="S533" s="31"/>
      <c r="T533" s="31"/>
      <c r="U533" s="40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>
        <v>24</v>
      </c>
      <c r="AP533" s="31"/>
      <c r="AQ533" s="31"/>
      <c r="AR533" s="31"/>
      <c r="AS533" s="31"/>
      <c r="AT533" s="31"/>
      <c r="AU533" s="31"/>
      <c r="AV533" s="31"/>
      <c r="AW533" s="31"/>
      <c r="AX533" s="31"/>
      <c r="AY533" s="55">
        <f t="shared" si="77"/>
        <v>24</v>
      </c>
      <c r="AZ533" s="57"/>
      <c r="BA533" s="57"/>
      <c r="BB533" s="57">
        <f>+'[1]25'!R826</f>
        <v>0</v>
      </c>
      <c r="BC533" s="57">
        <v>10</v>
      </c>
      <c r="BD533" s="57"/>
      <c r="BE533" s="57"/>
      <c r="BF533" s="57"/>
      <c r="BG533" s="57"/>
      <c r="BH533" s="57"/>
      <c r="BI533" s="55">
        <f t="shared" si="78"/>
        <v>10</v>
      </c>
      <c r="BJ533" s="69">
        <f t="shared" si="79"/>
        <v>14</v>
      </c>
      <c r="BK533" s="69">
        <f t="shared" si="76"/>
        <v>0</v>
      </c>
      <c r="BM533" s="75"/>
      <c r="BN533" s="57">
        <f t="shared" si="74"/>
        <v>9</v>
      </c>
      <c r="BO533" s="80"/>
      <c r="BP533" s="81"/>
      <c r="BQ533" s="81">
        <v>1</v>
      </c>
      <c r="BR533" s="81">
        <v>4</v>
      </c>
      <c r="BS533" s="81"/>
      <c r="BT533" s="81"/>
      <c r="BU533" s="81"/>
      <c r="BV533" s="81"/>
      <c r="BW533" s="81"/>
      <c r="BX533" s="81"/>
      <c r="BY533" s="81"/>
      <c r="BZ533" s="9">
        <f t="shared" si="75"/>
        <v>5</v>
      </c>
      <c r="CB533" s="3"/>
      <c r="CD533" s="10"/>
      <c r="CE533" s="11"/>
    </row>
    <row r="534" spans="1:83" s="2" customFormat="1" ht="19.5" thickBot="1" x14ac:dyDescent="0.35">
      <c r="A534" s="17">
        <v>559</v>
      </c>
      <c r="B534" s="135"/>
      <c r="C534" s="18" t="s">
        <v>66</v>
      </c>
      <c r="D534" s="19"/>
      <c r="E534" s="19"/>
      <c r="F534" s="19"/>
      <c r="G534" s="30"/>
      <c r="H534" s="31"/>
      <c r="I534" s="40"/>
      <c r="J534" s="31"/>
      <c r="K534" s="40"/>
      <c r="L534" s="31"/>
      <c r="M534" s="40"/>
      <c r="N534" s="31"/>
      <c r="O534" s="40"/>
      <c r="P534" s="31"/>
      <c r="Q534" s="40"/>
      <c r="R534" s="31"/>
      <c r="S534" s="31"/>
      <c r="T534" s="31"/>
      <c r="U534" s="40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>
        <v>15</v>
      </c>
      <c r="AP534" s="31"/>
      <c r="AQ534" s="31"/>
      <c r="AR534" s="31"/>
      <c r="AS534" s="31"/>
      <c r="AT534" s="31"/>
      <c r="AU534" s="31"/>
      <c r="AV534" s="31"/>
      <c r="AW534" s="31"/>
      <c r="AX534" s="31"/>
      <c r="AY534" s="55">
        <f t="shared" si="77"/>
        <v>15</v>
      </c>
      <c r="AZ534" s="57"/>
      <c r="BA534" s="57"/>
      <c r="BB534" s="57">
        <f>+'[1]25'!R827</f>
        <v>0</v>
      </c>
      <c r="BC534" s="57">
        <v>6</v>
      </c>
      <c r="BD534" s="57"/>
      <c r="BE534" s="57"/>
      <c r="BF534" s="57"/>
      <c r="BG534" s="57"/>
      <c r="BH534" s="57"/>
      <c r="BI534" s="55">
        <f t="shared" si="78"/>
        <v>6</v>
      </c>
      <c r="BJ534" s="69">
        <f t="shared" si="79"/>
        <v>9</v>
      </c>
      <c r="BK534" s="69">
        <f t="shared" si="76"/>
        <v>0</v>
      </c>
      <c r="BM534" s="75"/>
      <c r="BN534" s="57">
        <f t="shared" si="74"/>
        <v>5</v>
      </c>
      <c r="BO534" s="80"/>
      <c r="BP534" s="81"/>
      <c r="BQ534" s="81"/>
      <c r="BR534" s="81">
        <v>4</v>
      </c>
      <c r="BS534" s="81"/>
      <c r="BT534" s="81"/>
      <c r="BU534" s="81"/>
      <c r="BV534" s="81"/>
      <c r="BW534" s="81"/>
      <c r="BX534" s="81"/>
      <c r="BY534" s="81"/>
      <c r="BZ534" s="9">
        <f t="shared" si="75"/>
        <v>4</v>
      </c>
      <c r="CB534" s="3"/>
      <c r="CD534" s="10"/>
      <c r="CE534" s="11"/>
    </row>
    <row r="535" spans="1:83" s="2" customFormat="1" ht="19.5" thickBot="1" x14ac:dyDescent="0.35">
      <c r="A535" s="17">
        <v>560</v>
      </c>
      <c r="B535" s="135"/>
      <c r="C535" s="18" t="s">
        <v>67</v>
      </c>
      <c r="D535" s="19"/>
      <c r="E535" s="19"/>
      <c r="F535" s="19"/>
      <c r="G535" s="30"/>
      <c r="H535" s="31"/>
      <c r="I535" s="40"/>
      <c r="J535" s="31"/>
      <c r="K535" s="40"/>
      <c r="L535" s="31"/>
      <c r="M535" s="40"/>
      <c r="N535" s="31"/>
      <c r="O535" s="40"/>
      <c r="P535" s="31"/>
      <c r="Q535" s="40"/>
      <c r="R535" s="31"/>
      <c r="S535" s="31"/>
      <c r="T535" s="31"/>
      <c r="U535" s="40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>
        <v>12</v>
      </c>
      <c r="AP535" s="31"/>
      <c r="AQ535" s="31"/>
      <c r="AR535" s="31"/>
      <c r="AS535" s="31"/>
      <c r="AT535" s="31"/>
      <c r="AU535" s="31"/>
      <c r="AV535" s="31"/>
      <c r="AW535" s="31"/>
      <c r="AX535" s="31"/>
      <c r="AY535" s="55">
        <f t="shared" si="77"/>
        <v>12</v>
      </c>
      <c r="AZ535" s="57"/>
      <c r="BA535" s="57"/>
      <c r="BB535" s="57">
        <f>+'[1]25'!R828</f>
        <v>0</v>
      </c>
      <c r="BC535" s="57">
        <v>6</v>
      </c>
      <c r="BD535" s="57"/>
      <c r="BE535" s="57"/>
      <c r="BF535" s="57"/>
      <c r="BG535" s="57"/>
      <c r="BH535" s="57"/>
      <c r="BI535" s="55">
        <f t="shared" si="78"/>
        <v>6</v>
      </c>
      <c r="BJ535" s="69">
        <f t="shared" si="79"/>
        <v>6</v>
      </c>
      <c r="BK535" s="69">
        <f t="shared" si="76"/>
        <v>0</v>
      </c>
      <c r="BM535" s="75"/>
      <c r="BN535" s="57">
        <f t="shared" si="74"/>
        <v>4</v>
      </c>
      <c r="BO535" s="80"/>
      <c r="BP535" s="81">
        <v>1</v>
      </c>
      <c r="BQ535" s="81">
        <v>1</v>
      </c>
      <c r="BR535" s="81"/>
      <c r="BS535" s="81"/>
      <c r="BT535" s="81"/>
      <c r="BU535" s="81"/>
      <c r="BV535" s="81"/>
      <c r="BW535" s="81"/>
      <c r="BX535" s="81"/>
      <c r="BY535" s="81"/>
      <c r="BZ535" s="9">
        <f t="shared" si="75"/>
        <v>2</v>
      </c>
      <c r="CB535" s="3"/>
      <c r="CD535" s="10"/>
      <c r="CE535" s="11"/>
    </row>
    <row r="536" spans="1:83" s="2" customFormat="1" ht="19.5" thickBot="1" x14ac:dyDescent="0.35">
      <c r="A536" s="17">
        <v>561</v>
      </c>
      <c r="B536" s="135"/>
      <c r="C536" s="18" t="s">
        <v>68</v>
      </c>
      <c r="D536" s="19"/>
      <c r="E536" s="19"/>
      <c r="F536" s="19"/>
      <c r="G536" s="30"/>
      <c r="H536" s="31"/>
      <c r="I536" s="40"/>
      <c r="J536" s="31"/>
      <c r="K536" s="40"/>
      <c r="L536" s="31"/>
      <c r="M536" s="40"/>
      <c r="N536" s="31"/>
      <c r="O536" s="40"/>
      <c r="P536" s="31"/>
      <c r="Q536" s="40"/>
      <c r="R536" s="31"/>
      <c r="S536" s="31"/>
      <c r="T536" s="31"/>
      <c r="U536" s="40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>
        <v>9</v>
      </c>
      <c r="AP536" s="31"/>
      <c r="AQ536" s="31"/>
      <c r="AR536" s="31"/>
      <c r="AS536" s="31"/>
      <c r="AT536" s="31"/>
      <c r="AU536" s="31"/>
      <c r="AV536" s="31"/>
      <c r="AW536" s="31"/>
      <c r="AX536" s="31"/>
      <c r="AY536" s="55">
        <f t="shared" si="77"/>
        <v>9</v>
      </c>
      <c r="AZ536" s="57"/>
      <c r="BA536" s="57"/>
      <c r="BB536" s="57">
        <f>+'[1]25'!R829</f>
        <v>0</v>
      </c>
      <c r="BC536" s="57">
        <v>3</v>
      </c>
      <c r="BD536" s="57"/>
      <c r="BE536" s="57"/>
      <c r="BF536" s="57"/>
      <c r="BG536" s="57"/>
      <c r="BH536" s="57"/>
      <c r="BI536" s="55">
        <f t="shared" si="78"/>
        <v>3</v>
      </c>
      <c r="BJ536" s="69">
        <f t="shared" si="79"/>
        <v>6</v>
      </c>
      <c r="BK536" s="69">
        <f t="shared" si="76"/>
        <v>0</v>
      </c>
      <c r="BM536" s="75"/>
      <c r="BN536" s="57">
        <f t="shared" si="74"/>
        <v>4</v>
      </c>
      <c r="BO536" s="80"/>
      <c r="BP536" s="81">
        <v>1</v>
      </c>
      <c r="BQ536" s="81"/>
      <c r="BR536" s="81">
        <v>1</v>
      </c>
      <c r="BS536" s="81"/>
      <c r="BT536" s="81"/>
      <c r="BU536" s="81"/>
      <c r="BV536" s="81"/>
      <c r="BW536" s="81"/>
      <c r="BX536" s="81"/>
      <c r="BY536" s="81"/>
      <c r="BZ536" s="9">
        <f t="shared" si="75"/>
        <v>2</v>
      </c>
      <c r="CB536" s="3"/>
      <c r="CD536" s="10"/>
      <c r="CE536" s="11"/>
    </row>
    <row r="537" spans="1:83" s="2" customFormat="1" ht="19.5" thickBot="1" x14ac:dyDescent="0.35">
      <c r="A537" s="17">
        <v>562</v>
      </c>
      <c r="B537" s="135"/>
      <c r="C537" s="20" t="s">
        <v>69</v>
      </c>
      <c r="D537" s="21"/>
      <c r="E537" s="21"/>
      <c r="F537" s="21"/>
      <c r="G537" s="32"/>
      <c r="H537" s="33"/>
      <c r="I537" s="41"/>
      <c r="J537" s="33"/>
      <c r="K537" s="41"/>
      <c r="L537" s="33"/>
      <c r="M537" s="41"/>
      <c r="N537" s="33"/>
      <c r="O537" s="41"/>
      <c r="P537" s="33"/>
      <c r="Q537" s="41"/>
      <c r="R537" s="33"/>
      <c r="S537" s="33"/>
      <c r="T537" s="33"/>
      <c r="U537" s="41"/>
      <c r="V537" s="33"/>
      <c r="W537" s="33"/>
      <c r="X537" s="33"/>
      <c r="Y537" s="33"/>
      <c r="Z537" s="33"/>
      <c r="AA537" s="33"/>
      <c r="AB537" s="33"/>
      <c r="AC537" s="33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>
        <v>6</v>
      </c>
      <c r="AP537" s="47"/>
      <c r="AQ537" s="47"/>
      <c r="AR537" s="47"/>
      <c r="AS537" s="47"/>
      <c r="AT537" s="47"/>
      <c r="AU537" s="47"/>
      <c r="AV537" s="47"/>
      <c r="AW537" s="47"/>
      <c r="AX537" s="47"/>
      <c r="AY537" s="55">
        <f t="shared" si="77"/>
        <v>6</v>
      </c>
      <c r="AZ537" s="59"/>
      <c r="BA537" s="60"/>
      <c r="BB537" s="60">
        <f>+'[1]25'!R830</f>
        <v>0</v>
      </c>
      <c r="BC537" s="60">
        <v>0</v>
      </c>
      <c r="BD537" s="60"/>
      <c r="BE537" s="60"/>
      <c r="BF537" s="60"/>
      <c r="BG537" s="60"/>
      <c r="BH537" s="60"/>
      <c r="BI537" s="58">
        <f t="shared" si="78"/>
        <v>0</v>
      </c>
      <c r="BJ537" s="70">
        <f t="shared" si="79"/>
        <v>6</v>
      </c>
      <c r="BK537" s="70">
        <f t="shared" si="76"/>
        <v>0</v>
      </c>
      <c r="BL537" s="76"/>
      <c r="BM537" s="77"/>
      <c r="BN537" s="60">
        <f t="shared" si="74"/>
        <v>4</v>
      </c>
      <c r="BO537" s="82"/>
      <c r="BP537" s="83">
        <v>1</v>
      </c>
      <c r="BQ537" s="83"/>
      <c r="BR537" s="83">
        <v>1</v>
      </c>
      <c r="BS537" s="83"/>
      <c r="BT537" s="83"/>
      <c r="BU537" s="83"/>
      <c r="BV537" s="83"/>
      <c r="BW537" s="83"/>
      <c r="BX537" s="83"/>
      <c r="BY537" s="83"/>
      <c r="BZ537" s="9">
        <f t="shared" si="75"/>
        <v>2</v>
      </c>
      <c r="CB537" s="3"/>
      <c r="CD537" s="10"/>
      <c r="CE537" s="11"/>
    </row>
    <row r="538" spans="1:83" s="2" customFormat="1" ht="19.5" thickBot="1" x14ac:dyDescent="0.35">
      <c r="A538" s="17">
        <v>563</v>
      </c>
      <c r="B538" s="134" t="s">
        <v>161</v>
      </c>
      <c r="C538" s="18" t="s">
        <v>62</v>
      </c>
      <c r="D538" s="19"/>
      <c r="E538" s="19"/>
      <c r="F538" s="19"/>
      <c r="G538" s="30"/>
      <c r="H538" s="31"/>
      <c r="I538" s="40"/>
      <c r="J538" s="31"/>
      <c r="K538" s="40"/>
      <c r="L538" s="31"/>
      <c r="M538" s="40"/>
      <c r="N538" s="31"/>
      <c r="O538" s="40"/>
      <c r="P538" s="31"/>
      <c r="Q538" s="40"/>
      <c r="R538" s="31"/>
      <c r="S538" s="31"/>
      <c r="T538" s="31"/>
      <c r="U538" s="40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>
        <v>9</v>
      </c>
      <c r="AT538" s="31"/>
      <c r="AU538" s="31"/>
      <c r="AV538" s="31"/>
      <c r="AW538" s="31"/>
      <c r="AX538" s="31"/>
      <c r="AY538" s="55">
        <f t="shared" si="77"/>
        <v>9</v>
      </c>
      <c r="AZ538" s="57"/>
      <c r="BA538" s="57"/>
      <c r="BB538" s="57">
        <f>+'[1]25'!R831</f>
        <v>0</v>
      </c>
      <c r="BC538" s="57"/>
      <c r="BD538" s="57"/>
      <c r="BE538" s="57"/>
      <c r="BF538" s="57"/>
      <c r="BG538" s="57"/>
      <c r="BH538" s="57"/>
      <c r="BI538" s="55">
        <f t="shared" si="78"/>
        <v>0</v>
      </c>
      <c r="BJ538" s="69">
        <f t="shared" si="79"/>
        <v>9</v>
      </c>
      <c r="BK538" s="69">
        <f t="shared" si="76"/>
        <v>0</v>
      </c>
      <c r="BM538" s="75"/>
      <c r="BN538" s="57">
        <f t="shared" si="74"/>
        <v>9</v>
      </c>
      <c r="BO538" s="80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9">
        <f t="shared" si="75"/>
        <v>0</v>
      </c>
      <c r="CB538" s="3"/>
      <c r="CD538" s="10"/>
      <c r="CE538" s="11"/>
    </row>
    <row r="539" spans="1:83" s="2" customFormat="1" ht="19.5" thickBot="1" x14ac:dyDescent="0.35">
      <c r="A539" s="17">
        <v>564</v>
      </c>
      <c r="B539" s="135"/>
      <c r="C539" s="18" t="s">
        <v>63</v>
      </c>
      <c r="D539" s="19"/>
      <c r="E539" s="19"/>
      <c r="F539" s="19"/>
      <c r="G539" s="30"/>
      <c r="H539" s="31"/>
      <c r="I539" s="40"/>
      <c r="J539" s="31"/>
      <c r="K539" s="40"/>
      <c r="L539" s="31"/>
      <c r="M539" s="40"/>
      <c r="N539" s="31"/>
      <c r="O539" s="40"/>
      <c r="P539" s="31"/>
      <c r="Q539" s="40"/>
      <c r="R539" s="31"/>
      <c r="S539" s="31"/>
      <c r="T539" s="31"/>
      <c r="U539" s="40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>
        <v>12</v>
      </c>
      <c r="AT539" s="31"/>
      <c r="AU539" s="31"/>
      <c r="AV539" s="31"/>
      <c r="AW539" s="31"/>
      <c r="AX539" s="31"/>
      <c r="AY539" s="55">
        <f t="shared" si="77"/>
        <v>12</v>
      </c>
      <c r="AZ539" s="57"/>
      <c r="BA539" s="57"/>
      <c r="BB539" s="57">
        <f>+'[1]25'!R832</f>
        <v>0</v>
      </c>
      <c r="BC539" s="57"/>
      <c r="BD539" s="57"/>
      <c r="BE539" s="57"/>
      <c r="BF539" s="57"/>
      <c r="BG539" s="57"/>
      <c r="BH539" s="57"/>
      <c r="BI539" s="55">
        <f t="shared" si="78"/>
        <v>0</v>
      </c>
      <c r="BJ539" s="69">
        <f t="shared" si="79"/>
        <v>12</v>
      </c>
      <c r="BK539" s="69">
        <f t="shared" si="76"/>
        <v>0</v>
      </c>
      <c r="BM539" s="75"/>
      <c r="BN539" s="57">
        <f t="shared" si="74"/>
        <v>12</v>
      </c>
      <c r="BO539" s="80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9">
        <f t="shared" si="75"/>
        <v>0</v>
      </c>
      <c r="CB539" s="3"/>
      <c r="CD539" s="10"/>
      <c r="CE539" s="11"/>
    </row>
    <row r="540" spans="1:83" s="2" customFormat="1" ht="19.5" thickBot="1" x14ac:dyDescent="0.35">
      <c r="A540" s="17">
        <v>565</v>
      </c>
      <c r="B540" s="135"/>
      <c r="C540" s="18" t="s">
        <v>64</v>
      </c>
      <c r="D540" s="19"/>
      <c r="E540" s="19"/>
      <c r="F540" s="19"/>
      <c r="G540" s="30"/>
      <c r="H540" s="31"/>
      <c r="I540" s="40"/>
      <c r="J540" s="31"/>
      <c r="K540" s="40"/>
      <c r="L540" s="31"/>
      <c r="M540" s="40"/>
      <c r="N540" s="31"/>
      <c r="O540" s="40"/>
      <c r="P540" s="31"/>
      <c r="Q540" s="40"/>
      <c r="R540" s="31"/>
      <c r="S540" s="31"/>
      <c r="T540" s="31"/>
      <c r="U540" s="40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>
        <v>21</v>
      </c>
      <c r="AT540" s="31"/>
      <c r="AU540" s="31"/>
      <c r="AV540" s="31"/>
      <c r="AW540" s="31"/>
      <c r="AX540" s="31"/>
      <c r="AY540" s="55">
        <f t="shared" si="77"/>
        <v>21</v>
      </c>
      <c r="AZ540" s="57"/>
      <c r="BA540" s="57"/>
      <c r="BB540" s="57">
        <f>+'[1]25'!R833</f>
        <v>0</v>
      </c>
      <c r="BC540" s="57"/>
      <c r="BD540" s="57"/>
      <c r="BE540" s="57"/>
      <c r="BF540" s="57"/>
      <c r="BG540" s="57"/>
      <c r="BH540" s="57"/>
      <c r="BI540" s="55">
        <f t="shared" si="78"/>
        <v>0</v>
      </c>
      <c r="BJ540" s="69">
        <f t="shared" si="79"/>
        <v>21</v>
      </c>
      <c r="BK540" s="69">
        <f t="shared" si="76"/>
        <v>0</v>
      </c>
      <c r="BM540" s="75"/>
      <c r="BN540" s="57">
        <f t="shared" si="74"/>
        <v>21</v>
      </c>
      <c r="BO540" s="80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9">
        <f t="shared" si="75"/>
        <v>0</v>
      </c>
      <c r="CB540" s="3"/>
      <c r="CD540" s="10"/>
      <c r="CE540" s="11"/>
    </row>
    <row r="541" spans="1:83" s="2" customFormat="1" ht="19.5" thickBot="1" x14ac:dyDescent="0.35">
      <c r="A541" s="17">
        <v>566</v>
      </c>
      <c r="B541" s="135"/>
      <c r="C541" s="18" t="s">
        <v>65</v>
      </c>
      <c r="D541" s="19"/>
      <c r="E541" s="19"/>
      <c r="F541" s="19"/>
      <c r="G541" s="30"/>
      <c r="H541" s="31"/>
      <c r="I541" s="40"/>
      <c r="J541" s="31"/>
      <c r="K541" s="40"/>
      <c r="L541" s="31"/>
      <c r="M541" s="40"/>
      <c r="N541" s="31"/>
      <c r="O541" s="40"/>
      <c r="P541" s="31"/>
      <c r="Q541" s="40"/>
      <c r="R541" s="31"/>
      <c r="S541" s="31"/>
      <c r="T541" s="31"/>
      <c r="U541" s="40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>
        <v>24</v>
      </c>
      <c r="AT541" s="31"/>
      <c r="AU541" s="31"/>
      <c r="AV541" s="31"/>
      <c r="AW541" s="31"/>
      <c r="AX541" s="31"/>
      <c r="AY541" s="55">
        <f t="shared" si="77"/>
        <v>24</v>
      </c>
      <c r="AZ541" s="57"/>
      <c r="BA541" s="57"/>
      <c r="BB541" s="57">
        <f>+'[1]25'!R834</f>
        <v>0</v>
      </c>
      <c r="BC541" s="57"/>
      <c r="BD541" s="57"/>
      <c r="BE541" s="57"/>
      <c r="BF541" s="57"/>
      <c r="BG541" s="57"/>
      <c r="BH541" s="57"/>
      <c r="BI541" s="55">
        <f t="shared" si="78"/>
        <v>0</v>
      </c>
      <c r="BJ541" s="69">
        <f t="shared" si="79"/>
        <v>24</v>
      </c>
      <c r="BK541" s="69">
        <f t="shared" si="76"/>
        <v>0</v>
      </c>
      <c r="BM541" s="75"/>
      <c r="BN541" s="57">
        <f t="shared" si="74"/>
        <v>24</v>
      </c>
      <c r="BO541" s="80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9">
        <f t="shared" si="75"/>
        <v>0</v>
      </c>
      <c r="CB541" s="3"/>
      <c r="CD541" s="10"/>
      <c r="CE541" s="11"/>
    </row>
    <row r="542" spans="1:83" s="2" customFormat="1" ht="19.5" thickBot="1" x14ac:dyDescent="0.35">
      <c r="A542" s="17">
        <v>567</v>
      </c>
      <c r="B542" s="135"/>
      <c r="C542" s="18" t="s">
        <v>66</v>
      </c>
      <c r="D542" s="19"/>
      <c r="E542" s="19"/>
      <c r="F542" s="19"/>
      <c r="G542" s="30"/>
      <c r="H542" s="31"/>
      <c r="I542" s="40"/>
      <c r="J542" s="31"/>
      <c r="K542" s="40"/>
      <c r="L542" s="31"/>
      <c r="M542" s="40"/>
      <c r="N542" s="31"/>
      <c r="O542" s="40"/>
      <c r="P542" s="31"/>
      <c r="Q542" s="40"/>
      <c r="R542" s="31"/>
      <c r="S542" s="31"/>
      <c r="T542" s="31"/>
      <c r="U542" s="40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>
        <v>15</v>
      </c>
      <c r="AT542" s="31"/>
      <c r="AU542" s="31"/>
      <c r="AV542" s="31"/>
      <c r="AW542" s="31"/>
      <c r="AX542" s="31"/>
      <c r="AY542" s="55">
        <f t="shared" si="77"/>
        <v>15</v>
      </c>
      <c r="AZ542" s="57"/>
      <c r="BA542" s="57"/>
      <c r="BB542" s="57">
        <f>+'[1]25'!R835</f>
        <v>0</v>
      </c>
      <c r="BC542" s="57"/>
      <c r="BD542" s="57"/>
      <c r="BE542" s="57"/>
      <c r="BF542" s="57"/>
      <c r="BG542" s="57"/>
      <c r="BH542" s="57"/>
      <c r="BI542" s="55">
        <f t="shared" si="78"/>
        <v>0</v>
      </c>
      <c r="BJ542" s="69">
        <f t="shared" si="79"/>
        <v>15</v>
      </c>
      <c r="BK542" s="69">
        <f t="shared" si="76"/>
        <v>0</v>
      </c>
      <c r="BM542" s="75"/>
      <c r="BN542" s="57">
        <f t="shared" si="74"/>
        <v>15</v>
      </c>
      <c r="BO542" s="80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9">
        <f t="shared" si="75"/>
        <v>0</v>
      </c>
      <c r="CB542" s="3"/>
      <c r="CD542" s="10"/>
      <c r="CE542" s="11"/>
    </row>
    <row r="543" spans="1:83" s="2" customFormat="1" ht="19.5" thickBot="1" x14ac:dyDescent="0.35">
      <c r="A543" s="17">
        <v>568</v>
      </c>
      <c r="B543" s="135"/>
      <c r="C543" s="18" t="s">
        <v>67</v>
      </c>
      <c r="D543" s="19"/>
      <c r="E543" s="19"/>
      <c r="F543" s="19"/>
      <c r="G543" s="30"/>
      <c r="H543" s="31"/>
      <c r="I543" s="40"/>
      <c r="J543" s="31"/>
      <c r="K543" s="40"/>
      <c r="L543" s="31"/>
      <c r="M543" s="40"/>
      <c r="N543" s="31"/>
      <c r="O543" s="40"/>
      <c r="P543" s="31"/>
      <c r="Q543" s="40"/>
      <c r="R543" s="31"/>
      <c r="S543" s="31"/>
      <c r="T543" s="31"/>
      <c r="U543" s="40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>
        <v>12</v>
      </c>
      <c r="AT543" s="31"/>
      <c r="AU543" s="31"/>
      <c r="AV543" s="31"/>
      <c r="AW543" s="31"/>
      <c r="AX543" s="31"/>
      <c r="AY543" s="55">
        <f t="shared" si="77"/>
        <v>12</v>
      </c>
      <c r="AZ543" s="57"/>
      <c r="BA543" s="57"/>
      <c r="BB543" s="57">
        <f>+'[1]25'!R836</f>
        <v>0</v>
      </c>
      <c r="BC543" s="57"/>
      <c r="BD543" s="57"/>
      <c r="BE543" s="57"/>
      <c r="BF543" s="57"/>
      <c r="BG543" s="57"/>
      <c r="BH543" s="57"/>
      <c r="BI543" s="55">
        <f t="shared" si="78"/>
        <v>0</v>
      </c>
      <c r="BJ543" s="69">
        <f t="shared" si="79"/>
        <v>12</v>
      </c>
      <c r="BK543" s="69">
        <f t="shared" si="76"/>
        <v>0</v>
      </c>
      <c r="BM543" s="75"/>
      <c r="BN543" s="57">
        <f t="shared" si="74"/>
        <v>12</v>
      </c>
      <c r="BO543" s="80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9">
        <f t="shared" si="75"/>
        <v>0</v>
      </c>
      <c r="CB543" s="3"/>
      <c r="CD543" s="10"/>
      <c r="CE543" s="11"/>
    </row>
    <row r="544" spans="1:83" s="2" customFormat="1" ht="19.5" thickBot="1" x14ac:dyDescent="0.35">
      <c r="A544" s="17">
        <v>569</v>
      </c>
      <c r="B544" s="135"/>
      <c r="C544" s="18" t="s">
        <v>68</v>
      </c>
      <c r="D544" s="19"/>
      <c r="E544" s="19"/>
      <c r="F544" s="19"/>
      <c r="G544" s="30"/>
      <c r="H544" s="31"/>
      <c r="I544" s="40"/>
      <c r="J544" s="31"/>
      <c r="K544" s="40"/>
      <c r="L544" s="31"/>
      <c r="M544" s="40"/>
      <c r="N544" s="31"/>
      <c r="O544" s="40"/>
      <c r="P544" s="31"/>
      <c r="Q544" s="40"/>
      <c r="R544" s="31"/>
      <c r="S544" s="31"/>
      <c r="T544" s="31"/>
      <c r="U544" s="40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>
        <v>9</v>
      </c>
      <c r="AT544" s="31"/>
      <c r="AU544" s="31"/>
      <c r="AV544" s="31"/>
      <c r="AW544" s="31"/>
      <c r="AX544" s="31"/>
      <c r="AY544" s="55">
        <f t="shared" si="77"/>
        <v>9</v>
      </c>
      <c r="AZ544" s="57"/>
      <c r="BA544" s="57"/>
      <c r="BB544" s="57">
        <f>+'[1]25'!R837</f>
        <v>0</v>
      </c>
      <c r="BC544" s="57"/>
      <c r="BD544" s="57"/>
      <c r="BE544" s="57"/>
      <c r="BF544" s="57"/>
      <c r="BG544" s="57"/>
      <c r="BH544" s="57"/>
      <c r="BI544" s="55">
        <f t="shared" si="78"/>
        <v>0</v>
      </c>
      <c r="BJ544" s="69">
        <f t="shared" si="79"/>
        <v>9</v>
      </c>
      <c r="BK544" s="69">
        <f t="shared" si="76"/>
        <v>0</v>
      </c>
      <c r="BM544" s="75"/>
      <c r="BN544" s="57">
        <f t="shared" si="74"/>
        <v>9</v>
      </c>
      <c r="BO544" s="80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9">
        <f t="shared" si="75"/>
        <v>0</v>
      </c>
      <c r="CB544" s="3"/>
      <c r="CD544" s="10"/>
      <c r="CE544" s="11"/>
    </row>
    <row r="545" spans="1:83" s="2" customFormat="1" ht="19.5" thickBot="1" x14ac:dyDescent="0.35">
      <c r="A545" s="17">
        <v>570</v>
      </c>
      <c r="B545" s="135"/>
      <c r="C545" s="20" t="s">
        <v>69</v>
      </c>
      <c r="D545" s="21"/>
      <c r="E545" s="21"/>
      <c r="F545" s="21"/>
      <c r="G545" s="32"/>
      <c r="H545" s="33"/>
      <c r="I545" s="41"/>
      <c r="J545" s="33"/>
      <c r="K545" s="41"/>
      <c r="L545" s="33"/>
      <c r="M545" s="41"/>
      <c r="N545" s="33"/>
      <c r="O545" s="41"/>
      <c r="P545" s="33"/>
      <c r="Q545" s="41"/>
      <c r="R545" s="33"/>
      <c r="S545" s="33"/>
      <c r="T545" s="33"/>
      <c r="U545" s="41"/>
      <c r="V545" s="33"/>
      <c r="W545" s="33"/>
      <c r="X545" s="33"/>
      <c r="Y545" s="33"/>
      <c r="Z545" s="33"/>
      <c r="AA545" s="33"/>
      <c r="AB545" s="33"/>
      <c r="AC545" s="33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>
        <v>6</v>
      </c>
      <c r="AT545" s="47"/>
      <c r="AU545" s="47"/>
      <c r="AV545" s="47"/>
      <c r="AW545" s="47"/>
      <c r="AX545" s="47"/>
      <c r="AY545" s="55">
        <f t="shared" si="77"/>
        <v>6</v>
      </c>
      <c r="AZ545" s="59"/>
      <c r="BA545" s="60"/>
      <c r="BB545" s="60">
        <f>+'[1]25'!R838</f>
        <v>0</v>
      </c>
      <c r="BC545" s="60"/>
      <c r="BD545" s="60"/>
      <c r="BE545" s="60"/>
      <c r="BF545" s="60"/>
      <c r="BG545" s="60"/>
      <c r="BH545" s="60"/>
      <c r="BI545" s="58">
        <f t="shared" si="78"/>
        <v>0</v>
      </c>
      <c r="BJ545" s="70">
        <f t="shared" si="79"/>
        <v>6</v>
      </c>
      <c r="BK545" s="70">
        <f t="shared" si="76"/>
        <v>0</v>
      </c>
      <c r="BL545" s="76"/>
      <c r="BM545" s="77"/>
      <c r="BN545" s="60">
        <f t="shared" si="74"/>
        <v>6</v>
      </c>
      <c r="BO545" s="82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9">
        <f t="shared" si="75"/>
        <v>0</v>
      </c>
      <c r="CB545" s="3"/>
      <c r="CD545" s="10"/>
      <c r="CE545" s="11"/>
    </row>
    <row r="546" spans="1:83" s="2" customFormat="1" ht="19.5" thickBot="1" x14ac:dyDescent="0.35">
      <c r="A546" s="17">
        <v>571</v>
      </c>
      <c r="B546" s="134" t="s">
        <v>162</v>
      </c>
      <c r="C546" s="18" t="s">
        <v>82</v>
      </c>
      <c r="D546" s="19"/>
      <c r="E546" s="19"/>
      <c r="F546" s="19"/>
      <c r="G546" s="30"/>
      <c r="H546" s="31"/>
      <c r="I546" s="40"/>
      <c r="J546" s="31"/>
      <c r="K546" s="40"/>
      <c r="L546" s="31"/>
      <c r="M546" s="40"/>
      <c r="N546" s="31"/>
      <c r="O546" s="40"/>
      <c r="P546" s="31"/>
      <c r="Q546" s="40"/>
      <c r="R546" s="31"/>
      <c r="S546" s="31"/>
      <c r="T546" s="31"/>
      <c r="U546" s="40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>
        <v>6</v>
      </c>
      <c r="AP546" s="31"/>
      <c r="AQ546" s="31"/>
      <c r="AR546" s="31"/>
      <c r="AS546" s="31"/>
      <c r="AT546" s="31"/>
      <c r="AU546" s="31"/>
      <c r="AV546" s="31"/>
      <c r="AW546" s="31"/>
      <c r="AX546" s="31"/>
      <c r="AY546" s="55">
        <f t="shared" si="77"/>
        <v>6</v>
      </c>
      <c r="AZ546" s="57"/>
      <c r="BA546" s="57"/>
      <c r="BB546" s="57">
        <f>+'[1]25'!R831</f>
        <v>0</v>
      </c>
      <c r="BC546" s="57">
        <v>1</v>
      </c>
      <c r="BD546" s="57"/>
      <c r="BE546" s="57"/>
      <c r="BF546" s="57"/>
      <c r="BG546" s="57"/>
      <c r="BH546" s="57"/>
      <c r="BI546" s="55">
        <f t="shared" si="78"/>
        <v>1</v>
      </c>
      <c r="BJ546" s="69">
        <f t="shared" si="79"/>
        <v>5</v>
      </c>
      <c r="BK546" s="69">
        <f t="shared" si="76"/>
        <v>0</v>
      </c>
      <c r="BM546" s="75"/>
      <c r="BN546" s="57">
        <f t="shared" si="74"/>
        <v>3</v>
      </c>
      <c r="BO546" s="80"/>
      <c r="BP546" s="81"/>
      <c r="BQ546" s="81">
        <v>1</v>
      </c>
      <c r="BR546" s="81">
        <v>1</v>
      </c>
      <c r="BS546" s="81"/>
      <c r="BT546" s="81"/>
      <c r="BU546" s="81"/>
      <c r="BV546" s="81"/>
      <c r="BW546" s="81"/>
      <c r="BX546" s="81"/>
      <c r="BY546" s="81"/>
      <c r="BZ546" s="9">
        <f t="shared" si="75"/>
        <v>2</v>
      </c>
      <c r="CB546" s="3"/>
      <c r="CD546" s="10"/>
      <c r="CE546" s="11"/>
    </row>
    <row r="547" spans="1:83" s="2" customFormat="1" ht="19.5" thickBot="1" x14ac:dyDescent="0.35">
      <c r="A547" s="17">
        <v>572</v>
      </c>
      <c r="B547" s="135"/>
      <c r="C547" s="18" t="s">
        <v>83</v>
      </c>
      <c r="D547" s="19"/>
      <c r="E547" s="19"/>
      <c r="F547" s="19"/>
      <c r="G547" s="30"/>
      <c r="H547" s="31"/>
      <c r="I547" s="40"/>
      <c r="J547" s="31"/>
      <c r="K547" s="40"/>
      <c r="L547" s="31"/>
      <c r="M547" s="40"/>
      <c r="N547" s="31"/>
      <c r="O547" s="40"/>
      <c r="P547" s="31"/>
      <c r="Q547" s="40"/>
      <c r="R547" s="31"/>
      <c r="S547" s="31"/>
      <c r="T547" s="31"/>
      <c r="U547" s="40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>
        <v>18</v>
      </c>
      <c r="AP547" s="31"/>
      <c r="AQ547" s="31"/>
      <c r="AR547" s="31"/>
      <c r="AS547" s="31"/>
      <c r="AT547" s="31"/>
      <c r="AU547" s="31"/>
      <c r="AV547" s="31"/>
      <c r="AW547" s="31"/>
      <c r="AX547" s="31"/>
      <c r="AY547" s="55">
        <f t="shared" si="77"/>
        <v>18</v>
      </c>
      <c r="AZ547" s="57"/>
      <c r="BA547" s="57"/>
      <c r="BB547" s="57">
        <f>+'[1]25'!R832</f>
        <v>0</v>
      </c>
      <c r="BC547" s="57">
        <v>6</v>
      </c>
      <c r="BD547" s="57"/>
      <c r="BE547" s="57"/>
      <c r="BF547" s="57"/>
      <c r="BG547" s="57"/>
      <c r="BH547" s="57"/>
      <c r="BI547" s="55">
        <f t="shared" si="78"/>
        <v>6</v>
      </c>
      <c r="BJ547" s="69">
        <f t="shared" si="79"/>
        <v>12</v>
      </c>
      <c r="BK547" s="69">
        <f t="shared" si="76"/>
        <v>0</v>
      </c>
      <c r="BM547" s="75"/>
      <c r="BN547" s="57">
        <f t="shared" si="74"/>
        <v>7</v>
      </c>
      <c r="BO547" s="80"/>
      <c r="BP547" s="81">
        <v>1</v>
      </c>
      <c r="BQ547" s="81">
        <v>1</v>
      </c>
      <c r="BR547" s="81">
        <v>1</v>
      </c>
      <c r="BS547" s="81">
        <v>1</v>
      </c>
      <c r="BT547" s="81">
        <v>1</v>
      </c>
      <c r="BU547" s="81"/>
      <c r="BV547" s="81"/>
      <c r="BW547" s="81"/>
      <c r="BX547" s="81"/>
      <c r="BY547" s="81"/>
      <c r="BZ547" s="9">
        <f t="shared" si="75"/>
        <v>5</v>
      </c>
      <c r="CB547" s="3"/>
      <c r="CD547" s="10"/>
      <c r="CE547" s="11"/>
    </row>
    <row r="548" spans="1:83" s="2" customFormat="1" ht="19.5" thickBot="1" x14ac:dyDescent="0.35">
      <c r="A548" s="17">
        <v>573</v>
      </c>
      <c r="B548" s="135"/>
      <c r="C548" s="18" t="s">
        <v>84</v>
      </c>
      <c r="D548" s="19"/>
      <c r="E548" s="19"/>
      <c r="F548" s="19"/>
      <c r="G548" s="30"/>
      <c r="H548" s="31"/>
      <c r="I548" s="40"/>
      <c r="J548" s="31"/>
      <c r="K548" s="40"/>
      <c r="L548" s="31"/>
      <c r="M548" s="40"/>
      <c r="N548" s="31"/>
      <c r="O548" s="40"/>
      <c r="P548" s="31"/>
      <c r="Q548" s="40"/>
      <c r="R548" s="31"/>
      <c r="S548" s="31"/>
      <c r="T548" s="31"/>
      <c r="U548" s="40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>
        <v>24</v>
      </c>
      <c r="AP548" s="31"/>
      <c r="AQ548" s="31"/>
      <c r="AR548" s="31"/>
      <c r="AS548" s="31"/>
      <c r="AT548" s="31"/>
      <c r="AU548" s="31"/>
      <c r="AV548" s="31"/>
      <c r="AW548" s="31"/>
      <c r="AX548" s="31"/>
      <c r="AY548" s="55">
        <f t="shared" si="77"/>
        <v>24</v>
      </c>
      <c r="AZ548" s="57"/>
      <c r="BA548" s="57"/>
      <c r="BB548" s="57">
        <f>+'[1]25'!R833</f>
        <v>0</v>
      </c>
      <c r="BC548" s="57">
        <v>14</v>
      </c>
      <c r="BD548" s="57"/>
      <c r="BE548" s="57"/>
      <c r="BF548" s="57"/>
      <c r="BG548" s="57"/>
      <c r="BH548" s="57"/>
      <c r="BI548" s="55">
        <f t="shared" si="78"/>
        <v>14</v>
      </c>
      <c r="BJ548" s="69">
        <f t="shared" si="79"/>
        <v>10</v>
      </c>
      <c r="BK548" s="69">
        <f t="shared" si="76"/>
        <v>0</v>
      </c>
      <c r="BM548" s="75"/>
      <c r="BN548" s="57">
        <f t="shared" si="74"/>
        <v>5</v>
      </c>
      <c r="BO548" s="80"/>
      <c r="BP548" s="81">
        <v>1</v>
      </c>
      <c r="BQ548" s="81"/>
      <c r="BR548" s="81">
        <v>2</v>
      </c>
      <c r="BS548" s="81">
        <v>1</v>
      </c>
      <c r="BT548" s="81">
        <v>1</v>
      </c>
      <c r="BU548" s="81"/>
      <c r="BV548" s="81"/>
      <c r="BW548" s="81"/>
      <c r="BX548" s="81"/>
      <c r="BY548" s="81"/>
      <c r="BZ548" s="9">
        <f t="shared" si="75"/>
        <v>5</v>
      </c>
      <c r="CB548" s="3"/>
      <c r="CD548" s="10"/>
      <c r="CE548" s="11"/>
    </row>
    <row r="549" spans="1:83" s="2" customFormat="1" ht="19.5" thickBot="1" x14ac:dyDescent="0.35">
      <c r="A549" s="17">
        <v>574</v>
      </c>
      <c r="B549" s="135"/>
      <c r="C549" s="18" t="s">
        <v>85</v>
      </c>
      <c r="D549" s="19"/>
      <c r="E549" s="19"/>
      <c r="F549" s="19"/>
      <c r="G549" s="30"/>
      <c r="H549" s="31"/>
      <c r="I549" s="40"/>
      <c r="J549" s="31"/>
      <c r="K549" s="40"/>
      <c r="L549" s="31"/>
      <c r="M549" s="40"/>
      <c r="N549" s="31"/>
      <c r="O549" s="40"/>
      <c r="P549" s="31"/>
      <c r="Q549" s="40"/>
      <c r="R549" s="31"/>
      <c r="S549" s="31"/>
      <c r="T549" s="31"/>
      <c r="U549" s="40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>
        <v>30</v>
      </c>
      <c r="AP549" s="31"/>
      <c r="AQ549" s="31"/>
      <c r="AR549" s="31"/>
      <c r="AS549" s="31"/>
      <c r="AT549" s="31"/>
      <c r="AU549" s="31"/>
      <c r="AV549" s="31"/>
      <c r="AW549" s="31"/>
      <c r="AX549" s="31"/>
      <c r="AY549" s="55">
        <f t="shared" si="77"/>
        <v>30</v>
      </c>
      <c r="AZ549" s="57"/>
      <c r="BA549" s="57"/>
      <c r="BB549" s="57">
        <f>+'[1]25'!R834</f>
        <v>0</v>
      </c>
      <c r="BC549" s="57">
        <v>10</v>
      </c>
      <c r="BD549" s="57"/>
      <c r="BE549" s="57"/>
      <c r="BF549" s="57"/>
      <c r="BG549" s="57"/>
      <c r="BH549" s="57"/>
      <c r="BI549" s="55">
        <f t="shared" si="78"/>
        <v>10</v>
      </c>
      <c r="BJ549" s="69">
        <f t="shared" si="79"/>
        <v>20</v>
      </c>
      <c r="BK549" s="69">
        <f t="shared" si="76"/>
        <v>0</v>
      </c>
      <c r="BM549" s="75"/>
      <c r="BN549" s="57">
        <f t="shared" si="74"/>
        <v>13</v>
      </c>
      <c r="BO549" s="80"/>
      <c r="BP549" s="81">
        <v>1</v>
      </c>
      <c r="BQ549" s="81">
        <v>2</v>
      </c>
      <c r="BR549" s="81">
        <v>2</v>
      </c>
      <c r="BS549" s="81">
        <v>1</v>
      </c>
      <c r="BT549" s="81">
        <v>1</v>
      </c>
      <c r="BU549" s="81"/>
      <c r="BV549" s="81"/>
      <c r="BW549" s="81"/>
      <c r="BX549" s="81"/>
      <c r="BY549" s="81"/>
      <c r="BZ549" s="9">
        <f t="shared" si="75"/>
        <v>7</v>
      </c>
      <c r="CB549" s="3"/>
      <c r="CD549" s="10"/>
      <c r="CE549" s="11"/>
    </row>
    <row r="550" spans="1:83" s="2" customFormat="1" ht="19.5" thickBot="1" x14ac:dyDescent="0.35">
      <c r="A550" s="17">
        <v>575</v>
      </c>
      <c r="B550" s="135"/>
      <c r="C550" s="18" t="s">
        <v>86</v>
      </c>
      <c r="D550" s="19"/>
      <c r="E550" s="19"/>
      <c r="F550" s="19"/>
      <c r="G550" s="30"/>
      <c r="H550" s="31"/>
      <c r="I550" s="40"/>
      <c r="J550" s="31"/>
      <c r="K550" s="40"/>
      <c r="L550" s="31"/>
      <c r="M550" s="40"/>
      <c r="N550" s="31"/>
      <c r="O550" s="40"/>
      <c r="P550" s="31"/>
      <c r="Q550" s="40"/>
      <c r="R550" s="31"/>
      <c r="S550" s="31"/>
      <c r="T550" s="31"/>
      <c r="U550" s="40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>
        <v>18</v>
      </c>
      <c r="AP550" s="31"/>
      <c r="AQ550" s="31"/>
      <c r="AR550" s="31"/>
      <c r="AS550" s="31"/>
      <c r="AT550" s="31"/>
      <c r="AU550" s="31"/>
      <c r="AV550" s="31"/>
      <c r="AW550" s="31"/>
      <c r="AX550" s="31"/>
      <c r="AY550" s="55">
        <f t="shared" si="77"/>
        <v>18</v>
      </c>
      <c r="AZ550" s="57"/>
      <c r="BA550" s="57"/>
      <c r="BB550" s="57">
        <f>+'[1]25'!R835</f>
        <v>0</v>
      </c>
      <c r="BC550" s="57">
        <v>11</v>
      </c>
      <c r="BD550" s="57"/>
      <c r="BE550" s="57"/>
      <c r="BF550" s="57"/>
      <c r="BG550" s="57"/>
      <c r="BH550" s="57"/>
      <c r="BI550" s="55">
        <f t="shared" si="78"/>
        <v>11</v>
      </c>
      <c r="BJ550" s="69">
        <f t="shared" si="79"/>
        <v>7</v>
      </c>
      <c r="BK550" s="69">
        <f t="shared" si="76"/>
        <v>0</v>
      </c>
      <c r="BM550" s="75"/>
      <c r="BN550" s="57">
        <f t="shared" si="74"/>
        <v>3</v>
      </c>
      <c r="BO550" s="80"/>
      <c r="BP550" s="81"/>
      <c r="BQ550" s="81">
        <v>1</v>
      </c>
      <c r="BR550" s="81">
        <v>1</v>
      </c>
      <c r="BS550" s="81">
        <v>1</v>
      </c>
      <c r="BT550" s="81">
        <v>1</v>
      </c>
      <c r="BU550" s="81"/>
      <c r="BV550" s="81"/>
      <c r="BW550" s="81"/>
      <c r="BX550" s="81"/>
      <c r="BY550" s="81"/>
      <c r="BZ550" s="9">
        <f t="shared" si="75"/>
        <v>4</v>
      </c>
      <c r="CB550" s="3"/>
      <c r="CD550" s="10"/>
      <c r="CE550" s="11"/>
    </row>
    <row r="551" spans="1:83" s="2" customFormat="1" ht="19.5" thickBot="1" x14ac:dyDescent="0.35">
      <c r="A551" s="17">
        <v>576</v>
      </c>
      <c r="B551" s="135"/>
      <c r="C551" s="18" t="s">
        <v>87</v>
      </c>
      <c r="D551" s="19"/>
      <c r="E551" s="19"/>
      <c r="F551" s="19"/>
      <c r="G551" s="30"/>
      <c r="H551" s="31"/>
      <c r="I551" s="40"/>
      <c r="J551" s="31"/>
      <c r="K551" s="40"/>
      <c r="L551" s="31"/>
      <c r="M551" s="40"/>
      <c r="N551" s="31"/>
      <c r="O551" s="40"/>
      <c r="P551" s="31"/>
      <c r="Q551" s="40"/>
      <c r="R551" s="31"/>
      <c r="S551" s="31"/>
      <c r="T551" s="31"/>
      <c r="U551" s="40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>
        <v>9</v>
      </c>
      <c r="AP551" s="31"/>
      <c r="AQ551" s="31"/>
      <c r="AR551" s="31"/>
      <c r="AS551" s="31"/>
      <c r="AT551" s="31"/>
      <c r="AU551" s="31"/>
      <c r="AV551" s="31"/>
      <c r="AW551" s="31"/>
      <c r="AX551" s="31"/>
      <c r="AY551" s="55">
        <f t="shared" si="77"/>
        <v>9</v>
      </c>
      <c r="AZ551" s="57"/>
      <c r="BA551" s="57"/>
      <c r="BB551" s="57">
        <f>+'[1]25'!R836</f>
        <v>0</v>
      </c>
      <c r="BC551" s="57">
        <v>4</v>
      </c>
      <c r="BD551" s="57"/>
      <c r="BE551" s="57"/>
      <c r="BF551" s="57"/>
      <c r="BG551" s="57"/>
      <c r="BH551" s="57"/>
      <c r="BI551" s="55">
        <f t="shared" si="78"/>
        <v>4</v>
      </c>
      <c r="BJ551" s="69">
        <f t="shared" si="79"/>
        <v>5</v>
      </c>
      <c r="BK551" s="69">
        <f t="shared" si="76"/>
        <v>0</v>
      </c>
      <c r="BM551" s="75"/>
      <c r="BN551" s="57">
        <f t="shared" si="74"/>
        <v>1</v>
      </c>
      <c r="BO551" s="80"/>
      <c r="BP551" s="81">
        <v>1</v>
      </c>
      <c r="BQ551" s="81">
        <v>1</v>
      </c>
      <c r="BR551" s="81">
        <v>2</v>
      </c>
      <c r="BS551" s="81"/>
      <c r="BT551" s="81"/>
      <c r="BU551" s="81"/>
      <c r="BV551" s="81"/>
      <c r="BW551" s="81"/>
      <c r="BX551" s="81"/>
      <c r="BY551" s="81"/>
      <c r="BZ551" s="9">
        <f t="shared" si="75"/>
        <v>4</v>
      </c>
      <c r="CB551" s="3"/>
      <c r="CD551" s="10"/>
      <c r="CE551" s="11"/>
    </row>
    <row r="552" spans="1:83" s="2" customFormat="1" ht="19.5" thickBot="1" x14ac:dyDescent="0.35">
      <c r="A552" s="17">
        <v>577</v>
      </c>
      <c r="B552" s="135"/>
      <c r="C552" s="20" t="s">
        <v>88</v>
      </c>
      <c r="D552" s="21"/>
      <c r="E552" s="21"/>
      <c r="F552" s="21"/>
      <c r="G552" s="32"/>
      <c r="H552" s="33"/>
      <c r="I552" s="41"/>
      <c r="J552" s="33"/>
      <c r="K552" s="41"/>
      <c r="L552" s="33"/>
      <c r="M552" s="41"/>
      <c r="N552" s="33"/>
      <c r="O552" s="41"/>
      <c r="P552" s="33"/>
      <c r="Q552" s="41"/>
      <c r="R552" s="33"/>
      <c r="S552" s="33"/>
      <c r="T552" s="33"/>
      <c r="U552" s="41"/>
      <c r="V552" s="33"/>
      <c r="W552" s="33"/>
      <c r="X552" s="33"/>
      <c r="Y552" s="33"/>
      <c r="Z552" s="33"/>
      <c r="AA552" s="33"/>
      <c r="AB552" s="33"/>
      <c r="AC552" s="33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>
        <v>3</v>
      </c>
      <c r="AP552" s="47"/>
      <c r="AQ552" s="47"/>
      <c r="AR552" s="47"/>
      <c r="AS552" s="47"/>
      <c r="AT552" s="47"/>
      <c r="AU552" s="47"/>
      <c r="AV552" s="47"/>
      <c r="AW552" s="47"/>
      <c r="AX552" s="47"/>
      <c r="AY552" s="55">
        <f t="shared" si="77"/>
        <v>3</v>
      </c>
      <c r="AZ552" s="59"/>
      <c r="BA552" s="60"/>
      <c r="BB552" s="60">
        <f>+'[1]25'!R837</f>
        <v>0</v>
      </c>
      <c r="BC552" s="60">
        <v>1</v>
      </c>
      <c r="BD552" s="60"/>
      <c r="BE552" s="60"/>
      <c r="BF552" s="60"/>
      <c r="BG552" s="60"/>
      <c r="BH552" s="60"/>
      <c r="BI552" s="58">
        <f t="shared" si="78"/>
        <v>1</v>
      </c>
      <c r="BJ552" s="70">
        <f t="shared" si="79"/>
        <v>2</v>
      </c>
      <c r="BK552" s="70">
        <f t="shared" si="76"/>
        <v>0</v>
      </c>
      <c r="BL552" s="76"/>
      <c r="BM552" s="77"/>
      <c r="BN552" s="60">
        <f t="shared" si="74"/>
        <v>0</v>
      </c>
      <c r="BO552" s="82"/>
      <c r="BP552" s="83">
        <v>1</v>
      </c>
      <c r="BQ552" s="83">
        <v>1</v>
      </c>
      <c r="BR552" s="83"/>
      <c r="BS552" s="83"/>
      <c r="BT552" s="83"/>
      <c r="BU552" s="83"/>
      <c r="BV552" s="83"/>
      <c r="BW552" s="83"/>
      <c r="BX552" s="83"/>
      <c r="BY552" s="83"/>
      <c r="BZ552" s="9">
        <f t="shared" si="75"/>
        <v>2</v>
      </c>
      <c r="CB552" s="3"/>
      <c r="CD552" s="10"/>
      <c r="CE552" s="11"/>
    </row>
    <row r="553" spans="1:83" s="2" customFormat="1" ht="19.5" thickBot="1" x14ac:dyDescent="0.35">
      <c r="A553" s="17">
        <v>578</v>
      </c>
      <c r="B553" s="134" t="s">
        <v>163</v>
      </c>
      <c r="C553" s="18" t="s">
        <v>82</v>
      </c>
      <c r="D553" s="19"/>
      <c r="E553" s="19"/>
      <c r="F553" s="19"/>
      <c r="G553" s="30"/>
      <c r="H553" s="31"/>
      <c r="I553" s="40"/>
      <c r="J553" s="31"/>
      <c r="K553" s="40"/>
      <c r="L553" s="31"/>
      <c r="M553" s="40"/>
      <c r="N553" s="31"/>
      <c r="O553" s="40"/>
      <c r="P553" s="31"/>
      <c r="Q553" s="40"/>
      <c r="R553" s="31"/>
      <c r="S553" s="31"/>
      <c r="T553" s="31"/>
      <c r="U553" s="40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>
        <v>6</v>
      </c>
      <c r="AP553" s="31"/>
      <c r="AQ553" s="31"/>
      <c r="AR553" s="31"/>
      <c r="AS553" s="31"/>
      <c r="AT553" s="31"/>
      <c r="AU553" s="31"/>
      <c r="AV553" s="31"/>
      <c r="AW553" s="31"/>
      <c r="AX553" s="31"/>
      <c r="AY553" s="55">
        <f t="shared" si="77"/>
        <v>6</v>
      </c>
      <c r="AZ553" s="57"/>
      <c r="BA553" s="57"/>
      <c r="BB553" s="57">
        <f>+'[1]25'!R838</f>
        <v>0</v>
      </c>
      <c r="BC553" s="57">
        <v>1</v>
      </c>
      <c r="BD553" s="57"/>
      <c r="BE553" s="57"/>
      <c r="BF553" s="57"/>
      <c r="BG553" s="57"/>
      <c r="BH553" s="57"/>
      <c r="BI553" s="55">
        <f t="shared" si="78"/>
        <v>1</v>
      </c>
      <c r="BJ553" s="69">
        <f t="shared" si="79"/>
        <v>5</v>
      </c>
      <c r="BK553" s="69">
        <f t="shared" si="76"/>
        <v>0</v>
      </c>
      <c r="BM553" s="75"/>
      <c r="BN553" s="57">
        <f t="shared" si="74"/>
        <v>2</v>
      </c>
      <c r="BO553" s="80"/>
      <c r="BP553" s="81">
        <v>1</v>
      </c>
      <c r="BQ553" s="81">
        <v>1</v>
      </c>
      <c r="BR553" s="81">
        <v>1</v>
      </c>
      <c r="BS553" s="81"/>
      <c r="BT553" s="81"/>
      <c r="BU553" s="81"/>
      <c r="BV553" s="81"/>
      <c r="BW553" s="81"/>
      <c r="BX553" s="81"/>
      <c r="BY553" s="81"/>
      <c r="BZ553" s="9">
        <f t="shared" si="75"/>
        <v>3</v>
      </c>
      <c r="CB553" s="3"/>
      <c r="CD553" s="10"/>
      <c r="CE553" s="11"/>
    </row>
    <row r="554" spans="1:83" s="2" customFormat="1" ht="19.5" thickBot="1" x14ac:dyDescent="0.35">
      <c r="A554" s="17">
        <v>579</v>
      </c>
      <c r="B554" s="135"/>
      <c r="C554" s="18" t="s">
        <v>83</v>
      </c>
      <c r="D554" s="19"/>
      <c r="E554" s="19"/>
      <c r="F554" s="19"/>
      <c r="G554" s="30"/>
      <c r="H554" s="31"/>
      <c r="I554" s="40"/>
      <c r="J554" s="31"/>
      <c r="K554" s="40"/>
      <c r="L554" s="31"/>
      <c r="M554" s="40"/>
      <c r="N554" s="31"/>
      <c r="O554" s="40"/>
      <c r="P554" s="31"/>
      <c r="Q554" s="40"/>
      <c r="R554" s="31"/>
      <c r="S554" s="31"/>
      <c r="T554" s="31"/>
      <c r="U554" s="40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>
        <v>21</v>
      </c>
      <c r="AP554" s="31"/>
      <c r="AQ554" s="31"/>
      <c r="AR554" s="31"/>
      <c r="AS554" s="31"/>
      <c r="AT554" s="31"/>
      <c r="AU554" s="31"/>
      <c r="AV554" s="31"/>
      <c r="AW554" s="31"/>
      <c r="AX554" s="31"/>
      <c r="AY554" s="55">
        <f t="shared" si="77"/>
        <v>21</v>
      </c>
      <c r="AZ554" s="57"/>
      <c r="BA554" s="57"/>
      <c r="BB554" s="57">
        <f>+'[1]25'!R839</f>
        <v>0</v>
      </c>
      <c r="BC554" s="57">
        <v>8</v>
      </c>
      <c r="BD554" s="57"/>
      <c r="BE554" s="57"/>
      <c r="BF554" s="57"/>
      <c r="BG554" s="57"/>
      <c r="BH554" s="57"/>
      <c r="BI554" s="55">
        <f t="shared" si="78"/>
        <v>8</v>
      </c>
      <c r="BJ554" s="69">
        <f t="shared" si="79"/>
        <v>13</v>
      </c>
      <c r="BK554" s="69">
        <f t="shared" si="76"/>
        <v>0</v>
      </c>
      <c r="BM554" s="75"/>
      <c r="BN554" s="57">
        <f t="shared" si="74"/>
        <v>9</v>
      </c>
      <c r="BO554" s="80"/>
      <c r="BP554" s="81">
        <v>1</v>
      </c>
      <c r="BQ554" s="81">
        <v>1</v>
      </c>
      <c r="BR554" s="81"/>
      <c r="BS554" s="81">
        <v>1</v>
      </c>
      <c r="BT554" s="81">
        <v>1</v>
      </c>
      <c r="BU554" s="81"/>
      <c r="BV554" s="81"/>
      <c r="BW554" s="81"/>
      <c r="BX554" s="81"/>
      <c r="BY554" s="81"/>
      <c r="BZ554" s="9">
        <f t="shared" si="75"/>
        <v>4</v>
      </c>
      <c r="CB554" s="3"/>
      <c r="CD554" s="10"/>
      <c r="CE554" s="11"/>
    </row>
    <row r="555" spans="1:83" s="2" customFormat="1" ht="19.5" thickBot="1" x14ac:dyDescent="0.35">
      <c r="A555" s="17">
        <v>580</v>
      </c>
      <c r="B555" s="135"/>
      <c r="C555" s="18" t="s">
        <v>84</v>
      </c>
      <c r="D555" s="19"/>
      <c r="E555" s="19"/>
      <c r="F555" s="19"/>
      <c r="G555" s="30"/>
      <c r="H555" s="31"/>
      <c r="I555" s="40"/>
      <c r="J555" s="31"/>
      <c r="K555" s="40"/>
      <c r="L555" s="31"/>
      <c r="M555" s="40"/>
      <c r="N555" s="31"/>
      <c r="O555" s="40"/>
      <c r="P555" s="31"/>
      <c r="Q555" s="40"/>
      <c r="R555" s="31"/>
      <c r="S555" s="31"/>
      <c r="T555" s="31"/>
      <c r="U555" s="40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>
        <v>24</v>
      </c>
      <c r="AP555" s="31"/>
      <c r="AQ555" s="31"/>
      <c r="AR555" s="31"/>
      <c r="AS555" s="31"/>
      <c r="AT555" s="31"/>
      <c r="AU555" s="31"/>
      <c r="AV555" s="31"/>
      <c r="AW555" s="31"/>
      <c r="AX555" s="31"/>
      <c r="AY555" s="55">
        <f t="shared" si="77"/>
        <v>24</v>
      </c>
      <c r="AZ555" s="57"/>
      <c r="BA555" s="57"/>
      <c r="BB555" s="57">
        <f>+'[1]25'!R840</f>
        <v>0</v>
      </c>
      <c r="BC555" s="57">
        <v>6</v>
      </c>
      <c r="BD555" s="57"/>
      <c r="BE555" s="57"/>
      <c r="BF555" s="57"/>
      <c r="BG555" s="57"/>
      <c r="BH555" s="57"/>
      <c r="BI555" s="55">
        <f t="shared" si="78"/>
        <v>6</v>
      </c>
      <c r="BJ555" s="69">
        <f t="shared" si="79"/>
        <v>18</v>
      </c>
      <c r="BK555" s="69">
        <f t="shared" si="76"/>
        <v>0</v>
      </c>
      <c r="BM555" s="75"/>
      <c r="BN555" s="57">
        <f t="shared" si="74"/>
        <v>12</v>
      </c>
      <c r="BO555" s="80"/>
      <c r="BP555" s="81">
        <v>1</v>
      </c>
      <c r="BQ555" s="81">
        <v>1</v>
      </c>
      <c r="BR555" s="81">
        <v>1</v>
      </c>
      <c r="BS555" s="81">
        <v>1</v>
      </c>
      <c r="BT555" s="81">
        <v>2</v>
      </c>
      <c r="BU555" s="81"/>
      <c r="BV555" s="81"/>
      <c r="BW555" s="81"/>
      <c r="BX555" s="81"/>
      <c r="BY555" s="81"/>
      <c r="BZ555" s="9">
        <f t="shared" si="75"/>
        <v>6</v>
      </c>
      <c r="CB555" s="3"/>
      <c r="CD555" s="10"/>
      <c r="CE555" s="11"/>
    </row>
    <row r="556" spans="1:83" s="2" customFormat="1" ht="19.5" thickBot="1" x14ac:dyDescent="0.35">
      <c r="A556" s="17">
        <v>581</v>
      </c>
      <c r="B556" s="135"/>
      <c r="C556" s="18" t="s">
        <v>85</v>
      </c>
      <c r="D556" s="19"/>
      <c r="E556" s="19"/>
      <c r="F556" s="19"/>
      <c r="G556" s="30"/>
      <c r="H556" s="31"/>
      <c r="I556" s="40"/>
      <c r="J556" s="31"/>
      <c r="K556" s="40"/>
      <c r="L556" s="31"/>
      <c r="M556" s="40"/>
      <c r="N556" s="31"/>
      <c r="O556" s="40"/>
      <c r="P556" s="31"/>
      <c r="Q556" s="40"/>
      <c r="R556" s="31"/>
      <c r="S556" s="31"/>
      <c r="T556" s="31"/>
      <c r="U556" s="40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>
        <v>30</v>
      </c>
      <c r="AP556" s="31"/>
      <c r="AQ556" s="31"/>
      <c r="AR556" s="31"/>
      <c r="AS556" s="31"/>
      <c r="AT556" s="31"/>
      <c r="AU556" s="31"/>
      <c r="AV556" s="31"/>
      <c r="AW556" s="31"/>
      <c r="AX556" s="31"/>
      <c r="AY556" s="55">
        <f t="shared" si="77"/>
        <v>30</v>
      </c>
      <c r="AZ556" s="57"/>
      <c r="BA556" s="57"/>
      <c r="BB556" s="57">
        <f>+'[1]25'!R841</f>
        <v>0</v>
      </c>
      <c r="BC556" s="57">
        <v>9</v>
      </c>
      <c r="BD556" s="57"/>
      <c r="BE556" s="57"/>
      <c r="BF556" s="57"/>
      <c r="BG556" s="57"/>
      <c r="BH556" s="57"/>
      <c r="BI556" s="55">
        <f t="shared" si="78"/>
        <v>9</v>
      </c>
      <c r="BJ556" s="69">
        <f t="shared" si="79"/>
        <v>21</v>
      </c>
      <c r="BK556" s="69">
        <f t="shared" si="76"/>
        <v>0</v>
      </c>
      <c r="BM556" s="75"/>
      <c r="BN556" s="57">
        <f t="shared" si="74"/>
        <v>16</v>
      </c>
      <c r="BO556" s="80"/>
      <c r="BP556" s="81"/>
      <c r="BQ556" s="81"/>
      <c r="BR556" s="81">
        <v>2</v>
      </c>
      <c r="BS556" s="81">
        <v>2</v>
      </c>
      <c r="BT556" s="81">
        <v>1</v>
      </c>
      <c r="BU556" s="81"/>
      <c r="BV556" s="81"/>
      <c r="BW556" s="81"/>
      <c r="BX556" s="81"/>
      <c r="BY556" s="81"/>
      <c r="BZ556" s="9">
        <f t="shared" si="75"/>
        <v>5</v>
      </c>
      <c r="CB556" s="3"/>
      <c r="CD556" s="10"/>
      <c r="CE556" s="11"/>
    </row>
    <row r="557" spans="1:83" s="2" customFormat="1" ht="19.5" thickBot="1" x14ac:dyDescent="0.35">
      <c r="A557" s="17">
        <v>582</v>
      </c>
      <c r="B557" s="135"/>
      <c r="C557" s="18" t="s">
        <v>86</v>
      </c>
      <c r="D557" s="19"/>
      <c r="E557" s="19"/>
      <c r="F557" s="19"/>
      <c r="G557" s="30"/>
      <c r="H557" s="31"/>
      <c r="I557" s="40"/>
      <c r="J557" s="31"/>
      <c r="K557" s="40"/>
      <c r="L557" s="31"/>
      <c r="M557" s="40"/>
      <c r="N557" s="31"/>
      <c r="O557" s="40"/>
      <c r="P557" s="31"/>
      <c r="Q557" s="40"/>
      <c r="R557" s="31"/>
      <c r="S557" s="31"/>
      <c r="T557" s="31"/>
      <c r="U557" s="40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>
        <v>18</v>
      </c>
      <c r="AP557" s="31"/>
      <c r="AQ557" s="31"/>
      <c r="AR557" s="31"/>
      <c r="AS557" s="31"/>
      <c r="AT557" s="31"/>
      <c r="AU557" s="31"/>
      <c r="AV557" s="31"/>
      <c r="AW557" s="31"/>
      <c r="AX557" s="31"/>
      <c r="AY557" s="55">
        <f t="shared" si="77"/>
        <v>18</v>
      </c>
      <c r="AZ557" s="57"/>
      <c r="BA557" s="57"/>
      <c r="BB557" s="57">
        <f>+'[1]25'!R842</f>
        <v>0</v>
      </c>
      <c r="BC557" s="57">
        <v>3</v>
      </c>
      <c r="BD557" s="57"/>
      <c r="BE557" s="57"/>
      <c r="BF557" s="57"/>
      <c r="BG557" s="57"/>
      <c r="BH557" s="57"/>
      <c r="BI557" s="55">
        <f t="shared" si="78"/>
        <v>3</v>
      </c>
      <c r="BJ557" s="69">
        <f t="shared" si="79"/>
        <v>15</v>
      </c>
      <c r="BK557" s="69">
        <f t="shared" si="76"/>
        <v>0</v>
      </c>
      <c r="BM557" s="75"/>
      <c r="BN557" s="57">
        <f t="shared" si="74"/>
        <v>10</v>
      </c>
      <c r="BO557" s="80"/>
      <c r="BP557" s="81">
        <v>1</v>
      </c>
      <c r="BQ557" s="81">
        <v>1</v>
      </c>
      <c r="BR557" s="81">
        <v>1</v>
      </c>
      <c r="BS557" s="81">
        <v>1</v>
      </c>
      <c r="BT557" s="81">
        <v>1</v>
      </c>
      <c r="BU557" s="81"/>
      <c r="BV557" s="81"/>
      <c r="BW557" s="81"/>
      <c r="BX557" s="81"/>
      <c r="BY557" s="81"/>
      <c r="BZ557" s="9">
        <f t="shared" si="75"/>
        <v>5</v>
      </c>
      <c r="CB557" s="3"/>
      <c r="CD557" s="10"/>
      <c r="CE557" s="11"/>
    </row>
    <row r="558" spans="1:83" s="2" customFormat="1" ht="19.5" thickBot="1" x14ac:dyDescent="0.35">
      <c r="A558" s="17">
        <v>583</v>
      </c>
      <c r="B558" s="135"/>
      <c r="C558" s="20" t="s">
        <v>87</v>
      </c>
      <c r="D558" s="21"/>
      <c r="E558" s="21"/>
      <c r="F558" s="21"/>
      <c r="G558" s="32"/>
      <c r="H558" s="33"/>
      <c r="I558" s="41"/>
      <c r="J558" s="33"/>
      <c r="K558" s="41"/>
      <c r="L558" s="33"/>
      <c r="M558" s="41"/>
      <c r="N558" s="33"/>
      <c r="O558" s="41"/>
      <c r="P558" s="33"/>
      <c r="Q558" s="41"/>
      <c r="R558" s="33"/>
      <c r="S558" s="33"/>
      <c r="T558" s="33"/>
      <c r="U558" s="41"/>
      <c r="V558" s="33"/>
      <c r="W558" s="33"/>
      <c r="X558" s="33"/>
      <c r="Y558" s="33"/>
      <c r="Z558" s="33"/>
      <c r="AA558" s="33"/>
      <c r="AB558" s="33"/>
      <c r="AC558" s="33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>
        <v>9</v>
      </c>
      <c r="AP558" s="47"/>
      <c r="AQ558" s="47"/>
      <c r="AR558" s="47"/>
      <c r="AS558" s="47"/>
      <c r="AT558" s="47"/>
      <c r="AU558" s="47"/>
      <c r="AV558" s="47"/>
      <c r="AW558" s="47"/>
      <c r="AX558" s="47"/>
      <c r="AY558" s="55">
        <f t="shared" si="77"/>
        <v>9</v>
      </c>
      <c r="AZ558" s="59"/>
      <c r="BA558" s="60"/>
      <c r="BB558" s="60">
        <f>+'[1]25'!R843</f>
        <v>0</v>
      </c>
      <c r="BC558" s="60">
        <v>1</v>
      </c>
      <c r="BD558" s="60"/>
      <c r="BE558" s="60"/>
      <c r="BF558" s="60"/>
      <c r="BG558" s="60"/>
      <c r="BH558" s="60"/>
      <c r="BI558" s="58">
        <f t="shared" si="78"/>
        <v>1</v>
      </c>
      <c r="BJ558" s="70">
        <f t="shared" si="79"/>
        <v>8</v>
      </c>
      <c r="BK558" s="70">
        <f t="shared" si="76"/>
        <v>0</v>
      </c>
      <c r="BL558" s="76"/>
      <c r="BM558" s="77"/>
      <c r="BN558" s="60">
        <f t="shared" si="74"/>
        <v>5</v>
      </c>
      <c r="BO558" s="82"/>
      <c r="BP558" s="83">
        <v>1</v>
      </c>
      <c r="BQ558" s="83">
        <v>1</v>
      </c>
      <c r="BR558" s="83">
        <v>1</v>
      </c>
      <c r="BS558" s="83"/>
      <c r="BT558" s="83"/>
      <c r="BU558" s="83"/>
      <c r="BV558" s="83"/>
      <c r="BW558" s="83"/>
      <c r="BX558" s="83"/>
      <c r="BY558" s="83"/>
      <c r="BZ558" s="9">
        <f t="shared" si="75"/>
        <v>3</v>
      </c>
      <c r="CB558" s="3"/>
      <c r="CD558" s="10"/>
      <c r="CE558" s="11"/>
    </row>
    <row r="559" spans="1:83" s="2" customFormat="1" ht="19.5" thickBot="1" x14ac:dyDescent="0.35">
      <c r="A559" s="17">
        <v>584</v>
      </c>
      <c r="B559" s="134" t="s">
        <v>164</v>
      </c>
      <c r="C559" s="18" t="s">
        <v>62</v>
      </c>
      <c r="D559" s="19"/>
      <c r="E559" s="19"/>
      <c r="F559" s="19"/>
      <c r="G559" s="30"/>
      <c r="H559" s="31"/>
      <c r="I559" s="40"/>
      <c r="J559" s="31"/>
      <c r="K559" s="40"/>
      <c r="L559" s="31"/>
      <c r="M559" s="40"/>
      <c r="N559" s="31"/>
      <c r="O559" s="40"/>
      <c r="P559" s="31"/>
      <c r="Q559" s="40"/>
      <c r="R559" s="31"/>
      <c r="S559" s="31"/>
      <c r="T559" s="31"/>
      <c r="U559" s="40"/>
      <c r="V559" s="31"/>
      <c r="W559" s="31"/>
      <c r="X559" s="31"/>
      <c r="Y559" s="31"/>
      <c r="Z559" s="31"/>
      <c r="AA559" s="31"/>
      <c r="AB559" s="31"/>
      <c r="AC559" s="31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>
        <v>12</v>
      </c>
      <c r="AP559" s="46"/>
      <c r="AQ559" s="46"/>
      <c r="AR559" s="46"/>
      <c r="AS559" s="46"/>
      <c r="AT559" s="46"/>
      <c r="AU559" s="46"/>
      <c r="AV559" s="46"/>
      <c r="AW559" s="46"/>
      <c r="AX559" s="46"/>
      <c r="AY559" s="55">
        <f t="shared" si="77"/>
        <v>12</v>
      </c>
      <c r="AZ559" s="56"/>
      <c r="BA559" s="57"/>
      <c r="BB559" s="57"/>
      <c r="BC559" s="57">
        <v>5</v>
      </c>
      <c r="BD559" s="57"/>
      <c r="BE559" s="57"/>
      <c r="BF559" s="57"/>
      <c r="BG559" s="57"/>
      <c r="BH559" s="57"/>
      <c r="BI559" s="55">
        <f t="shared" si="78"/>
        <v>5</v>
      </c>
      <c r="BJ559" s="69">
        <f t="shared" si="79"/>
        <v>7</v>
      </c>
      <c r="BK559" s="69">
        <f t="shared" si="76"/>
        <v>0</v>
      </c>
      <c r="BM559" s="75"/>
      <c r="BN559" s="57">
        <f t="shared" si="74"/>
        <v>0</v>
      </c>
      <c r="BO559" s="80"/>
      <c r="BP559" s="81">
        <v>1</v>
      </c>
      <c r="BQ559" s="81">
        <v>3</v>
      </c>
      <c r="BR559" s="81">
        <v>2</v>
      </c>
      <c r="BS559" s="81"/>
      <c r="BT559" s="81">
        <v>1</v>
      </c>
      <c r="BU559" s="81"/>
      <c r="BV559" s="81"/>
      <c r="BW559" s="81"/>
      <c r="BX559" s="81"/>
      <c r="BY559" s="81"/>
      <c r="BZ559" s="9">
        <f t="shared" si="75"/>
        <v>7</v>
      </c>
      <c r="CB559" s="3"/>
      <c r="CD559" s="10"/>
      <c r="CE559" s="11"/>
    </row>
    <row r="560" spans="1:83" s="2" customFormat="1" ht="19.5" thickBot="1" x14ac:dyDescent="0.35">
      <c r="A560" s="17">
        <v>585</v>
      </c>
      <c r="B560" s="135"/>
      <c r="C560" s="18" t="s">
        <v>63</v>
      </c>
      <c r="D560" s="19"/>
      <c r="E560" s="19"/>
      <c r="F560" s="19"/>
      <c r="G560" s="30"/>
      <c r="H560" s="31"/>
      <c r="I560" s="40"/>
      <c r="J560" s="31"/>
      <c r="K560" s="40"/>
      <c r="L560" s="31"/>
      <c r="M560" s="40"/>
      <c r="N560" s="31"/>
      <c r="O560" s="40"/>
      <c r="P560" s="31"/>
      <c r="Q560" s="40"/>
      <c r="R560" s="31"/>
      <c r="S560" s="31"/>
      <c r="T560" s="31"/>
      <c r="U560" s="40"/>
      <c r="V560" s="31"/>
      <c r="W560" s="31"/>
      <c r="X560" s="31"/>
      <c r="Y560" s="31"/>
      <c r="Z560" s="31"/>
      <c r="AA560" s="31"/>
      <c r="AB560" s="31"/>
      <c r="AC560" s="31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>
        <v>15</v>
      </c>
      <c r="AP560" s="46"/>
      <c r="AQ560" s="46"/>
      <c r="AR560" s="46"/>
      <c r="AS560" s="46"/>
      <c r="AT560" s="46"/>
      <c r="AU560" s="46"/>
      <c r="AV560" s="46"/>
      <c r="AW560" s="46"/>
      <c r="AX560" s="46"/>
      <c r="AY560" s="55">
        <f t="shared" si="77"/>
        <v>15</v>
      </c>
      <c r="AZ560" s="56"/>
      <c r="BA560" s="57"/>
      <c r="BB560" s="57"/>
      <c r="BC560" s="57">
        <v>8</v>
      </c>
      <c r="BD560" s="57"/>
      <c r="BE560" s="57"/>
      <c r="BF560" s="57"/>
      <c r="BG560" s="57"/>
      <c r="BH560" s="57"/>
      <c r="BI560" s="55">
        <f t="shared" si="78"/>
        <v>8</v>
      </c>
      <c r="BJ560" s="69">
        <f t="shared" si="79"/>
        <v>7</v>
      </c>
      <c r="BK560" s="69">
        <f t="shared" si="76"/>
        <v>0</v>
      </c>
      <c r="BM560" s="75"/>
      <c r="BN560" s="57">
        <f t="shared" si="74"/>
        <v>3</v>
      </c>
      <c r="BO560" s="80"/>
      <c r="BP560" s="81">
        <v>1</v>
      </c>
      <c r="BQ560" s="81">
        <v>1</v>
      </c>
      <c r="BR560" s="81"/>
      <c r="BS560" s="81">
        <v>1</v>
      </c>
      <c r="BT560" s="81">
        <v>1</v>
      </c>
      <c r="BU560" s="81"/>
      <c r="BV560" s="81"/>
      <c r="BW560" s="81"/>
      <c r="BX560" s="81"/>
      <c r="BY560" s="81"/>
      <c r="BZ560" s="9">
        <f t="shared" si="75"/>
        <v>4</v>
      </c>
      <c r="CB560" s="3"/>
      <c r="CD560" s="10"/>
      <c r="CE560" s="11"/>
    </row>
    <row r="561" spans="1:83" s="2" customFormat="1" ht="19.5" thickBot="1" x14ac:dyDescent="0.35">
      <c r="A561" s="17">
        <v>586</v>
      </c>
      <c r="B561" s="135"/>
      <c r="C561" s="18" t="s">
        <v>64</v>
      </c>
      <c r="D561" s="19"/>
      <c r="E561" s="19"/>
      <c r="F561" s="19"/>
      <c r="G561" s="30"/>
      <c r="H561" s="31"/>
      <c r="I561" s="40"/>
      <c r="J561" s="31"/>
      <c r="K561" s="40"/>
      <c r="L561" s="31"/>
      <c r="M561" s="40"/>
      <c r="N561" s="31"/>
      <c r="O561" s="40"/>
      <c r="P561" s="31"/>
      <c r="Q561" s="40"/>
      <c r="R561" s="31"/>
      <c r="S561" s="31"/>
      <c r="T561" s="31"/>
      <c r="U561" s="40"/>
      <c r="V561" s="31"/>
      <c r="W561" s="31"/>
      <c r="X561" s="31"/>
      <c r="Y561" s="31"/>
      <c r="Z561" s="31"/>
      <c r="AA561" s="31"/>
      <c r="AB561" s="31"/>
      <c r="AC561" s="31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>
        <v>18</v>
      </c>
      <c r="AP561" s="46"/>
      <c r="AQ561" s="46"/>
      <c r="AR561" s="46"/>
      <c r="AS561" s="46"/>
      <c r="AT561" s="46"/>
      <c r="AU561" s="46"/>
      <c r="AV561" s="46"/>
      <c r="AW561" s="46"/>
      <c r="AX561" s="46"/>
      <c r="AY561" s="55">
        <f t="shared" si="77"/>
        <v>18</v>
      </c>
      <c r="AZ561" s="56"/>
      <c r="BA561" s="57"/>
      <c r="BB561" s="57"/>
      <c r="BC561" s="57">
        <v>5</v>
      </c>
      <c r="BD561" s="57"/>
      <c r="BE561" s="57"/>
      <c r="BF561" s="57"/>
      <c r="BG561" s="57"/>
      <c r="BH561" s="57"/>
      <c r="BI561" s="55">
        <f t="shared" si="78"/>
        <v>5</v>
      </c>
      <c r="BJ561" s="69">
        <f t="shared" si="79"/>
        <v>13</v>
      </c>
      <c r="BK561" s="69">
        <f t="shared" si="76"/>
        <v>0</v>
      </c>
      <c r="BM561" s="75"/>
      <c r="BN561" s="57">
        <f t="shared" si="74"/>
        <v>6</v>
      </c>
      <c r="BO561" s="80"/>
      <c r="BP561" s="81">
        <v>1</v>
      </c>
      <c r="BQ561" s="81">
        <v>1</v>
      </c>
      <c r="BR561" s="81">
        <v>2</v>
      </c>
      <c r="BS561" s="81">
        <v>1</v>
      </c>
      <c r="BT561" s="81">
        <v>2</v>
      </c>
      <c r="BU561" s="81"/>
      <c r="BV561" s="81"/>
      <c r="BW561" s="81"/>
      <c r="BX561" s="81"/>
      <c r="BY561" s="81"/>
      <c r="BZ561" s="9">
        <f t="shared" si="75"/>
        <v>7</v>
      </c>
      <c r="CB561" s="3"/>
      <c r="CD561" s="10"/>
      <c r="CE561" s="11"/>
    </row>
    <row r="562" spans="1:83" s="2" customFormat="1" ht="19.5" thickBot="1" x14ac:dyDescent="0.35">
      <c r="A562" s="17">
        <v>587</v>
      </c>
      <c r="B562" s="135"/>
      <c r="C562" s="18" t="s">
        <v>65</v>
      </c>
      <c r="D562" s="19"/>
      <c r="E562" s="19"/>
      <c r="F562" s="19"/>
      <c r="G562" s="30"/>
      <c r="H562" s="31"/>
      <c r="I562" s="40"/>
      <c r="J562" s="31"/>
      <c r="K562" s="40"/>
      <c r="L562" s="31"/>
      <c r="M562" s="40"/>
      <c r="N562" s="31"/>
      <c r="O562" s="40"/>
      <c r="P562" s="31"/>
      <c r="Q562" s="40"/>
      <c r="R562" s="31"/>
      <c r="S562" s="31"/>
      <c r="T562" s="31"/>
      <c r="U562" s="40"/>
      <c r="V562" s="31"/>
      <c r="W562" s="31"/>
      <c r="X562" s="31"/>
      <c r="Y562" s="31"/>
      <c r="Z562" s="31"/>
      <c r="AA562" s="31"/>
      <c r="AB562" s="31"/>
      <c r="AC562" s="31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>
        <v>24</v>
      </c>
      <c r="AP562" s="46"/>
      <c r="AQ562" s="46"/>
      <c r="AR562" s="46"/>
      <c r="AS562" s="46"/>
      <c r="AT562" s="46"/>
      <c r="AU562" s="46"/>
      <c r="AV562" s="46"/>
      <c r="AW562" s="46"/>
      <c r="AX562" s="46"/>
      <c r="AY562" s="55">
        <f t="shared" si="77"/>
        <v>24</v>
      </c>
      <c r="AZ562" s="56"/>
      <c r="BA562" s="57"/>
      <c r="BB562" s="57"/>
      <c r="BC562" s="57">
        <v>10</v>
      </c>
      <c r="BD562" s="57"/>
      <c r="BE562" s="57"/>
      <c r="BF562" s="57"/>
      <c r="BG562" s="57"/>
      <c r="BH562" s="57"/>
      <c r="BI562" s="55">
        <f t="shared" si="78"/>
        <v>10</v>
      </c>
      <c r="BJ562" s="69">
        <f t="shared" si="79"/>
        <v>14</v>
      </c>
      <c r="BK562" s="69">
        <f t="shared" si="76"/>
        <v>0</v>
      </c>
      <c r="BM562" s="75"/>
      <c r="BN562" s="57">
        <f t="shared" si="74"/>
        <v>9</v>
      </c>
      <c r="BO562" s="80"/>
      <c r="BP562" s="81">
        <v>1</v>
      </c>
      <c r="BQ562" s="81">
        <v>1</v>
      </c>
      <c r="BR562" s="81">
        <v>1</v>
      </c>
      <c r="BS562" s="81">
        <v>1</v>
      </c>
      <c r="BT562" s="81">
        <v>1</v>
      </c>
      <c r="BU562" s="81"/>
      <c r="BV562" s="81"/>
      <c r="BW562" s="81"/>
      <c r="BX562" s="81"/>
      <c r="BY562" s="81"/>
      <c r="BZ562" s="9">
        <f t="shared" si="75"/>
        <v>5</v>
      </c>
      <c r="CB562" s="3"/>
      <c r="CD562" s="10"/>
      <c r="CE562" s="11"/>
    </row>
    <row r="563" spans="1:83" s="2" customFormat="1" ht="19.5" thickBot="1" x14ac:dyDescent="0.35">
      <c r="A563" s="17">
        <v>588</v>
      </c>
      <c r="B563" s="135"/>
      <c r="C563" s="18" t="s">
        <v>66</v>
      </c>
      <c r="D563" s="19"/>
      <c r="E563" s="19"/>
      <c r="F563" s="19"/>
      <c r="G563" s="30"/>
      <c r="H563" s="31"/>
      <c r="I563" s="40"/>
      <c r="J563" s="31"/>
      <c r="K563" s="40"/>
      <c r="L563" s="31"/>
      <c r="M563" s="40"/>
      <c r="N563" s="31"/>
      <c r="O563" s="40"/>
      <c r="P563" s="31"/>
      <c r="Q563" s="40"/>
      <c r="R563" s="31"/>
      <c r="S563" s="31"/>
      <c r="T563" s="31"/>
      <c r="U563" s="40"/>
      <c r="V563" s="31"/>
      <c r="W563" s="31"/>
      <c r="X563" s="31"/>
      <c r="Y563" s="31"/>
      <c r="Z563" s="31"/>
      <c r="AA563" s="31"/>
      <c r="AB563" s="31"/>
      <c r="AC563" s="31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>
        <v>18</v>
      </c>
      <c r="AP563" s="46"/>
      <c r="AQ563" s="46"/>
      <c r="AR563" s="46"/>
      <c r="AS563" s="46"/>
      <c r="AT563" s="46"/>
      <c r="AU563" s="46"/>
      <c r="AV563" s="46"/>
      <c r="AW563" s="46"/>
      <c r="AX563" s="46"/>
      <c r="AY563" s="55">
        <f t="shared" si="77"/>
        <v>18</v>
      </c>
      <c r="AZ563" s="56"/>
      <c r="BA563" s="57"/>
      <c r="BB563" s="57"/>
      <c r="BC563" s="57">
        <v>6</v>
      </c>
      <c r="BD563" s="57"/>
      <c r="BE563" s="57"/>
      <c r="BF563" s="57"/>
      <c r="BG563" s="57"/>
      <c r="BH563" s="57"/>
      <c r="BI563" s="55">
        <f t="shared" si="78"/>
        <v>6</v>
      </c>
      <c r="BJ563" s="69">
        <f t="shared" si="79"/>
        <v>12</v>
      </c>
      <c r="BK563" s="69">
        <f t="shared" si="76"/>
        <v>0</v>
      </c>
      <c r="BM563" s="75"/>
      <c r="BN563" s="57">
        <f t="shared" si="74"/>
        <v>5</v>
      </c>
      <c r="BO563" s="80"/>
      <c r="BP563" s="81">
        <v>1</v>
      </c>
      <c r="BQ563" s="81">
        <v>1</v>
      </c>
      <c r="BR563" s="81">
        <v>2</v>
      </c>
      <c r="BS563" s="81">
        <v>1</v>
      </c>
      <c r="BT563" s="81">
        <v>2</v>
      </c>
      <c r="BU563" s="81"/>
      <c r="BV563" s="81"/>
      <c r="BW563" s="81"/>
      <c r="BX563" s="81"/>
      <c r="BY563" s="81"/>
      <c r="BZ563" s="9">
        <f t="shared" si="75"/>
        <v>7</v>
      </c>
      <c r="CB563" s="3"/>
      <c r="CD563" s="10"/>
      <c r="CE563" s="11"/>
    </row>
    <row r="564" spans="1:83" s="2" customFormat="1" ht="19.5" thickBot="1" x14ac:dyDescent="0.35">
      <c r="A564" s="17">
        <v>589</v>
      </c>
      <c r="B564" s="135"/>
      <c r="C564" s="18" t="s">
        <v>67</v>
      </c>
      <c r="D564" s="19"/>
      <c r="E564" s="19"/>
      <c r="F564" s="19"/>
      <c r="G564" s="30"/>
      <c r="H564" s="31"/>
      <c r="I564" s="40"/>
      <c r="J564" s="31"/>
      <c r="K564" s="40"/>
      <c r="L564" s="31"/>
      <c r="M564" s="40"/>
      <c r="N564" s="31"/>
      <c r="O564" s="40"/>
      <c r="P564" s="31"/>
      <c r="Q564" s="40"/>
      <c r="R564" s="31"/>
      <c r="S564" s="31"/>
      <c r="T564" s="31"/>
      <c r="U564" s="40"/>
      <c r="V564" s="31"/>
      <c r="W564" s="31"/>
      <c r="X564" s="31"/>
      <c r="Y564" s="31"/>
      <c r="Z564" s="31"/>
      <c r="AA564" s="31"/>
      <c r="AB564" s="31"/>
      <c r="AC564" s="31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>
        <v>9</v>
      </c>
      <c r="AP564" s="46"/>
      <c r="AQ564" s="46"/>
      <c r="AR564" s="46"/>
      <c r="AS564" s="46"/>
      <c r="AT564" s="46"/>
      <c r="AU564" s="46"/>
      <c r="AV564" s="46"/>
      <c r="AW564" s="46"/>
      <c r="AX564" s="46"/>
      <c r="AY564" s="55">
        <f t="shared" si="77"/>
        <v>9</v>
      </c>
      <c r="AZ564" s="56"/>
      <c r="BA564" s="57"/>
      <c r="BB564" s="57"/>
      <c r="BC564" s="57">
        <v>2</v>
      </c>
      <c r="BD564" s="57"/>
      <c r="BE564" s="57"/>
      <c r="BF564" s="57"/>
      <c r="BG564" s="57"/>
      <c r="BH564" s="57"/>
      <c r="BI564" s="55">
        <f t="shared" si="78"/>
        <v>2</v>
      </c>
      <c r="BJ564" s="69">
        <f t="shared" si="79"/>
        <v>7</v>
      </c>
      <c r="BK564" s="69">
        <f t="shared" si="76"/>
        <v>0</v>
      </c>
      <c r="BM564" s="75"/>
      <c r="BN564" s="57">
        <f t="shared" si="74"/>
        <v>4</v>
      </c>
      <c r="BO564" s="80"/>
      <c r="BP564" s="81">
        <v>1</v>
      </c>
      <c r="BQ564" s="81">
        <v>1</v>
      </c>
      <c r="BR564" s="81">
        <v>1</v>
      </c>
      <c r="BS564" s="81"/>
      <c r="BT564" s="81"/>
      <c r="BU564" s="81"/>
      <c r="BV564" s="81"/>
      <c r="BW564" s="81"/>
      <c r="BX564" s="81"/>
      <c r="BY564" s="81"/>
      <c r="BZ564" s="9">
        <f t="shared" si="75"/>
        <v>3</v>
      </c>
      <c r="CB564" s="3"/>
      <c r="CD564" s="10"/>
      <c r="CE564" s="11"/>
    </row>
    <row r="565" spans="1:83" s="2" customFormat="1" ht="19.5" thickBot="1" x14ac:dyDescent="0.35">
      <c r="A565" s="17">
        <v>590</v>
      </c>
      <c r="B565" s="135"/>
      <c r="C565" s="18" t="s">
        <v>68</v>
      </c>
      <c r="D565" s="19"/>
      <c r="E565" s="19"/>
      <c r="F565" s="19"/>
      <c r="G565" s="30"/>
      <c r="H565" s="31"/>
      <c r="I565" s="40"/>
      <c r="J565" s="31"/>
      <c r="K565" s="40"/>
      <c r="L565" s="31"/>
      <c r="M565" s="40"/>
      <c r="N565" s="31"/>
      <c r="O565" s="40"/>
      <c r="P565" s="31"/>
      <c r="Q565" s="40"/>
      <c r="R565" s="31"/>
      <c r="S565" s="31"/>
      <c r="T565" s="31"/>
      <c r="U565" s="40"/>
      <c r="V565" s="31"/>
      <c r="W565" s="31"/>
      <c r="X565" s="31"/>
      <c r="Y565" s="31"/>
      <c r="Z565" s="31"/>
      <c r="AA565" s="31"/>
      <c r="AB565" s="31"/>
      <c r="AC565" s="31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>
        <v>6</v>
      </c>
      <c r="AP565" s="46"/>
      <c r="AQ565" s="46"/>
      <c r="AR565" s="46"/>
      <c r="AS565" s="46"/>
      <c r="AT565" s="46"/>
      <c r="AU565" s="46"/>
      <c r="AV565" s="46"/>
      <c r="AW565" s="46"/>
      <c r="AX565" s="46"/>
      <c r="AY565" s="55">
        <f t="shared" si="77"/>
        <v>6</v>
      </c>
      <c r="AZ565" s="56"/>
      <c r="BA565" s="57"/>
      <c r="BB565" s="57"/>
      <c r="BC565" s="57">
        <v>0</v>
      </c>
      <c r="BD565" s="57"/>
      <c r="BE565" s="57"/>
      <c r="BF565" s="57"/>
      <c r="BG565" s="57"/>
      <c r="BH565" s="57"/>
      <c r="BI565" s="55">
        <f t="shared" si="78"/>
        <v>0</v>
      </c>
      <c r="BJ565" s="69">
        <f t="shared" si="79"/>
        <v>6</v>
      </c>
      <c r="BK565" s="69">
        <f t="shared" si="76"/>
        <v>0</v>
      </c>
      <c r="BM565" s="75"/>
      <c r="BN565" s="57">
        <f t="shared" si="74"/>
        <v>4</v>
      </c>
      <c r="BO565" s="80"/>
      <c r="BP565" s="81">
        <v>1</v>
      </c>
      <c r="BQ565" s="81"/>
      <c r="BR565" s="81">
        <v>1</v>
      </c>
      <c r="BS565" s="81"/>
      <c r="BT565" s="81"/>
      <c r="BU565" s="81"/>
      <c r="BV565" s="81"/>
      <c r="BW565" s="81"/>
      <c r="BX565" s="81"/>
      <c r="BY565" s="81"/>
      <c r="BZ565" s="9">
        <f t="shared" si="75"/>
        <v>2</v>
      </c>
      <c r="CB565" s="3"/>
      <c r="CD565" s="10"/>
      <c r="CE565" s="11"/>
    </row>
    <row r="566" spans="1:83" s="2" customFormat="1" ht="19.5" thickBot="1" x14ac:dyDescent="0.35">
      <c r="A566" s="17">
        <v>591</v>
      </c>
      <c r="B566" s="135"/>
      <c r="C566" s="20" t="s">
        <v>69</v>
      </c>
      <c r="D566" s="21"/>
      <c r="E566" s="21"/>
      <c r="F566" s="21"/>
      <c r="G566" s="32"/>
      <c r="H566" s="33"/>
      <c r="I566" s="41"/>
      <c r="J566" s="33"/>
      <c r="K566" s="41"/>
      <c r="L566" s="33"/>
      <c r="M566" s="41"/>
      <c r="N566" s="33"/>
      <c r="O566" s="41"/>
      <c r="P566" s="33"/>
      <c r="Q566" s="41"/>
      <c r="R566" s="33"/>
      <c r="S566" s="33"/>
      <c r="T566" s="33"/>
      <c r="U566" s="41"/>
      <c r="V566" s="33"/>
      <c r="W566" s="33"/>
      <c r="X566" s="33"/>
      <c r="Y566" s="33"/>
      <c r="Z566" s="33"/>
      <c r="AA566" s="33"/>
      <c r="AB566" s="33"/>
      <c r="AC566" s="33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>
        <v>6</v>
      </c>
      <c r="AP566" s="47"/>
      <c r="AQ566" s="47"/>
      <c r="AR566" s="47"/>
      <c r="AS566" s="47"/>
      <c r="AT566" s="47"/>
      <c r="AU566" s="47"/>
      <c r="AV566" s="47"/>
      <c r="AW566" s="47"/>
      <c r="AX566" s="47"/>
      <c r="AY566" s="55">
        <f t="shared" si="77"/>
        <v>6</v>
      </c>
      <c r="AZ566" s="59"/>
      <c r="BA566" s="60"/>
      <c r="BB566" s="60"/>
      <c r="BC566" s="60">
        <v>0</v>
      </c>
      <c r="BD566" s="60"/>
      <c r="BE566" s="60"/>
      <c r="BF566" s="60"/>
      <c r="BG566" s="60"/>
      <c r="BH566" s="60"/>
      <c r="BI566" s="58">
        <f t="shared" si="78"/>
        <v>0</v>
      </c>
      <c r="BJ566" s="70">
        <f t="shared" si="79"/>
        <v>6</v>
      </c>
      <c r="BK566" s="70">
        <f t="shared" si="76"/>
        <v>0</v>
      </c>
      <c r="BL566" s="76"/>
      <c r="BM566" s="77"/>
      <c r="BN566" s="60">
        <f t="shared" si="74"/>
        <v>4</v>
      </c>
      <c r="BO566" s="82"/>
      <c r="BP566" s="83">
        <v>1</v>
      </c>
      <c r="BQ566" s="83"/>
      <c r="BR566" s="83">
        <v>1</v>
      </c>
      <c r="BS566" s="83"/>
      <c r="BT566" s="83"/>
      <c r="BU566" s="83"/>
      <c r="BV566" s="83"/>
      <c r="BW566" s="83"/>
      <c r="BX566" s="83"/>
      <c r="BY566" s="83"/>
      <c r="BZ566" s="9">
        <f t="shared" si="75"/>
        <v>2</v>
      </c>
      <c r="CB566" s="3"/>
      <c r="CD566" s="10"/>
      <c r="CE566" s="11"/>
    </row>
    <row r="567" spans="1:83" s="2" customFormat="1" ht="19.5" thickBot="1" x14ac:dyDescent="0.35">
      <c r="A567" s="17">
        <v>592</v>
      </c>
      <c r="B567" s="134" t="s">
        <v>165</v>
      </c>
      <c r="C567" s="18" t="s">
        <v>62</v>
      </c>
      <c r="D567" s="19"/>
      <c r="E567" s="19"/>
      <c r="F567" s="19"/>
      <c r="G567" s="30"/>
      <c r="H567" s="31"/>
      <c r="I567" s="40"/>
      <c r="J567" s="31"/>
      <c r="K567" s="40"/>
      <c r="L567" s="31"/>
      <c r="M567" s="40"/>
      <c r="N567" s="31"/>
      <c r="O567" s="40"/>
      <c r="P567" s="31"/>
      <c r="Q567" s="40"/>
      <c r="R567" s="31"/>
      <c r="S567" s="31"/>
      <c r="T567" s="31"/>
      <c r="U567" s="40"/>
      <c r="V567" s="31"/>
      <c r="W567" s="31"/>
      <c r="X567" s="31"/>
      <c r="Y567" s="31"/>
      <c r="Z567" s="31"/>
      <c r="AA567" s="31"/>
      <c r="AB567" s="31"/>
      <c r="AC567" s="31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>
        <v>18</v>
      </c>
      <c r="AT567" s="46"/>
      <c r="AU567" s="46"/>
      <c r="AV567" s="46"/>
      <c r="AW567" s="46"/>
      <c r="AX567" s="46"/>
      <c r="AY567" s="55">
        <f t="shared" si="77"/>
        <v>18</v>
      </c>
      <c r="AZ567" s="56"/>
      <c r="BA567" s="57"/>
      <c r="BB567" s="57"/>
      <c r="BC567" s="57"/>
      <c r="BD567" s="57"/>
      <c r="BE567" s="57"/>
      <c r="BF567" s="57"/>
      <c r="BG567" s="57"/>
      <c r="BH567" s="57"/>
      <c r="BI567" s="55">
        <f t="shared" si="78"/>
        <v>0</v>
      </c>
      <c r="BJ567" s="69">
        <f t="shared" si="79"/>
        <v>18</v>
      </c>
      <c r="BK567" s="69">
        <f t="shared" si="76"/>
        <v>0</v>
      </c>
      <c r="BM567" s="75"/>
      <c r="BN567" s="57">
        <f t="shared" ref="BN567:BN604" si="80">+BJ567-BZ567</f>
        <v>18</v>
      </c>
      <c r="BO567" s="80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9">
        <f t="shared" si="75"/>
        <v>0</v>
      </c>
      <c r="CB567" s="3"/>
      <c r="CD567" s="10"/>
      <c r="CE567" s="11"/>
    </row>
    <row r="568" spans="1:83" s="2" customFormat="1" ht="19.5" thickBot="1" x14ac:dyDescent="0.35">
      <c r="A568" s="17">
        <v>593</v>
      </c>
      <c r="B568" s="134"/>
      <c r="C568" s="18" t="s">
        <v>63</v>
      </c>
      <c r="D568" s="19"/>
      <c r="E568" s="19"/>
      <c r="F568" s="19"/>
      <c r="G568" s="30"/>
      <c r="H568" s="31"/>
      <c r="I568" s="40"/>
      <c r="J568" s="31"/>
      <c r="K568" s="40"/>
      <c r="L568" s="31"/>
      <c r="M568" s="40"/>
      <c r="N568" s="31"/>
      <c r="O568" s="40"/>
      <c r="P568" s="31"/>
      <c r="Q568" s="40"/>
      <c r="R568" s="31"/>
      <c r="S568" s="31"/>
      <c r="T568" s="31"/>
      <c r="U568" s="40"/>
      <c r="V568" s="31"/>
      <c r="W568" s="31"/>
      <c r="X568" s="31"/>
      <c r="Y568" s="31"/>
      <c r="Z568" s="31"/>
      <c r="AA568" s="31"/>
      <c r="AB568" s="31"/>
      <c r="AC568" s="31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>
        <v>27</v>
      </c>
      <c r="AT568" s="46"/>
      <c r="AU568" s="46"/>
      <c r="AV568" s="46"/>
      <c r="AW568" s="46"/>
      <c r="AX568" s="46"/>
      <c r="AY568" s="55">
        <f t="shared" si="77"/>
        <v>27</v>
      </c>
      <c r="AZ568" s="56"/>
      <c r="BA568" s="57"/>
      <c r="BB568" s="57"/>
      <c r="BC568" s="57"/>
      <c r="BD568" s="57"/>
      <c r="BE568" s="57"/>
      <c r="BF568" s="57"/>
      <c r="BG568" s="57"/>
      <c r="BH568" s="57"/>
      <c r="BI568" s="55">
        <f t="shared" si="78"/>
        <v>0</v>
      </c>
      <c r="BJ568" s="69">
        <f t="shared" si="79"/>
        <v>27</v>
      </c>
      <c r="BK568" s="69">
        <f t="shared" si="76"/>
        <v>0</v>
      </c>
      <c r="BM568" s="75"/>
      <c r="BN568" s="57">
        <f t="shared" si="80"/>
        <v>27</v>
      </c>
      <c r="BO568" s="80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9">
        <f t="shared" si="75"/>
        <v>0</v>
      </c>
      <c r="CB568" s="3"/>
      <c r="CD568" s="10"/>
      <c r="CE568" s="11"/>
    </row>
    <row r="569" spans="1:83" s="2" customFormat="1" ht="19.5" thickBot="1" x14ac:dyDescent="0.35">
      <c r="A569" s="17">
        <v>594</v>
      </c>
      <c r="B569" s="134"/>
      <c r="C569" s="18" t="s">
        <v>64</v>
      </c>
      <c r="D569" s="19"/>
      <c r="E569" s="19"/>
      <c r="F569" s="19"/>
      <c r="G569" s="30"/>
      <c r="H569" s="31"/>
      <c r="I569" s="40"/>
      <c r="J569" s="31"/>
      <c r="K569" s="40"/>
      <c r="L569" s="31"/>
      <c r="M569" s="40"/>
      <c r="N569" s="31"/>
      <c r="O569" s="40"/>
      <c r="P569" s="31"/>
      <c r="Q569" s="40"/>
      <c r="R569" s="31"/>
      <c r="S569" s="31"/>
      <c r="T569" s="31"/>
      <c r="U569" s="40"/>
      <c r="V569" s="31"/>
      <c r="W569" s="31"/>
      <c r="X569" s="31"/>
      <c r="Y569" s="31"/>
      <c r="Z569" s="31"/>
      <c r="AA569" s="31"/>
      <c r="AB569" s="31"/>
      <c r="AC569" s="31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>
        <v>39</v>
      </c>
      <c r="AT569" s="46"/>
      <c r="AU569" s="46"/>
      <c r="AV569" s="46"/>
      <c r="AW569" s="46"/>
      <c r="AX569" s="46"/>
      <c r="AY569" s="55">
        <f t="shared" si="77"/>
        <v>39</v>
      </c>
      <c r="AZ569" s="56"/>
      <c r="BA569" s="57"/>
      <c r="BB569" s="57"/>
      <c r="BC569" s="57"/>
      <c r="BD569" s="57"/>
      <c r="BE569" s="57"/>
      <c r="BF569" s="57"/>
      <c r="BG569" s="57"/>
      <c r="BH569" s="57"/>
      <c r="BI569" s="55">
        <f t="shared" si="78"/>
        <v>0</v>
      </c>
      <c r="BJ569" s="69">
        <f t="shared" si="79"/>
        <v>39</v>
      </c>
      <c r="BK569" s="69">
        <f t="shared" si="76"/>
        <v>0</v>
      </c>
      <c r="BM569" s="75"/>
      <c r="BN569" s="57">
        <f t="shared" si="80"/>
        <v>39</v>
      </c>
      <c r="BO569" s="80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9">
        <f t="shared" ref="BZ569:BZ605" si="81">SUM(BP569:BY569)</f>
        <v>0</v>
      </c>
      <c r="CB569" s="3"/>
      <c r="CD569" s="10"/>
      <c r="CE569" s="11"/>
    </row>
    <row r="570" spans="1:83" s="2" customFormat="1" ht="19.5" thickBot="1" x14ac:dyDescent="0.35">
      <c r="A570" s="17">
        <v>595</v>
      </c>
      <c r="B570" s="134"/>
      <c r="C570" s="18" t="s">
        <v>65</v>
      </c>
      <c r="D570" s="19"/>
      <c r="E570" s="19"/>
      <c r="F570" s="19"/>
      <c r="G570" s="30"/>
      <c r="H570" s="31"/>
      <c r="I570" s="40"/>
      <c r="J570" s="31"/>
      <c r="K570" s="40"/>
      <c r="L570" s="31"/>
      <c r="M570" s="40"/>
      <c r="N570" s="31"/>
      <c r="O570" s="40"/>
      <c r="P570" s="31"/>
      <c r="Q570" s="40"/>
      <c r="R570" s="31"/>
      <c r="S570" s="31"/>
      <c r="T570" s="31"/>
      <c r="U570" s="40"/>
      <c r="V570" s="31"/>
      <c r="W570" s="31"/>
      <c r="X570" s="31"/>
      <c r="Y570" s="31"/>
      <c r="Z570" s="31"/>
      <c r="AA570" s="31"/>
      <c r="AB570" s="31"/>
      <c r="AC570" s="31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>
        <v>39</v>
      </c>
      <c r="AT570" s="46"/>
      <c r="AU570" s="46"/>
      <c r="AV570" s="46"/>
      <c r="AW570" s="46"/>
      <c r="AX570" s="46"/>
      <c r="AY570" s="55">
        <f t="shared" si="77"/>
        <v>39</v>
      </c>
      <c r="AZ570" s="56"/>
      <c r="BA570" s="57"/>
      <c r="BB570" s="57"/>
      <c r="BC570" s="57"/>
      <c r="BD570" s="57"/>
      <c r="BE570" s="57"/>
      <c r="BF570" s="57"/>
      <c r="BG570" s="57"/>
      <c r="BH570" s="57"/>
      <c r="BI570" s="55">
        <f t="shared" si="78"/>
        <v>0</v>
      </c>
      <c r="BJ570" s="69">
        <f t="shared" si="79"/>
        <v>39</v>
      </c>
      <c r="BK570" s="69">
        <f t="shared" si="76"/>
        <v>0</v>
      </c>
      <c r="BM570" s="75"/>
      <c r="BN570" s="57">
        <f t="shared" si="80"/>
        <v>39</v>
      </c>
      <c r="BO570" s="80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9">
        <f t="shared" si="81"/>
        <v>0</v>
      </c>
      <c r="CB570" s="3"/>
      <c r="CD570" s="10"/>
      <c r="CE570" s="11"/>
    </row>
    <row r="571" spans="1:83" s="2" customFormat="1" ht="19.5" thickBot="1" x14ac:dyDescent="0.35">
      <c r="A571" s="17">
        <v>596</v>
      </c>
      <c r="B571" s="134"/>
      <c r="C571" s="18" t="s">
        <v>66</v>
      </c>
      <c r="D571" s="19"/>
      <c r="E571" s="19"/>
      <c r="F571" s="19"/>
      <c r="G571" s="30"/>
      <c r="H571" s="31"/>
      <c r="I571" s="40"/>
      <c r="J571" s="31"/>
      <c r="K571" s="40"/>
      <c r="L571" s="31"/>
      <c r="M571" s="40"/>
      <c r="N571" s="31"/>
      <c r="O571" s="40"/>
      <c r="P571" s="31"/>
      <c r="Q571" s="40"/>
      <c r="R571" s="31"/>
      <c r="S571" s="31"/>
      <c r="T571" s="31"/>
      <c r="U571" s="40"/>
      <c r="V571" s="31"/>
      <c r="W571" s="31"/>
      <c r="X571" s="31"/>
      <c r="Y571" s="31"/>
      <c r="Z571" s="31"/>
      <c r="AA571" s="31"/>
      <c r="AB571" s="31"/>
      <c r="AC571" s="31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>
        <v>36</v>
      </c>
      <c r="AT571" s="46"/>
      <c r="AU571" s="46"/>
      <c r="AV571" s="46"/>
      <c r="AW571" s="46"/>
      <c r="AX571" s="46"/>
      <c r="AY571" s="55">
        <f t="shared" si="77"/>
        <v>36</v>
      </c>
      <c r="AZ571" s="56"/>
      <c r="BA571" s="57"/>
      <c r="BB571" s="57"/>
      <c r="BC571" s="57"/>
      <c r="BD571" s="57"/>
      <c r="BE571" s="57"/>
      <c r="BF571" s="57"/>
      <c r="BG571" s="57"/>
      <c r="BH571" s="57"/>
      <c r="BI571" s="55">
        <f t="shared" si="78"/>
        <v>0</v>
      </c>
      <c r="BJ571" s="69">
        <f t="shared" si="79"/>
        <v>36</v>
      </c>
      <c r="BK571" s="69">
        <f t="shared" si="76"/>
        <v>0</v>
      </c>
      <c r="BM571" s="75"/>
      <c r="BN571" s="57">
        <f t="shared" si="80"/>
        <v>36</v>
      </c>
      <c r="BO571" s="80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9">
        <f t="shared" si="81"/>
        <v>0</v>
      </c>
      <c r="CB571" s="3"/>
      <c r="CD571" s="10"/>
      <c r="CE571" s="11"/>
    </row>
    <row r="572" spans="1:83" s="2" customFormat="1" ht="19.5" thickBot="1" x14ac:dyDescent="0.35">
      <c r="A572" s="17">
        <v>597</v>
      </c>
      <c r="B572" s="134"/>
      <c r="C572" s="18" t="s">
        <v>67</v>
      </c>
      <c r="D572" s="19"/>
      <c r="E572" s="19"/>
      <c r="F572" s="19"/>
      <c r="G572" s="30"/>
      <c r="H572" s="31"/>
      <c r="I572" s="40"/>
      <c r="J572" s="31"/>
      <c r="K572" s="40"/>
      <c r="L572" s="31"/>
      <c r="M572" s="40"/>
      <c r="N572" s="31"/>
      <c r="O572" s="40"/>
      <c r="P572" s="31"/>
      <c r="Q572" s="40"/>
      <c r="R572" s="31"/>
      <c r="S572" s="31"/>
      <c r="T572" s="31"/>
      <c r="U572" s="40"/>
      <c r="V572" s="31"/>
      <c r="W572" s="31"/>
      <c r="X572" s="31"/>
      <c r="Y572" s="31"/>
      <c r="Z572" s="31"/>
      <c r="AA572" s="31"/>
      <c r="AB572" s="31"/>
      <c r="AC572" s="31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>
        <v>18</v>
      </c>
      <c r="AT572" s="46"/>
      <c r="AU572" s="46"/>
      <c r="AV572" s="46"/>
      <c r="AW572" s="46"/>
      <c r="AX572" s="46"/>
      <c r="AY572" s="55">
        <f t="shared" si="77"/>
        <v>18</v>
      </c>
      <c r="AZ572" s="56"/>
      <c r="BA572" s="57"/>
      <c r="BB572" s="57"/>
      <c r="BC572" s="57"/>
      <c r="BD572" s="57"/>
      <c r="BE572" s="57"/>
      <c r="BF572" s="57"/>
      <c r="BG572" s="57"/>
      <c r="BH572" s="57"/>
      <c r="BI572" s="55">
        <f t="shared" si="78"/>
        <v>0</v>
      </c>
      <c r="BJ572" s="69">
        <f t="shared" si="79"/>
        <v>18</v>
      </c>
      <c r="BK572" s="69">
        <f t="shared" ref="BK572:BK604" si="82">SUM(AT572:AX572)</f>
        <v>0</v>
      </c>
      <c r="BM572" s="75"/>
      <c r="BN572" s="57">
        <f t="shared" si="80"/>
        <v>18</v>
      </c>
      <c r="BO572" s="80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9">
        <f t="shared" si="81"/>
        <v>0</v>
      </c>
      <c r="CB572" s="3"/>
      <c r="CD572" s="10"/>
      <c r="CE572" s="11"/>
    </row>
    <row r="573" spans="1:83" s="2" customFormat="1" ht="19.5" thickBot="1" x14ac:dyDescent="0.35">
      <c r="A573" s="17">
        <v>598</v>
      </c>
      <c r="B573" s="134"/>
      <c r="C573" s="18" t="s">
        <v>68</v>
      </c>
      <c r="D573" s="19"/>
      <c r="E573" s="19"/>
      <c r="F573" s="19"/>
      <c r="G573" s="30"/>
      <c r="H573" s="31"/>
      <c r="I573" s="40"/>
      <c r="J573" s="31"/>
      <c r="K573" s="40"/>
      <c r="L573" s="31"/>
      <c r="M573" s="40"/>
      <c r="N573" s="31"/>
      <c r="O573" s="40"/>
      <c r="P573" s="31"/>
      <c r="Q573" s="40"/>
      <c r="R573" s="31"/>
      <c r="S573" s="31"/>
      <c r="T573" s="31"/>
      <c r="U573" s="40"/>
      <c r="V573" s="31"/>
      <c r="W573" s="31"/>
      <c r="X573" s="31"/>
      <c r="Y573" s="31"/>
      <c r="Z573" s="31"/>
      <c r="AA573" s="31"/>
      <c r="AB573" s="31"/>
      <c r="AC573" s="31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>
        <v>9</v>
      </c>
      <c r="AT573" s="46"/>
      <c r="AU573" s="46"/>
      <c r="AV573" s="46"/>
      <c r="AW573" s="46"/>
      <c r="AX573" s="46"/>
      <c r="AY573" s="55">
        <f t="shared" ref="AY573:AY605" si="83">SUM(D573:AS573)</f>
        <v>9</v>
      </c>
      <c r="AZ573" s="56"/>
      <c r="BA573" s="57"/>
      <c r="BB573" s="57"/>
      <c r="BC573" s="57"/>
      <c r="BD573" s="57"/>
      <c r="BE573" s="57"/>
      <c r="BF573" s="57"/>
      <c r="BG573" s="57"/>
      <c r="BH573" s="57"/>
      <c r="BI573" s="55">
        <f t="shared" ref="BI573:BI604" si="84">SUM(AZ573:BH573)</f>
        <v>0</v>
      </c>
      <c r="BJ573" s="69">
        <f t="shared" ref="BJ573:BJ604" si="85">+AY573-BI573</f>
        <v>9</v>
      </c>
      <c r="BK573" s="69">
        <f t="shared" si="82"/>
        <v>0</v>
      </c>
      <c r="BM573" s="75"/>
      <c r="BN573" s="57">
        <f t="shared" si="80"/>
        <v>9</v>
      </c>
      <c r="BO573" s="80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9">
        <f t="shared" si="81"/>
        <v>0</v>
      </c>
      <c r="CB573" s="3"/>
      <c r="CD573" s="10"/>
      <c r="CE573" s="11"/>
    </row>
    <row r="574" spans="1:83" s="2" customFormat="1" ht="19.5" thickBot="1" x14ac:dyDescent="0.35">
      <c r="A574" s="17">
        <v>599</v>
      </c>
      <c r="B574" s="134"/>
      <c r="C574" s="20" t="s">
        <v>69</v>
      </c>
      <c r="D574" s="21"/>
      <c r="E574" s="21"/>
      <c r="F574" s="21"/>
      <c r="G574" s="32"/>
      <c r="H574" s="33"/>
      <c r="I574" s="41"/>
      <c r="J574" s="33"/>
      <c r="K574" s="41"/>
      <c r="L574" s="33"/>
      <c r="M574" s="41"/>
      <c r="N574" s="33"/>
      <c r="O574" s="41"/>
      <c r="P574" s="33"/>
      <c r="Q574" s="41"/>
      <c r="R574" s="33"/>
      <c r="S574" s="33"/>
      <c r="T574" s="33"/>
      <c r="U574" s="41"/>
      <c r="V574" s="33"/>
      <c r="W574" s="33"/>
      <c r="X574" s="33"/>
      <c r="Y574" s="33"/>
      <c r="Z574" s="33"/>
      <c r="AA574" s="33"/>
      <c r="AB574" s="33"/>
      <c r="AC574" s="33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>
        <v>6</v>
      </c>
      <c r="AT574" s="47"/>
      <c r="AU574" s="47"/>
      <c r="AV574" s="47"/>
      <c r="AW574" s="47"/>
      <c r="AX574" s="47"/>
      <c r="AY574" s="55">
        <f t="shared" si="83"/>
        <v>6</v>
      </c>
      <c r="AZ574" s="59"/>
      <c r="BA574" s="60"/>
      <c r="BB574" s="60"/>
      <c r="BC574" s="60"/>
      <c r="BD574" s="60"/>
      <c r="BE574" s="60"/>
      <c r="BF574" s="60"/>
      <c r="BG574" s="60"/>
      <c r="BH574" s="60"/>
      <c r="BI574" s="58">
        <f t="shared" si="84"/>
        <v>0</v>
      </c>
      <c r="BJ574" s="70">
        <f t="shared" si="85"/>
        <v>6</v>
      </c>
      <c r="BK574" s="70">
        <f t="shared" si="82"/>
        <v>0</v>
      </c>
      <c r="BL574" s="76"/>
      <c r="BM574" s="77"/>
      <c r="BN574" s="60">
        <f t="shared" si="80"/>
        <v>6</v>
      </c>
      <c r="BO574" s="82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9">
        <f t="shared" si="81"/>
        <v>0</v>
      </c>
      <c r="CB574" s="3"/>
      <c r="CD574" s="10"/>
      <c r="CE574" s="11"/>
    </row>
    <row r="575" spans="1:83" s="2" customFormat="1" ht="19.5" thickBot="1" x14ac:dyDescent="0.35">
      <c r="A575" s="17">
        <v>600</v>
      </c>
      <c r="B575" s="134" t="s">
        <v>166</v>
      </c>
      <c r="C575" s="18" t="s">
        <v>62</v>
      </c>
      <c r="D575" s="19"/>
      <c r="E575" s="19"/>
      <c r="F575" s="19"/>
      <c r="G575" s="30"/>
      <c r="H575" s="31"/>
      <c r="I575" s="40"/>
      <c r="J575" s="31"/>
      <c r="K575" s="40"/>
      <c r="L575" s="31"/>
      <c r="M575" s="40"/>
      <c r="N575" s="31"/>
      <c r="O575" s="40"/>
      <c r="P575" s="31"/>
      <c r="Q575" s="40"/>
      <c r="R575" s="31"/>
      <c r="S575" s="31"/>
      <c r="T575" s="31"/>
      <c r="U575" s="40"/>
      <c r="V575" s="31"/>
      <c r="W575" s="31"/>
      <c r="X575" s="31"/>
      <c r="Y575" s="31"/>
      <c r="Z575" s="31"/>
      <c r="AA575" s="31"/>
      <c r="AB575" s="31"/>
      <c r="AC575" s="31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>
        <v>27</v>
      </c>
      <c r="AT575" s="46"/>
      <c r="AU575" s="46"/>
      <c r="AV575" s="46"/>
      <c r="AW575" s="46"/>
      <c r="AX575" s="46"/>
      <c r="AY575" s="55">
        <f t="shared" si="83"/>
        <v>27</v>
      </c>
      <c r="AZ575" s="56"/>
      <c r="BA575" s="57"/>
      <c r="BB575" s="57"/>
      <c r="BC575" s="57"/>
      <c r="BD575" s="57"/>
      <c r="BE575" s="57"/>
      <c r="BF575" s="57"/>
      <c r="BG575" s="57"/>
      <c r="BH575" s="57"/>
      <c r="BI575" s="55">
        <f t="shared" si="84"/>
        <v>0</v>
      </c>
      <c r="BJ575" s="69">
        <f t="shared" si="85"/>
        <v>27</v>
      </c>
      <c r="BK575" s="69">
        <f t="shared" si="82"/>
        <v>0</v>
      </c>
      <c r="BM575" s="75"/>
      <c r="BN575" s="57">
        <f t="shared" si="80"/>
        <v>27</v>
      </c>
      <c r="BO575" s="80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9">
        <f t="shared" si="81"/>
        <v>0</v>
      </c>
      <c r="CB575" s="3"/>
      <c r="CD575" s="10"/>
      <c r="CE575" s="11"/>
    </row>
    <row r="576" spans="1:83" s="2" customFormat="1" ht="19.5" thickBot="1" x14ac:dyDescent="0.35">
      <c r="A576" s="17">
        <v>601</v>
      </c>
      <c r="B576" s="134"/>
      <c r="C576" s="18" t="s">
        <v>63</v>
      </c>
      <c r="D576" s="19"/>
      <c r="E576" s="19"/>
      <c r="F576" s="19"/>
      <c r="G576" s="30"/>
      <c r="H576" s="31"/>
      <c r="I576" s="40"/>
      <c r="J576" s="31"/>
      <c r="K576" s="40"/>
      <c r="L576" s="31"/>
      <c r="M576" s="40"/>
      <c r="N576" s="31"/>
      <c r="O576" s="40"/>
      <c r="P576" s="31"/>
      <c r="Q576" s="40"/>
      <c r="R576" s="31"/>
      <c r="S576" s="31"/>
      <c r="T576" s="31"/>
      <c r="U576" s="40"/>
      <c r="V576" s="31"/>
      <c r="W576" s="31"/>
      <c r="X576" s="31"/>
      <c r="Y576" s="31"/>
      <c r="Z576" s="31"/>
      <c r="AA576" s="31"/>
      <c r="AB576" s="31"/>
      <c r="AC576" s="31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>
        <v>42</v>
      </c>
      <c r="AT576" s="46"/>
      <c r="AU576" s="46"/>
      <c r="AV576" s="46"/>
      <c r="AW576" s="46"/>
      <c r="AX576" s="46"/>
      <c r="AY576" s="55">
        <f t="shared" si="83"/>
        <v>42</v>
      </c>
      <c r="AZ576" s="56"/>
      <c r="BA576" s="57"/>
      <c r="BB576" s="57"/>
      <c r="BC576" s="57"/>
      <c r="BD576" s="57"/>
      <c r="BE576" s="57"/>
      <c r="BF576" s="57"/>
      <c r="BG576" s="57"/>
      <c r="BH576" s="57"/>
      <c r="BI576" s="55">
        <f t="shared" si="84"/>
        <v>0</v>
      </c>
      <c r="BJ576" s="69">
        <f t="shared" si="85"/>
        <v>42</v>
      </c>
      <c r="BK576" s="69">
        <f t="shared" si="82"/>
        <v>0</v>
      </c>
      <c r="BM576" s="75"/>
      <c r="BN576" s="57">
        <f t="shared" si="80"/>
        <v>42</v>
      </c>
      <c r="BO576" s="80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9">
        <f t="shared" si="81"/>
        <v>0</v>
      </c>
      <c r="CB576" s="3"/>
      <c r="CD576" s="10"/>
      <c r="CE576" s="11"/>
    </row>
    <row r="577" spans="1:83" s="2" customFormat="1" ht="19.5" thickBot="1" x14ac:dyDescent="0.35">
      <c r="A577" s="17">
        <v>602</v>
      </c>
      <c r="B577" s="134"/>
      <c r="C577" s="18" t="s">
        <v>64</v>
      </c>
      <c r="D577" s="19"/>
      <c r="E577" s="19"/>
      <c r="F577" s="19"/>
      <c r="G577" s="30"/>
      <c r="H577" s="31"/>
      <c r="I577" s="40"/>
      <c r="J577" s="31"/>
      <c r="K577" s="40"/>
      <c r="L577" s="31"/>
      <c r="M577" s="40"/>
      <c r="N577" s="31"/>
      <c r="O577" s="40"/>
      <c r="P577" s="31"/>
      <c r="Q577" s="40"/>
      <c r="R577" s="31"/>
      <c r="S577" s="31"/>
      <c r="T577" s="31"/>
      <c r="U577" s="40"/>
      <c r="V577" s="31"/>
      <c r="W577" s="31"/>
      <c r="X577" s="31"/>
      <c r="Y577" s="31"/>
      <c r="Z577" s="31"/>
      <c r="AA577" s="31"/>
      <c r="AB577" s="31"/>
      <c r="AC577" s="31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>
        <v>51</v>
      </c>
      <c r="AT577" s="46"/>
      <c r="AU577" s="46"/>
      <c r="AV577" s="46"/>
      <c r="AW577" s="46"/>
      <c r="AX577" s="46"/>
      <c r="AY577" s="55">
        <f t="shared" si="83"/>
        <v>51</v>
      </c>
      <c r="AZ577" s="56"/>
      <c r="BA577" s="57"/>
      <c r="BB577" s="57"/>
      <c r="BC577" s="57"/>
      <c r="BD577" s="57"/>
      <c r="BE577" s="57"/>
      <c r="BF577" s="57"/>
      <c r="BG577" s="57"/>
      <c r="BH577" s="57"/>
      <c r="BI577" s="55">
        <f t="shared" si="84"/>
        <v>0</v>
      </c>
      <c r="BJ577" s="69">
        <f t="shared" si="85"/>
        <v>51</v>
      </c>
      <c r="BK577" s="69">
        <f t="shared" si="82"/>
        <v>0</v>
      </c>
      <c r="BM577" s="75"/>
      <c r="BN577" s="57">
        <f t="shared" si="80"/>
        <v>51</v>
      </c>
      <c r="BO577" s="80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9">
        <f t="shared" si="81"/>
        <v>0</v>
      </c>
      <c r="CB577" s="3"/>
      <c r="CD577" s="10"/>
      <c r="CE577" s="11"/>
    </row>
    <row r="578" spans="1:83" s="2" customFormat="1" ht="19.5" thickBot="1" x14ac:dyDescent="0.35">
      <c r="A578" s="17">
        <v>603</v>
      </c>
      <c r="B578" s="134"/>
      <c r="C578" s="18" t="s">
        <v>65</v>
      </c>
      <c r="D578" s="19"/>
      <c r="E578" s="19"/>
      <c r="F578" s="19"/>
      <c r="G578" s="30"/>
      <c r="H578" s="31"/>
      <c r="I578" s="40"/>
      <c r="J578" s="31"/>
      <c r="K578" s="40"/>
      <c r="L578" s="31"/>
      <c r="M578" s="40"/>
      <c r="N578" s="31"/>
      <c r="O578" s="40"/>
      <c r="P578" s="31"/>
      <c r="Q578" s="40"/>
      <c r="R578" s="31"/>
      <c r="S578" s="31"/>
      <c r="T578" s="31"/>
      <c r="U578" s="40"/>
      <c r="V578" s="31"/>
      <c r="W578" s="31"/>
      <c r="X578" s="31"/>
      <c r="Y578" s="31"/>
      <c r="Z578" s="31"/>
      <c r="AA578" s="31"/>
      <c r="AB578" s="31"/>
      <c r="AC578" s="31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>
        <v>48</v>
      </c>
      <c r="AT578" s="46"/>
      <c r="AU578" s="46"/>
      <c r="AV578" s="46"/>
      <c r="AW578" s="46"/>
      <c r="AX578" s="46"/>
      <c r="AY578" s="55">
        <f t="shared" si="83"/>
        <v>48</v>
      </c>
      <c r="AZ578" s="56"/>
      <c r="BA578" s="57"/>
      <c r="BB578" s="57"/>
      <c r="BC578" s="57"/>
      <c r="BD578" s="57"/>
      <c r="BE578" s="57"/>
      <c r="BF578" s="57"/>
      <c r="BG578" s="57"/>
      <c r="BH578" s="57"/>
      <c r="BI578" s="55">
        <f t="shared" si="84"/>
        <v>0</v>
      </c>
      <c r="BJ578" s="69">
        <f t="shared" si="85"/>
        <v>48</v>
      </c>
      <c r="BK578" s="69">
        <f t="shared" si="82"/>
        <v>0</v>
      </c>
      <c r="BM578" s="75"/>
      <c r="BN578" s="57">
        <f t="shared" si="80"/>
        <v>48</v>
      </c>
      <c r="BO578" s="80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9">
        <f t="shared" si="81"/>
        <v>0</v>
      </c>
      <c r="CB578" s="3"/>
      <c r="CD578" s="10"/>
      <c r="CE578" s="11"/>
    </row>
    <row r="579" spans="1:83" s="2" customFormat="1" ht="19.5" thickBot="1" x14ac:dyDescent="0.35">
      <c r="A579" s="17">
        <v>604</v>
      </c>
      <c r="B579" s="134"/>
      <c r="C579" s="18" t="s">
        <v>66</v>
      </c>
      <c r="D579" s="19"/>
      <c r="E579" s="19"/>
      <c r="F579" s="19"/>
      <c r="G579" s="30"/>
      <c r="H579" s="31"/>
      <c r="I579" s="40"/>
      <c r="J579" s="31"/>
      <c r="K579" s="40"/>
      <c r="L579" s="31"/>
      <c r="M579" s="40"/>
      <c r="N579" s="31"/>
      <c r="O579" s="40"/>
      <c r="P579" s="31"/>
      <c r="Q579" s="40"/>
      <c r="R579" s="31"/>
      <c r="S579" s="31"/>
      <c r="T579" s="31"/>
      <c r="U579" s="40"/>
      <c r="V579" s="31"/>
      <c r="W579" s="31"/>
      <c r="X579" s="31"/>
      <c r="Y579" s="31"/>
      <c r="Z579" s="31"/>
      <c r="AA579" s="31"/>
      <c r="AB579" s="31"/>
      <c r="AC579" s="31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>
        <v>33</v>
      </c>
      <c r="AT579" s="46"/>
      <c r="AU579" s="46"/>
      <c r="AV579" s="46"/>
      <c r="AW579" s="46"/>
      <c r="AX579" s="46"/>
      <c r="AY579" s="55">
        <f t="shared" si="83"/>
        <v>33</v>
      </c>
      <c r="AZ579" s="56"/>
      <c r="BA579" s="57"/>
      <c r="BB579" s="57"/>
      <c r="BC579" s="57"/>
      <c r="BD579" s="57"/>
      <c r="BE579" s="57"/>
      <c r="BF579" s="57"/>
      <c r="BG579" s="57"/>
      <c r="BH579" s="57"/>
      <c r="BI579" s="55">
        <f t="shared" si="84"/>
        <v>0</v>
      </c>
      <c r="BJ579" s="69">
        <f t="shared" si="85"/>
        <v>33</v>
      </c>
      <c r="BK579" s="69">
        <f t="shared" si="82"/>
        <v>0</v>
      </c>
      <c r="BM579" s="75"/>
      <c r="BN579" s="57">
        <f t="shared" si="80"/>
        <v>33</v>
      </c>
      <c r="BO579" s="80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9">
        <f t="shared" si="81"/>
        <v>0</v>
      </c>
      <c r="CB579" s="3"/>
      <c r="CD579" s="10"/>
      <c r="CE579" s="11"/>
    </row>
    <row r="580" spans="1:83" s="2" customFormat="1" ht="19.5" thickBot="1" x14ac:dyDescent="0.35">
      <c r="A580" s="17">
        <v>605</v>
      </c>
      <c r="B580" s="134"/>
      <c r="C580" s="18" t="s">
        <v>67</v>
      </c>
      <c r="D580" s="19"/>
      <c r="E580" s="19"/>
      <c r="F580" s="19"/>
      <c r="G580" s="30"/>
      <c r="H580" s="31"/>
      <c r="I580" s="40"/>
      <c r="J580" s="31"/>
      <c r="K580" s="40"/>
      <c r="L580" s="31"/>
      <c r="M580" s="40"/>
      <c r="N580" s="31"/>
      <c r="O580" s="40"/>
      <c r="P580" s="31"/>
      <c r="Q580" s="40"/>
      <c r="R580" s="31"/>
      <c r="S580" s="31"/>
      <c r="T580" s="31"/>
      <c r="U580" s="40"/>
      <c r="V580" s="31"/>
      <c r="W580" s="31"/>
      <c r="X580" s="31"/>
      <c r="Y580" s="31"/>
      <c r="Z580" s="31"/>
      <c r="AA580" s="31"/>
      <c r="AB580" s="31"/>
      <c r="AC580" s="31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>
        <v>24</v>
      </c>
      <c r="AT580" s="46"/>
      <c r="AU580" s="46"/>
      <c r="AV580" s="46"/>
      <c r="AW580" s="46"/>
      <c r="AX580" s="46"/>
      <c r="AY580" s="55">
        <f t="shared" si="83"/>
        <v>24</v>
      </c>
      <c r="AZ580" s="56"/>
      <c r="BA580" s="57"/>
      <c r="BB580" s="57"/>
      <c r="BC580" s="57"/>
      <c r="BD580" s="57"/>
      <c r="BE580" s="57"/>
      <c r="BF580" s="57"/>
      <c r="BG580" s="57"/>
      <c r="BH580" s="57"/>
      <c r="BI580" s="55">
        <f t="shared" si="84"/>
        <v>0</v>
      </c>
      <c r="BJ580" s="69">
        <f t="shared" si="85"/>
        <v>24</v>
      </c>
      <c r="BK580" s="69">
        <f t="shared" si="82"/>
        <v>0</v>
      </c>
      <c r="BM580" s="75"/>
      <c r="BN580" s="57">
        <f t="shared" si="80"/>
        <v>24</v>
      </c>
      <c r="BO580" s="80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9">
        <f t="shared" si="81"/>
        <v>0</v>
      </c>
      <c r="CB580" s="3"/>
      <c r="CD580" s="10"/>
      <c r="CE580" s="11"/>
    </row>
    <row r="581" spans="1:83" s="2" customFormat="1" ht="19.5" thickBot="1" x14ac:dyDescent="0.35">
      <c r="A581" s="17">
        <v>606</v>
      </c>
      <c r="B581" s="134"/>
      <c r="C581" s="18" t="s">
        <v>68</v>
      </c>
      <c r="D581" s="19"/>
      <c r="E581" s="19"/>
      <c r="F581" s="19"/>
      <c r="G581" s="30"/>
      <c r="H581" s="31"/>
      <c r="I581" s="40"/>
      <c r="J581" s="31"/>
      <c r="K581" s="40"/>
      <c r="L581" s="31"/>
      <c r="M581" s="40"/>
      <c r="N581" s="31"/>
      <c r="O581" s="40"/>
      <c r="P581" s="31"/>
      <c r="Q581" s="40"/>
      <c r="R581" s="31"/>
      <c r="S581" s="31"/>
      <c r="T581" s="31"/>
      <c r="U581" s="40"/>
      <c r="V581" s="31"/>
      <c r="W581" s="31"/>
      <c r="X581" s="31"/>
      <c r="Y581" s="31"/>
      <c r="Z581" s="31"/>
      <c r="AA581" s="31"/>
      <c r="AB581" s="31"/>
      <c r="AC581" s="31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>
        <v>12</v>
      </c>
      <c r="AT581" s="46"/>
      <c r="AU581" s="46"/>
      <c r="AV581" s="46"/>
      <c r="AW581" s="46"/>
      <c r="AX581" s="46"/>
      <c r="AY581" s="55">
        <f t="shared" si="83"/>
        <v>12</v>
      </c>
      <c r="AZ581" s="56"/>
      <c r="BA581" s="57"/>
      <c r="BB581" s="57"/>
      <c r="BC581" s="57"/>
      <c r="BD581" s="57"/>
      <c r="BE581" s="57"/>
      <c r="BF581" s="57"/>
      <c r="BG581" s="57"/>
      <c r="BH581" s="57"/>
      <c r="BI581" s="55">
        <f t="shared" si="84"/>
        <v>0</v>
      </c>
      <c r="BJ581" s="69">
        <f t="shared" si="85"/>
        <v>12</v>
      </c>
      <c r="BK581" s="69">
        <f t="shared" si="82"/>
        <v>0</v>
      </c>
      <c r="BM581" s="75"/>
      <c r="BN581" s="57">
        <f t="shared" si="80"/>
        <v>12</v>
      </c>
      <c r="BO581" s="80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9">
        <f t="shared" si="81"/>
        <v>0</v>
      </c>
      <c r="CB581" s="3"/>
      <c r="CD581" s="10"/>
      <c r="CE581" s="11"/>
    </row>
    <row r="582" spans="1:83" s="2" customFormat="1" ht="19.5" thickBot="1" x14ac:dyDescent="0.35">
      <c r="A582" s="17">
        <v>607</v>
      </c>
      <c r="B582" s="134"/>
      <c r="C582" s="20" t="s">
        <v>69</v>
      </c>
      <c r="D582" s="21"/>
      <c r="E582" s="21"/>
      <c r="F582" s="21"/>
      <c r="G582" s="32"/>
      <c r="H582" s="33"/>
      <c r="I582" s="41"/>
      <c r="J582" s="33"/>
      <c r="K582" s="41"/>
      <c r="L582" s="33"/>
      <c r="M582" s="41"/>
      <c r="N582" s="33"/>
      <c r="O582" s="41"/>
      <c r="P582" s="33"/>
      <c r="Q582" s="41"/>
      <c r="R582" s="33"/>
      <c r="S582" s="33"/>
      <c r="T582" s="33"/>
      <c r="U582" s="41"/>
      <c r="V582" s="33"/>
      <c r="W582" s="33"/>
      <c r="X582" s="33"/>
      <c r="Y582" s="33"/>
      <c r="Z582" s="33"/>
      <c r="AA582" s="33"/>
      <c r="AB582" s="33"/>
      <c r="AC582" s="33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>
        <v>3</v>
      </c>
      <c r="AT582" s="47"/>
      <c r="AU582" s="47"/>
      <c r="AV582" s="47"/>
      <c r="AW582" s="47"/>
      <c r="AX582" s="47"/>
      <c r="AY582" s="55">
        <f t="shared" si="83"/>
        <v>3</v>
      </c>
      <c r="AZ582" s="59"/>
      <c r="BA582" s="60"/>
      <c r="BB582" s="60"/>
      <c r="BC582" s="60"/>
      <c r="BD582" s="60"/>
      <c r="BE582" s="60"/>
      <c r="BF582" s="60"/>
      <c r="BG582" s="60"/>
      <c r="BH582" s="60"/>
      <c r="BI582" s="58">
        <f t="shared" si="84"/>
        <v>0</v>
      </c>
      <c r="BJ582" s="70">
        <f t="shared" si="85"/>
        <v>3</v>
      </c>
      <c r="BK582" s="70">
        <f t="shared" si="82"/>
        <v>0</v>
      </c>
      <c r="BL582" s="76"/>
      <c r="BM582" s="77"/>
      <c r="BN582" s="60">
        <f t="shared" si="80"/>
        <v>3</v>
      </c>
      <c r="BO582" s="82"/>
      <c r="BP582" s="83"/>
      <c r="BQ582" s="83"/>
      <c r="BR582" s="83"/>
      <c r="BS582" s="83"/>
      <c r="BT582" s="83"/>
      <c r="BU582" s="83"/>
      <c r="BV582" s="83"/>
      <c r="BW582" s="83"/>
      <c r="BX582" s="83"/>
      <c r="BY582" s="83"/>
      <c r="BZ582" s="9">
        <f t="shared" si="81"/>
        <v>0</v>
      </c>
      <c r="CB582" s="3"/>
      <c r="CD582" s="10"/>
      <c r="CE582" s="11"/>
    </row>
    <row r="583" spans="1:83" s="2" customFormat="1" ht="19.5" thickBot="1" x14ac:dyDescent="0.35">
      <c r="A583" s="17">
        <v>608</v>
      </c>
      <c r="B583" s="134" t="s">
        <v>167</v>
      </c>
      <c r="C583" s="18" t="s">
        <v>62</v>
      </c>
      <c r="D583" s="19"/>
      <c r="E583" s="19"/>
      <c r="F583" s="19"/>
      <c r="G583" s="30"/>
      <c r="H583" s="31"/>
      <c r="I583" s="40"/>
      <c r="J583" s="31"/>
      <c r="K583" s="40"/>
      <c r="L583" s="31"/>
      <c r="M583" s="40"/>
      <c r="N583" s="31"/>
      <c r="O583" s="40"/>
      <c r="P583" s="31"/>
      <c r="Q583" s="40"/>
      <c r="R583" s="31"/>
      <c r="S583" s="31"/>
      <c r="T583" s="31"/>
      <c r="U583" s="40"/>
      <c r="V583" s="31"/>
      <c r="W583" s="31"/>
      <c r="X583" s="31"/>
      <c r="Y583" s="31"/>
      <c r="Z583" s="31"/>
      <c r="AA583" s="31"/>
      <c r="AB583" s="31"/>
      <c r="AC583" s="31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>
        <v>9</v>
      </c>
      <c r="AT583" s="46"/>
      <c r="AU583" s="46"/>
      <c r="AV583" s="46"/>
      <c r="AW583" s="46"/>
      <c r="AX583" s="46"/>
      <c r="AY583" s="55">
        <f t="shared" si="83"/>
        <v>9</v>
      </c>
      <c r="AZ583" s="56"/>
      <c r="BA583" s="57"/>
      <c r="BB583" s="57"/>
      <c r="BC583" s="57"/>
      <c r="BD583" s="57"/>
      <c r="BE583" s="57"/>
      <c r="BF583" s="57"/>
      <c r="BG583" s="57"/>
      <c r="BH583" s="57"/>
      <c r="BI583" s="55">
        <f t="shared" si="84"/>
        <v>0</v>
      </c>
      <c r="BJ583" s="69">
        <f t="shared" si="85"/>
        <v>9</v>
      </c>
      <c r="BK583" s="69">
        <f t="shared" si="82"/>
        <v>0</v>
      </c>
      <c r="BM583" s="75"/>
      <c r="BN583" s="57">
        <f t="shared" si="80"/>
        <v>9</v>
      </c>
      <c r="BO583" s="80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9">
        <f t="shared" si="81"/>
        <v>0</v>
      </c>
      <c r="CB583" s="3"/>
      <c r="CD583" s="10"/>
      <c r="CE583" s="11"/>
    </row>
    <row r="584" spans="1:83" s="2" customFormat="1" ht="19.5" thickBot="1" x14ac:dyDescent="0.35">
      <c r="A584" s="17">
        <v>609</v>
      </c>
      <c r="B584" s="134"/>
      <c r="C584" s="18" t="s">
        <v>63</v>
      </c>
      <c r="D584" s="19"/>
      <c r="E584" s="19"/>
      <c r="F584" s="19"/>
      <c r="G584" s="30"/>
      <c r="H584" s="31"/>
      <c r="I584" s="40"/>
      <c r="J584" s="31"/>
      <c r="K584" s="40"/>
      <c r="L584" s="31"/>
      <c r="M584" s="40"/>
      <c r="N584" s="31"/>
      <c r="O584" s="40"/>
      <c r="P584" s="31"/>
      <c r="Q584" s="40"/>
      <c r="R584" s="31"/>
      <c r="S584" s="31"/>
      <c r="T584" s="31"/>
      <c r="U584" s="40"/>
      <c r="V584" s="31"/>
      <c r="W584" s="31"/>
      <c r="X584" s="31"/>
      <c r="Y584" s="31"/>
      <c r="Z584" s="31"/>
      <c r="AA584" s="31"/>
      <c r="AB584" s="31"/>
      <c r="AC584" s="31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>
        <v>18</v>
      </c>
      <c r="AT584" s="46"/>
      <c r="AU584" s="46"/>
      <c r="AV584" s="46"/>
      <c r="AW584" s="46"/>
      <c r="AX584" s="46"/>
      <c r="AY584" s="55">
        <f t="shared" si="83"/>
        <v>18</v>
      </c>
      <c r="AZ584" s="56"/>
      <c r="BA584" s="57"/>
      <c r="BB584" s="57"/>
      <c r="BC584" s="57"/>
      <c r="BD584" s="57"/>
      <c r="BE584" s="57"/>
      <c r="BF584" s="57"/>
      <c r="BG584" s="57"/>
      <c r="BH584" s="57"/>
      <c r="BI584" s="55">
        <f t="shared" si="84"/>
        <v>0</v>
      </c>
      <c r="BJ584" s="69">
        <f t="shared" si="85"/>
        <v>18</v>
      </c>
      <c r="BK584" s="69">
        <f t="shared" si="82"/>
        <v>0</v>
      </c>
      <c r="BM584" s="75"/>
      <c r="BN584" s="57">
        <f t="shared" si="80"/>
        <v>18</v>
      </c>
      <c r="BO584" s="80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9">
        <f t="shared" si="81"/>
        <v>0</v>
      </c>
      <c r="CB584" s="3"/>
      <c r="CD584" s="10"/>
      <c r="CE584" s="11"/>
    </row>
    <row r="585" spans="1:83" s="2" customFormat="1" ht="19.5" thickBot="1" x14ac:dyDescent="0.35">
      <c r="A585" s="17">
        <v>610</v>
      </c>
      <c r="B585" s="134"/>
      <c r="C585" s="18" t="s">
        <v>64</v>
      </c>
      <c r="D585" s="19"/>
      <c r="E585" s="19"/>
      <c r="F585" s="19"/>
      <c r="G585" s="30"/>
      <c r="H585" s="31"/>
      <c r="I585" s="40"/>
      <c r="J585" s="31"/>
      <c r="K585" s="40"/>
      <c r="L585" s="31"/>
      <c r="M585" s="40"/>
      <c r="N585" s="31"/>
      <c r="O585" s="40"/>
      <c r="P585" s="31"/>
      <c r="Q585" s="40"/>
      <c r="R585" s="31"/>
      <c r="S585" s="31"/>
      <c r="T585" s="31"/>
      <c r="U585" s="40"/>
      <c r="V585" s="31"/>
      <c r="W585" s="31"/>
      <c r="X585" s="31"/>
      <c r="Y585" s="31"/>
      <c r="Z585" s="31"/>
      <c r="AA585" s="31"/>
      <c r="AB585" s="31"/>
      <c r="AC585" s="31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>
        <v>30</v>
      </c>
      <c r="AT585" s="46"/>
      <c r="AU585" s="46"/>
      <c r="AV585" s="46"/>
      <c r="AW585" s="46"/>
      <c r="AX585" s="46"/>
      <c r="AY585" s="55">
        <f t="shared" si="83"/>
        <v>30</v>
      </c>
      <c r="AZ585" s="56"/>
      <c r="BA585" s="57"/>
      <c r="BB585" s="57"/>
      <c r="BC585" s="57"/>
      <c r="BD585" s="57"/>
      <c r="BE585" s="57"/>
      <c r="BF585" s="57"/>
      <c r="BG585" s="57"/>
      <c r="BH585" s="57"/>
      <c r="BI585" s="55">
        <f t="shared" si="84"/>
        <v>0</v>
      </c>
      <c r="BJ585" s="69">
        <f t="shared" si="85"/>
        <v>30</v>
      </c>
      <c r="BK585" s="69">
        <f t="shared" si="82"/>
        <v>0</v>
      </c>
      <c r="BM585" s="75"/>
      <c r="BN585" s="57">
        <f t="shared" si="80"/>
        <v>30</v>
      </c>
      <c r="BO585" s="80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9">
        <f t="shared" si="81"/>
        <v>0</v>
      </c>
      <c r="CB585" s="3"/>
      <c r="CD585" s="10"/>
      <c r="CE585" s="11"/>
    </row>
    <row r="586" spans="1:83" s="2" customFormat="1" ht="19.5" thickBot="1" x14ac:dyDescent="0.35">
      <c r="A586" s="17">
        <v>611</v>
      </c>
      <c r="B586" s="134"/>
      <c r="C586" s="18" t="s">
        <v>65</v>
      </c>
      <c r="D586" s="19"/>
      <c r="E586" s="19"/>
      <c r="F586" s="19"/>
      <c r="G586" s="30"/>
      <c r="H586" s="31"/>
      <c r="I586" s="40"/>
      <c r="J586" s="31"/>
      <c r="K586" s="40"/>
      <c r="L586" s="31"/>
      <c r="M586" s="40"/>
      <c r="N586" s="31"/>
      <c r="O586" s="40"/>
      <c r="P586" s="31"/>
      <c r="Q586" s="40"/>
      <c r="R586" s="31"/>
      <c r="S586" s="31"/>
      <c r="T586" s="31"/>
      <c r="U586" s="40"/>
      <c r="V586" s="31"/>
      <c r="W586" s="31"/>
      <c r="X586" s="31"/>
      <c r="Y586" s="31"/>
      <c r="Z586" s="31"/>
      <c r="AA586" s="31"/>
      <c r="AB586" s="31"/>
      <c r="AC586" s="31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>
        <v>30</v>
      </c>
      <c r="AT586" s="46"/>
      <c r="AU586" s="46"/>
      <c r="AV586" s="46"/>
      <c r="AW586" s="46"/>
      <c r="AX586" s="46"/>
      <c r="AY586" s="55">
        <f t="shared" si="83"/>
        <v>30</v>
      </c>
      <c r="AZ586" s="56"/>
      <c r="BA586" s="57"/>
      <c r="BB586" s="57"/>
      <c r="BC586" s="57"/>
      <c r="BD586" s="57"/>
      <c r="BE586" s="57"/>
      <c r="BF586" s="57"/>
      <c r="BG586" s="57"/>
      <c r="BH586" s="57"/>
      <c r="BI586" s="55">
        <f t="shared" si="84"/>
        <v>0</v>
      </c>
      <c r="BJ586" s="69">
        <f t="shared" si="85"/>
        <v>30</v>
      </c>
      <c r="BK586" s="69">
        <f t="shared" si="82"/>
        <v>0</v>
      </c>
      <c r="BM586" s="75"/>
      <c r="BN586" s="57">
        <f t="shared" si="80"/>
        <v>30</v>
      </c>
      <c r="BO586" s="80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9">
        <f t="shared" si="81"/>
        <v>0</v>
      </c>
      <c r="CB586" s="3"/>
      <c r="CD586" s="10"/>
      <c r="CE586" s="11"/>
    </row>
    <row r="587" spans="1:83" s="2" customFormat="1" ht="19.5" thickBot="1" x14ac:dyDescent="0.35">
      <c r="A587" s="17">
        <v>612</v>
      </c>
      <c r="B587" s="134"/>
      <c r="C587" s="18" t="s">
        <v>66</v>
      </c>
      <c r="D587" s="19"/>
      <c r="E587" s="19"/>
      <c r="F587" s="19"/>
      <c r="G587" s="30"/>
      <c r="H587" s="31"/>
      <c r="I587" s="40"/>
      <c r="J587" s="31"/>
      <c r="K587" s="40"/>
      <c r="L587" s="31"/>
      <c r="M587" s="40"/>
      <c r="N587" s="31"/>
      <c r="O587" s="40"/>
      <c r="P587" s="31"/>
      <c r="Q587" s="40"/>
      <c r="R587" s="31"/>
      <c r="S587" s="31"/>
      <c r="T587" s="31"/>
      <c r="U587" s="40"/>
      <c r="V587" s="31"/>
      <c r="W587" s="31"/>
      <c r="X587" s="31"/>
      <c r="Y587" s="31"/>
      <c r="Z587" s="31"/>
      <c r="AA587" s="31"/>
      <c r="AB587" s="31"/>
      <c r="AC587" s="31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>
        <v>27</v>
      </c>
      <c r="AT587" s="46"/>
      <c r="AU587" s="46"/>
      <c r="AV587" s="46"/>
      <c r="AW587" s="46"/>
      <c r="AX587" s="46"/>
      <c r="AY587" s="55">
        <f t="shared" si="83"/>
        <v>27</v>
      </c>
      <c r="AZ587" s="56"/>
      <c r="BA587" s="57"/>
      <c r="BB587" s="57"/>
      <c r="BC587" s="57"/>
      <c r="BD587" s="57"/>
      <c r="BE587" s="57"/>
      <c r="BF587" s="57"/>
      <c r="BG587" s="57"/>
      <c r="BH587" s="57"/>
      <c r="BI587" s="55">
        <f t="shared" si="84"/>
        <v>0</v>
      </c>
      <c r="BJ587" s="69">
        <f t="shared" si="85"/>
        <v>27</v>
      </c>
      <c r="BK587" s="69">
        <f t="shared" si="82"/>
        <v>0</v>
      </c>
      <c r="BM587" s="75"/>
      <c r="BN587" s="57">
        <f t="shared" si="80"/>
        <v>27</v>
      </c>
      <c r="BO587" s="80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9">
        <f t="shared" si="81"/>
        <v>0</v>
      </c>
      <c r="CB587" s="3"/>
      <c r="CD587" s="10"/>
      <c r="CE587" s="11"/>
    </row>
    <row r="588" spans="1:83" s="2" customFormat="1" ht="19.5" thickBot="1" x14ac:dyDescent="0.35">
      <c r="A588" s="17">
        <v>613</v>
      </c>
      <c r="B588" s="134"/>
      <c r="C588" s="18" t="s">
        <v>67</v>
      </c>
      <c r="D588" s="19"/>
      <c r="E588" s="19"/>
      <c r="F588" s="19"/>
      <c r="G588" s="30"/>
      <c r="H588" s="31"/>
      <c r="I588" s="40"/>
      <c r="J588" s="31"/>
      <c r="K588" s="40"/>
      <c r="L588" s="31"/>
      <c r="M588" s="40"/>
      <c r="N588" s="31"/>
      <c r="O588" s="40"/>
      <c r="P588" s="31"/>
      <c r="Q588" s="40"/>
      <c r="R588" s="31"/>
      <c r="S588" s="31"/>
      <c r="T588" s="31"/>
      <c r="U588" s="40"/>
      <c r="V588" s="31"/>
      <c r="W588" s="31"/>
      <c r="X588" s="31"/>
      <c r="Y588" s="31"/>
      <c r="Z588" s="31"/>
      <c r="AA588" s="31"/>
      <c r="AB588" s="31"/>
      <c r="AC588" s="31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>
        <v>15</v>
      </c>
      <c r="AT588" s="46"/>
      <c r="AU588" s="46"/>
      <c r="AV588" s="46"/>
      <c r="AW588" s="46"/>
      <c r="AX588" s="46"/>
      <c r="AY588" s="55">
        <f t="shared" si="83"/>
        <v>15</v>
      </c>
      <c r="AZ588" s="56"/>
      <c r="BA588" s="57"/>
      <c r="BB588" s="57"/>
      <c r="BC588" s="57"/>
      <c r="BD588" s="57"/>
      <c r="BE588" s="57"/>
      <c r="BF588" s="57"/>
      <c r="BG588" s="57"/>
      <c r="BH588" s="57"/>
      <c r="BI588" s="55">
        <f t="shared" si="84"/>
        <v>0</v>
      </c>
      <c r="BJ588" s="69">
        <f t="shared" si="85"/>
        <v>15</v>
      </c>
      <c r="BK588" s="69">
        <f t="shared" si="82"/>
        <v>0</v>
      </c>
      <c r="BM588" s="75"/>
      <c r="BN588" s="57">
        <f t="shared" si="80"/>
        <v>15</v>
      </c>
      <c r="BO588" s="80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9">
        <f t="shared" si="81"/>
        <v>0</v>
      </c>
      <c r="CB588" s="3"/>
      <c r="CD588" s="10"/>
      <c r="CE588" s="11"/>
    </row>
    <row r="589" spans="1:83" s="2" customFormat="1" ht="19.5" thickBot="1" x14ac:dyDescent="0.35">
      <c r="A589" s="17">
        <v>614</v>
      </c>
      <c r="B589" s="134"/>
      <c r="C589" s="18" t="s">
        <v>68</v>
      </c>
      <c r="D589" s="19"/>
      <c r="E589" s="19"/>
      <c r="F589" s="19"/>
      <c r="G589" s="30"/>
      <c r="H589" s="31"/>
      <c r="I589" s="40"/>
      <c r="J589" s="31"/>
      <c r="K589" s="40"/>
      <c r="L589" s="31"/>
      <c r="M589" s="40"/>
      <c r="N589" s="31"/>
      <c r="O589" s="40"/>
      <c r="P589" s="31"/>
      <c r="Q589" s="40"/>
      <c r="R589" s="31"/>
      <c r="S589" s="31"/>
      <c r="T589" s="31"/>
      <c r="U589" s="40"/>
      <c r="V589" s="31"/>
      <c r="W589" s="31"/>
      <c r="X589" s="31"/>
      <c r="Y589" s="31"/>
      <c r="Z589" s="31"/>
      <c r="AA589" s="31"/>
      <c r="AB589" s="31"/>
      <c r="AC589" s="31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>
        <v>9</v>
      </c>
      <c r="AT589" s="46"/>
      <c r="AU589" s="46"/>
      <c r="AV589" s="46"/>
      <c r="AW589" s="46"/>
      <c r="AX589" s="46"/>
      <c r="AY589" s="55">
        <f t="shared" si="83"/>
        <v>9</v>
      </c>
      <c r="AZ589" s="56"/>
      <c r="BA589" s="57"/>
      <c r="BB589" s="57"/>
      <c r="BC589" s="57"/>
      <c r="BD589" s="57"/>
      <c r="BE589" s="57"/>
      <c r="BF589" s="57"/>
      <c r="BG589" s="57"/>
      <c r="BH589" s="57"/>
      <c r="BI589" s="55">
        <f t="shared" si="84"/>
        <v>0</v>
      </c>
      <c r="BJ589" s="69">
        <f t="shared" si="85"/>
        <v>9</v>
      </c>
      <c r="BK589" s="69">
        <f t="shared" si="82"/>
        <v>0</v>
      </c>
      <c r="BM589" s="75"/>
      <c r="BN589" s="57">
        <f t="shared" si="80"/>
        <v>9</v>
      </c>
      <c r="BO589" s="80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9">
        <f t="shared" si="81"/>
        <v>0</v>
      </c>
      <c r="CB589" s="3"/>
      <c r="CD589" s="10"/>
      <c r="CE589" s="11"/>
    </row>
    <row r="590" spans="1:83" s="2" customFormat="1" ht="19.5" thickBot="1" x14ac:dyDescent="0.35">
      <c r="A590" s="17">
        <v>615</v>
      </c>
      <c r="B590" s="134"/>
      <c r="C590" s="20" t="s">
        <v>69</v>
      </c>
      <c r="D590" s="21"/>
      <c r="E590" s="21"/>
      <c r="F590" s="21"/>
      <c r="G590" s="32"/>
      <c r="H590" s="33"/>
      <c r="I590" s="41"/>
      <c r="J590" s="33"/>
      <c r="K590" s="41"/>
      <c r="L590" s="33"/>
      <c r="M590" s="41"/>
      <c r="N590" s="33"/>
      <c r="O590" s="41"/>
      <c r="P590" s="33"/>
      <c r="Q590" s="41"/>
      <c r="R590" s="33"/>
      <c r="S590" s="33"/>
      <c r="T590" s="33"/>
      <c r="U590" s="41"/>
      <c r="V590" s="33"/>
      <c r="W590" s="33"/>
      <c r="X590" s="33"/>
      <c r="Y590" s="33"/>
      <c r="Z590" s="33"/>
      <c r="AA590" s="33"/>
      <c r="AB590" s="33"/>
      <c r="AC590" s="33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>
        <v>6</v>
      </c>
      <c r="AT590" s="47"/>
      <c r="AU590" s="47"/>
      <c r="AV590" s="47"/>
      <c r="AW590" s="47"/>
      <c r="AX590" s="47"/>
      <c r="AY590" s="55">
        <f t="shared" si="83"/>
        <v>6</v>
      </c>
      <c r="AZ590" s="59"/>
      <c r="BA590" s="60"/>
      <c r="BB590" s="60"/>
      <c r="BC590" s="60"/>
      <c r="BD590" s="60"/>
      <c r="BE590" s="60"/>
      <c r="BF590" s="60"/>
      <c r="BG590" s="60"/>
      <c r="BH590" s="60"/>
      <c r="BI590" s="58">
        <f t="shared" si="84"/>
        <v>0</v>
      </c>
      <c r="BJ590" s="70">
        <f t="shared" si="85"/>
        <v>6</v>
      </c>
      <c r="BK590" s="70">
        <f t="shared" si="82"/>
        <v>0</v>
      </c>
      <c r="BL590" s="76"/>
      <c r="BM590" s="77"/>
      <c r="BN590" s="60">
        <f t="shared" si="80"/>
        <v>6</v>
      </c>
      <c r="BO590" s="82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9">
        <f t="shared" si="81"/>
        <v>0</v>
      </c>
      <c r="CB590" s="3"/>
      <c r="CD590" s="10"/>
      <c r="CE590" s="11"/>
    </row>
    <row r="591" spans="1:83" s="2" customFormat="1" ht="19.5" thickBot="1" x14ac:dyDescent="0.35">
      <c r="A591" s="17">
        <v>616</v>
      </c>
      <c r="B591" s="134" t="s">
        <v>165</v>
      </c>
      <c r="C591" s="18" t="s">
        <v>82</v>
      </c>
      <c r="D591" s="19"/>
      <c r="E591" s="19"/>
      <c r="F591" s="19"/>
      <c r="G591" s="30"/>
      <c r="H591" s="31"/>
      <c r="I591" s="40"/>
      <c r="J591" s="31"/>
      <c r="K591" s="40"/>
      <c r="L591" s="31"/>
      <c r="M591" s="40"/>
      <c r="N591" s="31"/>
      <c r="O591" s="40"/>
      <c r="P591" s="31"/>
      <c r="Q591" s="40"/>
      <c r="R591" s="31"/>
      <c r="S591" s="31"/>
      <c r="T591" s="31"/>
      <c r="U591" s="40"/>
      <c r="V591" s="31"/>
      <c r="W591" s="31"/>
      <c r="X591" s="31"/>
      <c r="Y591" s="31"/>
      <c r="Z591" s="31"/>
      <c r="AA591" s="31"/>
      <c r="AB591" s="31"/>
      <c r="AC591" s="31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>
        <v>9</v>
      </c>
      <c r="AT591" s="46"/>
      <c r="AU591" s="46"/>
      <c r="AV591" s="46"/>
      <c r="AW591" s="46"/>
      <c r="AX591" s="46"/>
      <c r="AY591" s="55">
        <f t="shared" si="83"/>
        <v>9</v>
      </c>
      <c r="AZ591" s="56"/>
      <c r="BA591" s="57"/>
      <c r="BB591" s="57"/>
      <c r="BC591" s="57"/>
      <c r="BD591" s="57"/>
      <c r="BE591" s="57"/>
      <c r="BF591" s="57"/>
      <c r="BG591" s="57"/>
      <c r="BH591" s="57"/>
      <c r="BI591" s="55">
        <f t="shared" si="84"/>
        <v>0</v>
      </c>
      <c r="BJ591" s="69">
        <f t="shared" si="85"/>
        <v>9</v>
      </c>
      <c r="BK591" s="69">
        <f t="shared" si="82"/>
        <v>0</v>
      </c>
      <c r="BM591" s="75"/>
      <c r="BN591" s="57">
        <f t="shared" si="80"/>
        <v>9</v>
      </c>
      <c r="BO591" s="80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9">
        <f t="shared" si="81"/>
        <v>0</v>
      </c>
      <c r="CB591" s="3"/>
      <c r="CD591" s="10"/>
      <c r="CE591" s="11"/>
    </row>
    <row r="592" spans="1:83" s="2" customFormat="1" ht="19.5" thickBot="1" x14ac:dyDescent="0.35">
      <c r="A592" s="17">
        <v>617</v>
      </c>
      <c r="B592" s="134"/>
      <c r="C592" s="18" t="s">
        <v>83</v>
      </c>
      <c r="D592" s="19"/>
      <c r="E592" s="19"/>
      <c r="F592" s="19"/>
      <c r="G592" s="30"/>
      <c r="H592" s="31"/>
      <c r="I592" s="40"/>
      <c r="J592" s="31"/>
      <c r="K592" s="40"/>
      <c r="L592" s="31"/>
      <c r="M592" s="40"/>
      <c r="N592" s="31"/>
      <c r="O592" s="40"/>
      <c r="P592" s="31"/>
      <c r="Q592" s="40"/>
      <c r="R592" s="31"/>
      <c r="S592" s="31"/>
      <c r="T592" s="31"/>
      <c r="U592" s="40"/>
      <c r="V592" s="31"/>
      <c r="W592" s="31"/>
      <c r="X592" s="31"/>
      <c r="Y592" s="31"/>
      <c r="Z592" s="31"/>
      <c r="AA592" s="31"/>
      <c r="AB592" s="31"/>
      <c r="AC592" s="31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>
        <v>18</v>
      </c>
      <c r="AT592" s="46"/>
      <c r="AU592" s="46"/>
      <c r="AV592" s="46"/>
      <c r="AW592" s="46"/>
      <c r="AX592" s="46"/>
      <c r="AY592" s="55">
        <f t="shared" si="83"/>
        <v>18</v>
      </c>
      <c r="AZ592" s="56"/>
      <c r="BA592" s="57"/>
      <c r="BB592" s="57"/>
      <c r="BC592" s="57"/>
      <c r="BD592" s="57"/>
      <c r="BE592" s="57"/>
      <c r="BF592" s="57"/>
      <c r="BG592" s="57"/>
      <c r="BH592" s="57"/>
      <c r="BI592" s="55">
        <f t="shared" si="84"/>
        <v>0</v>
      </c>
      <c r="BJ592" s="69">
        <f t="shared" si="85"/>
        <v>18</v>
      </c>
      <c r="BK592" s="69">
        <f t="shared" si="82"/>
        <v>0</v>
      </c>
      <c r="BM592" s="75"/>
      <c r="BN592" s="57">
        <f t="shared" si="80"/>
        <v>18</v>
      </c>
      <c r="BO592" s="80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9">
        <f t="shared" si="81"/>
        <v>0</v>
      </c>
      <c r="CB592" s="3"/>
      <c r="CD592" s="10"/>
      <c r="CE592" s="11"/>
    </row>
    <row r="593" spans="1:83" s="2" customFormat="1" ht="19.5" thickBot="1" x14ac:dyDescent="0.35">
      <c r="A593" s="17">
        <v>618</v>
      </c>
      <c r="B593" s="134"/>
      <c r="C593" s="18" t="s">
        <v>84</v>
      </c>
      <c r="D593" s="19"/>
      <c r="E593" s="19"/>
      <c r="F593" s="19"/>
      <c r="G593" s="30"/>
      <c r="H593" s="31"/>
      <c r="I593" s="40"/>
      <c r="J593" s="31"/>
      <c r="K593" s="40"/>
      <c r="L593" s="31"/>
      <c r="M593" s="40"/>
      <c r="N593" s="31"/>
      <c r="O593" s="40"/>
      <c r="P593" s="31"/>
      <c r="Q593" s="40"/>
      <c r="R593" s="31"/>
      <c r="S593" s="31"/>
      <c r="T593" s="31"/>
      <c r="U593" s="40"/>
      <c r="V593" s="31"/>
      <c r="W593" s="31"/>
      <c r="X593" s="31"/>
      <c r="Y593" s="31"/>
      <c r="Z593" s="31"/>
      <c r="AA593" s="31"/>
      <c r="AB593" s="31"/>
      <c r="AC593" s="31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>
        <v>24</v>
      </c>
      <c r="AT593" s="46"/>
      <c r="AU593" s="46"/>
      <c r="AV593" s="46"/>
      <c r="AW593" s="46"/>
      <c r="AX593" s="46"/>
      <c r="AY593" s="55">
        <f t="shared" si="83"/>
        <v>24</v>
      </c>
      <c r="AZ593" s="56"/>
      <c r="BA593" s="57"/>
      <c r="BB593" s="57"/>
      <c r="BC593" s="57"/>
      <c r="BD593" s="57"/>
      <c r="BE593" s="57"/>
      <c r="BF593" s="57"/>
      <c r="BG593" s="57"/>
      <c r="BH593" s="57"/>
      <c r="BI593" s="55">
        <f t="shared" si="84"/>
        <v>0</v>
      </c>
      <c r="BJ593" s="69">
        <f t="shared" si="85"/>
        <v>24</v>
      </c>
      <c r="BK593" s="69">
        <f t="shared" si="82"/>
        <v>0</v>
      </c>
      <c r="BM593" s="75"/>
      <c r="BN593" s="57">
        <f t="shared" si="80"/>
        <v>24</v>
      </c>
      <c r="BO593" s="80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9">
        <f t="shared" si="81"/>
        <v>0</v>
      </c>
      <c r="CB593" s="3"/>
      <c r="CD593" s="10"/>
      <c r="CE593" s="11"/>
    </row>
    <row r="594" spans="1:83" s="2" customFormat="1" ht="19.5" thickBot="1" x14ac:dyDescent="0.35">
      <c r="A594" s="17">
        <v>619</v>
      </c>
      <c r="B594" s="134"/>
      <c r="C594" s="18" t="s">
        <v>85</v>
      </c>
      <c r="D594" s="19"/>
      <c r="E594" s="19"/>
      <c r="F594" s="19"/>
      <c r="G594" s="30"/>
      <c r="H594" s="31"/>
      <c r="I594" s="40"/>
      <c r="J594" s="31"/>
      <c r="K594" s="40"/>
      <c r="L594" s="31"/>
      <c r="M594" s="40"/>
      <c r="N594" s="31"/>
      <c r="O594" s="40"/>
      <c r="P594" s="31"/>
      <c r="Q594" s="40"/>
      <c r="R594" s="31"/>
      <c r="S594" s="31"/>
      <c r="T594" s="31"/>
      <c r="U594" s="40"/>
      <c r="V594" s="31"/>
      <c r="W594" s="31"/>
      <c r="X594" s="31"/>
      <c r="Y594" s="31"/>
      <c r="Z594" s="31"/>
      <c r="AA594" s="31"/>
      <c r="AB594" s="31"/>
      <c r="AC594" s="31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>
        <v>36</v>
      </c>
      <c r="AT594" s="46"/>
      <c r="AU594" s="46"/>
      <c r="AV594" s="46"/>
      <c r="AW594" s="46"/>
      <c r="AX594" s="46"/>
      <c r="AY594" s="55">
        <f t="shared" si="83"/>
        <v>36</v>
      </c>
      <c r="AZ594" s="56"/>
      <c r="BA594" s="57"/>
      <c r="BB594" s="57"/>
      <c r="BC594" s="57"/>
      <c r="BD594" s="57"/>
      <c r="BE594" s="57"/>
      <c r="BF594" s="57"/>
      <c r="BG594" s="57"/>
      <c r="BH594" s="57"/>
      <c r="BI594" s="55">
        <f t="shared" si="84"/>
        <v>0</v>
      </c>
      <c r="BJ594" s="69">
        <f t="shared" si="85"/>
        <v>36</v>
      </c>
      <c r="BK594" s="69">
        <f t="shared" si="82"/>
        <v>0</v>
      </c>
      <c r="BM594" s="75"/>
      <c r="BN594" s="57">
        <f t="shared" si="80"/>
        <v>36</v>
      </c>
      <c r="BO594" s="80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9">
        <f t="shared" si="81"/>
        <v>0</v>
      </c>
      <c r="CB594" s="3"/>
      <c r="CD594" s="10"/>
      <c r="CE594" s="11"/>
    </row>
    <row r="595" spans="1:83" s="2" customFormat="1" ht="19.5" thickBot="1" x14ac:dyDescent="0.35">
      <c r="A595" s="17">
        <v>620</v>
      </c>
      <c r="B595" s="134"/>
      <c r="C595" s="18" t="s">
        <v>86</v>
      </c>
      <c r="D595" s="19"/>
      <c r="E595" s="19"/>
      <c r="F595" s="19"/>
      <c r="G595" s="30"/>
      <c r="H595" s="31"/>
      <c r="I595" s="40"/>
      <c r="J595" s="31"/>
      <c r="K595" s="40"/>
      <c r="L595" s="31"/>
      <c r="M595" s="40"/>
      <c r="N595" s="31"/>
      <c r="O595" s="40"/>
      <c r="P595" s="31"/>
      <c r="Q595" s="40"/>
      <c r="R595" s="31"/>
      <c r="S595" s="31"/>
      <c r="T595" s="31"/>
      <c r="U595" s="40"/>
      <c r="V595" s="31"/>
      <c r="W595" s="31"/>
      <c r="X595" s="31"/>
      <c r="Y595" s="31"/>
      <c r="Z595" s="31"/>
      <c r="AA595" s="31"/>
      <c r="AB595" s="31"/>
      <c r="AC595" s="31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>
        <v>24</v>
      </c>
      <c r="AT595" s="46"/>
      <c r="AU595" s="46"/>
      <c r="AV595" s="46"/>
      <c r="AW595" s="46"/>
      <c r="AX595" s="46"/>
      <c r="AY595" s="55">
        <f t="shared" si="83"/>
        <v>24</v>
      </c>
      <c r="AZ595" s="56"/>
      <c r="BA595" s="57"/>
      <c r="BB595" s="57"/>
      <c r="BC595" s="57"/>
      <c r="BD595" s="57"/>
      <c r="BE595" s="57"/>
      <c r="BF595" s="57"/>
      <c r="BG595" s="57"/>
      <c r="BH595" s="57"/>
      <c r="BI595" s="55">
        <f t="shared" si="84"/>
        <v>0</v>
      </c>
      <c r="BJ595" s="69">
        <f t="shared" si="85"/>
        <v>24</v>
      </c>
      <c r="BK595" s="69">
        <f t="shared" si="82"/>
        <v>0</v>
      </c>
      <c r="BM595" s="75"/>
      <c r="BN595" s="57">
        <f t="shared" si="80"/>
        <v>24</v>
      </c>
      <c r="BO595" s="80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9">
        <f t="shared" si="81"/>
        <v>0</v>
      </c>
      <c r="CB595" s="3"/>
      <c r="CD595" s="10"/>
      <c r="CE595" s="11"/>
    </row>
    <row r="596" spans="1:83" s="2" customFormat="1" ht="19.5" thickBot="1" x14ac:dyDescent="0.35">
      <c r="A596" s="17">
        <v>621</v>
      </c>
      <c r="B596" s="134"/>
      <c r="C596" s="18" t="s">
        <v>87</v>
      </c>
      <c r="D596" s="19"/>
      <c r="E596" s="19"/>
      <c r="F596" s="19"/>
      <c r="G596" s="30"/>
      <c r="H596" s="31"/>
      <c r="I596" s="40"/>
      <c r="J596" s="31"/>
      <c r="K596" s="40"/>
      <c r="L596" s="31"/>
      <c r="M596" s="40"/>
      <c r="N596" s="31"/>
      <c r="O596" s="40"/>
      <c r="P596" s="31"/>
      <c r="Q596" s="40"/>
      <c r="R596" s="31"/>
      <c r="S596" s="31"/>
      <c r="T596" s="31"/>
      <c r="U596" s="40"/>
      <c r="V596" s="31"/>
      <c r="W596" s="31"/>
      <c r="X596" s="31"/>
      <c r="Y596" s="31"/>
      <c r="Z596" s="31"/>
      <c r="AA596" s="31"/>
      <c r="AB596" s="31"/>
      <c r="AC596" s="31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>
        <v>15</v>
      </c>
      <c r="AT596" s="46"/>
      <c r="AU596" s="46"/>
      <c r="AV596" s="46"/>
      <c r="AW596" s="46"/>
      <c r="AX596" s="46"/>
      <c r="AY596" s="55">
        <f t="shared" si="83"/>
        <v>15</v>
      </c>
      <c r="AZ596" s="56"/>
      <c r="BA596" s="57"/>
      <c r="BB596" s="57"/>
      <c r="BC596" s="57"/>
      <c r="BD596" s="57"/>
      <c r="BE596" s="57"/>
      <c r="BF596" s="57"/>
      <c r="BG596" s="57"/>
      <c r="BH596" s="57"/>
      <c r="BI596" s="55">
        <f t="shared" si="84"/>
        <v>0</v>
      </c>
      <c r="BJ596" s="69">
        <f t="shared" si="85"/>
        <v>15</v>
      </c>
      <c r="BK596" s="69">
        <f t="shared" si="82"/>
        <v>0</v>
      </c>
      <c r="BM596" s="75"/>
      <c r="BN596" s="57">
        <f t="shared" si="80"/>
        <v>15</v>
      </c>
      <c r="BO596" s="80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9">
        <f t="shared" si="81"/>
        <v>0</v>
      </c>
      <c r="CB596" s="3"/>
      <c r="CD596" s="10"/>
      <c r="CE596" s="11"/>
    </row>
    <row r="597" spans="1:83" s="2" customFormat="1" ht="19.5" thickBot="1" x14ac:dyDescent="0.35">
      <c r="A597" s="17">
        <v>622</v>
      </c>
      <c r="B597" s="134"/>
      <c r="C597" s="20" t="s">
        <v>88</v>
      </c>
      <c r="D597" s="21"/>
      <c r="E597" s="21"/>
      <c r="F597" s="21"/>
      <c r="G597" s="32"/>
      <c r="H597" s="33"/>
      <c r="I597" s="41"/>
      <c r="J597" s="33"/>
      <c r="K597" s="41"/>
      <c r="L597" s="33"/>
      <c r="M597" s="41"/>
      <c r="N597" s="33"/>
      <c r="O597" s="41"/>
      <c r="P597" s="33"/>
      <c r="Q597" s="41"/>
      <c r="R597" s="33"/>
      <c r="S597" s="33"/>
      <c r="T597" s="33"/>
      <c r="U597" s="41"/>
      <c r="V597" s="33"/>
      <c r="W597" s="33"/>
      <c r="X597" s="33"/>
      <c r="Y597" s="33"/>
      <c r="Z597" s="33"/>
      <c r="AA597" s="33"/>
      <c r="AB597" s="33"/>
      <c r="AC597" s="33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>
        <v>6</v>
      </c>
      <c r="AT597" s="47"/>
      <c r="AU597" s="47"/>
      <c r="AV597" s="47"/>
      <c r="AW597" s="47"/>
      <c r="AX597" s="47"/>
      <c r="AY597" s="55">
        <f t="shared" si="83"/>
        <v>6</v>
      </c>
      <c r="AZ597" s="59"/>
      <c r="BA597" s="60"/>
      <c r="BB597" s="60"/>
      <c r="BC597" s="60"/>
      <c r="BD597" s="60"/>
      <c r="BE597" s="60"/>
      <c r="BF597" s="60"/>
      <c r="BG597" s="60"/>
      <c r="BH597" s="60"/>
      <c r="BI597" s="58">
        <f t="shared" si="84"/>
        <v>0</v>
      </c>
      <c r="BJ597" s="70">
        <f t="shared" si="85"/>
        <v>6</v>
      </c>
      <c r="BK597" s="70">
        <f t="shared" si="82"/>
        <v>0</v>
      </c>
      <c r="BL597" s="76"/>
      <c r="BM597" s="77"/>
      <c r="BN597" s="60">
        <f t="shared" si="80"/>
        <v>6</v>
      </c>
      <c r="BO597" s="82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9">
        <f t="shared" si="81"/>
        <v>0</v>
      </c>
      <c r="CB597" s="3"/>
      <c r="CD597" s="10"/>
      <c r="CE597" s="11"/>
    </row>
    <row r="598" spans="1:83" s="2" customFormat="1" ht="18.75" customHeight="1" x14ac:dyDescent="0.3">
      <c r="A598" s="17">
        <v>623</v>
      </c>
      <c r="B598" s="141" t="s">
        <v>166</v>
      </c>
      <c r="C598" s="97" t="s">
        <v>82</v>
      </c>
      <c r="D598" s="98"/>
      <c r="E598" s="98"/>
      <c r="F598" s="98"/>
      <c r="G598" s="104"/>
      <c r="H598" s="105"/>
      <c r="I598" s="107"/>
      <c r="J598" s="105"/>
      <c r="K598" s="107"/>
      <c r="L598" s="105"/>
      <c r="M598" s="107"/>
      <c r="N598" s="105"/>
      <c r="O598" s="107"/>
      <c r="P598" s="105"/>
      <c r="Q598" s="107"/>
      <c r="R598" s="105"/>
      <c r="S598" s="105"/>
      <c r="T598" s="105"/>
      <c r="U598" s="107"/>
      <c r="V598" s="105"/>
      <c r="W598" s="105"/>
      <c r="X598" s="105"/>
      <c r="Y598" s="105"/>
      <c r="Z598" s="105"/>
      <c r="AA598" s="105"/>
      <c r="AB598" s="105"/>
      <c r="AC598" s="105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8"/>
      <c r="AO598" s="108"/>
      <c r="AP598" s="108"/>
      <c r="AQ598" s="108"/>
      <c r="AR598" s="108"/>
      <c r="AS598" s="108">
        <v>6</v>
      </c>
      <c r="AT598" s="108"/>
      <c r="AU598" s="108"/>
      <c r="AV598" s="108"/>
      <c r="AW598" s="108"/>
      <c r="AX598" s="108"/>
      <c r="AY598" s="55">
        <f t="shared" si="83"/>
        <v>6</v>
      </c>
      <c r="AZ598" s="109"/>
      <c r="BA598" s="110"/>
      <c r="BB598" s="110">
        <f>+'[1]25'!R844</f>
        <v>0</v>
      </c>
      <c r="BC598" s="110"/>
      <c r="BD598" s="110"/>
      <c r="BE598" s="110"/>
      <c r="BF598" s="110"/>
      <c r="BG598" s="110"/>
      <c r="BH598" s="110"/>
      <c r="BI598" s="55">
        <f t="shared" si="84"/>
        <v>0</v>
      </c>
      <c r="BJ598" s="69">
        <f t="shared" si="85"/>
        <v>6</v>
      </c>
      <c r="BK598" s="69">
        <f t="shared" si="82"/>
        <v>0</v>
      </c>
      <c r="BM598" s="75"/>
      <c r="BN598" s="57">
        <f t="shared" si="80"/>
        <v>6</v>
      </c>
      <c r="BO598" s="79"/>
      <c r="BP598" s="74"/>
      <c r="BQ598" s="74"/>
      <c r="BR598" s="74"/>
      <c r="BS598" s="74"/>
      <c r="BT598" s="74"/>
      <c r="BU598" s="74"/>
      <c r="BV598" s="74"/>
      <c r="BW598" s="74"/>
      <c r="BX598" s="74"/>
      <c r="BY598" s="74"/>
      <c r="BZ598" s="9">
        <f t="shared" si="81"/>
        <v>0</v>
      </c>
      <c r="CB598" s="3"/>
      <c r="CD598" s="10"/>
      <c r="CE598" s="11"/>
    </row>
    <row r="599" spans="1:83" s="2" customFormat="1" x14ac:dyDescent="0.3">
      <c r="A599" s="17">
        <v>624</v>
      </c>
      <c r="B599" s="142"/>
      <c r="C599" s="18" t="s">
        <v>83</v>
      </c>
      <c r="D599" s="19"/>
      <c r="E599" s="19"/>
      <c r="F599" s="19"/>
      <c r="G599" s="30"/>
      <c r="H599" s="31"/>
      <c r="I599" s="40"/>
      <c r="J599" s="31"/>
      <c r="K599" s="40"/>
      <c r="L599" s="31"/>
      <c r="M599" s="40"/>
      <c r="N599" s="31"/>
      <c r="O599" s="40"/>
      <c r="P599" s="31"/>
      <c r="Q599" s="40"/>
      <c r="R599" s="31"/>
      <c r="S599" s="31"/>
      <c r="T599" s="31"/>
      <c r="U599" s="40"/>
      <c r="V599" s="31"/>
      <c r="W599" s="31"/>
      <c r="X599" s="31"/>
      <c r="Y599" s="31"/>
      <c r="Z599" s="31"/>
      <c r="AA599" s="31"/>
      <c r="AB599" s="31"/>
      <c r="AC599" s="31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>
        <v>12</v>
      </c>
      <c r="AT599" s="46"/>
      <c r="AU599" s="46"/>
      <c r="AV599" s="46"/>
      <c r="AW599" s="46"/>
      <c r="AX599" s="46"/>
      <c r="AY599" s="55">
        <f t="shared" si="83"/>
        <v>12</v>
      </c>
      <c r="AZ599" s="56"/>
      <c r="BA599" s="57"/>
      <c r="BB599" s="57">
        <f>+'[1]25'!R845</f>
        <v>0</v>
      </c>
      <c r="BC599" s="57"/>
      <c r="BD599" s="57"/>
      <c r="BE599" s="57"/>
      <c r="BF599" s="57"/>
      <c r="BG599" s="57"/>
      <c r="BH599" s="57"/>
      <c r="BI599" s="55">
        <f t="shared" si="84"/>
        <v>0</v>
      </c>
      <c r="BJ599" s="69">
        <f t="shared" si="85"/>
        <v>12</v>
      </c>
      <c r="BK599" s="69">
        <f t="shared" si="82"/>
        <v>0</v>
      </c>
      <c r="BM599" s="75"/>
      <c r="BN599" s="57">
        <f t="shared" si="80"/>
        <v>12</v>
      </c>
      <c r="BO599" s="80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9">
        <f t="shared" si="81"/>
        <v>0</v>
      </c>
      <c r="CB599" s="3"/>
      <c r="CD599" s="10"/>
      <c r="CE599" s="11"/>
    </row>
    <row r="600" spans="1:83" s="2" customFormat="1" x14ac:dyDescent="0.3">
      <c r="A600" s="17">
        <v>625</v>
      </c>
      <c r="B600" s="142"/>
      <c r="C600" s="18" t="s">
        <v>84</v>
      </c>
      <c r="D600" s="19"/>
      <c r="E600" s="19"/>
      <c r="F600" s="19"/>
      <c r="G600" s="30"/>
      <c r="H600" s="31"/>
      <c r="I600" s="40"/>
      <c r="J600" s="31"/>
      <c r="K600" s="40"/>
      <c r="L600" s="31"/>
      <c r="M600" s="40"/>
      <c r="N600" s="31"/>
      <c r="O600" s="40"/>
      <c r="P600" s="31"/>
      <c r="Q600" s="40"/>
      <c r="R600" s="31"/>
      <c r="S600" s="31"/>
      <c r="T600" s="31"/>
      <c r="U600" s="40"/>
      <c r="V600" s="31"/>
      <c r="W600" s="31"/>
      <c r="X600" s="31"/>
      <c r="Y600" s="31"/>
      <c r="Z600" s="31"/>
      <c r="AA600" s="31"/>
      <c r="AB600" s="31"/>
      <c r="AC600" s="31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>
        <v>24</v>
      </c>
      <c r="AT600" s="46"/>
      <c r="AU600" s="46"/>
      <c r="AV600" s="46"/>
      <c r="AW600" s="46"/>
      <c r="AX600" s="46"/>
      <c r="AY600" s="55">
        <f t="shared" si="83"/>
        <v>24</v>
      </c>
      <c r="AZ600" s="56"/>
      <c r="BA600" s="57"/>
      <c r="BB600" s="57">
        <f>+'[1]25'!R846</f>
        <v>0</v>
      </c>
      <c r="BC600" s="57"/>
      <c r="BD600" s="57"/>
      <c r="BE600" s="57"/>
      <c r="BF600" s="57"/>
      <c r="BG600" s="57"/>
      <c r="BH600" s="57"/>
      <c r="BI600" s="55">
        <f t="shared" si="84"/>
        <v>0</v>
      </c>
      <c r="BJ600" s="69">
        <f t="shared" si="85"/>
        <v>24</v>
      </c>
      <c r="BK600" s="69">
        <f t="shared" si="82"/>
        <v>0</v>
      </c>
      <c r="BM600" s="75"/>
      <c r="BN600" s="57">
        <f t="shared" si="80"/>
        <v>24</v>
      </c>
      <c r="BO600" s="80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9">
        <f t="shared" si="81"/>
        <v>0</v>
      </c>
      <c r="CB600" s="3"/>
      <c r="CD600" s="10"/>
      <c r="CE600" s="11"/>
    </row>
    <row r="601" spans="1:83" s="2" customFormat="1" x14ac:dyDescent="0.3">
      <c r="A601" s="17">
        <v>626</v>
      </c>
      <c r="B601" s="142"/>
      <c r="C601" s="18" t="s">
        <v>85</v>
      </c>
      <c r="D601" s="19"/>
      <c r="E601" s="19"/>
      <c r="F601" s="19"/>
      <c r="G601" s="30"/>
      <c r="H601" s="31"/>
      <c r="I601" s="40"/>
      <c r="J601" s="31"/>
      <c r="K601" s="40"/>
      <c r="L601" s="31"/>
      <c r="M601" s="40"/>
      <c r="N601" s="31"/>
      <c r="O601" s="40"/>
      <c r="P601" s="31"/>
      <c r="Q601" s="40"/>
      <c r="R601" s="31"/>
      <c r="S601" s="31"/>
      <c r="T601" s="31"/>
      <c r="U601" s="40"/>
      <c r="V601" s="31"/>
      <c r="W601" s="31"/>
      <c r="X601" s="31"/>
      <c r="Y601" s="31"/>
      <c r="Z601" s="31"/>
      <c r="AA601" s="31"/>
      <c r="AB601" s="31"/>
      <c r="AC601" s="31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>
        <v>33</v>
      </c>
      <c r="AT601" s="46"/>
      <c r="AU601" s="46"/>
      <c r="AV601" s="46"/>
      <c r="AW601" s="46"/>
      <c r="AX601" s="46"/>
      <c r="AY601" s="55">
        <f t="shared" si="83"/>
        <v>33</v>
      </c>
      <c r="AZ601" s="56"/>
      <c r="BA601" s="57"/>
      <c r="BB601" s="57">
        <f>+'[1]25'!R847</f>
        <v>0</v>
      </c>
      <c r="BC601" s="57"/>
      <c r="BD601" s="57"/>
      <c r="BE601" s="57"/>
      <c r="BF601" s="57"/>
      <c r="BG601" s="57"/>
      <c r="BH601" s="57"/>
      <c r="BI601" s="55">
        <f t="shared" si="84"/>
        <v>0</v>
      </c>
      <c r="BJ601" s="69">
        <f t="shared" si="85"/>
        <v>33</v>
      </c>
      <c r="BK601" s="69">
        <f t="shared" si="82"/>
        <v>0</v>
      </c>
      <c r="BM601" s="75"/>
      <c r="BN601" s="57">
        <f t="shared" si="80"/>
        <v>33</v>
      </c>
      <c r="BO601" s="80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9">
        <f t="shared" si="81"/>
        <v>0</v>
      </c>
      <c r="CB601" s="3"/>
      <c r="CD601" s="10"/>
      <c r="CE601" s="11"/>
    </row>
    <row r="602" spans="1:83" s="2" customFormat="1" x14ac:dyDescent="0.3">
      <c r="A602" s="17">
        <v>627</v>
      </c>
      <c r="B602" s="142"/>
      <c r="C602" s="18" t="s">
        <v>86</v>
      </c>
      <c r="D602" s="19"/>
      <c r="E602" s="19"/>
      <c r="F602" s="19"/>
      <c r="G602" s="30"/>
      <c r="H602" s="31"/>
      <c r="I602" s="40"/>
      <c r="J602" s="31"/>
      <c r="K602" s="40"/>
      <c r="L602" s="31"/>
      <c r="M602" s="40"/>
      <c r="N602" s="31"/>
      <c r="O602" s="40"/>
      <c r="P602" s="31"/>
      <c r="Q602" s="40"/>
      <c r="R602" s="31"/>
      <c r="S602" s="31"/>
      <c r="T602" s="31"/>
      <c r="U602" s="40"/>
      <c r="V602" s="31"/>
      <c r="W602" s="31"/>
      <c r="X602" s="31"/>
      <c r="Y602" s="31"/>
      <c r="Z602" s="31"/>
      <c r="AA602" s="31"/>
      <c r="AB602" s="31"/>
      <c r="AC602" s="31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>
        <v>24</v>
      </c>
      <c r="AT602" s="46"/>
      <c r="AU602" s="46"/>
      <c r="AV602" s="46"/>
      <c r="AW602" s="46"/>
      <c r="AX602" s="46"/>
      <c r="AY602" s="55">
        <f t="shared" si="83"/>
        <v>24</v>
      </c>
      <c r="AZ602" s="56"/>
      <c r="BA602" s="57"/>
      <c r="BB602" s="57">
        <f>+'[1]25'!R848</f>
        <v>0</v>
      </c>
      <c r="BC602" s="57"/>
      <c r="BD602" s="57"/>
      <c r="BE602" s="57"/>
      <c r="BF602" s="57"/>
      <c r="BG602" s="57"/>
      <c r="BH602" s="57"/>
      <c r="BI602" s="55">
        <f t="shared" si="84"/>
        <v>0</v>
      </c>
      <c r="BJ602" s="69">
        <f t="shared" si="85"/>
        <v>24</v>
      </c>
      <c r="BK602" s="69">
        <f t="shared" si="82"/>
        <v>0</v>
      </c>
      <c r="BM602" s="75"/>
      <c r="BN602" s="57">
        <f t="shared" si="80"/>
        <v>24</v>
      </c>
      <c r="BO602" s="80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9">
        <f t="shared" si="81"/>
        <v>0</v>
      </c>
      <c r="CB602" s="3"/>
      <c r="CD602" s="10"/>
      <c r="CE602" s="11"/>
    </row>
    <row r="603" spans="1:83" s="2" customFormat="1" x14ac:dyDescent="0.3">
      <c r="A603" s="17">
        <v>628</v>
      </c>
      <c r="B603" s="142"/>
      <c r="C603" s="18" t="s">
        <v>87</v>
      </c>
      <c r="D603" s="19"/>
      <c r="E603" s="19"/>
      <c r="F603" s="19"/>
      <c r="G603" s="30"/>
      <c r="H603" s="31"/>
      <c r="I603" s="40"/>
      <c r="J603" s="31"/>
      <c r="K603" s="40"/>
      <c r="L603" s="31"/>
      <c r="M603" s="40"/>
      <c r="N603" s="31"/>
      <c r="O603" s="40"/>
      <c r="P603" s="31"/>
      <c r="Q603" s="40"/>
      <c r="R603" s="31"/>
      <c r="S603" s="31"/>
      <c r="T603" s="31"/>
      <c r="U603" s="40"/>
      <c r="V603" s="31"/>
      <c r="W603" s="31"/>
      <c r="X603" s="31"/>
      <c r="Y603" s="31"/>
      <c r="Z603" s="31"/>
      <c r="AA603" s="31"/>
      <c r="AB603" s="31"/>
      <c r="AC603" s="31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>
        <v>15</v>
      </c>
      <c r="AT603" s="46"/>
      <c r="AU603" s="46"/>
      <c r="AV603" s="46"/>
      <c r="AW603" s="46"/>
      <c r="AX603" s="46"/>
      <c r="AY603" s="55">
        <f t="shared" si="83"/>
        <v>15</v>
      </c>
      <c r="AZ603" s="56"/>
      <c r="BA603" s="57"/>
      <c r="BB603" s="57">
        <f>+'[1]25'!R849</f>
        <v>0</v>
      </c>
      <c r="BC603" s="57"/>
      <c r="BD603" s="57"/>
      <c r="BE603" s="57"/>
      <c r="BF603" s="57"/>
      <c r="BG603" s="57"/>
      <c r="BH603" s="57"/>
      <c r="BI603" s="55">
        <f t="shared" si="84"/>
        <v>0</v>
      </c>
      <c r="BJ603" s="69">
        <f t="shared" si="85"/>
        <v>15</v>
      </c>
      <c r="BK603" s="69">
        <f t="shared" si="82"/>
        <v>0</v>
      </c>
      <c r="BM603" s="75"/>
      <c r="BN603" s="57">
        <f t="shared" si="80"/>
        <v>15</v>
      </c>
      <c r="BO603" s="80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9">
        <f t="shared" si="81"/>
        <v>0</v>
      </c>
      <c r="CB603" s="3"/>
      <c r="CD603" s="10"/>
      <c r="CE603" s="11"/>
    </row>
    <row r="604" spans="1:83" s="2" customFormat="1" x14ac:dyDescent="0.3">
      <c r="A604" s="17">
        <v>629</v>
      </c>
      <c r="B604" s="142"/>
      <c r="C604" s="18" t="s">
        <v>88</v>
      </c>
      <c r="D604" s="19"/>
      <c r="E604" s="19"/>
      <c r="F604" s="19"/>
      <c r="G604" s="30"/>
      <c r="H604" s="31"/>
      <c r="I604" s="40"/>
      <c r="J604" s="31"/>
      <c r="K604" s="40"/>
      <c r="L604" s="31"/>
      <c r="M604" s="40"/>
      <c r="N604" s="31"/>
      <c r="O604" s="40"/>
      <c r="P604" s="31"/>
      <c r="Q604" s="40"/>
      <c r="R604" s="31"/>
      <c r="S604" s="31"/>
      <c r="T604" s="31"/>
      <c r="U604" s="40"/>
      <c r="V604" s="31"/>
      <c r="W604" s="31"/>
      <c r="X604" s="31"/>
      <c r="Y604" s="31"/>
      <c r="Z604" s="31"/>
      <c r="AA604" s="31"/>
      <c r="AB604" s="31"/>
      <c r="AC604" s="31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>
        <v>6</v>
      </c>
      <c r="AT604" s="46"/>
      <c r="AU604" s="46"/>
      <c r="AV604" s="46"/>
      <c r="AW604" s="46"/>
      <c r="AX604" s="46"/>
      <c r="AY604" s="55">
        <f t="shared" si="83"/>
        <v>6</v>
      </c>
      <c r="AZ604" s="56"/>
      <c r="BA604" s="57"/>
      <c r="BB604" s="57">
        <f>+'[1]25'!R850</f>
        <v>0</v>
      </c>
      <c r="BC604" s="57"/>
      <c r="BD604" s="57"/>
      <c r="BE604" s="57"/>
      <c r="BF604" s="57"/>
      <c r="BG604" s="57"/>
      <c r="BH604" s="57"/>
      <c r="BI604" s="55">
        <f t="shared" si="84"/>
        <v>0</v>
      </c>
      <c r="BJ604" s="69">
        <f t="shared" si="85"/>
        <v>6</v>
      </c>
      <c r="BK604" s="69">
        <f t="shared" si="82"/>
        <v>0</v>
      </c>
      <c r="BM604" s="75"/>
      <c r="BN604" s="57">
        <f t="shared" si="80"/>
        <v>6</v>
      </c>
      <c r="BO604" s="80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9">
        <f t="shared" si="81"/>
        <v>0</v>
      </c>
      <c r="CB604" s="3"/>
      <c r="CD604" s="10"/>
      <c r="CE604" s="11"/>
    </row>
    <row r="605" spans="1:83" s="2" customFormat="1" ht="19.5" thickBot="1" x14ac:dyDescent="0.35">
      <c r="A605" s="17"/>
      <c r="B605" s="99"/>
      <c r="C605" s="24"/>
      <c r="D605" s="25"/>
      <c r="E605" s="25"/>
      <c r="F605" s="25"/>
      <c r="G605" s="36"/>
      <c r="H605" s="37"/>
      <c r="I605" s="43"/>
      <c r="J605" s="37"/>
      <c r="K605" s="43"/>
      <c r="L605" s="37"/>
      <c r="M605" s="43"/>
      <c r="N605" s="37"/>
      <c r="O605" s="43"/>
      <c r="P605" s="37"/>
      <c r="Q605" s="43"/>
      <c r="R605" s="37"/>
      <c r="S605" s="37"/>
      <c r="T605" s="37"/>
      <c r="U605" s="43"/>
      <c r="V605" s="37"/>
      <c r="W605" s="37"/>
      <c r="X605" s="37"/>
      <c r="Y605" s="37"/>
      <c r="Z605" s="37"/>
      <c r="AA605" s="37"/>
      <c r="AB605" s="37"/>
      <c r="AC605" s="37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55">
        <f t="shared" si="83"/>
        <v>0</v>
      </c>
      <c r="AZ605" s="64"/>
      <c r="BA605" s="65"/>
      <c r="BB605" s="65">
        <f>+'[1]25'!R852</f>
        <v>0</v>
      </c>
      <c r="BC605" s="65"/>
      <c r="BD605" s="65"/>
      <c r="BE605" s="65"/>
      <c r="BF605" s="65"/>
      <c r="BG605" s="65"/>
      <c r="BH605" s="65"/>
      <c r="BI605" s="113"/>
      <c r="BJ605" s="114">
        <f t="shared" ref="BJ605" si="86">+AY605-BI605</f>
        <v>0</v>
      </c>
      <c r="BK605" s="114"/>
      <c r="BN605" s="60"/>
      <c r="BO605" s="82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9">
        <f t="shared" si="81"/>
        <v>0</v>
      </c>
      <c r="CB605" s="3"/>
      <c r="CD605" s="10"/>
      <c r="CE605" s="11"/>
    </row>
    <row r="606" spans="1:83" s="2" customFormat="1" ht="19.5" thickBot="1" x14ac:dyDescent="0.35">
      <c r="A606" s="100"/>
      <c r="B606" s="101"/>
      <c r="C606" s="102" t="s">
        <v>168</v>
      </c>
      <c r="D606" s="103">
        <f t="shared" ref="D606:AI606" si="87">SUM(D5:D605)</f>
        <v>0</v>
      </c>
      <c r="E606" s="103">
        <f t="shared" si="87"/>
        <v>72</v>
      </c>
      <c r="F606" s="103">
        <f t="shared" si="87"/>
        <v>114</v>
      </c>
      <c r="G606" s="103">
        <f t="shared" si="87"/>
        <v>-2</v>
      </c>
      <c r="H606" s="106">
        <f t="shared" si="87"/>
        <v>0</v>
      </c>
      <c r="I606" s="106">
        <f t="shared" si="87"/>
        <v>0</v>
      </c>
      <c r="J606" s="106">
        <f t="shared" si="87"/>
        <v>570</v>
      </c>
      <c r="K606" s="106">
        <f t="shared" si="87"/>
        <v>-3</v>
      </c>
      <c r="L606" s="106">
        <f t="shared" si="87"/>
        <v>260</v>
      </c>
      <c r="M606" s="106">
        <f t="shared" si="87"/>
        <v>-1</v>
      </c>
      <c r="N606" s="106">
        <f t="shared" si="87"/>
        <v>34</v>
      </c>
      <c r="O606" s="106">
        <f t="shared" si="87"/>
        <v>0</v>
      </c>
      <c r="P606" s="106">
        <f t="shared" si="87"/>
        <v>82</v>
      </c>
      <c r="Q606" s="106">
        <f t="shared" si="87"/>
        <v>-3</v>
      </c>
      <c r="R606" s="106">
        <f t="shared" si="87"/>
        <v>312</v>
      </c>
      <c r="S606" s="106">
        <f t="shared" si="87"/>
        <v>1068</v>
      </c>
      <c r="T606" s="106">
        <f t="shared" si="87"/>
        <v>0</v>
      </c>
      <c r="U606" s="106">
        <f t="shared" si="87"/>
        <v>0</v>
      </c>
      <c r="V606" s="106">
        <f t="shared" si="87"/>
        <v>0</v>
      </c>
      <c r="W606" s="106">
        <f t="shared" si="87"/>
        <v>0</v>
      </c>
      <c r="X606" s="106">
        <f t="shared" si="87"/>
        <v>324</v>
      </c>
      <c r="Y606" s="106">
        <f t="shared" si="87"/>
        <v>0</v>
      </c>
      <c r="Z606" s="106">
        <f t="shared" si="87"/>
        <v>108</v>
      </c>
      <c r="AA606" s="106">
        <f t="shared" si="87"/>
        <v>552</v>
      </c>
      <c r="AB606" s="106">
        <f t="shared" si="87"/>
        <v>672</v>
      </c>
      <c r="AC606" s="106">
        <f t="shared" si="87"/>
        <v>372</v>
      </c>
      <c r="AD606" s="106">
        <f t="shared" si="87"/>
        <v>1260</v>
      </c>
      <c r="AE606" s="106">
        <f t="shared" si="87"/>
        <v>468</v>
      </c>
      <c r="AF606" s="106">
        <f t="shared" si="87"/>
        <v>480</v>
      </c>
      <c r="AG606" s="106">
        <f t="shared" si="87"/>
        <v>432</v>
      </c>
      <c r="AH606" s="106">
        <f t="shared" si="87"/>
        <v>0</v>
      </c>
      <c r="AI606" s="106">
        <f t="shared" si="87"/>
        <v>-11</v>
      </c>
      <c r="AJ606" s="106">
        <f t="shared" ref="AJ606:BK606" si="88">SUM(AJ5:AJ605)</f>
        <v>2760</v>
      </c>
      <c r="AK606" s="106">
        <f t="shared" si="88"/>
        <v>444</v>
      </c>
      <c r="AL606" s="106">
        <f t="shared" si="88"/>
        <v>324</v>
      </c>
      <c r="AM606" s="106">
        <f t="shared" si="88"/>
        <v>828</v>
      </c>
      <c r="AN606" s="106">
        <f t="shared" si="88"/>
        <v>1104</v>
      </c>
      <c r="AO606" s="106">
        <f t="shared" si="88"/>
        <v>1008</v>
      </c>
      <c r="AP606" s="106">
        <f t="shared" si="88"/>
        <v>372</v>
      </c>
      <c r="AQ606" s="106">
        <f t="shared" si="88"/>
        <v>2352</v>
      </c>
      <c r="AR606" s="106">
        <f t="shared" si="88"/>
        <v>1303</v>
      </c>
      <c r="AS606" s="106">
        <f t="shared" si="88"/>
        <v>1248</v>
      </c>
      <c r="AT606" s="106">
        <f t="shared" si="88"/>
        <v>0</v>
      </c>
      <c r="AU606" s="106">
        <f t="shared" si="88"/>
        <v>0</v>
      </c>
      <c r="AV606" s="106">
        <f t="shared" si="88"/>
        <v>0</v>
      </c>
      <c r="AW606" s="106">
        <f t="shared" si="88"/>
        <v>0</v>
      </c>
      <c r="AX606" s="106">
        <f t="shared" si="88"/>
        <v>0</v>
      </c>
      <c r="AY606" s="111">
        <f t="shared" si="88"/>
        <v>18903</v>
      </c>
      <c r="AZ606" s="112">
        <f t="shared" si="88"/>
        <v>456</v>
      </c>
      <c r="BA606" s="106">
        <f t="shared" si="88"/>
        <v>1260</v>
      </c>
      <c r="BB606" s="106">
        <f t="shared" si="88"/>
        <v>4931</v>
      </c>
      <c r="BC606" s="106">
        <f t="shared" si="88"/>
        <v>6107</v>
      </c>
      <c r="BD606" s="106">
        <f t="shared" si="88"/>
        <v>0</v>
      </c>
      <c r="BE606" s="106">
        <f t="shared" si="88"/>
        <v>0</v>
      </c>
      <c r="BF606" s="106">
        <f t="shared" si="88"/>
        <v>0</v>
      </c>
      <c r="BG606" s="106">
        <f t="shared" si="88"/>
        <v>0</v>
      </c>
      <c r="BH606" s="106">
        <f t="shared" si="88"/>
        <v>0</v>
      </c>
      <c r="BI606" s="111">
        <f t="shared" si="88"/>
        <v>12754</v>
      </c>
      <c r="BJ606" s="115">
        <f t="shared" si="88"/>
        <v>6149</v>
      </c>
      <c r="BK606" s="115">
        <f t="shared" si="88"/>
        <v>0</v>
      </c>
      <c r="BN606" s="117">
        <f>SUM(BN5:BN605)</f>
        <v>4158</v>
      </c>
      <c r="BO606" s="118"/>
      <c r="BP606" s="119">
        <f t="shared" ref="BP606:BZ606" si="89">SUM(BP5:BP605)</f>
        <v>433</v>
      </c>
      <c r="BQ606" s="119">
        <f t="shared" si="89"/>
        <v>258</v>
      </c>
      <c r="BR606" s="119">
        <f t="shared" si="89"/>
        <v>573</v>
      </c>
      <c r="BS606" s="119">
        <f t="shared" si="89"/>
        <v>265</v>
      </c>
      <c r="BT606" s="119">
        <f t="shared" si="89"/>
        <v>220</v>
      </c>
      <c r="BU606" s="119">
        <f t="shared" si="89"/>
        <v>31</v>
      </c>
      <c r="BV606" s="119">
        <f t="shared" si="89"/>
        <v>17</v>
      </c>
      <c r="BW606" s="119">
        <f t="shared" si="89"/>
        <v>11</v>
      </c>
      <c r="BX606" s="119">
        <f t="shared" si="89"/>
        <v>22</v>
      </c>
      <c r="BY606" s="119">
        <f t="shared" si="89"/>
        <v>28</v>
      </c>
      <c r="BZ606" s="9">
        <f t="shared" si="89"/>
        <v>1823</v>
      </c>
      <c r="CB606" s="3"/>
      <c r="CD606" s="10"/>
      <c r="CE606" s="11"/>
    </row>
    <row r="608" spans="1:83" s="3" customFormat="1" x14ac:dyDescent="0.3">
      <c r="A608" s="4"/>
      <c r="B608" s="5"/>
      <c r="C608" s="6"/>
      <c r="D608" s="7"/>
      <c r="E608" s="7"/>
      <c r="F608" s="7"/>
      <c r="G608" s="8"/>
      <c r="H608" s="7"/>
      <c r="I608" s="8"/>
      <c r="J608" s="7"/>
      <c r="K608" s="8"/>
      <c r="L608" s="7"/>
      <c r="M608" s="8"/>
      <c r="N608" s="7"/>
      <c r="O608" s="8"/>
      <c r="P608" s="7"/>
      <c r="Q608" s="8"/>
      <c r="R608" s="7"/>
      <c r="S608" s="7"/>
      <c r="T608" s="7"/>
      <c r="U608" s="8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Z608" s="2"/>
      <c r="BA608" s="2"/>
      <c r="BB608" s="2"/>
      <c r="BC608" s="2"/>
      <c r="BD608" s="2"/>
      <c r="BE608" s="2"/>
      <c r="BF608" s="2"/>
      <c r="BG608" s="2"/>
      <c r="BH608" s="75">
        <f>SUM(AZ606:BH606)</f>
        <v>12754</v>
      </c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9"/>
      <c r="CA608" s="2"/>
      <c r="CC608" s="2"/>
      <c r="CD608" s="10"/>
      <c r="CE608" s="11"/>
    </row>
    <row r="609" spans="1:83" s="3" customFormat="1" x14ac:dyDescent="0.3">
      <c r="A609" s="4"/>
      <c r="B609" s="5"/>
      <c r="C609" s="6"/>
      <c r="D609" s="7"/>
      <c r="E609" s="7"/>
      <c r="F609" s="7"/>
      <c r="G609" s="8"/>
      <c r="H609" s="7"/>
      <c r="I609" s="8"/>
      <c r="J609" s="7"/>
      <c r="K609" s="8"/>
      <c r="L609" s="7"/>
      <c r="M609" s="8"/>
      <c r="N609" s="7"/>
      <c r="O609" s="8"/>
      <c r="P609" s="7"/>
      <c r="Q609" s="8"/>
      <c r="R609" s="7"/>
      <c r="S609" s="7"/>
      <c r="T609" s="7"/>
      <c r="U609" s="8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Z609" s="2"/>
      <c r="BA609" s="2"/>
      <c r="BB609" s="2"/>
      <c r="BC609" s="2"/>
      <c r="BD609" s="2"/>
      <c r="BE609" s="2"/>
      <c r="BF609" s="2"/>
      <c r="BG609" s="2"/>
      <c r="BH609" s="116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9"/>
      <c r="CA609" s="2"/>
      <c r="CC609" s="2"/>
      <c r="CD609" s="10"/>
      <c r="CE609" s="11"/>
    </row>
  </sheetData>
  <mergeCells count="114">
    <mergeCell ref="CE2:CE3"/>
    <mergeCell ref="CB148:CB153"/>
    <mergeCell ref="CB154:CB164"/>
    <mergeCell ref="CB165:CB174"/>
    <mergeCell ref="CB175:CB188"/>
    <mergeCell ref="CB189:CB198"/>
    <mergeCell ref="CB199:CB206"/>
    <mergeCell ref="CB207:CB215"/>
    <mergeCell ref="CC2:CC3"/>
    <mergeCell ref="CD2:CD3"/>
    <mergeCell ref="B598:B604"/>
    <mergeCell ref="C2:C3"/>
    <mergeCell ref="AY2:AY3"/>
    <mergeCell ref="BI2:BI3"/>
    <mergeCell ref="BJ2:BJ3"/>
    <mergeCell ref="BK2:BK3"/>
    <mergeCell ref="CB2:CB3"/>
    <mergeCell ref="CB4:CB15"/>
    <mergeCell ref="CB16:CB23"/>
    <mergeCell ref="CB24:CB34"/>
    <mergeCell ref="CB35:CB42"/>
    <mergeCell ref="CB43:CB53"/>
    <mergeCell ref="CB54:CB62"/>
    <mergeCell ref="CB63:CB70"/>
    <mergeCell ref="CB71:CB75"/>
    <mergeCell ref="CB76:CB84"/>
    <mergeCell ref="CB85:CB91"/>
    <mergeCell ref="CB92:CB100"/>
    <mergeCell ref="CB101:CB109"/>
    <mergeCell ref="CB110:CB117"/>
    <mergeCell ref="CB118:CB128"/>
    <mergeCell ref="CB129:CB136"/>
    <mergeCell ref="CB137:CB147"/>
    <mergeCell ref="B151:B159"/>
    <mergeCell ref="B530:B537"/>
    <mergeCell ref="B538:B545"/>
    <mergeCell ref="B546:B552"/>
    <mergeCell ref="B553:B558"/>
    <mergeCell ref="B559:B566"/>
    <mergeCell ref="B567:B574"/>
    <mergeCell ref="B575:B582"/>
    <mergeCell ref="B583:B590"/>
    <mergeCell ref="B591:B597"/>
    <mergeCell ref="B453:B460"/>
    <mergeCell ref="B461:B466"/>
    <mergeCell ref="B467:B472"/>
    <mergeCell ref="B473:B482"/>
    <mergeCell ref="B483:B490"/>
    <mergeCell ref="B491:B499"/>
    <mergeCell ref="B500:B512"/>
    <mergeCell ref="B513:B520"/>
    <mergeCell ref="B521:B529"/>
    <mergeCell ref="B381:B388"/>
    <mergeCell ref="B389:B395"/>
    <mergeCell ref="B396:B405"/>
    <mergeCell ref="B406:B413"/>
    <mergeCell ref="B414:B421"/>
    <mergeCell ref="B422:B427"/>
    <mergeCell ref="B428:B434"/>
    <mergeCell ref="B435:B444"/>
    <mergeCell ref="B445:B452"/>
    <mergeCell ref="B316:B321"/>
    <mergeCell ref="B322:B327"/>
    <mergeCell ref="B328:B335"/>
    <mergeCell ref="B336:B343"/>
    <mergeCell ref="B344:B349"/>
    <mergeCell ref="B350:B357"/>
    <mergeCell ref="B358:B364"/>
    <mergeCell ref="B365:B372"/>
    <mergeCell ref="B373:B380"/>
    <mergeCell ref="B243:B252"/>
    <mergeCell ref="B253:B259"/>
    <mergeCell ref="B260:B267"/>
    <mergeCell ref="B268:B275"/>
    <mergeCell ref="B276:B284"/>
    <mergeCell ref="B285:B292"/>
    <mergeCell ref="B293:B300"/>
    <mergeCell ref="B301:B307"/>
    <mergeCell ref="B308:B315"/>
    <mergeCell ref="B175:B182"/>
    <mergeCell ref="B183:B190"/>
    <mergeCell ref="B191:B197"/>
    <mergeCell ref="B198:B204"/>
    <mergeCell ref="B205:B211"/>
    <mergeCell ref="B212:B218"/>
    <mergeCell ref="B219:B227"/>
    <mergeCell ref="B235:B242"/>
    <mergeCell ref="B228:B234"/>
    <mergeCell ref="B102:B107"/>
    <mergeCell ref="B108:B117"/>
    <mergeCell ref="B118:B127"/>
    <mergeCell ref="B128:B136"/>
    <mergeCell ref="B137:B143"/>
    <mergeCell ref="B144:B150"/>
    <mergeCell ref="B160:B166"/>
    <mergeCell ref="B167:B174"/>
    <mergeCell ref="B33:B42"/>
    <mergeCell ref="B43:B51"/>
    <mergeCell ref="B52:B60"/>
    <mergeCell ref="B61:B70"/>
    <mergeCell ref="B71:B76"/>
    <mergeCell ref="B77:B83"/>
    <mergeCell ref="B84:B89"/>
    <mergeCell ref="B90:B95"/>
    <mergeCell ref="B96:B101"/>
    <mergeCell ref="A1:C1"/>
    <mergeCell ref="D2:AX2"/>
    <mergeCell ref="AZ2:BH2"/>
    <mergeCell ref="BN2:BY2"/>
    <mergeCell ref="A2:A3"/>
    <mergeCell ref="B2:B3"/>
    <mergeCell ref="B5:B14"/>
    <mergeCell ref="B15:B24"/>
    <mergeCell ref="B25:B32"/>
  </mergeCells>
  <printOptions horizontalCentered="1"/>
  <pageMargins left="0.15748031496063" right="0.15748031496063" top="0.15748031496063" bottom="0.15748031496063" header="0.31496062992126" footer="0.31496062992126"/>
  <pageSetup paperSize="9" scale="43" orientation="portrait" horizontalDpi="1200" verticalDpi="120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Net (2)</vt:lpstr>
      <vt:lpstr>'Net (2)'!Print_Area</vt:lpstr>
      <vt:lpstr>'Net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EDV</dc:creator>
  <cp:lastModifiedBy>Accounting EDV</cp:lastModifiedBy>
  <dcterms:created xsi:type="dcterms:W3CDTF">2026-01-09T10:20:00Z</dcterms:created>
  <dcterms:modified xsi:type="dcterms:W3CDTF">2026-09-28T09:03:24Z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CFD5BA91A427AB364A80216A6ECA5415_43</vt:lpwstr>
  </property>
  <property fmtid="{D5CDD505-2E9C-101B-9397-08002B2CF9AE}" pid="3" name="KSOProductBuildVer">
    <vt:lpwstr>1033-12.8.2.22595</vt:lpwstr>
  </property>
</Properties>
</file>