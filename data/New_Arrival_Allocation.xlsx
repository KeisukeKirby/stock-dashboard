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設定" sheetId="1" state="visible" r:id="rId3"/>
    <sheet name="実績" sheetId="2" state="visible" r:id="rId4"/>
    <sheet name="配分表" sheetId="3" state="visible" r:id="rId5"/>
    <sheet name="サマリー" sheetId="4" state="visible" r:id="rId6"/>
    <sheet name="既存在庫" sheetId="5" state="visible" r:id="rId7"/>
    <sheet name="配分ロジック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<sst xmlns="http://schemas.openxmlformats.org/spreadsheetml/2006/main" count="599" uniqueCount="167">
  <si>
    <t xml:space="preserve">新入荷商品 店舗配分モデル — 設定シート</t>
  </si>
  <si>
    <t xml:space="preserve">黄色セル（青字）が入力項目です。ここを変えると「配分表」「サマリー」が自動で再計算されます。</t>
  </si>
  <si>
    <r>
      <rPr>
        <b val="true"/>
        <sz val="10"/>
        <color rgb="FF000000"/>
        <rFont val="Arial"/>
        <family val="0"/>
        <charset val="1"/>
      </rPr>
      <t xml:space="preserve">1. </t>
    </r>
    <r>
      <rPr>
        <b val="true"/>
        <sz val="10"/>
        <color rgb="FF000000"/>
        <rFont val="Noto Sans CJK SC"/>
        <family val="2"/>
      </rPr>
      <t xml:space="preserve">モデル別 初回投入率（残りは倉庫保留 → 初速を見て追加配分）</t>
    </r>
  </si>
  <si>
    <t xml:space="preserve">モデル</t>
  </si>
  <si>
    <t xml:space="preserve">初回投入率</t>
  </si>
  <si>
    <t xml:space="preserve">参考にした既存モデル</t>
  </si>
  <si>
    <t xml:space="preserve">実効の店舗投入率（結果）</t>
  </si>
  <si>
    <t xml:space="preserve">VFF Spidrwalk</t>
  </si>
  <si>
    <r>
      <rPr>
        <sz val="10"/>
        <color rgb="FF000000"/>
        <rFont val="Arial"/>
        <family val="0"/>
        <charset val="1"/>
      </rPr>
      <t xml:space="preserve">VFF Spidrwalk</t>
    </r>
    <r>
      <rPr>
        <sz val="10"/>
        <color rgb="FF000000"/>
        <rFont val="Noto Sans CJK SC"/>
        <family val="2"/>
      </rPr>
      <t xml:space="preserve">（既存カラーの店舗別実績）</t>
    </r>
  </si>
  <si>
    <t xml:space="preserve">VFF Trailope WP</t>
  </si>
  <si>
    <r>
      <rPr>
        <sz val="10"/>
        <color rgb="FF000000"/>
        <rFont val="Arial"/>
        <family val="0"/>
        <charset val="1"/>
      </rPr>
      <t xml:space="preserve">VFF Trailope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VFF Scramkey</t>
    </r>
  </si>
  <si>
    <t xml:space="preserve">VFF Groundsplay LS</t>
  </si>
  <si>
    <r>
      <rPr>
        <sz val="10"/>
        <color rgb="FF000000"/>
        <rFont val="Arial"/>
        <family val="0"/>
        <charset val="1"/>
      </rPr>
      <t xml:space="preserve">VFF Groundsplay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VFF Graspifier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VFF Kso Evo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M/W</t>
    </r>
    <r>
      <rPr>
        <sz val="10"/>
        <color rgb="FF000000"/>
        <rFont val="Noto Sans CJK SC"/>
        <family val="2"/>
      </rPr>
      <t xml:space="preserve">別）</t>
    </r>
  </si>
  <si>
    <r>
      <rPr>
        <b val="true"/>
        <sz val="10"/>
        <color rgb="FF000000"/>
        <rFont val="Arial"/>
        <family val="0"/>
        <charset val="1"/>
      </rPr>
      <t xml:space="preserve">2. </t>
    </r>
    <r>
      <rPr>
        <b val="true"/>
        <sz val="10"/>
        <color rgb="FF000000"/>
        <rFont val="Noto Sans CJK SC"/>
        <family val="2"/>
      </rPr>
      <t xml:space="preserve">店舗別 実績月数（月平均化のため。</t>
    </r>
    <r>
      <rPr>
        <b val="true"/>
        <sz val="10"/>
        <color rgb="FF000000"/>
        <rFont val="Arial"/>
        <family val="0"/>
        <charset val="1"/>
      </rPr>
      <t xml:space="preserve">Paradise Park</t>
    </r>
    <r>
      <rPr>
        <b val="true"/>
        <sz val="10"/>
        <color rgb="FF000000"/>
        <rFont val="Noto Sans CJK SC"/>
        <family val="2"/>
      </rPr>
      <t xml:space="preserve">は</t>
    </r>
    <r>
      <rPr>
        <b val="true"/>
        <sz val="10"/>
        <color rgb="FF000000"/>
        <rFont val="Arial"/>
        <family val="0"/>
        <charset val="1"/>
      </rPr>
      <t xml:space="preserve">2026</t>
    </r>
    <r>
      <rPr>
        <b val="true"/>
        <sz val="10"/>
        <color rgb="FF000000"/>
        <rFont val="Noto Sans CJK SC"/>
        <family val="2"/>
      </rPr>
      <t xml:space="preserve">年</t>
    </r>
    <r>
      <rPr>
        <b val="true"/>
        <sz val="10"/>
        <color rgb="FF000000"/>
        <rFont val="Arial"/>
        <family val="0"/>
        <charset val="1"/>
      </rPr>
      <t xml:space="preserve">4</t>
    </r>
    <r>
      <rPr>
        <b val="true"/>
        <sz val="10"/>
        <color rgb="FF000000"/>
        <rFont val="Noto Sans CJK SC"/>
        <family val="2"/>
      </rPr>
      <t xml:space="preserve">月開店のため</t>
    </r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Noto Sans CJK SC"/>
        <family val="2"/>
      </rPr>
      <t xml:space="preserve">ヶ月）</t>
    </r>
  </si>
  <si>
    <t xml:space="preserve">店舗</t>
  </si>
  <si>
    <t xml:space="preserve">実績月数</t>
  </si>
  <si>
    <t xml:space="preserve">K Village</t>
  </si>
  <si>
    <t xml:space="preserve">Central Chidlom</t>
  </si>
  <si>
    <t xml:space="preserve">Siam Discovery</t>
  </si>
  <si>
    <t xml:space="preserve">Paradise Park</t>
  </si>
  <si>
    <t xml:space="preserve">Central Lardprao (Dept.)</t>
  </si>
  <si>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Noto Sans CJK SC"/>
        <family val="2"/>
      </rPr>
      <t xml:space="preserve">店舗別 最低配分足数と</t>
    </r>
    <r>
      <rPr>
        <b val="true"/>
        <sz val="10"/>
        <color rgb="FF000000"/>
        <rFont val="Arial"/>
        <family val="0"/>
        <charset val="1"/>
      </rPr>
      <t xml:space="preserve">1SKU</t>
    </r>
    <r>
      <rPr>
        <b val="true"/>
        <sz val="10"/>
        <color rgb="FF000000"/>
        <rFont val="Noto Sans CJK SC"/>
        <family val="2"/>
      </rPr>
      <t xml:space="preserve">あたり上限（比率に関わらず各店に置く最低数と、</t>
    </r>
    <r>
      <rPr>
        <b val="true"/>
        <sz val="10"/>
        <color rgb="FF000000"/>
        <rFont val="Arial"/>
        <family val="0"/>
        <charset val="1"/>
      </rPr>
      <t xml:space="preserve">1SKU</t>
    </r>
    <r>
      <rPr>
        <b val="true"/>
        <sz val="10"/>
        <color rgb="FF000000"/>
        <rFont val="Noto Sans CJK SC"/>
        <family val="2"/>
      </rPr>
      <t xml:space="preserve">に置く最大数）</t>
    </r>
  </si>
  <si>
    <t xml:space="preserve">主要</t>
  </si>
  <si>
    <t xml:space="preserve">端</t>
  </si>
  <si>
    <t xml:space="preserve">極端</t>
  </si>
  <si>
    <r>
      <rPr>
        <b val="true"/>
        <sz val="10"/>
        <color rgb="FF000000"/>
        <rFont val="Arial"/>
        <family val="0"/>
        <charset val="1"/>
      </rPr>
      <t xml:space="preserve">1SKU</t>
    </r>
    <r>
      <rPr>
        <b val="true"/>
        <sz val="10"/>
        <color rgb="FF000000"/>
        <rFont val="Noto Sans CJK SC"/>
        <family val="2"/>
      </rPr>
      <t xml:space="preserve">上限</t>
    </r>
  </si>
  <si>
    <t xml:space="preserve">サイズ区分の定義（配分表のE列で個別に変更可）：主要＝M41〜44／W38〜40、端＝M40・45・46／W37・41、極端＝M39・47／W36・42</t>
  </si>
  <si>
    <r>
      <rPr>
        <b val="true"/>
        <sz val="10"/>
        <color rgb="FF000000"/>
        <rFont val="Arial"/>
        <family val="0"/>
        <charset val="1"/>
      </rPr>
      <t xml:space="preserve">4. </t>
    </r>
    <r>
      <rPr>
        <b val="true"/>
        <sz val="10"/>
        <color rgb="FF000000"/>
        <rFont val="Noto Sans CJK SC"/>
        <family val="2"/>
      </rPr>
      <t xml:space="preserve">店舗別 在庫調整係数（既存在庫が過剰な店は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未満にして配分を絞る。係数はシェアの正規化に使うため、減らした分は他店に回る。ただし</t>
    </r>
    <r>
      <rPr>
        <b val="true"/>
        <sz val="10"/>
        <color rgb="FF000000"/>
        <rFont val="Arial"/>
        <family val="0"/>
        <charset val="1"/>
      </rPr>
      <t xml:space="preserve">1SKU</t>
    </r>
    <r>
      <rPr>
        <b val="true"/>
        <sz val="10"/>
        <color rgb="FF000000"/>
        <rFont val="Noto Sans CJK SC"/>
        <family val="2"/>
      </rPr>
      <t xml:space="preserve">上限・最低配分・手動調整が優先されるため、店舗合計は投入率どおりにはならない＝実効率は</t>
    </r>
    <r>
      <rPr>
        <b val="true"/>
        <sz val="10"/>
        <color rgb="FF000000"/>
        <rFont val="Arial"/>
        <family val="0"/>
        <charset val="1"/>
      </rPr>
      <t xml:space="preserve">1.</t>
    </r>
    <r>
      <rPr>
        <b val="true"/>
        <sz val="10"/>
        <color rgb="FF000000"/>
        <rFont val="Noto Sans CJK SC"/>
        <family val="2"/>
      </rPr>
      <t xml:space="preserve">の</t>
    </r>
    <r>
      <rPr>
        <b val="true"/>
        <sz val="10"/>
        <color rgb="FF000000"/>
        <rFont val="Arial"/>
        <family val="0"/>
        <charset val="1"/>
      </rPr>
      <t xml:space="preserve">D</t>
    </r>
    <r>
      <rPr>
        <b val="true"/>
        <sz val="10"/>
        <color rgb="FF000000"/>
        <rFont val="Noto Sans CJK SC"/>
        <family val="2"/>
      </rPr>
      <t xml:space="preserve">列を参照）</t>
    </r>
  </si>
  <si>
    <t xml:space="preserve">調整係数</t>
  </si>
  <si>
    <t xml:space="preserve">根拠（9/25時点の既存在庫月数）</t>
  </si>
  <si>
    <t xml:space="preserve">約3ヶ月（推定）→ そのまま</t>
  </si>
  <si>
    <r>
      <rPr>
        <sz val="10"/>
        <color rgb="FF000000"/>
        <rFont val="Arial"/>
        <family val="0"/>
        <charset val="1"/>
      </rPr>
      <t xml:space="preserve">4.5</t>
    </r>
    <r>
      <rPr>
        <sz val="10"/>
        <color rgb="FF000000"/>
        <rFont val="Noto Sans CJK SC"/>
        <family val="2"/>
      </rPr>
      <t xml:space="preserve">ヶ月 → そのまま</t>
    </r>
  </si>
  <si>
    <r>
      <rPr>
        <sz val="10"/>
        <color rgb="FF000000"/>
        <rFont val="Arial"/>
        <family val="0"/>
        <charset val="1"/>
      </rPr>
      <t xml:space="preserve">5.4</t>
    </r>
    <r>
      <rPr>
        <sz val="10"/>
        <color rgb="FF000000"/>
        <rFont val="Noto Sans CJK SC"/>
        <family val="2"/>
      </rPr>
      <t xml:space="preserve">ヶ月 → そのまま</t>
    </r>
  </si>
  <si>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ヶ月だが販売は他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店と同水準のため係数は下げず、上限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足で抑える</t>
    </r>
  </si>
  <si>
    <r>
      <rPr>
        <b val="true"/>
        <sz val="10"/>
        <color rgb="FF000000"/>
        <rFont val="Arial"/>
        <family val="0"/>
        <charset val="1"/>
      </rPr>
      <t xml:space="preserve">5. </t>
    </r>
    <r>
      <rPr>
        <b val="true"/>
        <sz val="10"/>
        <color rgb="FF000000"/>
        <rFont val="Noto Sans CJK SC"/>
        <family val="2"/>
      </rPr>
      <t xml:space="preserve">丸め単位（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＝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足単位、</t>
    </r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Noto Sans CJK SC"/>
        <family val="2"/>
      </rPr>
      <t xml:space="preserve">＝</t>
    </r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Noto Sans CJK SC"/>
        <family val="2"/>
      </rPr>
      <t xml:space="preserve">足箱単位）</t>
    </r>
  </si>
  <si>
    <t xml:space="preserve">丸め単位</t>
  </si>
  <si>
    <r>
      <rPr>
        <b val="true"/>
        <sz val="10"/>
        <color rgb="FF000000"/>
        <rFont val="Arial"/>
        <family val="0"/>
        <charset val="1"/>
      </rPr>
      <t xml:space="preserve">6. </t>
    </r>
    <r>
      <rPr>
        <b val="true"/>
        <sz val="10"/>
        <color rgb="FF000000"/>
        <rFont val="Noto Sans CJK SC"/>
        <family val="2"/>
      </rPr>
      <t xml:space="preserve">性別区分の判定（実績データに</t>
    </r>
    <r>
      <rPr>
        <b val="true"/>
        <sz val="10"/>
        <color rgb="FF000000"/>
        <rFont val="Arial"/>
        <family val="0"/>
        <charset val="1"/>
      </rPr>
      <t xml:space="preserve">M/W</t>
    </r>
    <r>
      <rPr>
        <b val="true"/>
        <sz val="10"/>
        <color rgb="FF000000"/>
        <rFont val="Noto Sans CJK SC"/>
        <family val="2"/>
      </rPr>
      <t xml:space="preserve">表記がないため、サイズ</t>
    </r>
    <r>
      <rPr>
        <b val="true"/>
        <sz val="10"/>
        <color rgb="FF000000"/>
        <rFont val="Arial"/>
        <family val="0"/>
        <charset val="1"/>
      </rPr>
      <t xml:space="preserve">39</t>
    </r>
    <r>
      <rPr>
        <b val="true"/>
        <sz val="10"/>
        <color rgb="FF000000"/>
        <rFont val="Noto Sans CJK SC"/>
        <family val="2"/>
      </rPr>
      <t xml:space="preserve">以下を</t>
    </r>
    <r>
      <rPr>
        <b val="true"/>
        <sz val="10"/>
        <color rgb="FF000000"/>
        <rFont val="Arial"/>
        <family val="0"/>
        <charset val="1"/>
      </rPr>
      <t xml:space="preserve">W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Arial"/>
        <family val="0"/>
        <charset val="1"/>
      </rPr>
      <t xml:space="preserve">40</t>
    </r>
    <r>
      <rPr>
        <b val="true"/>
        <sz val="10"/>
        <color rgb="FF000000"/>
        <rFont val="Noto Sans CJK SC"/>
        <family val="2"/>
      </rPr>
      <t xml:space="preserve">以上を</t>
    </r>
    <r>
      <rPr>
        <b val="true"/>
        <sz val="10"/>
        <color rgb="FF000000"/>
        <rFont val="Arial"/>
        <family val="0"/>
        <charset val="1"/>
      </rPr>
      <t xml:space="preserve">M</t>
    </r>
    <r>
      <rPr>
        <b val="true"/>
        <sz val="10"/>
        <color rgb="FF000000"/>
        <rFont val="Noto Sans CJK SC"/>
        <family val="2"/>
      </rPr>
      <t xml:space="preserve">とみなして集計）</t>
    </r>
  </si>
  <si>
    <t xml:space="preserve">※ 実績側の40〜42はレディースも含まれ得るため、Groundsplay LS W40〜42の配分はメンズ側の店舗比率に寄ります。必要なら「実績」シートの性別列を手修正してください。</t>
  </si>
  <si>
    <r>
      <rPr>
        <b val="true"/>
        <sz val="10"/>
        <color rgb="FF000000"/>
        <rFont val="Arial"/>
        <family val="0"/>
        <charset val="1"/>
      </rPr>
      <t xml:space="preserve">7. </t>
    </r>
    <r>
      <rPr>
        <b val="true"/>
        <sz val="10"/>
        <color rgb="FF000000"/>
        <rFont val="Noto Sans CJK SC"/>
        <family val="2"/>
      </rPr>
      <t xml:space="preserve">上限：①店舗投入率（モデル</t>
    </r>
    <r>
      <rPr>
        <b val="true"/>
        <sz val="10"/>
        <color rgb="FF000000"/>
        <rFont val="Arial"/>
        <family val="0"/>
        <charset val="1"/>
      </rPr>
      <t xml:space="preserve">×</t>
    </r>
    <r>
      <rPr>
        <b val="true"/>
        <sz val="10"/>
        <color rgb="FF000000"/>
        <rFont val="Noto Sans CJK SC"/>
        <family val="2"/>
      </rPr>
      <t xml:space="preserve">カラー別の店舗合計</t>
    </r>
    <r>
      <rPr>
        <b val="true"/>
        <sz val="10"/>
        <color rgb="FF000000"/>
        <rFont val="Arial"/>
        <family val="0"/>
        <charset val="1"/>
      </rPr>
      <t xml:space="preserve">÷</t>
    </r>
    <r>
      <rPr>
        <b val="true"/>
        <sz val="10"/>
        <color rgb="FF000000"/>
        <rFont val="Noto Sans CJK SC"/>
        <family val="2"/>
      </rPr>
      <t xml:space="preserve">入荷数）の上限、②初回投入率（上の</t>
    </r>
    <r>
      <rPr>
        <b val="true"/>
        <sz val="10"/>
        <color rgb="FF000000"/>
        <rFont val="Arial"/>
        <family val="0"/>
        <charset val="1"/>
      </rPr>
      <t xml:space="preserve">1.</t>
    </r>
    <r>
      <rPr>
        <b val="true"/>
        <sz val="10"/>
        <color rgb="FF000000"/>
        <rFont val="Noto Sans CJK SC"/>
        <family val="2"/>
      </rPr>
      <t xml:space="preserve">／配分表</t>
    </r>
    <r>
      <rPr>
        <b val="true"/>
        <sz val="10"/>
        <color rgb="FF000000"/>
        <rFont val="Arial"/>
        <family val="0"/>
        <charset val="1"/>
      </rPr>
      <t xml:space="preserve">G</t>
    </r>
    <r>
      <rPr>
        <b val="true"/>
        <sz val="10"/>
        <color rgb="FF000000"/>
        <rFont val="Noto Sans CJK SC"/>
        <family val="2"/>
      </rPr>
      <t xml:space="preserve">列）の上限。①超過はサマリー</t>
    </r>
    <r>
      <rPr>
        <b val="true"/>
        <sz val="10"/>
        <color rgb="FF000000"/>
        <rFont val="Arial"/>
        <family val="0"/>
        <charset val="1"/>
      </rPr>
      <t xml:space="preserve">L</t>
    </r>
    <r>
      <rPr>
        <b val="true"/>
        <sz val="10"/>
        <color rgb="FF000000"/>
        <rFont val="Noto Sans CJK SC"/>
        <family val="2"/>
      </rPr>
      <t xml:space="preserve">列で警告、②は</t>
    </r>
    <r>
      <rPr>
        <b val="true"/>
        <sz val="10"/>
        <color rgb="FF000000"/>
        <rFont val="Arial"/>
        <family val="0"/>
        <charset val="1"/>
      </rPr>
      <t xml:space="preserve">1.</t>
    </r>
    <r>
      <rPr>
        <b val="true"/>
        <sz val="10"/>
        <color rgb="FF000000"/>
        <rFont val="Noto Sans CJK SC"/>
        <family val="2"/>
      </rPr>
      <t xml:space="preserve">の入力で制限（超えると入力エラー）・配分表</t>
    </r>
    <r>
      <rPr>
        <b val="true"/>
        <sz val="10"/>
        <color rgb="FF000000"/>
        <rFont val="Arial"/>
        <family val="0"/>
        <charset val="1"/>
      </rPr>
      <t xml:space="preserve">G</t>
    </r>
    <r>
      <rPr>
        <b val="true"/>
        <sz val="10"/>
        <color rgb="FF000000"/>
        <rFont val="Noto Sans CJK SC"/>
        <family val="2"/>
      </rPr>
      <t xml:space="preserve">列で赤表示。※①は現行の配分実数（</t>
    </r>
    <r>
      <rPr>
        <b val="true"/>
        <sz val="10"/>
        <color rgb="FF000000"/>
        <rFont val="Arial"/>
        <family val="0"/>
        <charset val="1"/>
      </rPr>
      <t xml:space="preserve">Spidrwalk 30.6%</t>
    </r>
    <r>
      <rPr>
        <b val="true"/>
        <sz val="10"/>
        <color rgb="FF000000"/>
        <rFont val="Noto Sans CJK SC"/>
        <family val="2"/>
      </rPr>
      <t xml:space="preserve">）に合わせて</t>
    </r>
    <r>
      <rPr>
        <b val="true"/>
        <sz val="10"/>
        <color rgb="FF000000"/>
        <rFont val="Arial"/>
        <family val="0"/>
        <charset val="1"/>
      </rPr>
      <t xml:space="preserve">31%</t>
    </r>
    <r>
      <rPr>
        <b val="true"/>
        <sz val="10"/>
        <color rgb="FF000000"/>
        <rFont val="Noto Sans CJK SC"/>
        <family val="2"/>
      </rPr>
      <t xml:space="preserve">に設定</t>
    </r>
  </si>
  <si>
    <t xml:space="preserve">店舗投入率の上限</t>
  </si>
  <si>
    <t xml:space="preserve">初回投入率（配分表G列）の上限</t>
  </si>
  <si>
    <t xml:space="preserve">参考モデルの店舗別販売実績（2026年1〜8月、輸出・対EDV卸・オンライン・イベント除く）</t>
  </si>
  <si>
    <t xml:space="preserve">出典：店舗別モデルサイズ別販売足数ピボット_2026年1-8月.xlsx（RawData）。性別はサイズから推定（39以下=W、40以上=M）。</t>
  </si>
  <si>
    <t xml:space="preserve">配分グループ別 店舗シェア（月平均販売足数ベース）</t>
  </si>
  <si>
    <t xml:space="preserve">性別(推定)</t>
  </si>
  <si>
    <t xml:space="preserve">販売足数</t>
  </si>
  <si>
    <t xml:space="preserve">配分グループ</t>
  </si>
  <si>
    <t xml:space="preserve">参考モデル</t>
  </si>
  <si>
    <r>
      <rPr>
        <b val="true"/>
        <sz val="10"/>
        <color rgb="FF000000"/>
        <rFont val="Arial"/>
        <family val="0"/>
        <charset val="1"/>
      </rPr>
      <t xml:space="preserve">K Village
</t>
    </r>
    <r>
      <rPr>
        <b val="true"/>
        <sz val="10"/>
        <color rgb="FF000000"/>
        <rFont val="Noto Sans CJK SC"/>
        <family val="2"/>
      </rPr>
      <t xml:space="preserve">月平均</t>
    </r>
  </si>
  <si>
    <r>
      <rPr>
        <b val="true"/>
        <sz val="10"/>
        <color rgb="FF000000"/>
        <rFont val="Arial"/>
        <family val="0"/>
        <charset val="1"/>
      </rPr>
      <t xml:space="preserve">Central CL (Chidlom)
</t>
    </r>
    <r>
      <rPr>
        <b val="true"/>
        <sz val="10"/>
        <color rgb="FF000000"/>
        <rFont val="Noto Sans CJK SC"/>
        <family val="2"/>
      </rPr>
      <t xml:space="preserve">月平均</t>
    </r>
  </si>
  <si>
    <r>
      <rPr>
        <b val="true"/>
        <sz val="10"/>
        <color rgb="FF000000"/>
        <rFont val="Arial"/>
        <family val="0"/>
        <charset val="1"/>
      </rPr>
      <t xml:space="preserve">Siam Discovery
</t>
    </r>
    <r>
      <rPr>
        <b val="true"/>
        <sz val="10"/>
        <color rgb="FF000000"/>
        <rFont val="Noto Sans CJK SC"/>
        <family val="2"/>
      </rPr>
      <t xml:space="preserve">月平均</t>
    </r>
  </si>
  <si>
    <r>
      <rPr>
        <b val="true"/>
        <sz val="10"/>
        <color rgb="FF000000"/>
        <rFont val="Arial"/>
        <family val="0"/>
        <charset val="1"/>
      </rPr>
      <t xml:space="preserve">Paradise Park
</t>
    </r>
    <r>
      <rPr>
        <b val="true"/>
        <sz val="10"/>
        <color rgb="FF000000"/>
        <rFont val="Noto Sans CJK SC"/>
        <family val="2"/>
      </rPr>
      <t xml:space="preserve">月平均</t>
    </r>
  </si>
  <si>
    <r>
      <rPr>
        <b val="true"/>
        <sz val="10"/>
        <color rgb="FF000000"/>
        <rFont val="Arial"/>
        <family val="0"/>
        <charset val="1"/>
      </rPr>
      <t xml:space="preserve">Central LP (Lardprao)
</t>
    </r>
    <r>
      <rPr>
        <b val="true"/>
        <sz val="10"/>
        <color rgb="FF000000"/>
        <rFont val="Noto Sans CJK SC"/>
        <family val="2"/>
      </rPr>
      <t xml:space="preserve">月平均</t>
    </r>
  </si>
  <si>
    <t xml:space="preserve">合計</t>
  </si>
  <si>
    <r>
      <rPr>
        <b val="true"/>
        <sz val="10"/>
        <color rgb="FF000000"/>
        <rFont val="Arial"/>
        <family val="0"/>
        <charset val="1"/>
      </rPr>
      <t xml:space="preserve">K Village
</t>
    </r>
    <r>
      <rPr>
        <b val="true"/>
        <sz val="10"/>
        <color rgb="FF000000"/>
        <rFont val="Noto Sans CJK SC"/>
        <family val="2"/>
      </rPr>
      <t xml:space="preserve">シェア</t>
    </r>
  </si>
  <si>
    <r>
      <rPr>
        <b val="true"/>
        <sz val="10"/>
        <color rgb="FF000000"/>
        <rFont val="Arial"/>
        <family val="0"/>
        <charset val="1"/>
      </rPr>
      <t xml:space="preserve">Central CL (Chidlom)
</t>
    </r>
    <r>
      <rPr>
        <b val="true"/>
        <sz val="10"/>
        <color rgb="FF000000"/>
        <rFont val="Noto Sans CJK SC"/>
        <family val="2"/>
      </rPr>
      <t xml:space="preserve">シェア</t>
    </r>
  </si>
  <si>
    <r>
      <rPr>
        <b val="true"/>
        <sz val="10"/>
        <color rgb="FF000000"/>
        <rFont val="Arial"/>
        <family val="0"/>
        <charset val="1"/>
      </rPr>
      <t xml:space="preserve">Siam Discovery
</t>
    </r>
    <r>
      <rPr>
        <b val="true"/>
        <sz val="10"/>
        <color rgb="FF000000"/>
        <rFont val="Noto Sans CJK SC"/>
        <family val="2"/>
      </rPr>
      <t xml:space="preserve">シェア</t>
    </r>
  </si>
  <si>
    <r>
      <rPr>
        <b val="true"/>
        <sz val="10"/>
        <color rgb="FF000000"/>
        <rFont val="Arial"/>
        <family val="0"/>
        <charset val="1"/>
      </rPr>
      <t xml:space="preserve">Paradise Park
</t>
    </r>
    <r>
      <rPr>
        <b val="true"/>
        <sz val="10"/>
        <color rgb="FF000000"/>
        <rFont val="Noto Sans CJK SC"/>
        <family val="2"/>
      </rPr>
      <t xml:space="preserve">シェア</t>
    </r>
  </si>
  <si>
    <r>
      <rPr>
        <b val="true"/>
        <sz val="10"/>
        <color rgb="FF000000"/>
        <rFont val="Arial"/>
        <family val="0"/>
        <charset val="1"/>
      </rPr>
      <t xml:space="preserve">Central LP (Lardprao)
</t>
    </r>
    <r>
      <rPr>
        <b val="true"/>
        <sz val="10"/>
        <color rgb="FF000000"/>
        <rFont val="Noto Sans CJK SC"/>
        <family val="2"/>
      </rPr>
      <t xml:space="preserve">シェア</t>
    </r>
  </si>
  <si>
    <t xml:space="preserve">シェア×調整係数
の合計（正規化用）</t>
  </si>
  <si>
    <t xml:space="preserve">M</t>
  </si>
  <si>
    <t xml:space="preserve">Spidrwalk</t>
  </si>
  <si>
    <t xml:space="preserve">W</t>
  </si>
  <si>
    <t xml:space="preserve">TrailopeWP</t>
  </si>
  <si>
    <t xml:space="preserve">Trailope + Scramkey</t>
  </si>
  <si>
    <t xml:space="preserve">VFF Trailope</t>
  </si>
  <si>
    <t xml:space="preserve">GLS_M</t>
  </si>
  <si>
    <r>
      <rPr>
        <sz val="10"/>
        <color rgb="FF000000"/>
        <rFont val="Arial"/>
        <family val="0"/>
        <charset val="1"/>
      </rPr>
      <t xml:space="preserve">Groundsplay + Graspifier + Kso Evo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</si>
  <si>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t xml:space="preserve">GLS_W</t>
  </si>
  <si>
    <r>
      <rPr>
        <sz val="10"/>
        <color rgb="FF000000"/>
        <rFont val="Arial"/>
        <family val="0"/>
        <charset val="1"/>
      </rPr>
      <t xml:space="preserve">Groundsplay + Graspifier + Kso Evo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</si>
  <si>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t xml:space="preserve">VFF Scramkey</t>
  </si>
  <si>
    <t xml:space="preserve">VFF Groundsplay</t>
  </si>
  <si>
    <t xml:space="preserve">（参考）店舗別 参考6モデル合計足数と月平均</t>
  </si>
  <si>
    <t xml:space="preserve">合計足数</t>
  </si>
  <si>
    <t xml:space="preserve">月数</t>
  </si>
  <si>
    <t xml:space="preserve">月平均</t>
  </si>
  <si>
    <t xml:space="preserve">VFF Graspifier</t>
  </si>
  <si>
    <t xml:space="preserve">Central CL (Chidlom)</t>
  </si>
  <si>
    <t xml:space="preserve">VFF Kso Evo</t>
  </si>
  <si>
    <t xml:space="preserve">Central LP (Lardprao)</t>
  </si>
  <si>
    <t xml:space="preserve">新入荷商品 店舗別配分表</t>
  </si>
  <si>
    <t xml:space="preserve">店舗配分 = MIN( 1SKU上限 , MAX( 最低配分 , ROUND( 入荷数×投入率 × 正規化シェア(店舗シェア×調整係数) ) ) ) ＋ 手動調整（S〜W列）。上限で頭打ちになった分はOffice保留に回る。倉庫保留 = 入荷数 − 店舗合計。</t>
  </si>
  <si>
    <r>
      <rPr>
        <b val="true"/>
        <sz val="11"/>
        <color theme="1"/>
        <rFont val="Noto Sans CJK SC"/>
        <family val="2"/>
      </rPr>
      <t xml:space="preserve">手動調整（</t>
    </r>
    <r>
      <rPr>
        <b val="true"/>
        <sz val="11"/>
        <color theme="1"/>
        <rFont val="Calibri"/>
        <family val="2"/>
        <charset val="1"/>
      </rPr>
      <t xml:space="preserve">±</t>
    </r>
    <r>
      <rPr>
        <b val="true"/>
        <sz val="11"/>
        <color theme="1"/>
        <rFont val="Noto Sans CJK SC"/>
        <family val="2"/>
      </rPr>
      <t xml:space="preserve">足）：数式の結果に加減する例外分。空欄＝調整なし</t>
    </r>
  </si>
  <si>
    <t xml:space="preserve">カラー</t>
  </si>
  <si>
    <t xml:space="preserve">サイズ</t>
  </si>
  <si>
    <t xml:space="preserve">性別</t>
  </si>
  <si>
    <t xml:space="preserve">サイズ区分</t>
  </si>
  <si>
    <t xml:space="preserve">入荷数</t>
  </si>
  <si>
    <t xml:space="preserve">初回投入数</t>
  </si>
  <si>
    <t xml:space="preserve">店舗合計</t>
  </si>
  <si>
    <t xml:space="preserve">倉庫保留</t>
  </si>
  <si>
    <t xml:space="preserve">チェック</t>
  </si>
  <si>
    <r>
      <rPr>
        <b val="true"/>
        <sz val="10"/>
        <color rgb="FF000000"/>
        <rFont val="Noto Sans CJK SC"/>
        <family val="2"/>
      </rPr>
      <t xml:space="preserve">調整 </t>
    </r>
    <r>
      <rPr>
        <b val="true"/>
        <sz val="10"/>
        <color rgb="FF000000"/>
        <rFont val="Arial"/>
        <family val="0"/>
        <charset val="1"/>
      </rPr>
      <t xml:space="preserve">K Village</t>
    </r>
  </si>
  <si>
    <r>
      <rPr>
        <b val="true"/>
        <sz val="10"/>
        <color rgb="FF000000"/>
        <rFont val="Noto Sans CJK SC"/>
        <family val="2"/>
      </rPr>
      <t xml:space="preserve">調整 </t>
    </r>
    <r>
      <rPr>
        <b val="true"/>
        <sz val="10"/>
        <color rgb="FF000000"/>
        <rFont val="Arial"/>
        <family val="0"/>
        <charset val="1"/>
      </rPr>
      <t xml:space="preserve">Central CL</t>
    </r>
  </si>
  <si>
    <r>
      <rPr>
        <b val="true"/>
        <sz val="10"/>
        <color rgb="FF000000"/>
        <rFont val="Noto Sans CJK SC"/>
        <family val="2"/>
      </rPr>
      <t xml:space="preserve">調整 </t>
    </r>
    <r>
      <rPr>
        <b val="true"/>
        <sz val="10"/>
        <color rgb="FF000000"/>
        <rFont val="Arial"/>
        <family val="0"/>
        <charset val="1"/>
      </rPr>
      <t xml:space="preserve">Siam Discovery</t>
    </r>
  </si>
  <si>
    <r>
      <rPr>
        <b val="true"/>
        <sz val="10"/>
        <color rgb="FF000000"/>
        <rFont val="Noto Sans CJK SC"/>
        <family val="2"/>
      </rPr>
      <t xml:space="preserve">調整 </t>
    </r>
    <r>
      <rPr>
        <b val="true"/>
        <sz val="10"/>
        <color rgb="FF000000"/>
        <rFont val="Arial"/>
        <family val="0"/>
        <charset val="1"/>
      </rPr>
      <t xml:space="preserve">Paradise Park</t>
    </r>
  </si>
  <si>
    <r>
      <rPr>
        <b val="true"/>
        <sz val="10"/>
        <color rgb="FF000000"/>
        <rFont val="Noto Sans CJK SC"/>
        <family val="2"/>
      </rPr>
      <t xml:space="preserve">調整 </t>
    </r>
    <r>
      <rPr>
        <b val="true"/>
        <sz val="10"/>
        <color rgb="FF000000"/>
        <rFont val="Arial"/>
        <family val="0"/>
        <charset val="1"/>
      </rPr>
      <t xml:space="preserve">Central LP</t>
    </r>
  </si>
  <si>
    <t xml:space="preserve">Brown/Black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</si>
  <si>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</si>
  <si>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</si>
  <si>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</si>
  <si>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</si>
  <si>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</si>
  <si>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</si>
  <si>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</si>
  <si>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</si>
  <si>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M39</t>
  </si>
  <si>
    <t xml:space="preserve">Total Black</t>
  </si>
  <si>
    <t xml:space="preserve">W36</t>
  </si>
  <si>
    <t xml:space="preserve">W37</t>
  </si>
  <si>
    <t xml:space="preserve">W38</t>
  </si>
  <si>
    <t xml:space="preserve">W39</t>
  </si>
  <si>
    <t xml:space="preserve">W40</t>
  </si>
  <si>
    <t xml:space="preserve">W41</t>
  </si>
  <si>
    <t xml:space="preserve">W42</t>
  </si>
  <si>
    <t xml:space="preserve">Ivory Deep Lake</t>
  </si>
  <si>
    <t xml:space="preserve">Black Lime</t>
  </si>
  <si>
    <t xml:space="preserve">配分サマリー（モデル・カラー × 店舗）</t>
  </si>
  <si>
    <t xml:space="preserve">店舗投入率</t>
  </si>
  <si>
    <t xml:space="preserve">上限チェック</t>
  </si>
  <si>
    <t xml:space="preserve">店舗別 投入足数と、参考モデルの月平均販売足数に対する在庫月数（目安）</t>
  </si>
  <si>
    <t xml:space="preserve">今回投入足数</t>
  </si>
  <si>
    <t xml:space="preserve">参考6モデル 月平均販売</t>
  </si>
  <si>
    <t xml:space="preserve">在庫月数(目安)</t>
  </si>
  <si>
    <t xml:space="preserve">※ 在庫月数は「参考6モデルの合計月平均」で割った目安。新商品3モデルの実売はこれより少なくなる前提で読んでください。</t>
  </si>
  <si>
    <r>
      <rPr>
        <b val="true"/>
        <sz val="13"/>
        <color rgb="FF000000"/>
        <rFont val="Arial"/>
        <family val="0"/>
        <charset val="1"/>
      </rPr>
      <t xml:space="preserve">9/25</t>
    </r>
    <r>
      <rPr>
        <b val="true"/>
        <sz val="13"/>
        <color rgb="FF000000"/>
        <rFont val="Noto Sans CJK SC"/>
        <family val="2"/>
      </rPr>
      <t xml:space="preserve">時点 場所別 既存在庫と在庫月数（参考）</t>
    </r>
  </si>
  <si>
    <t xml:space="preserve">出典：VFF在庫ダッシュボード（Store_Stock_092526.xlsx／VFF_Stock_25-09-26.xlsx、9/25営業終了時点）。月平均販売は販売実績ダッシュボード2026年1〜8月のVFFシューズ足数。</t>
  </si>
  <si>
    <t xml:space="preserve">場所</t>
  </si>
  <si>
    <t xml:space="preserve">在庫足数</t>
  </si>
  <si>
    <t xml:space="preserve">うち今回の新入荷</t>
  </si>
  <si>
    <t xml:space="preserve">新入荷除く在庫</t>
  </si>
  <si>
    <t xml:space="preserve">月平均販売(2026/1-8)</t>
  </si>
  <si>
    <t xml:space="preserve">在庫月数</t>
  </si>
  <si>
    <t xml:space="preserve">備考</t>
  </si>
  <si>
    <t xml:space="preserve">Office</t>
  </si>
  <si>
    <t xml:space="preserve">オンライン189＋対EDV卸254＋イベント74＋委託27</t>
  </si>
  <si>
    <t xml:space="preserve">推定（対EDV卸に含まれるため直接集計不可。参考6モデルでCentral CLの2.3倍）</t>
  </si>
  <si>
    <t xml:space="preserve">Central CL (Department)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</si>
  <si>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月開店、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ヶ月平均</t>
    </r>
  </si>
  <si>
    <t xml:space="preserve">Central LP</t>
  </si>
  <si>
    <t xml:space="preserve">総合計</t>
  </si>
  <si>
    <r>
      <rPr>
        <sz val="10"/>
        <color rgb="FF000000"/>
        <rFont val="Arial"/>
        <family val="0"/>
        <charset val="1"/>
      </rPr>
      <t xml:space="preserve">Office</t>
    </r>
    <r>
      <rPr>
        <sz val="10"/>
        <color rgb="FF000000"/>
        <rFont val="Noto Sans CJK SC"/>
        <family val="2"/>
      </rPr>
      <t xml:space="preserve">比率（新入荷除く）</t>
    </r>
  </si>
  <si>
    <t xml:space="preserve">店舗比率（新入荷除く）</t>
  </si>
  <si>
    <t xml:space="preserve">読み方：売れている店（K Village・Central CL・Siam Discovery）ほど在庫月数が短く、Paradise Park・Central LPは過剰。新商品配分は前者に厚く、後者は最低限にし、既存在庫の店間移動を別途提案する。</t>
  </si>
  <si>
    <t xml:space="preserve">配分ロジック（社長説明用）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</si>
  <si>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目的：新入荷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モデル（</t>
    </r>
    <r>
      <rPr>
        <sz val="10"/>
        <color rgb="FF000000"/>
        <rFont val="Arial"/>
        <family val="0"/>
        <charset val="1"/>
      </rPr>
      <t xml:space="preserve">Spidrwalk</t>
    </r>
    <r>
      <rPr>
        <sz val="10"/>
        <color rgb="FF000000"/>
        <rFont val="Noto Sans CJK SC"/>
        <family val="2"/>
      </rPr>
      <t xml:space="preserve">新色／</t>
    </r>
    <r>
      <rPr>
        <sz val="10"/>
        <color rgb="FF000000"/>
        <rFont val="Arial"/>
        <family val="0"/>
        <charset val="1"/>
      </rPr>
      <t xml:space="preserve">Trailope WP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Groundsplay LS 3</t>
    </r>
    <r>
      <rPr>
        <sz val="10"/>
        <color rgb="FF000000"/>
        <rFont val="Noto Sans CJK SC"/>
        <family val="2"/>
      </rPr>
      <t xml:space="preserve">色、計</t>
    </r>
    <r>
      <rPr>
        <sz val="10"/>
        <color rgb="FF000000"/>
        <rFont val="Arial"/>
        <family val="0"/>
        <charset val="1"/>
      </rPr>
      <t xml:space="preserve">1,068</t>
    </r>
    <r>
      <rPr>
        <sz val="10"/>
        <color rgb="FF000000"/>
        <rFont val="Noto Sans CJK SC"/>
        <family val="2"/>
      </rPr>
      <t xml:space="preserve">足）を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店舗に配分し、残りを</t>
    </r>
    <r>
      <rPr>
        <sz val="10"/>
        <color rgb="FF000000"/>
        <rFont val="Arial"/>
        <family val="0"/>
        <charset val="1"/>
      </rPr>
      <t xml:space="preserve">Office</t>
    </r>
    <r>
      <rPr>
        <sz val="10"/>
        <color rgb="FF000000"/>
        <rFont val="Noto Sans CJK SC"/>
        <family val="2"/>
      </rPr>
      <t xml:space="preserve">在庫として保留する。</t>
    </r>
  </si>
  <si>
    <t xml:space="preserve">   ・Office在庫は約5.7ヶ月分（オンライン・対EDV卸・イベント・委託の月平均販売ベース）で、社内の安全在庫6ヶ月の方針とほぼ同水準。輸出分を考えると余裕はなく、店頭に出しすぎない方が安全。</t>
  </si>
  <si>
    <t xml:space="preserve">   ・投入から4週間後に初速を見て、Office保留分を売れている店・サイズに追加配分する前提。</t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</si>
  <si>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店舗シェア：新商品自体の実績はないため、性格の近い既存モデルの店舗別販売実績（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月、店頭販売のみ）から比率を算出。</t>
    </r>
  </si>
  <si>
    <t xml:space="preserve">   ・Spidrwalk新色 ← 既存Spidrwalk</t>
  </si>
  <si>
    <t xml:space="preserve">   ・Trailope WP ← Trailope ＋ Scramkey（アウトドア系）</t>
  </si>
  <si>
    <t xml:space="preserve">   ・Groundsplay LS ← Groundsplay ＋ Graspifier ＋ Kso Evo（ジム・トレーニング系）。メンズ／ウィメンズで別々に比率を算出</t>
  </si>
  <si>
    <t xml:space="preserve">   ・Paradise Parkは4月開店のため、全店舗を「月平均販売足数」に揃えてから比率化</t>
  </si>
  <si>
    <t xml:space="preserve">   ・結果：K Villageが4〜5割、Central CLとSiam Discoveryが各1.5〜2割、Paradise Parkはアウトドア系のみ2割強、Central LPは3〜4％</t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</si>
  <si>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在庫調整係数：既存在庫が販売に対して過剰な店は係数で配分を絞る。</t>
    </r>
  </si>
  <si>
    <t xml:space="preserve">   ・9/25時点の在庫月数：K Village 約3ヶ月（推定）／Central CL 4.5ヶ月／Siam Discovery 5.4ヶ月／Paradise Park 11ヶ月／Central LP 30ヶ月</t>
  </si>
  <si>
    <t xml:space="preserve">   ・Paradise ParkとCentral LPについては、新商品の配分と並行して既存在庫の店間移動（→K Village・Central CL・Siam Discovery）を別途提案する</t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</si>
  <si>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サイズ配分：入荷したサイズ構成（発注時のサイズカーブ）をそのまま使い、</t>
    </r>
    <r>
      <rPr>
        <sz val="10"/>
        <color rgb="FF000000"/>
        <rFont val="Arial"/>
        <family val="0"/>
        <charset val="1"/>
      </rPr>
      <t xml:space="preserve">SKU</t>
    </r>
    <r>
      <rPr>
        <sz val="10"/>
        <color rgb="FF000000"/>
        <rFont val="Noto Sans CJK SC"/>
        <family val="2"/>
      </rPr>
      <t xml:space="preserve">ごとに「入荷数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投入率」を「店舗シェア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調整係数」で正規化した比率で各店に割り、最低配分と</t>
    </r>
    <r>
      <rPr>
        <sz val="10"/>
        <color rgb="FF000000"/>
        <rFont val="Arial"/>
        <family val="0"/>
        <charset val="1"/>
      </rPr>
      <t xml:space="preserve">1SKU</t>
    </r>
    <r>
      <rPr>
        <sz val="10"/>
        <color rgb="FF000000"/>
        <rFont val="Noto Sans CJK SC"/>
        <family val="2"/>
      </rPr>
      <t xml:space="preserve">上限で挟む。さらに例外分は配分表の手動調整列（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±</t>
    </r>
    <r>
      <rPr>
        <sz val="10"/>
        <color rgb="FF000000"/>
        <rFont val="Noto Sans CJK SC"/>
        <family val="2"/>
      </rPr>
      <t xml:space="preserve">足）で個別に加減している（現在：</t>
    </r>
    <r>
      <rPr>
        <sz val="10"/>
        <color rgb="FF000000"/>
        <rFont val="Arial"/>
        <family val="0"/>
        <charset val="1"/>
      </rPr>
      <t xml:space="preserve">Spidrwalk M40 Paradise Park +1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Trailope WP M42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M43 Central LP +1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Groundsplay LS Total Black M44 Central CL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Siam −1</t>
    </r>
    <r>
      <rPr>
        <sz val="10"/>
        <color rgb="FF000000"/>
        <rFont val="Noto Sans CJK SC"/>
        <family val="2"/>
      </rPr>
      <t xml:space="preserve">）。初回は</t>
    </r>
    <r>
      <rPr>
        <sz val="10"/>
        <color rgb="FF000000"/>
        <rFont val="Arial"/>
        <family val="0"/>
        <charset val="1"/>
      </rPr>
      <t xml:space="preserve">1SKU</t>
    </r>
    <r>
      <rPr>
        <sz val="10"/>
        <color rgb="FF000000"/>
        <rFont val="Noto Sans CJK SC"/>
        <family val="2"/>
      </rPr>
      <t xml:space="preserve">あたり少数で幅広く並べ、売れたサイズを</t>
    </r>
    <r>
      <rPr>
        <sz val="10"/>
        <color rgb="FF000000"/>
        <rFont val="Arial"/>
        <family val="0"/>
        <charset val="1"/>
      </rPr>
      <t xml:space="preserve">Office</t>
    </r>
    <r>
      <rPr>
        <sz val="10"/>
        <color rgb="FF000000"/>
        <rFont val="Noto Sans CJK SC"/>
        <family val="2"/>
      </rPr>
      <t xml:space="preserve">保留分から補充する「薄く広く→追加」の運用。</t>
    </r>
  </si>
  <si>
    <r>
      <rPr>
        <sz val="10"/>
        <color rgb="FF000000"/>
        <rFont val="Arial"/>
        <family val="0"/>
        <charset val="1"/>
      </rPr>
      <t xml:space="preserve">7. </t>
    </r>
    <r>
      <rPr>
        <sz val="10"/>
        <color rgb="FF000000"/>
        <rFont val="Noto Sans CJK SC"/>
        <family val="2"/>
      </rPr>
      <t xml:space="preserve">追加配分ルール（提案）：</t>
    </r>
  </si>
  <si>
    <t xml:space="preserve">   ・投入から4週間後に全SKUの店舗在庫を確認し、Office保留分を売れている店・サイズに追加</t>
  </si>
  <si>
    <t xml:space="preserve">   ・店舗で特定サイズが在庫1足以下になったらOfficeから補充。動かないサイズは店間移動</t>
  </si>
  <si>
    <t xml:space="preserve">   ・Groundsplay LSは3色あるため、初速で色ごとの反応差を見てから2回目配分で色の比率を調整</t>
  </si>
  <si>
    <t xml:space="preserve">注意点：</t>
  </si>
  <si>
    <t xml:space="preserve">・実績データにM/W表記がないため、サイズ39以下をウィメンズ、40以上をメンズとして推定している。</t>
  </si>
  <si>
    <t xml:space="preserve">・K Villageの全モデル販売は対EDV卸に含まれるため直接は取れず、在庫月数は参考6モデルの比較からの推定。</t>
  </si>
  <si>
    <t xml:space="preserve">・Central LPの実績は8ヶ月で12足と小さく、比率が不安定。最低配分は設けず、係数と手動調整で「主要SKUに1足」の水準に調整している。</t>
  </si>
  <si>
    <t xml:space="preserve">・5店舗合計の参考6モデル販売は月平均約60足。新商品1,068足はオンライン・卸・輸出を含めて消化する計画として見る必要がある。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</si>
</sst>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.00"/>
    <numFmt numFmtId="168" formatCode="0.000"/>
    <numFmt numFmtId="169" formatCode="0.0"/>
    <numFmt numFmtId="170" formatCode="General"/>
    <numFmt numFmtId="171" formatCode="0;\-0;;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</font>
    <font>
      <sz val="11"/>
      <color rgb="FF008000"/>
      <name val="Calibri"/>
      <family val="2"/>
      <charset val="1"/>
    </font>
    <font>
      <sz val="10"/>
      <color rgb="FF000000"/>
      <name val="Noto Sans CJK SC"/>
      <family val="2"/>
      <charset val="1"/>
    </font>
    <font>
      <b val="true"/>
      <sz val="13"/>
      <color rgb="FF000000"/>
      <name val="Noto Sans CJK SC"/>
      <family val="2"/>
      <charset val="1"/>
    </font>
    <font>
      <b val="true"/>
      <sz val="11"/>
      <color theme="1"/>
      <name val="Noto Sans CJK SC"/>
      <family val="2"/>
    </font>
    <font>
      <b val="true"/>
      <sz val="11"/>
      <color theme="1"/>
      <name val="Calibri"/>
      <family val="2"/>
      <charset val="1"/>
    </font>
    <font>
      <sz val="10"/>
      <color rgb="FF0000FF"/>
      <name val="Noto Sans CJK SC"/>
      <family val="2"/>
      <charset val="1"/>
    </font>
    <font>
      <b val="true"/>
      <sz val="13"/>
      <color rgb="FF000000"/>
      <name val="Arial"/>
      <family val="0"/>
      <charset val="1"/>
    </font>
    <font>
      <b val="true"/>
      <sz val="13"/>
      <color rgb="FF000000"/>
      <name val="Noto Sans CJK SC"/>
      <family val="2"/>
    </font>
    <font>
      <b val="true"/>
      <sz val="12"/>
      <color rgb="FF000000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ont>
        <color rgb="FFC00000"/>
      </font>
    </dxf>
  </dxf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27.27"/>
    <col collapsed="false" customWidth="true" hidden="false" outlineLevel="0" max="5" min="5" style="0" width="10"/>
  </cols>
  <sheetData>
    <row r="1" customFormat="false" ht="18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4" customFormat="false" ht="15.65" hidden="false" customHeight="false" outlineLevel="0" collapsed="false">
      <c r="A4" s="3" t="s">
        <v>2</v>
      </c>
    </row>
    <row r="5" customFormat="false" ht="15.65" hidden="false" customHeight="false" outlineLevel="0" collapsed="false">
      <c r="A5" s="4" t="s">
        <v>3</v>
      </c>
      <c r="B5" s="4" t="s">
        <v>4</v>
      </c>
      <c r="C5" s="4" t="s">
        <v>5</v>
      </c>
      <c r="D5" s="5" t="s">
        <v>6</v>
      </c>
    </row>
    <row r="6" customFormat="false" ht="15.65" hidden="false" customHeight="false" outlineLevel="0" collapsed="false">
      <c r="A6" s="6" t="s">
        <v>7</v>
      </c>
      <c r="B6" s="7" t="n">
        <v>0.26</v>
      </c>
      <c r="C6" s="6" t="s">
        <v>8</v>
      </c>
      <c r="D6" s="8" t="n">
        <f aca="false">SUMIFS(サマリー!$I$4:$I$8,サマリー!$A$4:$A$8,A6)/SUMIFS(サマリー!$C$4:$C$8,サマリー!$A$4:$A$8,A6)</f>
        <v>0.305555555555556</v>
      </c>
    </row>
    <row r="7" customFormat="false" ht="15.65" hidden="false" customHeight="false" outlineLevel="0" collapsed="false">
      <c r="A7" s="6" t="s">
        <v>9</v>
      </c>
      <c r="B7" s="7" t="n">
        <v>0.28</v>
      </c>
      <c r="C7" s="6" t="s">
        <v>10</v>
      </c>
      <c r="D7" s="8" t="n">
        <f aca="false">SUMIFS(サマリー!$I$4:$I$8,サマリー!$A$4:$A$8,A7)/SUMIFS(サマリー!$C$4:$C$8,サマリー!$A$4:$A$8,A7)</f>
        <v>0.287878787878788</v>
      </c>
    </row>
    <row r="8" customFormat="false" ht="15.65" hidden="false" customHeight="false" outlineLevel="0" collapsed="false">
      <c r="A8" s="6" t="s">
        <v>11</v>
      </c>
      <c r="B8" s="7" t="n">
        <v>0.33</v>
      </c>
      <c r="C8" s="6" t="s">
        <v>12</v>
      </c>
      <c r="D8" s="8" t="n">
        <f aca="false">SUMIFS(サマリー!$I$4:$I$8,サマリー!$A$4:$A$8,A8)/SUMIFS(サマリー!$C$4:$C$8,サマリー!$A$4:$A$8,A8)</f>
        <v>0.239130434782609</v>
      </c>
    </row>
    <row r="10" customFormat="false" ht="15.65" hidden="false" customHeight="false" outlineLevel="0" collapsed="false">
      <c r="A10" s="3" t="s">
        <v>13</v>
      </c>
    </row>
    <row r="11" customFormat="false" ht="15.65" hidden="false" customHeight="false" outlineLevel="0" collapsed="false">
      <c r="A11" s="4" t="s">
        <v>14</v>
      </c>
      <c r="B11" s="4" t="s">
        <v>15</v>
      </c>
    </row>
    <row r="12" customFormat="false" ht="14.25" hidden="false" customHeight="false" outlineLevel="0" collapsed="false">
      <c r="A12" s="6" t="s">
        <v>16</v>
      </c>
      <c r="B12" s="9" t="n">
        <v>8</v>
      </c>
    </row>
    <row r="13" customFormat="false" ht="14.25" hidden="false" customHeight="false" outlineLevel="0" collapsed="false">
      <c r="A13" s="6" t="s">
        <v>17</v>
      </c>
      <c r="B13" s="9" t="n">
        <v>8</v>
      </c>
    </row>
    <row r="14" customFormat="false" ht="14.25" hidden="false" customHeight="false" outlineLevel="0" collapsed="false">
      <c r="A14" s="6" t="s">
        <v>18</v>
      </c>
      <c r="B14" s="9" t="n">
        <v>8</v>
      </c>
    </row>
    <row r="15" customFormat="false" ht="14.25" hidden="false" customHeight="false" outlineLevel="0" collapsed="false">
      <c r="A15" s="6" t="s">
        <v>19</v>
      </c>
      <c r="B15" s="9" t="n">
        <v>5</v>
      </c>
    </row>
    <row r="16" customFormat="false" ht="14.25" hidden="false" customHeight="false" outlineLevel="0" collapsed="false">
      <c r="A16" s="6" t="s">
        <v>20</v>
      </c>
      <c r="B16" s="9" t="n">
        <v>8</v>
      </c>
    </row>
    <row r="18" customFormat="false" ht="15.65" hidden="false" customHeight="false" outlineLevel="0" collapsed="false">
      <c r="A18" s="3" t="s">
        <v>21</v>
      </c>
    </row>
    <row r="19" customFormat="false" ht="15.65" hidden="false" customHeight="false" outlineLevel="0" collapsed="false">
      <c r="A19" s="4" t="s">
        <v>14</v>
      </c>
      <c r="B19" s="4" t="s">
        <v>22</v>
      </c>
      <c r="C19" s="4" t="s">
        <v>23</v>
      </c>
      <c r="D19" s="4" t="s">
        <v>24</v>
      </c>
      <c r="E19" s="10" t="s">
        <v>25</v>
      </c>
    </row>
    <row r="20" customFormat="false" ht="14.25" hidden="false" customHeight="false" outlineLevel="0" collapsed="false">
      <c r="A20" s="6" t="s">
        <v>16</v>
      </c>
      <c r="B20" s="9" t="n">
        <v>2</v>
      </c>
      <c r="C20" s="9" t="n">
        <v>1</v>
      </c>
      <c r="D20" s="9" t="n">
        <v>1</v>
      </c>
      <c r="E20" s="9" t="n">
        <v>2</v>
      </c>
    </row>
    <row r="21" customFormat="false" ht="14.25" hidden="false" customHeight="false" outlineLevel="0" collapsed="false">
      <c r="A21" s="6" t="s">
        <v>17</v>
      </c>
      <c r="B21" s="9" t="n">
        <v>1</v>
      </c>
      <c r="C21" s="9" t="n">
        <v>1</v>
      </c>
      <c r="D21" s="9" t="n">
        <v>0</v>
      </c>
      <c r="E21" s="9" t="n">
        <v>2</v>
      </c>
    </row>
    <row r="22" customFormat="false" ht="14.25" hidden="false" customHeight="false" outlineLevel="0" collapsed="false">
      <c r="A22" s="6" t="s">
        <v>18</v>
      </c>
      <c r="B22" s="9" t="n">
        <v>1</v>
      </c>
      <c r="C22" s="9" t="n">
        <v>1</v>
      </c>
      <c r="D22" s="9" t="n">
        <v>0</v>
      </c>
      <c r="E22" s="9" t="n">
        <v>2</v>
      </c>
    </row>
    <row r="23" customFormat="false" ht="14.25" hidden="false" customHeight="false" outlineLevel="0" collapsed="false">
      <c r="A23" s="6" t="s">
        <v>19</v>
      </c>
      <c r="B23" s="9" t="n">
        <v>1</v>
      </c>
      <c r="C23" s="9" t="n">
        <v>0</v>
      </c>
      <c r="D23" s="9" t="n">
        <v>0</v>
      </c>
      <c r="E23" s="9" t="n">
        <v>2</v>
      </c>
    </row>
    <row r="24" customFormat="false" ht="14.25" hidden="false" customHeight="false" outlineLevel="0" collapsed="false">
      <c r="A24" s="6" t="s">
        <v>20</v>
      </c>
      <c r="B24" s="9" t="n">
        <v>0</v>
      </c>
      <c r="C24" s="9" t="n">
        <v>0</v>
      </c>
      <c r="D24" s="9" t="n">
        <v>0</v>
      </c>
      <c r="E24" s="9" t="n">
        <v>1</v>
      </c>
    </row>
    <row r="25" customFormat="false" ht="15.65" hidden="false" customHeight="false" outlineLevel="0" collapsed="false">
      <c r="A25" s="2" t="s">
        <v>26</v>
      </c>
    </row>
    <row r="27" customFormat="false" ht="15.65" hidden="false" customHeight="false" outlineLevel="0" collapsed="false">
      <c r="A27" s="3" t="s">
        <v>27</v>
      </c>
    </row>
    <row r="28" customFormat="false" ht="15.65" hidden="false" customHeight="false" outlineLevel="0" collapsed="false">
      <c r="A28" s="4" t="s">
        <v>14</v>
      </c>
      <c r="B28" s="4" t="s">
        <v>28</v>
      </c>
      <c r="C28" s="4" t="s">
        <v>29</v>
      </c>
    </row>
    <row r="29" customFormat="false" ht="15.65" hidden="false" customHeight="false" outlineLevel="0" collapsed="false">
      <c r="A29" s="6" t="s">
        <v>16</v>
      </c>
      <c r="B29" s="11" t="n">
        <v>1</v>
      </c>
      <c r="C29" s="12" t="s">
        <v>30</v>
      </c>
    </row>
    <row r="30" customFormat="false" ht="15.65" hidden="false" customHeight="false" outlineLevel="0" collapsed="false">
      <c r="A30" s="6" t="s">
        <v>17</v>
      </c>
      <c r="B30" s="11" t="n">
        <v>1</v>
      </c>
      <c r="C30" s="6" t="s">
        <v>31</v>
      </c>
    </row>
    <row r="31" customFormat="false" ht="15.65" hidden="false" customHeight="false" outlineLevel="0" collapsed="false">
      <c r="A31" s="6" t="s">
        <v>18</v>
      </c>
      <c r="B31" s="11" t="n">
        <v>1</v>
      </c>
      <c r="C31" s="6" t="s">
        <v>32</v>
      </c>
    </row>
    <row r="32" customFormat="false" ht="15.65" hidden="false" customHeight="false" outlineLevel="0" collapsed="false">
      <c r="A32" s="6" t="s">
        <v>19</v>
      </c>
      <c r="B32" s="11" t="n">
        <v>1</v>
      </c>
      <c r="C32" s="6" t="s">
        <v>33</v>
      </c>
    </row>
    <row r="33" customFormat="false" ht="15.65" hidden="false" customHeight="false" outlineLevel="0" collapsed="false">
      <c r="A33" s="6" t="s">
        <v>20</v>
      </c>
      <c r="B33" s="11" t="n">
        <v>1.6</v>
      </c>
      <c r="C33" s="6" t="str">
        <f aca="false">"30ヶ月。最低配分0・上限1足とし、係数は「入荷の多い主要SKUだけ1足が立つ」水準に調整（合計約"&amp;配分表!N60&amp;"足。配分されないモデル・サイズがあってよい）"</f>
        <v>30ヶ月。最低配分0・上限1足とし、係数は「入荷の多い主要SKUだけ1足が立つ」水準に調整（合計約7足。配分されないモデル・サイズがあってよい）</v>
      </c>
    </row>
    <row r="35" customFormat="false" ht="15.65" hidden="false" customHeight="false" outlineLevel="0" collapsed="false">
      <c r="A35" s="3" t="s">
        <v>34</v>
      </c>
    </row>
    <row r="36" customFormat="false" ht="14.25" hidden="false" customHeight="false" outlineLevel="0" collapsed="false">
      <c r="A36" s="12" t="s">
        <v>35</v>
      </c>
      <c r="B36" s="9" t="n">
        <v>1</v>
      </c>
    </row>
    <row r="38" customFormat="false" ht="15.65" hidden="false" customHeight="false" outlineLevel="0" collapsed="false">
      <c r="A38" s="3" t="s">
        <v>36</v>
      </c>
    </row>
    <row r="39" customFormat="false" ht="15.65" hidden="false" customHeight="false" outlineLevel="0" collapsed="false">
      <c r="A39" s="2" t="s">
        <v>37</v>
      </c>
    </row>
    <row r="41" customFormat="false" ht="15.65" hidden="false" customHeight="false" outlineLevel="0" collapsed="false">
      <c r="A41" s="3" t="s">
        <v>38</v>
      </c>
    </row>
    <row r="42" customFormat="false" ht="14.25" hidden="false" customHeight="false" outlineLevel="0" collapsed="false">
      <c r="A42" s="12" t="s">
        <v>39</v>
      </c>
      <c r="B42" s="7" t="n">
        <v>0.31</v>
      </c>
    </row>
    <row r="43" customFormat="false" ht="15.65" hidden="false" customHeight="false" outlineLevel="0" collapsed="false">
      <c r="A43" s="12" t="s">
        <v>40</v>
      </c>
      <c r="B43" s="7" t="n">
        <v>0.33</v>
      </c>
    </row>
  </sheetData>
  <dataValidations count="1">
    <dataValidation allowBlank="true" error="初回投入率は設定!B43の上限（33%）以下にしてください。" errorStyle="stop" errorTitle="初回投入率の上限超過" operator="between" showDropDown="false" showErrorMessage="true" showInputMessage="true" sqref="B6:B8" type="decimal">
      <formula1>0</formula1>
      <formula2>$B$43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18" min="8" style="0" width="12"/>
  </cols>
  <sheetData>
    <row r="1" customFormat="false" ht="16.5" hidden="false" customHeight="true" outlineLevel="0" collapsed="false">
      <c r="A1" s="13" t="s">
        <v>41</v>
      </c>
    </row>
    <row r="2" customFormat="false" ht="15.65" hidden="false" customHeight="false" outlineLevel="0" collapsed="false">
      <c r="A2" s="2" t="s">
        <v>42</v>
      </c>
    </row>
    <row r="3" customFormat="false" ht="14.25" hidden="false" customHeight="false" outlineLevel="0" collapsed="false">
      <c r="F3" s="14" t="s">
        <v>43</v>
      </c>
    </row>
    <row r="4" customFormat="false" ht="31.5" hidden="false" customHeight="true" outlineLevel="0" collapsed="false">
      <c r="A4" s="4" t="s">
        <v>14</v>
      </c>
      <c r="B4" s="4" t="s">
        <v>3</v>
      </c>
      <c r="C4" s="4" t="s">
        <v>44</v>
      </c>
      <c r="D4" s="4" t="s">
        <v>45</v>
      </c>
      <c r="F4" s="4" t="s">
        <v>46</v>
      </c>
      <c r="G4" s="4" t="s">
        <v>47</v>
      </c>
      <c r="H4" s="10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4" t="s">
        <v>53</v>
      </c>
      <c r="N4" s="10" t="s">
        <v>54</v>
      </c>
      <c r="O4" s="10" t="s">
        <v>55</v>
      </c>
      <c r="P4" s="10" t="s">
        <v>56</v>
      </c>
      <c r="Q4" s="10" t="s">
        <v>57</v>
      </c>
      <c r="R4" s="10" t="s">
        <v>58</v>
      </c>
      <c r="S4" s="4" t="s">
        <v>59</v>
      </c>
    </row>
    <row r="5" customFormat="false" ht="14.25" hidden="false" customHeight="false" outlineLevel="0" collapsed="false">
      <c r="A5" s="6" t="s">
        <v>16</v>
      </c>
      <c r="B5" s="6" t="s">
        <v>7</v>
      </c>
      <c r="C5" s="6" t="s">
        <v>60</v>
      </c>
      <c r="D5" s="6" t="n">
        <v>30</v>
      </c>
      <c r="F5" s="15" t="s">
        <v>61</v>
      </c>
      <c r="G5" s="6" t="s">
        <v>61</v>
      </c>
      <c r="H5" s="16" t="n">
        <f aca="false">(SUMIFS(実績!$D$5:$D$64,実績!$A$5:$A$64,"K Village",実績!$B$5:$B$64,"VFF Spidrwalk",実績!$C$5:$C$64,"M")+SUMIFS(実績!$D$5:$D$64,実績!$A$5:$A$64,"K Village",実績!$B$5:$B$64,"VFF Spidrwalk",実績!$C$5:$C$64,"W"))/INDEX(設定!$B$12:$B$16,MATCH("K Village",設定!$A$12:$A$16,0))</f>
        <v>5</v>
      </c>
      <c r="I5" s="16" t="n">
        <f aca="false">(SUMIFS(実績!$D$5:$D$64,実績!$A$5:$A$64,"Central Chidlom",実績!$B$5:$B$64,"VFF Spidrwalk",実績!$C$5:$C$64,"M")+SUMIFS(実績!$D$5:$D$64,実績!$A$5:$A$64,"Central Chidlom",実績!$B$5:$B$64,"VFF Spidrwalk",実績!$C$5:$C$64,"W"))/INDEX(設定!$B$12:$B$16,MATCH("Central Chidlom",設定!$A$12:$A$16,0))</f>
        <v>3.25</v>
      </c>
      <c r="J5" s="16" t="n">
        <f aca="false">(SUMIFS(実績!$D$5:$D$64,実績!$A$5:$A$64,"Siam Discovery",実績!$B$5:$B$64,"VFF Spidrwalk",実績!$C$5:$C$64,"M")+SUMIFS(実績!$D$5:$D$64,実績!$A$5:$A$64,"Siam Discovery",実績!$B$5:$B$64,"VFF Spidrwalk",実績!$C$5:$C$64,"W"))/INDEX(設定!$B$12:$B$16,MATCH("Siam Discovery",設定!$A$12:$A$16,0))</f>
        <v>2.25</v>
      </c>
      <c r="K5" s="16" t="n">
        <f aca="false">(SUMIFS(実績!$D$5:$D$64,実績!$A$5:$A$64,"Paradise Park",実績!$B$5:$B$64,"VFF Spidrwalk",実績!$C$5:$C$64,"M")+SUMIFS(実績!$D$5:$D$64,実績!$A$5:$A$64,"Paradise Park",実績!$B$5:$B$64,"VFF Spidrwalk",実績!$C$5:$C$64,"W"))/INDEX(設定!$B$12:$B$16,MATCH("Paradise Park",設定!$A$12:$A$16,0))</f>
        <v>0.8</v>
      </c>
      <c r="L5" s="16" t="n">
        <f aca="false">(SUMIFS(実績!$D$5:$D$64,実績!$A$5:$A$64,"Central Lardprao (Dept.)",実績!$B$5:$B$64,"VFF Spidrwalk",実績!$C$5:$C$64,"M")+SUMIFS(実績!$D$5:$D$64,実績!$A$5:$A$64,"Central Lardprao (Dept.)",実績!$B$5:$B$64,"VFF Spidrwalk",実績!$C$5:$C$64,"W"))/INDEX(設定!$B$12:$B$16,MATCH("Central Lardprao (Dept.)",設定!$A$12:$A$16,0))</f>
        <v>0.5</v>
      </c>
      <c r="M5" s="17" t="n">
        <f aca="false">SUM(H5:L5)</f>
        <v>11.8</v>
      </c>
      <c r="N5" s="18" t="n">
        <f aca="false">IF($M5=0,0,H5/$M5)</f>
        <v>0.423728813559322</v>
      </c>
      <c r="O5" s="18" t="n">
        <f aca="false">IF($M5=0,0,I5/$M5)</f>
        <v>0.275423728813559</v>
      </c>
      <c r="P5" s="18" t="n">
        <f aca="false">IF($M5=0,0,J5/$M5)</f>
        <v>0.190677966101695</v>
      </c>
      <c r="Q5" s="18" t="n">
        <f aca="false">IF($M5=0,0,K5/$M5)</f>
        <v>0.0677966101694915</v>
      </c>
      <c r="R5" s="18" t="n">
        <f aca="false">IF($M5=0,0,L5/$M5)</f>
        <v>0.0423728813559322</v>
      </c>
      <c r="S5" s="19" t="n">
        <f aca="false">N5*INDEX(設定!$B$29:$B$33,1)+O5*INDEX(設定!$B$29:$B$33,2)+P5*INDEX(設定!$B$29:$B$33,3)+Q5*INDEX(設定!$B$29:$B$33,4)+R5*INDEX(設定!$B$29:$B$33,5)</f>
        <v>1.02542372881356</v>
      </c>
    </row>
    <row r="6" customFormat="false" ht="14.25" hidden="false" customHeight="false" outlineLevel="0" collapsed="false">
      <c r="A6" s="6" t="s">
        <v>16</v>
      </c>
      <c r="B6" s="6" t="s">
        <v>7</v>
      </c>
      <c r="C6" s="6" t="s">
        <v>62</v>
      </c>
      <c r="D6" s="6" t="n">
        <v>10</v>
      </c>
      <c r="F6" s="15" t="s">
        <v>63</v>
      </c>
      <c r="G6" s="6" t="s">
        <v>64</v>
      </c>
      <c r="H6" s="16" t="n">
        <f aca="false">(SUMIFS(実績!$D$5:$D$64,実績!$A$5:$A$64,"K Village",実績!$B$5:$B$64,"VFF Trailope",実績!$C$5:$C$64,"M")+SUMIFS(実績!$D$5:$D$64,実績!$A$5:$A$64,"K Village",実績!$B$5:$B$64,"VFF Trailope",実績!$C$5:$C$64,"W")+SUMIFS(実績!$D$5:$D$64,実績!$A$5:$A$64,"K Village",実績!$B$5:$B$64,"VFF Scramkey",実績!$C$5:$C$64,"M")+SUMIFS(実績!$D$5:$D$64,実績!$A$5:$A$64,"K Village",実績!$B$5:$B$64,"VFF Scramkey",実績!$C$5:$C$64,"W"))/INDEX(設定!$B$12:$B$16,MATCH("K Village",設定!$A$12:$A$16,0))</f>
        <v>3.5</v>
      </c>
      <c r="I6" s="16" t="n">
        <f aca="false">(SUMIFS(実績!$D$5:$D$64,実績!$A$5:$A$64,"Central Chidlom",実績!$B$5:$B$64,"VFF Trailope",実績!$C$5:$C$64,"M")+SUMIFS(実績!$D$5:$D$64,実績!$A$5:$A$64,"Central Chidlom",実績!$B$5:$B$64,"VFF Trailope",実績!$C$5:$C$64,"W")+SUMIFS(実績!$D$5:$D$64,実績!$A$5:$A$64,"Central Chidlom",実績!$B$5:$B$64,"VFF Scramkey",実績!$C$5:$C$64,"M")+SUMIFS(実績!$D$5:$D$64,実績!$A$5:$A$64,"Central Chidlom",実績!$B$5:$B$64,"VFF Scramkey",実績!$C$5:$C$64,"W"))/INDEX(設定!$B$12:$B$16,MATCH("Central Chidlom",設定!$A$12:$A$16,0))</f>
        <v>1.75</v>
      </c>
      <c r="J6" s="16" t="n">
        <f aca="false">(SUMIFS(実績!$D$5:$D$64,実績!$A$5:$A$64,"Siam Discovery",実績!$B$5:$B$64,"VFF Trailope",実績!$C$5:$C$64,"M")+SUMIFS(実績!$D$5:$D$64,実績!$A$5:$A$64,"Siam Discovery",実績!$B$5:$B$64,"VFF Trailope",実績!$C$5:$C$64,"W")+SUMIFS(実績!$D$5:$D$64,実績!$A$5:$A$64,"Siam Discovery",実績!$B$5:$B$64,"VFF Scramkey",実績!$C$5:$C$64,"M")+SUMIFS(実績!$D$5:$D$64,実績!$A$5:$A$64,"Siam Discovery",実績!$B$5:$B$64,"VFF Scramkey",実績!$C$5:$C$64,"W"))/INDEX(設定!$B$12:$B$16,MATCH("Siam Discovery",設定!$A$12:$A$16,0))</f>
        <v>1.75</v>
      </c>
      <c r="K6" s="16" t="n">
        <f aca="false">(SUMIFS(実績!$D$5:$D$64,実績!$A$5:$A$64,"Paradise Park",実績!$B$5:$B$64,"VFF Trailope",実績!$C$5:$C$64,"M")+SUMIFS(実績!$D$5:$D$64,実績!$A$5:$A$64,"Paradise Park",実績!$B$5:$B$64,"VFF Trailope",実績!$C$5:$C$64,"W")+SUMIFS(実績!$D$5:$D$64,実績!$A$5:$A$64,"Paradise Park",実績!$B$5:$B$64,"VFF Scramkey",実績!$C$5:$C$64,"M")+SUMIFS(実績!$D$5:$D$64,実績!$A$5:$A$64,"Paradise Park",実績!$B$5:$B$64,"VFF Scramkey",実績!$C$5:$C$64,"W"))/INDEX(設定!$B$12:$B$16,MATCH("Paradise Park",設定!$A$12:$A$16,0))</f>
        <v>2.2</v>
      </c>
      <c r="L6" s="16" t="n">
        <f aca="false">(SUMIFS(実績!$D$5:$D$64,実績!$A$5:$A$64,"Central Lardprao (Dept.)",実績!$B$5:$B$64,"VFF Trailope",実績!$C$5:$C$64,"M")+SUMIFS(実績!$D$5:$D$64,実績!$A$5:$A$64,"Central Lardprao (Dept.)",実績!$B$5:$B$64,"VFF Trailope",実績!$C$5:$C$64,"W")+SUMIFS(実績!$D$5:$D$64,実績!$A$5:$A$64,"Central Lardprao (Dept.)",実績!$B$5:$B$64,"VFF Scramkey",実績!$C$5:$C$64,"M")+SUMIFS(実績!$D$5:$D$64,実績!$A$5:$A$64,"Central Lardprao (Dept.)",実績!$B$5:$B$64,"VFF Scramkey",実績!$C$5:$C$64,"W"))/INDEX(設定!$B$12:$B$16,MATCH("Central Lardprao (Dept.)",設定!$A$12:$A$16,0))</f>
        <v>0.25</v>
      </c>
      <c r="M6" s="17" t="n">
        <f aca="false">SUM(H6:L6)</f>
        <v>9.45</v>
      </c>
      <c r="N6" s="18" t="n">
        <f aca="false">IF($M6=0,0,H6/$M6)</f>
        <v>0.37037037037037</v>
      </c>
      <c r="O6" s="18" t="n">
        <f aca="false">IF($M6=0,0,I6/$M6)</f>
        <v>0.185185185185185</v>
      </c>
      <c r="P6" s="18" t="n">
        <f aca="false">IF($M6=0,0,J6/$M6)</f>
        <v>0.185185185185185</v>
      </c>
      <c r="Q6" s="18" t="n">
        <f aca="false">IF($M6=0,0,K6/$M6)</f>
        <v>0.232804232804233</v>
      </c>
      <c r="R6" s="18" t="n">
        <f aca="false">IF($M6=0,0,L6/$M6)</f>
        <v>0.0264550264550265</v>
      </c>
      <c r="S6" s="19" t="n">
        <f aca="false">N6*INDEX(設定!$B$29:$B$33,1)+O6*INDEX(設定!$B$29:$B$33,2)+P6*INDEX(設定!$B$29:$B$33,3)+Q6*INDEX(設定!$B$29:$B$33,4)+R6*INDEX(設定!$B$29:$B$33,5)</f>
        <v>1.01587301587302</v>
      </c>
    </row>
    <row r="7" customFormat="false" ht="15.65" hidden="false" customHeight="false" outlineLevel="0" collapsed="false">
      <c r="A7" s="6" t="s">
        <v>16</v>
      </c>
      <c r="B7" s="6" t="s">
        <v>65</v>
      </c>
      <c r="C7" s="6" t="s">
        <v>60</v>
      </c>
      <c r="D7" s="6" t="n">
        <v>18</v>
      </c>
      <c r="F7" s="15" t="s">
        <v>66</v>
      </c>
      <c r="G7" s="6" t="s">
        <v>67</v>
      </c>
      <c r="H7" s="16" t="n">
        <f aca="false">(SUMIFS(実績!$D$5:$D$64,実績!$A$5:$A$64,"K Village",実績!$B$5:$B$64,"VFF Groundsplay",実績!$C$5:$C$64,"M")+SUMIFS(実績!$D$5:$D$64,実績!$A$5:$A$64,"K Village",実績!$B$5:$B$64,"VFF Graspifier",実績!$C$5:$C$64,"M")+SUMIFS(実績!$D$5:$D$64,実績!$A$5:$A$64,"K Village",実績!$B$5:$B$64,"VFF Kso Evo",実績!$C$5:$C$64,"M"))/INDEX(設定!$B$12:$B$16,MATCH("K Village",設定!$A$12:$A$16,0))</f>
        <v>14.375</v>
      </c>
      <c r="I7" s="16" t="n">
        <f aca="false">(SUMIFS(実績!$D$5:$D$64,実績!$A$5:$A$64,"Central Chidlom",実績!$B$5:$B$64,"VFF Groundsplay",実績!$C$5:$C$64,"M")+SUMIFS(実績!$D$5:$D$64,実績!$A$5:$A$64,"Central Chidlom",実績!$B$5:$B$64,"VFF Graspifier",実績!$C$5:$C$64,"M")+SUMIFS(実績!$D$5:$D$64,実績!$A$5:$A$64,"Central Chidlom",実績!$B$5:$B$64,"VFF Kso Evo",実績!$C$5:$C$64,"M"))/INDEX(設定!$B$12:$B$16,MATCH("Central Chidlom",設定!$A$12:$A$16,0))</f>
        <v>5</v>
      </c>
      <c r="J7" s="16" t="n">
        <f aca="false">(SUMIFS(実績!$D$5:$D$64,実績!$A$5:$A$64,"Siam Discovery",実績!$B$5:$B$64,"VFF Groundsplay",実績!$C$5:$C$64,"M")+SUMIFS(実績!$D$5:$D$64,実績!$A$5:$A$64,"Siam Discovery",実績!$B$5:$B$64,"VFF Graspifier",実績!$C$5:$C$64,"M")+SUMIFS(実績!$D$5:$D$64,実績!$A$5:$A$64,"Siam Discovery",実績!$B$5:$B$64,"VFF Kso Evo",実績!$C$5:$C$64,"M"))/INDEX(設定!$B$12:$B$16,MATCH("Siam Discovery",設定!$A$12:$A$16,0))</f>
        <v>4.25</v>
      </c>
      <c r="K7" s="16" t="n">
        <f aca="false">(SUMIFS(実績!$D$5:$D$64,実績!$A$5:$A$64,"Paradise Park",実績!$B$5:$B$64,"VFF Groundsplay",実績!$C$5:$C$64,"M")+SUMIFS(実績!$D$5:$D$64,実績!$A$5:$A$64,"Paradise Park",実績!$B$5:$B$64,"VFF Graspifier",実績!$C$5:$C$64,"M")+SUMIFS(実績!$D$5:$D$64,実績!$A$5:$A$64,"Paradise Park",実績!$B$5:$B$64,"VFF Kso Evo",実績!$C$5:$C$64,"M"))/INDEX(設定!$B$12:$B$16,MATCH("Paradise Park",設定!$A$12:$A$16,0))</f>
        <v>4.8</v>
      </c>
      <c r="L7" s="16" t="n">
        <f aca="false">(SUMIFS(実績!$D$5:$D$64,実績!$A$5:$A$64,"Central Lardprao (Dept.)",実績!$B$5:$B$64,"VFF Groundsplay",実績!$C$5:$C$64,"M")+SUMIFS(実績!$D$5:$D$64,実績!$A$5:$A$64,"Central Lardprao (Dept.)",実績!$B$5:$B$64,"VFF Graspifier",実績!$C$5:$C$64,"M")+SUMIFS(実績!$D$5:$D$64,実績!$A$5:$A$64,"Central Lardprao (Dept.)",実績!$B$5:$B$64,"VFF Kso Evo",実績!$C$5:$C$64,"M"))/INDEX(設定!$B$12:$B$16,MATCH("Central Lardprao (Dept.)",設定!$A$12:$A$16,0))</f>
        <v>0.75</v>
      </c>
      <c r="M7" s="17" t="n">
        <f aca="false">SUM(H7:L7)</f>
        <v>29.175</v>
      </c>
      <c r="N7" s="18" t="n">
        <f aca="false">IF($M7=0,0,H7/$M7)</f>
        <v>0.492716366752356</v>
      </c>
      <c r="O7" s="18" t="n">
        <f aca="false">IF($M7=0,0,I7/$M7)</f>
        <v>0.171379605826907</v>
      </c>
      <c r="P7" s="18" t="n">
        <f aca="false">IF($M7=0,0,J7/$M7)</f>
        <v>0.145672664952871</v>
      </c>
      <c r="Q7" s="18" t="n">
        <f aca="false">IF($M7=0,0,K7/$M7)</f>
        <v>0.16452442159383</v>
      </c>
      <c r="R7" s="18" t="n">
        <f aca="false">IF($M7=0,0,L7/$M7)</f>
        <v>0.025706940874036</v>
      </c>
      <c r="S7" s="19" t="n">
        <f aca="false">N7*INDEX(設定!$B$29:$B$33,1)+O7*INDEX(設定!$B$29:$B$33,2)+P7*INDEX(設定!$B$29:$B$33,3)+Q7*INDEX(設定!$B$29:$B$33,4)+R7*INDEX(設定!$B$29:$B$33,5)</f>
        <v>1.01542416452442</v>
      </c>
    </row>
    <row r="8" customFormat="false" ht="15.65" hidden="false" customHeight="false" outlineLevel="0" collapsed="false">
      <c r="A8" s="6" t="s">
        <v>16</v>
      </c>
      <c r="B8" s="6" t="s">
        <v>65</v>
      </c>
      <c r="C8" s="6" t="s">
        <v>62</v>
      </c>
      <c r="D8" s="6" t="n">
        <v>0</v>
      </c>
      <c r="F8" s="15" t="s">
        <v>68</v>
      </c>
      <c r="G8" s="6" t="s">
        <v>69</v>
      </c>
      <c r="H8" s="16" t="n">
        <f aca="false">(SUMIFS(実績!$D$5:$D$64,実績!$A$5:$A$64,"K Village",実績!$B$5:$B$64,"VFF Groundsplay",実績!$C$5:$C$64,"W")+SUMIFS(実績!$D$5:$D$64,実績!$A$5:$A$64,"K Village",実績!$B$5:$B$64,"VFF Graspifier",実績!$C$5:$C$64,"W")+SUMIFS(実績!$D$5:$D$64,実績!$A$5:$A$64,"K Village",実績!$B$5:$B$64,"VFF Kso Evo",実績!$C$5:$C$64,"W"))/INDEX(設定!$B$12:$B$16,MATCH("K Village",設定!$A$12:$A$16,0))</f>
        <v>5.25</v>
      </c>
      <c r="I8" s="16" t="n">
        <f aca="false">(SUMIFS(実績!$D$5:$D$64,実績!$A$5:$A$64,"Central Chidlom",実績!$B$5:$B$64,"VFF Groundsplay",実績!$C$5:$C$64,"W")+SUMIFS(実績!$D$5:$D$64,実績!$A$5:$A$64,"Central Chidlom",実績!$B$5:$B$64,"VFF Graspifier",実績!$C$5:$C$64,"W")+SUMIFS(実績!$D$5:$D$64,実績!$A$5:$A$64,"Central Chidlom",実績!$B$5:$B$64,"VFF Kso Evo",実績!$C$5:$C$64,"W"))/INDEX(設定!$B$12:$B$16,MATCH("Central Chidlom",設定!$A$12:$A$16,0))</f>
        <v>2.125</v>
      </c>
      <c r="J8" s="16" t="n">
        <f aca="false">(SUMIFS(実績!$D$5:$D$64,実績!$A$5:$A$64,"Siam Discovery",実績!$B$5:$B$64,"VFF Groundsplay",実績!$C$5:$C$64,"W")+SUMIFS(実績!$D$5:$D$64,実績!$A$5:$A$64,"Siam Discovery",実績!$B$5:$B$64,"VFF Graspifier",実績!$C$5:$C$64,"W")+SUMIFS(実績!$D$5:$D$64,実績!$A$5:$A$64,"Siam Discovery",実績!$B$5:$B$64,"VFF Kso Evo",実績!$C$5:$C$64,"W"))/INDEX(設定!$B$12:$B$16,MATCH("Siam Discovery",設定!$A$12:$A$16,0))</f>
        <v>1.375</v>
      </c>
      <c r="K8" s="16" t="n">
        <f aca="false">(SUMIFS(実績!$D$5:$D$64,実績!$A$5:$A$64,"Paradise Park",実績!$B$5:$B$64,"VFF Groundsplay",実績!$C$5:$C$64,"W")+SUMIFS(実績!$D$5:$D$64,実績!$A$5:$A$64,"Paradise Park",実績!$B$5:$B$64,"VFF Graspifier",実績!$C$5:$C$64,"W")+SUMIFS(実績!$D$5:$D$64,実績!$A$5:$A$64,"Paradise Park",実績!$B$5:$B$64,"VFF Kso Evo",実績!$C$5:$C$64,"W"))/INDEX(設定!$B$12:$B$16,MATCH("Paradise Park",設定!$A$12:$A$16,0))</f>
        <v>1.6</v>
      </c>
      <c r="L8" s="16" t="n">
        <f aca="false">(SUMIFS(実績!$D$5:$D$64,実績!$A$5:$A$64,"Central Lardprao (Dept.)",実績!$B$5:$B$64,"VFF Groundsplay",実績!$C$5:$C$64,"W")+SUMIFS(実績!$D$5:$D$64,実績!$A$5:$A$64,"Central Lardprao (Dept.)",実績!$B$5:$B$64,"VFF Graspifier",実績!$C$5:$C$64,"W")+SUMIFS(実績!$D$5:$D$64,実績!$A$5:$A$64,"Central Lardprao (Dept.)",実績!$B$5:$B$64,"VFF Kso Evo",実績!$C$5:$C$64,"W"))/INDEX(設定!$B$12:$B$16,MATCH("Central Lardprao (Dept.)",設定!$A$12:$A$16,0))</f>
        <v>0</v>
      </c>
      <c r="M8" s="17" t="n">
        <f aca="false">SUM(H8:L8)</f>
        <v>10.35</v>
      </c>
      <c r="N8" s="18" t="n">
        <f aca="false">IF($M8=0,0,H8/$M8)</f>
        <v>0.507246376811594</v>
      </c>
      <c r="O8" s="18" t="n">
        <f aca="false">IF($M8=0,0,I8/$M8)</f>
        <v>0.205314009661836</v>
      </c>
      <c r="P8" s="18" t="n">
        <f aca="false">IF($M8=0,0,J8/$M8)</f>
        <v>0.132850241545894</v>
      </c>
      <c r="Q8" s="18" t="n">
        <f aca="false">IF($M8=0,0,K8/$M8)</f>
        <v>0.154589371980676</v>
      </c>
      <c r="R8" s="18" t="n">
        <f aca="false">IF($M8=0,0,L8/$M8)</f>
        <v>0</v>
      </c>
      <c r="S8" s="19" t="n">
        <f aca="false">N8*INDEX(設定!$B$29:$B$33,1)+O8*INDEX(設定!$B$29:$B$33,2)+P8*INDEX(設定!$B$29:$B$33,3)+Q8*INDEX(設定!$B$29:$B$33,4)+R8*INDEX(設定!$B$29:$B$33,5)</f>
        <v>1</v>
      </c>
    </row>
    <row r="9" customFormat="false" ht="14.25" hidden="false" customHeight="false" outlineLevel="0" collapsed="false">
      <c r="A9" s="6" t="s">
        <v>16</v>
      </c>
      <c r="B9" s="6" t="s">
        <v>70</v>
      </c>
      <c r="C9" s="6" t="s">
        <v>60</v>
      </c>
      <c r="D9" s="6" t="n">
        <v>9</v>
      </c>
    </row>
    <row r="10" customFormat="false" ht="14.25" hidden="false" customHeight="false" outlineLevel="0" collapsed="false">
      <c r="A10" s="6" t="s">
        <v>16</v>
      </c>
      <c r="B10" s="6" t="s">
        <v>70</v>
      </c>
      <c r="C10" s="6" t="s">
        <v>62</v>
      </c>
      <c r="D10" s="6" t="n">
        <v>1</v>
      </c>
    </row>
    <row r="11" customFormat="false" ht="15.65" hidden="false" customHeight="false" outlineLevel="0" collapsed="false">
      <c r="A11" s="6" t="s">
        <v>16</v>
      </c>
      <c r="B11" s="6" t="s">
        <v>71</v>
      </c>
      <c r="C11" s="6" t="s">
        <v>60</v>
      </c>
      <c r="D11" s="6" t="n">
        <v>10</v>
      </c>
      <c r="F11" s="14" t="s">
        <v>72</v>
      </c>
    </row>
    <row r="12" customFormat="false" ht="15.65" hidden="false" customHeight="false" outlineLevel="0" collapsed="false">
      <c r="A12" s="6" t="s">
        <v>16</v>
      </c>
      <c r="B12" s="6" t="s">
        <v>71</v>
      </c>
      <c r="C12" s="6" t="s">
        <v>62</v>
      </c>
      <c r="D12" s="6" t="n">
        <v>0</v>
      </c>
      <c r="F12" s="4" t="s">
        <v>14</v>
      </c>
      <c r="G12" s="4" t="s">
        <v>73</v>
      </c>
      <c r="H12" s="4" t="s">
        <v>74</v>
      </c>
      <c r="I12" s="4" t="s">
        <v>75</v>
      </c>
    </row>
    <row r="13" customFormat="false" ht="14.25" hidden="false" customHeight="false" outlineLevel="0" collapsed="false">
      <c r="A13" s="6" t="s">
        <v>16</v>
      </c>
      <c r="B13" s="6" t="s">
        <v>76</v>
      </c>
      <c r="C13" s="6" t="s">
        <v>60</v>
      </c>
      <c r="D13" s="6" t="n">
        <v>21</v>
      </c>
      <c r="F13" s="6" t="s">
        <v>16</v>
      </c>
      <c r="G13" s="6" t="n">
        <f aca="false">SUMIFS(実績!$D$5:$D$64,実績!$A$5:$A$64,"K Village")</f>
        <v>225</v>
      </c>
      <c r="H13" s="6" t="n">
        <f aca="false">INDEX(設定!$B$12:$B$16,MATCH("K Village",設定!$A$12:$A$16,0))</f>
        <v>8</v>
      </c>
      <c r="I13" s="20" t="n">
        <f aca="false">G13/H13</f>
        <v>28.125</v>
      </c>
    </row>
    <row r="14" customFormat="false" ht="14.25" hidden="false" customHeight="false" outlineLevel="0" collapsed="false">
      <c r="A14" s="6" t="s">
        <v>16</v>
      </c>
      <c r="B14" s="6" t="s">
        <v>76</v>
      </c>
      <c r="C14" s="6" t="s">
        <v>62</v>
      </c>
      <c r="D14" s="6" t="n">
        <v>12</v>
      </c>
      <c r="F14" s="6" t="s">
        <v>77</v>
      </c>
      <c r="G14" s="6" t="n">
        <f aca="false">SUMIFS(実績!$D$5:$D$64,実績!$A$5:$A$64,"Central Chidlom")</f>
        <v>97</v>
      </c>
      <c r="H14" s="6" t="n">
        <f aca="false">INDEX(設定!$B$12:$B$16,MATCH("Central Chidlom",設定!$A$12:$A$16,0))</f>
        <v>8</v>
      </c>
      <c r="I14" s="20" t="n">
        <f aca="false">G14/H14</f>
        <v>12.125</v>
      </c>
    </row>
    <row r="15" customFormat="false" ht="14.25" hidden="false" customHeight="false" outlineLevel="0" collapsed="false">
      <c r="A15" s="6" t="s">
        <v>16</v>
      </c>
      <c r="B15" s="6" t="s">
        <v>78</v>
      </c>
      <c r="C15" s="6" t="s">
        <v>60</v>
      </c>
      <c r="D15" s="6" t="n">
        <v>84</v>
      </c>
      <c r="F15" s="6" t="s">
        <v>18</v>
      </c>
      <c r="G15" s="6" t="n">
        <f aca="false">SUMIFS(実績!$D$5:$D$64,実績!$A$5:$A$64,"Siam Discovery")</f>
        <v>77</v>
      </c>
      <c r="H15" s="6" t="n">
        <f aca="false">INDEX(設定!$B$12:$B$16,MATCH("Siam Discovery",設定!$A$12:$A$16,0))</f>
        <v>8</v>
      </c>
      <c r="I15" s="20" t="n">
        <f aca="false">G15/H15</f>
        <v>9.625</v>
      </c>
    </row>
    <row r="16" customFormat="false" ht="14.25" hidden="false" customHeight="false" outlineLevel="0" collapsed="false">
      <c r="A16" s="6" t="s">
        <v>16</v>
      </c>
      <c r="B16" s="6" t="s">
        <v>78</v>
      </c>
      <c r="C16" s="6" t="s">
        <v>62</v>
      </c>
      <c r="D16" s="6" t="n">
        <v>30</v>
      </c>
      <c r="F16" s="6" t="s">
        <v>19</v>
      </c>
      <c r="G16" s="6" t="n">
        <f aca="false">SUMIFS(実績!$D$5:$D$64,実績!$A$5:$A$64,"Paradise Park")</f>
        <v>47</v>
      </c>
      <c r="H16" s="6" t="n">
        <f aca="false">INDEX(設定!$B$12:$B$16,MATCH("Paradise Park",設定!$A$12:$A$16,0))</f>
        <v>5</v>
      </c>
      <c r="I16" s="20" t="n">
        <f aca="false">G16/H16</f>
        <v>9.4</v>
      </c>
    </row>
    <row r="17" customFormat="false" ht="14.25" hidden="false" customHeight="false" outlineLevel="0" collapsed="false">
      <c r="A17" s="6" t="s">
        <v>17</v>
      </c>
      <c r="B17" s="6" t="s">
        <v>7</v>
      </c>
      <c r="C17" s="6" t="s">
        <v>60</v>
      </c>
      <c r="D17" s="6" t="n">
        <v>19</v>
      </c>
      <c r="F17" s="6" t="s">
        <v>79</v>
      </c>
      <c r="G17" s="6" t="n">
        <f aca="false">SUMIFS(実績!$D$5:$D$64,実績!$A$5:$A$64,"Central Lardprao (Dept.)")</f>
        <v>12</v>
      </c>
      <c r="H17" s="6" t="n">
        <f aca="false">INDEX(設定!$B$12:$B$16,MATCH("Central Lardprao (Dept.)",設定!$A$12:$A$16,0))</f>
        <v>8</v>
      </c>
      <c r="I17" s="20" t="n">
        <f aca="false">G17/H17</f>
        <v>1.5</v>
      </c>
    </row>
    <row r="18" customFormat="false" ht="14.25" hidden="false" customHeight="false" outlineLevel="0" collapsed="false">
      <c r="A18" s="6" t="s">
        <v>17</v>
      </c>
      <c r="B18" s="6" t="s">
        <v>7</v>
      </c>
      <c r="C18" s="6" t="s">
        <v>62</v>
      </c>
      <c r="D18" s="6" t="n">
        <v>7</v>
      </c>
    </row>
    <row r="19" customFormat="false" ht="14.25" hidden="false" customHeight="false" outlineLevel="0" collapsed="false">
      <c r="A19" s="6" t="s">
        <v>17</v>
      </c>
      <c r="B19" s="6" t="s">
        <v>65</v>
      </c>
      <c r="C19" s="6" t="s">
        <v>60</v>
      </c>
      <c r="D19" s="6" t="n">
        <v>12</v>
      </c>
    </row>
    <row r="20" customFormat="false" ht="14.25" hidden="false" customHeight="false" outlineLevel="0" collapsed="false">
      <c r="A20" s="6" t="s">
        <v>17</v>
      </c>
      <c r="B20" s="6" t="s">
        <v>65</v>
      </c>
      <c r="C20" s="6" t="s">
        <v>62</v>
      </c>
      <c r="D20" s="6" t="n">
        <v>0</v>
      </c>
    </row>
    <row r="21" customFormat="false" ht="14.25" hidden="false" customHeight="false" outlineLevel="0" collapsed="false">
      <c r="A21" s="6" t="s">
        <v>17</v>
      </c>
      <c r="B21" s="6" t="s">
        <v>70</v>
      </c>
      <c r="C21" s="6" t="s">
        <v>60</v>
      </c>
      <c r="D21" s="6" t="n">
        <v>1</v>
      </c>
    </row>
    <row r="22" customFormat="false" ht="14.25" hidden="false" customHeight="false" outlineLevel="0" collapsed="false">
      <c r="A22" s="6" t="s">
        <v>17</v>
      </c>
      <c r="B22" s="6" t="s">
        <v>70</v>
      </c>
      <c r="C22" s="6" t="s">
        <v>62</v>
      </c>
      <c r="D22" s="6" t="n">
        <v>1</v>
      </c>
    </row>
    <row r="23" customFormat="false" ht="14.25" hidden="false" customHeight="false" outlineLevel="0" collapsed="false">
      <c r="A23" s="6" t="s">
        <v>17</v>
      </c>
      <c r="B23" s="6" t="s">
        <v>71</v>
      </c>
      <c r="C23" s="6" t="s">
        <v>60</v>
      </c>
      <c r="D23" s="6" t="n">
        <v>1</v>
      </c>
    </row>
    <row r="24" customFormat="false" ht="14.25" hidden="false" customHeight="false" outlineLevel="0" collapsed="false">
      <c r="A24" s="6" t="s">
        <v>17</v>
      </c>
      <c r="B24" s="6" t="s">
        <v>71</v>
      </c>
      <c r="C24" s="6" t="s">
        <v>62</v>
      </c>
      <c r="D24" s="6" t="n">
        <v>0</v>
      </c>
    </row>
    <row r="25" customFormat="false" ht="14.25" hidden="false" customHeight="false" outlineLevel="0" collapsed="false">
      <c r="A25" s="6" t="s">
        <v>17</v>
      </c>
      <c r="B25" s="6" t="s">
        <v>76</v>
      </c>
      <c r="C25" s="6" t="s">
        <v>60</v>
      </c>
      <c r="D25" s="6" t="n">
        <v>15</v>
      </c>
    </row>
    <row r="26" customFormat="false" ht="14.25" hidden="false" customHeight="false" outlineLevel="0" collapsed="false">
      <c r="A26" s="6" t="s">
        <v>17</v>
      </c>
      <c r="B26" s="6" t="s">
        <v>76</v>
      </c>
      <c r="C26" s="6" t="s">
        <v>62</v>
      </c>
      <c r="D26" s="6" t="n">
        <v>9</v>
      </c>
    </row>
    <row r="27" customFormat="false" ht="14.25" hidden="false" customHeight="false" outlineLevel="0" collapsed="false">
      <c r="A27" s="6" t="s">
        <v>17</v>
      </c>
      <c r="B27" s="6" t="s">
        <v>78</v>
      </c>
      <c r="C27" s="6" t="s">
        <v>60</v>
      </c>
      <c r="D27" s="6" t="n">
        <v>24</v>
      </c>
    </row>
    <row r="28" customFormat="false" ht="14.25" hidden="false" customHeight="false" outlineLevel="0" collapsed="false">
      <c r="A28" s="6" t="s">
        <v>17</v>
      </c>
      <c r="B28" s="6" t="s">
        <v>78</v>
      </c>
      <c r="C28" s="6" t="s">
        <v>62</v>
      </c>
      <c r="D28" s="6" t="n">
        <v>8</v>
      </c>
    </row>
    <row r="29" customFormat="false" ht="14.25" hidden="false" customHeight="false" outlineLevel="0" collapsed="false">
      <c r="A29" s="6" t="s">
        <v>18</v>
      </c>
      <c r="B29" s="6" t="s">
        <v>7</v>
      </c>
      <c r="C29" s="6" t="s">
        <v>60</v>
      </c>
      <c r="D29" s="6" t="n">
        <v>14</v>
      </c>
    </row>
    <row r="30" customFormat="false" ht="14.25" hidden="false" customHeight="false" outlineLevel="0" collapsed="false">
      <c r="A30" s="6" t="s">
        <v>18</v>
      </c>
      <c r="B30" s="6" t="s">
        <v>7</v>
      </c>
      <c r="C30" s="6" t="s">
        <v>62</v>
      </c>
      <c r="D30" s="6" t="n">
        <v>4</v>
      </c>
    </row>
    <row r="31" customFormat="false" ht="14.25" hidden="false" customHeight="false" outlineLevel="0" collapsed="false">
      <c r="A31" s="6" t="s">
        <v>18</v>
      </c>
      <c r="B31" s="6" t="s">
        <v>65</v>
      </c>
      <c r="C31" s="6" t="s">
        <v>60</v>
      </c>
      <c r="D31" s="6" t="n">
        <v>9</v>
      </c>
    </row>
    <row r="32" customFormat="false" ht="14.25" hidden="false" customHeight="false" outlineLevel="0" collapsed="false">
      <c r="A32" s="6" t="s">
        <v>18</v>
      </c>
      <c r="B32" s="6" t="s">
        <v>65</v>
      </c>
      <c r="C32" s="6" t="s">
        <v>62</v>
      </c>
      <c r="D32" s="6" t="n">
        <v>0</v>
      </c>
    </row>
    <row r="33" customFormat="false" ht="14.25" hidden="false" customHeight="false" outlineLevel="0" collapsed="false">
      <c r="A33" s="6" t="s">
        <v>18</v>
      </c>
      <c r="B33" s="6" t="s">
        <v>70</v>
      </c>
      <c r="C33" s="6" t="s">
        <v>60</v>
      </c>
      <c r="D33" s="6" t="n">
        <v>5</v>
      </c>
    </row>
    <row r="34" customFormat="false" ht="14.25" hidden="false" customHeight="false" outlineLevel="0" collapsed="false">
      <c r="A34" s="6" t="s">
        <v>18</v>
      </c>
      <c r="B34" s="6" t="s">
        <v>70</v>
      </c>
      <c r="C34" s="6" t="s">
        <v>62</v>
      </c>
      <c r="D34" s="6" t="n">
        <v>0</v>
      </c>
    </row>
    <row r="35" customFormat="false" ht="14.25" hidden="false" customHeight="false" outlineLevel="0" collapsed="false">
      <c r="A35" s="6" t="s">
        <v>18</v>
      </c>
      <c r="B35" s="6" t="s">
        <v>71</v>
      </c>
      <c r="C35" s="6" t="s">
        <v>60</v>
      </c>
      <c r="D35" s="6" t="n">
        <v>6</v>
      </c>
    </row>
    <row r="36" customFormat="false" ht="14.25" hidden="false" customHeight="false" outlineLevel="0" collapsed="false">
      <c r="A36" s="6" t="s">
        <v>18</v>
      </c>
      <c r="B36" s="6" t="s">
        <v>71</v>
      </c>
      <c r="C36" s="6" t="s">
        <v>62</v>
      </c>
      <c r="D36" s="6" t="n">
        <v>0</v>
      </c>
    </row>
    <row r="37" customFormat="false" ht="14.25" hidden="false" customHeight="false" outlineLevel="0" collapsed="false">
      <c r="A37" s="6" t="s">
        <v>18</v>
      </c>
      <c r="B37" s="6" t="s">
        <v>76</v>
      </c>
      <c r="C37" s="6" t="s">
        <v>60</v>
      </c>
      <c r="D37" s="6" t="n">
        <v>4</v>
      </c>
    </row>
    <row r="38" customFormat="false" ht="14.25" hidden="false" customHeight="false" outlineLevel="0" collapsed="false">
      <c r="A38" s="6" t="s">
        <v>18</v>
      </c>
      <c r="B38" s="6" t="s">
        <v>76</v>
      </c>
      <c r="C38" s="6" t="s">
        <v>62</v>
      </c>
      <c r="D38" s="6" t="n">
        <v>5</v>
      </c>
    </row>
    <row r="39" customFormat="false" ht="14.25" hidden="false" customHeight="false" outlineLevel="0" collapsed="false">
      <c r="A39" s="6" t="s">
        <v>18</v>
      </c>
      <c r="B39" s="6" t="s">
        <v>78</v>
      </c>
      <c r="C39" s="6" t="s">
        <v>60</v>
      </c>
      <c r="D39" s="6" t="n">
        <v>24</v>
      </c>
    </row>
    <row r="40" customFormat="false" ht="14.25" hidden="false" customHeight="false" outlineLevel="0" collapsed="false">
      <c r="A40" s="6" t="s">
        <v>18</v>
      </c>
      <c r="B40" s="6" t="s">
        <v>78</v>
      </c>
      <c r="C40" s="6" t="s">
        <v>62</v>
      </c>
      <c r="D40" s="6" t="n">
        <v>6</v>
      </c>
    </row>
    <row r="41" customFormat="false" ht="14.25" hidden="false" customHeight="false" outlineLevel="0" collapsed="false">
      <c r="A41" s="6" t="s">
        <v>19</v>
      </c>
      <c r="B41" s="6" t="s">
        <v>7</v>
      </c>
      <c r="C41" s="6" t="s">
        <v>60</v>
      </c>
      <c r="D41" s="6" t="n">
        <v>4</v>
      </c>
    </row>
    <row r="42" customFormat="false" ht="14.25" hidden="false" customHeight="false" outlineLevel="0" collapsed="false">
      <c r="A42" s="6" t="s">
        <v>19</v>
      </c>
      <c r="B42" s="6" t="s">
        <v>7</v>
      </c>
      <c r="C42" s="6" t="s">
        <v>62</v>
      </c>
      <c r="D42" s="6" t="n">
        <v>0</v>
      </c>
    </row>
    <row r="43" customFormat="false" ht="14.25" hidden="false" customHeight="false" outlineLevel="0" collapsed="false">
      <c r="A43" s="6" t="s">
        <v>19</v>
      </c>
      <c r="B43" s="6" t="s">
        <v>65</v>
      </c>
      <c r="C43" s="6" t="s">
        <v>60</v>
      </c>
      <c r="D43" s="6" t="n">
        <v>8</v>
      </c>
    </row>
    <row r="44" customFormat="false" ht="14.25" hidden="false" customHeight="false" outlineLevel="0" collapsed="false">
      <c r="A44" s="6" t="s">
        <v>19</v>
      </c>
      <c r="B44" s="6" t="s">
        <v>65</v>
      </c>
      <c r="C44" s="6" t="s">
        <v>62</v>
      </c>
      <c r="D44" s="6" t="n">
        <v>0</v>
      </c>
    </row>
    <row r="45" customFormat="false" ht="14.25" hidden="false" customHeight="false" outlineLevel="0" collapsed="false">
      <c r="A45" s="6" t="s">
        <v>19</v>
      </c>
      <c r="B45" s="6" t="s">
        <v>70</v>
      </c>
      <c r="C45" s="6" t="s">
        <v>60</v>
      </c>
      <c r="D45" s="6" t="n">
        <v>2</v>
      </c>
    </row>
    <row r="46" customFormat="false" ht="14.25" hidden="false" customHeight="false" outlineLevel="0" collapsed="false">
      <c r="A46" s="6" t="s">
        <v>19</v>
      </c>
      <c r="B46" s="6" t="s">
        <v>70</v>
      </c>
      <c r="C46" s="6" t="s">
        <v>62</v>
      </c>
      <c r="D46" s="6" t="n">
        <v>1</v>
      </c>
    </row>
    <row r="47" customFormat="false" ht="14.25" hidden="false" customHeight="false" outlineLevel="0" collapsed="false">
      <c r="A47" s="6" t="s">
        <v>19</v>
      </c>
      <c r="B47" s="6" t="s">
        <v>71</v>
      </c>
      <c r="C47" s="6" t="s">
        <v>60</v>
      </c>
      <c r="D47" s="6" t="n">
        <v>1</v>
      </c>
    </row>
    <row r="48" customFormat="false" ht="14.25" hidden="false" customHeight="false" outlineLevel="0" collapsed="false">
      <c r="A48" s="6" t="s">
        <v>19</v>
      </c>
      <c r="B48" s="6" t="s">
        <v>71</v>
      </c>
      <c r="C48" s="6" t="s">
        <v>62</v>
      </c>
      <c r="D48" s="6" t="n">
        <v>0</v>
      </c>
    </row>
    <row r="49" customFormat="false" ht="14.25" hidden="false" customHeight="false" outlineLevel="0" collapsed="false">
      <c r="A49" s="6" t="s">
        <v>19</v>
      </c>
      <c r="B49" s="6" t="s">
        <v>76</v>
      </c>
      <c r="C49" s="6" t="s">
        <v>60</v>
      </c>
      <c r="D49" s="6" t="n">
        <v>9</v>
      </c>
    </row>
    <row r="50" customFormat="false" ht="14.25" hidden="false" customHeight="false" outlineLevel="0" collapsed="false">
      <c r="A50" s="6" t="s">
        <v>19</v>
      </c>
      <c r="B50" s="6" t="s">
        <v>76</v>
      </c>
      <c r="C50" s="6" t="s">
        <v>62</v>
      </c>
      <c r="D50" s="6" t="n">
        <v>4</v>
      </c>
    </row>
    <row r="51" customFormat="false" ht="14.25" hidden="false" customHeight="false" outlineLevel="0" collapsed="false">
      <c r="A51" s="6" t="s">
        <v>19</v>
      </c>
      <c r="B51" s="6" t="s">
        <v>78</v>
      </c>
      <c r="C51" s="6" t="s">
        <v>60</v>
      </c>
      <c r="D51" s="6" t="n">
        <v>14</v>
      </c>
    </row>
    <row r="52" customFormat="false" ht="14.25" hidden="false" customHeight="false" outlineLevel="0" collapsed="false">
      <c r="A52" s="6" t="s">
        <v>19</v>
      </c>
      <c r="B52" s="6" t="s">
        <v>78</v>
      </c>
      <c r="C52" s="6" t="s">
        <v>62</v>
      </c>
      <c r="D52" s="6" t="n">
        <v>4</v>
      </c>
    </row>
    <row r="53" customFormat="false" ht="14.25" hidden="false" customHeight="false" outlineLevel="0" collapsed="false">
      <c r="A53" s="6" t="s">
        <v>20</v>
      </c>
      <c r="B53" s="6" t="s">
        <v>7</v>
      </c>
      <c r="C53" s="6" t="s">
        <v>60</v>
      </c>
      <c r="D53" s="6" t="n">
        <v>3</v>
      </c>
    </row>
    <row r="54" customFormat="false" ht="14.25" hidden="false" customHeight="false" outlineLevel="0" collapsed="false">
      <c r="A54" s="6" t="s">
        <v>20</v>
      </c>
      <c r="B54" s="6" t="s">
        <v>7</v>
      </c>
      <c r="C54" s="6" t="s">
        <v>62</v>
      </c>
      <c r="D54" s="6" t="n">
        <v>1</v>
      </c>
    </row>
    <row r="55" customFormat="false" ht="14.25" hidden="false" customHeight="false" outlineLevel="0" collapsed="false">
      <c r="A55" s="6" t="s">
        <v>20</v>
      </c>
      <c r="B55" s="6" t="s">
        <v>65</v>
      </c>
      <c r="C55" s="6" t="s">
        <v>60</v>
      </c>
      <c r="D55" s="6" t="n">
        <v>2</v>
      </c>
    </row>
    <row r="56" customFormat="false" ht="14.25" hidden="false" customHeight="false" outlineLevel="0" collapsed="false">
      <c r="A56" s="6" t="s">
        <v>20</v>
      </c>
      <c r="B56" s="6" t="s">
        <v>65</v>
      </c>
      <c r="C56" s="6" t="s">
        <v>62</v>
      </c>
      <c r="D56" s="6" t="n">
        <v>0</v>
      </c>
    </row>
    <row r="57" customFormat="false" ht="14.25" hidden="false" customHeight="false" outlineLevel="0" collapsed="false">
      <c r="A57" s="6" t="s">
        <v>20</v>
      </c>
      <c r="B57" s="6" t="s">
        <v>70</v>
      </c>
      <c r="C57" s="6" t="s">
        <v>60</v>
      </c>
      <c r="D57" s="6" t="n">
        <v>0</v>
      </c>
    </row>
    <row r="58" customFormat="false" ht="14.25" hidden="false" customHeight="false" outlineLevel="0" collapsed="false">
      <c r="A58" s="6" t="s">
        <v>20</v>
      </c>
      <c r="B58" s="6" t="s">
        <v>70</v>
      </c>
      <c r="C58" s="6" t="s">
        <v>62</v>
      </c>
      <c r="D58" s="6" t="n">
        <v>0</v>
      </c>
    </row>
    <row r="59" customFormat="false" ht="14.25" hidden="false" customHeight="false" outlineLevel="0" collapsed="false">
      <c r="A59" s="6" t="s">
        <v>20</v>
      </c>
      <c r="B59" s="6" t="s">
        <v>71</v>
      </c>
      <c r="C59" s="6" t="s">
        <v>60</v>
      </c>
      <c r="D59" s="6" t="n">
        <v>1</v>
      </c>
    </row>
    <row r="60" customFormat="false" ht="14.25" hidden="false" customHeight="false" outlineLevel="0" collapsed="false">
      <c r="A60" s="6" t="s">
        <v>20</v>
      </c>
      <c r="B60" s="6" t="s">
        <v>71</v>
      </c>
      <c r="C60" s="6" t="s">
        <v>62</v>
      </c>
      <c r="D60" s="6" t="n">
        <v>0</v>
      </c>
    </row>
    <row r="61" customFormat="false" ht="14.25" hidden="false" customHeight="false" outlineLevel="0" collapsed="false">
      <c r="A61" s="6" t="s">
        <v>20</v>
      </c>
      <c r="B61" s="6" t="s">
        <v>76</v>
      </c>
      <c r="C61" s="6" t="s">
        <v>60</v>
      </c>
      <c r="D61" s="6" t="n">
        <v>2</v>
      </c>
    </row>
    <row r="62" customFormat="false" ht="14.25" hidden="false" customHeight="false" outlineLevel="0" collapsed="false">
      <c r="A62" s="6" t="s">
        <v>20</v>
      </c>
      <c r="B62" s="6" t="s">
        <v>76</v>
      </c>
      <c r="C62" s="6" t="s">
        <v>62</v>
      </c>
      <c r="D62" s="6" t="n">
        <v>0</v>
      </c>
    </row>
    <row r="63" customFormat="false" ht="14.25" hidden="false" customHeight="false" outlineLevel="0" collapsed="false">
      <c r="A63" s="6" t="s">
        <v>20</v>
      </c>
      <c r="B63" s="6" t="s">
        <v>78</v>
      </c>
      <c r="C63" s="6" t="s">
        <v>60</v>
      </c>
      <c r="D63" s="6" t="n">
        <v>3</v>
      </c>
    </row>
    <row r="64" customFormat="false" ht="14.25" hidden="false" customHeight="false" outlineLevel="0" collapsed="false">
      <c r="A64" s="6" t="s">
        <v>20</v>
      </c>
      <c r="B64" s="6" t="s">
        <v>78</v>
      </c>
      <c r="C64" s="6" t="s">
        <v>62</v>
      </c>
      <c r="D64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J9" activeCellId="0" sqref="J9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4" min="10" style="0" width="13"/>
    <col collapsed="false" customWidth="true" hidden="false" outlineLevel="0" max="16" min="15" style="0" width="10"/>
    <col collapsed="false" customWidth="true" hidden="false" outlineLevel="0" max="17" min="17" style="0" width="16"/>
  </cols>
  <sheetData>
    <row r="1" customFormat="false" ht="18" hidden="false" customHeight="true" outlineLevel="0" collapsed="false">
      <c r="A1" s="1" t="s">
        <v>80</v>
      </c>
    </row>
    <row r="2" customFormat="false" ht="15.65" hidden="false" customHeight="false" outlineLevel="0" collapsed="false">
      <c r="A2" s="2" t="s">
        <v>81</v>
      </c>
    </row>
    <row r="3" customFormat="false" ht="17.15" hidden="false" customHeight="false" outlineLevel="0" collapsed="false">
      <c r="S3" s="21" t="s">
        <v>82</v>
      </c>
    </row>
    <row r="4" customFormat="false" ht="33.75" hidden="false" customHeight="true" outlineLevel="0" collapsed="false">
      <c r="A4" s="4" t="s">
        <v>3</v>
      </c>
      <c r="B4" s="4" t="s">
        <v>83</v>
      </c>
      <c r="C4" s="4" t="s">
        <v>84</v>
      </c>
      <c r="D4" s="4" t="s">
        <v>85</v>
      </c>
      <c r="E4" s="4" t="s">
        <v>86</v>
      </c>
      <c r="F4" s="4" t="s">
        <v>87</v>
      </c>
      <c r="G4" s="4" t="s">
        <v>4</v>
      </c>
      <c r="H4" s="4" t="s">
        <v>88</v>
      </c>
      <c r="I4" s="4" t="s">
        <v>46</v>
      </c>
      <c r="J4" s="10" t="s">
        <v>16</v>
      </c>
      <c r="K4" s="10" t="s">
        <v>77</v>
      </c>
      <c r="L4" s="10" t="s">
        <v>18</v>
      </c>
      <c r="M4" s="10" t="s">
        <v>19</v>
      </c>
      <c r="N4" s="10" t="s">
        <v>79</v>
      </c>
      <c r="O4" s="4" t="s">
        <v>89</v>
      </c>
      <c r="P4" s="4" t="s">
        <v>90</v>
      </c>
      <c r="Q4" s="4" t="s">
        <v>91</v>
      </c>
      <c r="S4" s="22" t="s">
        <v>92</v>
      </c>
      <c r="T4" s="22" t="s">
        <v>93</v>
      </c>
      <c r="U4" s="22" t="s">
        <v>94</v>
      </c>
      <c r="V4" s="22" t="s">
        <v>95</v>
      </c>
      <c r="W4" s="22" t="s">
        <v>96</v>
      </c>
    </row>
    <row r="5" customFormat="false" ht="14.25" hidden="false" customHeight="false" outlineLevel="0" collapsed="false">
      <c r="A5" s="6" t="s">
        <v>7</v>
      </c>
      <c r="B5" s="6" t="s">
        <v>97</v>
      </c>
      <c r="C5" s="6" t="s">
        <v>98</v>
      </c>
      <c r="D5" s="6" t="str">
        <f aca="false">LEFT(C5,1)</f>
        <v>M</v>
      </c>
      <c r="E5" s="23" t="s">
        <v>23</v>
      </c>
      <c r="F5" s="9" t="n">
        <v>9</v>
      </c>
      <c r="G5" s="24" t="n">
        <f aca="false">INDEX(設定!$B$6:$B$8,MATCH(A5,設定!$A$6:$A$8,0))</f>
        <v>0.26</v>
      </c>
      <c r="H5" s="6" t="n">
        <f aca="false">ROUND(F5*G5,0)</f>
        <v>2</v>
      </c>
      <c r="I5" s="6" t="str">
        <f aca="false">IF(A5="VFF Spidrwalk","Spidrwalk",IF(A5="VFF Trailope WP","TrailopeWP","GLS_"&amp;D5))</f>
        <v>Spidrwalk</v>
      </c>
      <c r="J5" s="6" t="n">
        <f aca="false">MIN(INDEX(設定!$E$20:$E$24,MATCH("K Village",設定!$A$20:$A$24,0)),MAX(INDEX(設定!$B$20:$D$24,MATCH("K Village",設定!$A$20:$A$24,0),MATCH($E5,設定!$B$19:$D$19,0)),ROUND($H5*INDEX(実績!$N$5:$R$8,MATCH($I5,実績!$F$5:$F$8,0),1)*INDEX(設定!$B$29:$B$33,MATCH("K Village",設定!$A$29:$A$33,0))/INDEX(実績!$S$5:$S$8,MATCH($I5,実績!$F$5:$F$8,0))/設定!$B$36,0)*設定!$B$36))+S5</f>
        <v>1</v>
      </c>
      <c r="K5" s="6" t="n">
        <f aca="false">MIN(INDEX(設定!$E$20:$E$24,MATCH("Central Chidlom",設定!$A$20:$A$24,0)),MAX(INDEX(設定!$B$20:$D$24,MATCH("Central Chidlom",設定!$A$20:$A$24,0),MATCH($E5,設定!$B$19:$D$19,0)),ROUND($H5*INDEX(実績!$N$5:$R$8,MATCH($I5,実績!$F$5:$F$8,0),2)*INDEX(設定!$B$29:$B$33,MATCH("Central Chidlom",設定!$A$29:$A$33,0))/INDEX(実績!$S$5:$S$8,MATCH($I5,実績!$F$5:$F$8,0))/設定!$B$36,0)*設定!$B$36))+T5</f>
        <v>1</v>
      </c>
      <c r="L5" s="6" t="n">
        <f aca="false">MIN(INDEX(設定!$E$20:$E$24,MATCH("Siam Discovery",設定!$A$20:$A$24,0)),MAX(INDEX(設定!$B$20:$D$24,MATCH("Siam Discovery",設定!$A$20:$A$24,0),MATCH($E5,設定!$B$19:$D$19,0)),ROUND($H5*INDEX(実績!$N$5:$R$8,MATCH($I5,実績!$F$5:$F$8,0),3)*INDEX(設定!$B$29:$B$33,MATCH("Siam Discovery",設定!$A$29:$A$33,0))/INDEX(実績!$S$5:$S$8,MATCH($I5,実績!$F$5:$F$8,0))/設定!$B$36,0)*設定!$B$36))+U5</f>
        <v>1</v>
      </c>
      <c r="M5" s="6" t="n">
        <f aca="false">MIN(INDEX(設定!$E$20:$E$24,MATCH("Paradise Park",設定!$A$20:$A$24,0)),MAX(INDEX(設定!$B$20:$D$24,MATCH("Paradise Park",設定!$A$20:$A$24,0),MATCH($E5,設定!$B$19:$D$19,0)),ROUND($H5*INDEX(実績!$N$5:$R$8,MATCH($I5,実績!$F$5:$F$8,0),4)*INDEX(設定!$B$29:$B$33,MATCH("Paradise Park",設定!$A$29:$A$33,0))/INDEX(実績!$S$5:$S$8,MATCH($I5,実績!$F$5:$F$8,0))/設定!$B$36,0)*設定!$B$36))+V5</f>
        <v>1</v>
      </c>
      <c r="N5" s="6" t="n">
        <f aca="false">MIN(INDEX(設定!$E$20:$E$24,MATCH("Central Lardprao (Dept.)",設定!$A$20:$A$24,0)),MAX(INDEX(設定!$B$20:$D$24,MATCH("Central Lardprao (Dept.)",設定!$A$20:$A$24,0),MATCH($E5,設定!$B$19:$D$19,0)),ROUND($H5*INDEX(実績!$N$5:$R$8,MATCH($I5,実績!$F$5:$F$8,0),5)*INDEX(設定!$B$29:$B$33,MATCH("Central Lardprao (Dept.)",設定!$A$29:$A$33,0))/INDEX(実績!$S$5:$S$8,MATCH($I5,実績!$F$5:$F$8,0))/設定!$B$36,0)*設定!$B$36))+W5</f>
        <v>0</v>
      </c>
      <c r="O5" s="25" t="n">
        <f aca="false">SUM(J5:N5)</f>
        <v>4</v>
      </c>
      <c r="P5" s="25" t="n">
        <f aca="false">F5-O5</f>
        <v>5</v>
      </c>
      <c r="Q5" s="6" t="str">
        <f aca="false">IF(P5&lt;0,"入荷数超過→要調整","")</f>
        <v/>
      </c>
      <c r="S5" s="26"/>
      <c r="T5" s="26"/>
      <c r="U5" s="26"/>
      <c r="V5" s="27" t="n">
        <v>1</v>
      </c>
      <c r="W5" s="26"/>
    </row>
    <row r="6" customFormat="false" ht="14.25" hidden="false" customHeight="false" outlineLevel="0" collapsed="false">
      <c r="A6" s="6" t="s">
        <v>7</v>
      </c>
      <c r="B6" s="6" t="s">
        <v>97</v>
      </c>
      <c r="C6" s="6" t="s">
        <v>99</v>
      </c>
      <c r="D6" s="6" t="str">
        <f aca="false">LEFT(C6,1)</f>
        <v>M</v>
      </c>
      <c r="E6" s="23" t="s">
        <v>22</v>
      </c>
      <c r="F6" s="9" t="n">
        <v>12</v>
      </c>
      <c r="G6" s="24" t="n">
        <f aca="false">INDEX(設定!$B$6:$B$8,MATCH(A6,設定!$A$6:$A$8,0))</f>
        <v>0.26</v>
      </c>
      <c r="H6" s="6" t="n">
        <f aca="false">ROUND(F6*G6,0)</f>
        <v>3</v>
      </c>
      <c r="I6" s="6" t="str">
        <f aca="false">IF(A6="VFF Spidrwalk","Spidrwalk",IF(A6="VFF Trailope WP","TrailopeWP","GLS_"&amp;D6))</f>
        <v>Spidrwalk</v>
      </c>
      <c r="J6" s="6" t="n">
        <f aca="false">MIN(INDEX(設定!$E$20:$E$24,MATCH("K Village",設定!$A$20:$A$24,0)),MAX(INDEX(設定!$B$20:$D$24,MATCH("K Village",設定!$A$20:$A$24,0),MATCH($E6,設定!$B$19:$D$19,0)),ROUND($H6*INDEX(実績!$N$5:$R$8,MATCH($I6,実績!$F$5:$F$8,0),1)*INDEX(設定!$B$29:$B$33,MATCH("K Village",設定!$A$29:$A$33,0))/INDEX(実績!$S$5:$S$8,MATCH($I6,実績!$F$5:$F$8,0))/設定!$B$36,0)*設定!$B$36))+S6</f>
        <v>2</v>
      </c>
      <c r="K6" s="6" t="n">
        <f aca="false">MIN(INDEX(設定!$E$20:$E$24,MATCH("Central Chidlom",設定!$A$20:$A$24,0)),MAX(INDEX(設定!$B$20:$D$24,MATCH("Central Chidlom",設定!$A$20:$A$24,0),MATCH($E6,設定!$B$19:$D$19,0)),ROUND($H6*INDEX(実績!$N$5:$R$8,MATCH($I6,実績!$F$5:$F$8,0),2)*INDEX(設定!$B$29:$B$33,MATCH("Central Chidlom",設定!$A$29:$A$33,0))/INDEX(実績!$S$5:$S$8,MATCH($I6,実績!$F$5:$F$8,0))/設定!$B$36,0)*設定!$B$36))+T6</f>
        <v>1</v>
      </c>
      <c r="L6" s="6" t="n">
        <f aca="false">MIN(INDEX(設定!$E$20:$E$24,MATCH("Siam Discovery",設定!$A$20:$A$24,0)),MAX(INDEX(設定!$B$20:$D$24,MATCH("Siam Discovery",設定!$A$20:$A$24,0),MATCH($E6,設定!$B$19:$D$19,0)),ROUND($H6*INDEX(実績!$N$5:$R$8,MATCH($I6,実績!$F$5:$F$8,0),3)*INDEX(設定!$B$29:$B$33,MATCH("Siam Discovery",設定!$A$29:$A$33,0))/INDEX(実績!$S$5:$S$8,MATCH($I6,実績!$F$5:$F$8,0))/設定!$B$36,0)*設定!$B$36))+U6</f>
        <v>1</v>
      </c>
      <c r="M6" s="6" t="n">
        <f aca="false">MIN(INDEX(設定!$E$20:$E$24,MATCH("Paradise Park",設定!$A$20:$A$24,0)),MAX(INDEX(設定!$B$20:$D$24,MATCH("Paradise Park",設定!$A$20:$A$24,0),MATCH($E6,設定!$B$19:$D$19,0)),ROUND($H6*INDEX(実績!$N$5:$R$8,MATCH($I6,実績!$F$5:$F$8,0),4)*INDEX(設定!$B$29:$B$33,MATCH("Paradise Park",設定!$A$29:$A$33,0))/INDEX(実績!$S$5:$S$8,MATCH($I6,実績!$F$5:$F$8,0))/設定!$B$36,0)*設定!$B$36))+V6</f>
        <v>1</v>
      </c>
      <c r="N6" s="6" t="n">
        <f aca="false">MIN(INDEX(設定!$E$20:$E$24,MATCH("Central Lardprao (Dept.)",設定!$A$20:$A$24,0)),MAX(INDEX(設定!$B$20:$D$24,MATCH("Central Lardprao (Dept.)",設定!$A$20:$A$24,0),MATCH($E6,設定!$B$19:$D$19,0)),ROUND($H6*INDEX(実績!$N$5:$R$8,MATCH($I6,実績!$F$5:$F$8,0),5)*INDEX(設定!$B$29:$B$33,MATCH("Central Lardprao (Dept.)",設定!$A$29:$A$33,0))/INDEX(実績!$S$5:$S$8,MATCH($I6,実績!$F$5:$F$8,0))/設定!$B$36,0)*設定!$B$36))+W6</f>
        <v>0</v>
      </c>
      <c r="O6" s="25" t="n">
        <f aca="false">SUM(J6:N6)</f>
        <v>5</v>
      </c>
      <c r="P6" s="25" t="n">
        <f aca="false">F6-O6</f>
        <v>7</v>
      </c>
      <c r="Q6" s="6" t="str">
        <f aca="false">IF(P6&lt;0,"入荷数超過→要調整","")</f>
        <v/>
      </c>
      <c r="S6" s="26"/>
      <c r="T6" s="26"/>
      <c r="U6" s="26"/>
      <c r="V6" s="26"/>
      <c r="W6" s="26"/>
    </row>
    <row r="7" customFormat="false" ht="14.25" hidden="false" customHeight="false" outlineLevel="0" collapsed="false">
      <c r="A7" s="6" t="s">
        <v>7</v>
      </c>
      <c r="B7" s="6" t="s">
        <v>97</v>
      </c>
      <c r="C7" s="6" t="s">
        <v>100</v>
      </c>
      <c r="D7" s="6" t="str">
        <f aca="false">LEFT(C7,1)</f>
        <v>M</v>
      </c>
      <c r="E7" s="23" t="s">
        <v>22</v>
      </c>
      <c r="F7" s="9" t="n">
        <v>21</v>
      </c>
      <c r="G7" s="24" t="n">
        <f aca="false">INDEX(設定!$B$6:$B$8,MATCH(A7,設定!$A$6:$A$8,0))</f>
        <v>0.26</v>
      </c>
      <c r="H7" s="6" t="n">
        <f aca="false">ROUND(F7*G7,0)</f>
        <v>5</v>
      </c>
      <c r="I7" s="6" t="str">
        <f aca="false">IF(A7="VFF Spidrwalk","Spidrwalk",IF(A7="VFF Trailope WP","TrailopeWP","GLS_"&amp;D7))</f>
        <v>Spidrwalk</v>
      </c>
      <c r="J7" s="6" t="n">
        <f aca="false">MIN(INDEX(設定!$E$20:$E$24,MATCH("K Village",設定!$A$20:$A$24,0)),MAX(INDEX(設定!$B$20:$D$24,MATCH("K Village",設定!$A$20:$A$24,0),MATCH($E7,設定!$B$19:$D$19,0)),ROUND($H7*INDEX(実績!$N$5:$R$8,MATCH($I7,実績!$F$5:$F$8,0),1)*INDEX(設定!$B$29:$B$33,MATCH("K Village",設定!$A$29:$A$33,0))/INDEX(実績!$S$5:$S$8,MATCH($I7,実績!$F$5:$F$8,0))/設定!$B$36,0)*設定!$B$36))+S7</f>
        <v>2</v>
      </c>
      <c r="K7" s="6" t="n">
        <f aca="false">MIN(INDEX(設定!$E$20:$E$24,MATCH("Central Chidlom",設定!$A$20:$A$24,0)),MAX(INDEX(設定!$B$20:$D$24,MATCH("Central Chidlom",設定!$A$20:$A$24,0),MATCH($E7,設定!$B$19:$D$19,0)),ROUND($H7*INDEX(実績!$N$5:$R$8,MATCH($I7,実績!$F$5:$F$8,0),2)*INDEX(設定!$B$29:$B$33,MATCH("Central Chidlom",設定!$A$29:$A$33,0))/INDEX(実績!$S$5:$S$8,MATCH($I7,実績!$F$5:$F$8,0))/設定!$B$36,0)*設定!$B$36))+T7</f>
        <v>1</v>
      </c>
      <c r="L7" s="6" t="n">
        <f aca="false">MIN(INDEX(設定!$E$20:$E$24,MATCH("Siam Discovery",設定!$A$20:$A$24,0)),MAX(INDEX(設定!$B$20:$D$24,MATCH("Siam Discovery",設定!$A$20:$A$24,0),MATCH($E7,設定!$B$19:$D$19,0)),ROUND($H7*INDEX(実績!$N$5:$R$8,MATCH($I7,実績!$F$5:$F$8,0),3)*INDEX(設定!$B$29:$B$33,MATCH("Siam Discovery",設定!$A$29:$A$33,0))/INDEX(実績!$S$5:$S$8,MATCH($I7,実績!$F$5:$F$8,0))/設定!$B$36,0)*設定!$B$36))+U7</f>
        <v>1</v>
      </c>
      <c r="M7" s="6" t="n">
        <f aca="false">MIN(INDEX(設定!$E$20:$E$24,MATCH("Paradise Park",設定!$A$20:$A$24,0)),MAX(INDEX(設定!$B$20:$D$24,MATCH("Paradise Park",設定!$A$20:$A$24,0),MATCH($E7,設定!$B$19:$D$19,0)),ROUND($H7*INDEX(実績!$N$5:$R$8,MATCH($I7,実績!$F$5:$F$8,0),4)*INDEX(設定!$B$29:$B$33,MATCH("Paradise Park",設定!$A$29:$A$33,0))/INDEX(実績!$S$5:$S$8,MATCH($I7,実績!$F$5:$F$8,0))/設定!$B$36,0)*設定!$B$36))+V7</f>
        <v>1</v>
      </c>
      <c r="N7" s="6" t="n">
        <f aca="false">MIN(INDEX(設定!$E$20:$E$24,MATCH("Central Lardprao (Dept.)",設定!$A$20:$A$24,0)),MAX(INDEX(設定!$B$20:$D$24,MATCH("Central Lardprao (Dept.)",設定!$A$20:$A$24,0),MATCH($E7,設定!$B$19:$D$19,0)),ROUND($H7*INDEX(実績!$N$5:$R$8,MATCH($I7,実績!$F$5:$F$8,0),5)*INDEX(設定!$B$29:$B$33,MATCH("Central Lardprao (Dept.)",設定!$A$29:$A$33,0))/INDEX(実績!$S$5:$S$8,MATCH($I7,実績!$F$5:$F$8,0))/設定!$B$36,0)*設定!$B$36))+W7</f>
        <v>0</v>
      </c>
      <c r="O7" s="25" t="n">
        <f aca="false">SUM(J7:N7)</f>
        <v>5</v>
      </c>
      <c r="P7" s="25" t="n">
        <f aca="false">F7-O7</f>
        <v>16</v>
      </c>
      <c r="Q7" s="6" t="str">
        <f aca="false">IF(P7&lt;0,"入荷数超過→要調整","")</f>
        <v/>
      </c>
      <c r="S7" s="26"/>
      <c r="T7" s="26"/>
      <c r="U7" s="26"/>
      <c r="V7" s="26"/>
      <c r="W7" s="26"/>
    </row>
    <row r="8" customFormat="false" ht="14.25" hidden="false" customHeight="false" outlineLevel="0" collapsed="false">
      <c r="A8" s="6" t="s">
        <v>7</v>
      </c>
      <c r="B8" s="6" t="s">
        <v>97</v>
      </c>
      <c r="C8" s="6" t="s">
        <v>101</v>
      </c>
      <c r="D8" s="6" t="str">
        <f aca="false">LEFT(C8,1)</f>
        <v>M</v>
      </c>
      <c r="E8" s="23" t="s">
        <v>22</v>
      </c>
      <c r="F8" s="9" t="n">
        <v>24</v>
      </c>
      <c r="G8" s="24" t="n">
        <f aca="false">INDEX(設定!$B$6:$B$8,MATCH(A8,設定!$A$6:$A$8,0))</f>
        <v>0.26</v>
      </c>
      <c r="H8" s="6" t="n">
        <f aca="false">ROUND(F8*G8,0)</f>
        <v>6</v>
      </c>
      <c r="I8" s="6" t="str">
        <f aca="false">IF(A8="VFF Spidrwalk","Spidrwalk",IF(A8="VFF Trailope WP","TrailopeWP","GLS_"&amp;D8))</f>
        <v>Spidrwalk</v>
      </c>
      <c r="J8" s="6" t="n">
        <f aca="false">MIN(INDEX(設定!$E$20:$E$24,MATCH("K Village",設定!$A$20:$A$24,0)),MAX(INDEX(設定!$B$20:$D$24,MATCH("K Village",設定!$A$20:$A$24,0),MATCH($E8,設定!$B$19:$D$19,0)),ROUND($H8*INDEX(実績!$N$5:$R$8,MATCH($I8,実績!$F$5:$F$8,0),1)*INDEX(設定!$B$29:$B$33,MATCH("K Village",設定!$A$29:$A$33,0))/INDEX(実績!$S$5:$S$8,MATCH($I8,実績!$F$5:$F$8,0))/設定!$B$36,0)*設定!$B$36))+S8</f>
        <v>2</v>
      </c>
      <c r="K8" s="6" t="n">
        <f aca="false">MIN(INDEX(設定!$E$20:$E$24,MATCH("Central Chidlom",設定!$A$20:$A$24,0)),MAX(INDEX(設定!$B$20:$D$24,MATCH("Central Chidlom",設定!$A$20:$A$24,0),MATCH($E8,設定!$B$19:$D$19,0)),ROUND($H8*INDEX(実績!$N$5:$R$8,MATCH($I8,実績!$F$5:$F$8,0),2)*INDEX(設定!$B$29:$B$33,MATCH("Central Chidlom",設定!$A$29:$A$33,0))/INDEX(実績!$S$5:$S$8,MATCH($I8,実績!$F$5:$F$8,0))/設定!$B$36,0)*設定!$B$36))+T8</f>
        <v>2</v>
      </c>
      <c r="L8" s="6" t="n">
        <f aca="false">MIN(INDEX(設定!$E$20:$E$24,MATCH("Siam Discovery",設定!$A$20:$A$24,0)),MAX(INDEX(設定!$B$20:$D$24,MATCH("Siam Discovery",設定!$A$20:$A$24,0),MATCH($E8,設定!$B$19:$D$19,0)),ROUND($H8*INDEX(実績!$N$5:$R$8,MATCH($I8,実績!$F$5:$F$8,0),3)*INDEX(設定!$B$29:$B$33,MATCH("Siam Discovery",設定!$A$29:$A$33,0))/INDEX(実績!$S$5:$S$8,MATCH($I8,実績!$F$5:$F$8,0))/設定!$B$36,0)*設定!$B$36))+U8</f>
        <v>1</v>
      </c>
      <c r="M8" s="6" t="n">
        <f aca="false">MIN(INDEX(設定!$E$20:$E$24,MATCH("Paradise Park",設定!$A$20:$A$24,0)),MAX(INDEX(設定!$B$20:$D$24,MATCH("Paradise Park",設定!$A$20:$A$24,0),MATCH($E8,設定!$B$19:$D$19,0)),ROUND($H8*INDEX(実績!$N$5:$R$8,MATCH($I8,実績!$F$5:$F$8,0),4)*INDEX(設定!$B$29:$B$33,MATCH("Paradise Park",設定!$A$29:$A$33,0))/INDEX(実績!$S$5:$S$8,MATCH($I8,実績!$F$5:$F$8,0))/設定!$B$36,0)*設定!$B$36))+V8</f>
        <v>1</v>
      </c>
      <c r="N8" s="6" t="n">
        <f aca="false">MIN(INDEX(設定!$E$20:$E$24,MATCH("Central Lardprao (Dept.)",設定!$A$20:$A$24,0)),MAX(INDEX(設定!$B$20:$D$24,MATCH("Central Lardprao (Dept.)",設定!$A$20:$A$24,0),MATCH($E8,設定!$B$19:$D$19,0)),ROUND($H8*INDEX(実績!$N$5:$R$8,MATCH($I8,実績!$F$5:$F$8,0),5)*INDEX(設定!$B$29:$B$33,MATCH("Central Lardprao (Dept.)",設定!$A$29:$A$33,0))/INDEX(実績!$S$5:$S$8,MATCH($I8,実績!$F$5:$F$8,0))/設定!$B$36,0)*設定!$B$36))+W8</f>
        <v>0</v>
      </c>
      <c r="O8" s="25" t="n">
        <f aca="false">SUM(J8:N8)</f>
        <v>6</v>
      </c>
      <c r="P8" s="25" t="n">
        <f aca="false">F8-O8</f>
        <v>18</v>
      </c>
      <c r="Q8" s="6" t="str">
        <f aca="false">IF(P8&lt;0,"入荷数超過→要調整","")</f>
        <v/>
      </c>
      <c r="S8" s="26"/>
      <c r="T8" s="26"/>
      <c r="U8" s="26"/>
      <c r="V8" s="26"/>
      <c r="W8" s="26"/>
    </row>
    <row r="9" customFormat="false" ht="14.25" hidden="false" customHeight="false" outlineLevel="0" collapsed="false">
      <c r="A9" s="6" t="s">
        <v>7</v>
      </c>
      <c r="B9" s="6" t="s">
        <v>97</v>
      </c>
      <c r="C9" s="6" t="s">
        <v>102</v>
      </c>
      <c r="D9" s="6" t="str">
        <f aca="false">LEFT(C9,1)</f>
        <v>M</v>
      </c>
      <c r="E9" s="23" t="s">
        <v>22</v>
      </c>
      <c r="F9" s="9" t="n">
        <v>15</v>
      </c>
      <c r="G9" s="24" t="n">
        <f aca="false">INDEX(設定!$B$6:$B$8,MATCH(A9,設定!$A$6:$A$8,0))</f>
        <v>0.26</v>
      </c>
      <c r="H9" s="6" t="n">
        <f aca="false">ROUND(F9*G9,0)</f>
        <v>4</v>
      </c>
      <c r="I9" s="6" t="str">
        <f aca="false">IF(A9="VFF Spidrwalk","Spidrwalk",IF(A9="VFF Trailope WP","TrailopeWP","GLS_"&amp;D9))</f>
        <v>Spidrwalk</v>
      </c>
      <c r="J9" s="6" t="n">
        <f aca="false">MIN(INDEX(設定!$E$20:$E$24,MATCH("K Village",設定!$A$20:$A$24,0)),MAX(INDEX(設定!$B$20:$D$24,MATCH("K Village",設定!$A$20:$A$24,0),MATCH($E9,設定!$B$19:$D$19,0)),ROUND($H9*INDEX(実績!$N$5:$R$8,MATCH($I9,実績!$F$5:$F$8,0),1)*INDEX(設定!$B$29:$B$33,MATCH("K Village",設定!$A$29:$A$33,0))/INDEX(実績!$S$5:$S$8,MATCH($I9,実績!$F$5:$F$8,0))/設定!$B$36,0)*設定!$B$36))+S9</f>
        <v>2</v>
      </c>
      <c r="K9" s="6" t="n">
        <f aca="false">MIN(INDEX(設定!$E$20:$E$24,MATCH("Central Chidlom",設定!$A$20:$A$24,0)),MAX(INDEX(設定!$B$20:$D$24,MATCH("Central Chidlom",設定!$A$20:$A$24,0),MATCH($E9,設定!$B$19:$D$19,0)),ROUND($H9*INDEX(実績!$N$5:$R$8,MATCH($I9,実績!$F$5:$F$8,0),2)*INDEX(設定!$B$29:$B$33,MATCH("Central Chidlom",設定!$A$29:$A$33,0))/INDEX(実績!$S$5:$S$8,MATCH($I9,実績!$F$5:$F$8,0))/設定!$B$36,0)*設定!$B$36))+T9</f>
        <v>1</v>
      </c>
      <c r="L9" s="6" t="n">
        <f aca="false">MIN(INDEX(設定!$E$20:$E$24,MATCH("Siam Discovery",設定!$A$20:$A$24,0)),MAX(INDEX(設定!$B$20:$D$24,MATCH("Siam Discovery",設定!$A$20:$A$24,0),MATCH($E9,設定!$B$19:$D$19,0)),ROUND($H9*INDEX(実績!$N$5:$R$8,MATCH($I9,実績!$F$5:$F$8,0),3)*INDEX(設定!$B$29:$B$33,MATCH("Siam Discovery",設定!$A$29:$A$33,0))/INDEX(実績!$S$5:$S$8,MATCH($I9,実績!$F$5:$F$8,0))/設定!$B$36,0)*設定!$B$36))+U9</f>
        <v>1</v>
      </c>
      <c r="M9" s="6" t="n">
        <f aca="false">MIN(INDEX(設定!$E$20:$E$24,MATCH("Paradise Park",設定!$A$20:$A$24,0)),MAX(INDEX(設定!$B$20:$D$24,MATCH("Paradise Park",設定!$A$20:$A$24,0),MATCH($E9,設定!$B$19:$D$19,0)),ROUND($H9*INDEX(実績!$N$5:$R$8,MATCH($I9,実績!$F$5:$F$8,0),4)*INDEX(設定!$B$29:$B$33,MATCH("Paradise Park",設定!$A$29:$A$33,0))/INDEX(実績!$S$5:$S$8,MATCH($I9,実績!$F$5:$F$8,0))/設定!$B$36,0)*設定!$B$36))+V9</f>
        <v>1</v>
      </c>
      <c r="N9" s="6" t="n">
        <f aca="false">MIN(INDEX(設定!$E$20:$E$24,MATCH("Central Lardprao (Dept.)",設定!$A$20:$A$24,0)),MAX(INDEX(設定!$B$20:$D$24,MATCH("Central Lardprao (Dept.)",設定!$A$20:$A$24,0),MATCH($E9,設定!$B$19:$D$19,0)),ROUND($H9*INDEX(実績!$N$5:$R$8,MATCH($I9,実績!$F$5:$F$8,0),5)*INDEX(設定!$B$29:$B$33,MATCH("Central Lardprao (Dept.)",設定!$A$29:$A$33,0))/INDEX(実績!$S$5:$S$8,MATCH($I9,実績!$F$5:$F$8,0))/設定!$B$36,0)*設定!$B$36))+W9</f>
        <v>0</v>
      </c>
      <c r="O9" s="25" t="n">
        <f aca="false">SUM(J9:N9)</f>
        <v>5</v>
      </c>
      <c r="P9" s="25" t="n">
        <f aca="false">F9-O9</f>
        <v>10</v>
      </c>
      <c r="Q9" s="6" t="str">
        <f aca="false">IF(P9&lt;0,"入荷数超過→要調整","")</f>
        <v/>
      </c>
      <c r="S9" s="26"/>
      <c r="T9" s="26"/>
      <c r="U9" s="26"/>
      <c r="V9" s="26"/>
      <c r="W9" s="26"/>
    </row>
    <row r="10" customFormat="false" ht="14.25" hidden="false" customHeight="false" outlineLevel="0" collapsed="false">
      <c r="A10" s="6" t="s">
        <v>7</v>
      </c>
      <c r="B10" s="6" t="s">
        <v>97</v>
      </c>
      <c r="C10" s="6" t="s">
        <v>103</v>
      </c>
      <c r="D10" s="6" t="str">
        <f aca="false">LEFT(C10,1)</f>
        <v>M</v>
      </c>
      <c r="E10" s="23" t="s">
        <v>23</v>
      </c>
      <c r="F10" s="9" t="n">
        <v>12</v>
      </c>
      <c r="G10" s="24" t="n">
        <f aca="false">INDEX(設定!$B$6:$B$8,MATCH(A10,設定!$A$6:$A$8,0))</f>
        <v>0.26</v>
      </c>
      <c r="H10" s="6" t="n">
        <f aca="false">ROUND(F10*G10,0)</f>
        <v>3</v>
      </c>
      <c r="I10" s="6" t="str">
        <f aca="false">IF(A10="VFF Spidrwalk","Spidrwalk",IF(A10="VFF Trailope WP","TrailopeWP","GLS_"&amp;D10))</f>
        <v>Spidrwalk</v>
      </c>
      <c r="J10" s="6" t="n">
        <f aca="false">MIN(INDEX(設定!$E$20:$E$24,MATCH("K Village",設定!$A$20:$A$24,0)),MAX(INDEX(設定!$B$20:$D$24,MATCH("K Village",設定!$A$20:$A$24,0),MATCH($E10,設定!$B$19:$D$19,0)),ROUND($H10*INDEX(実績!$N$5:$R$8,MATCH($I10,実績!$F$5:$F$8,0),1)*INDEX(設定!$B$29:$B$33,MATCH("K Village",設定!$A$29:$A$33,0))/INDEX(実績!$S$5:$S$8,MATCH($I10,実績!$F$5:$F$8,0))/設定!$B$36,0)*設定!$B$36))+S10</f>
        <v>1</v>
      </c>
      <c r="K10" s="6" t="n">
        <f aca="false">MIN(INDEX(設定!$E$20:$E$24,MATCH("Central Chidlom",設定!$A$20:$A$24,0)),MAX(INDEX(設定!$B$20:$D$24,MATCH("Central Chidlom",設定!$A$20:$A$24,0),MATCH($E10,設定!$B$19:$D$19,0)),ROUND($H10*INDEX(実績!$N$5:$R$8,MATCH($I10,実績!$F$5:$F$8,0),2)*INDEX(設定!$B$29:$B$33,MATCH("Central Chidlom",設定!$A$29:$A$33,0))/INDEX(実績!$S$5:$S$8,MATCH($I10,実績!$F$5:$F$8,0))/設定!$B$36,0)*設定!$B$36))+T10</f>
        <v>1</v>
      </c>
      <c r="L10" s="6" t="n">
        <f aca="false">MIN(INDEX(設定!$E$20:$E$24,MATCH("Siam Discovery",設定!$A$20:$A$24,0)),MAX(INDEX(設定!$B$20:$D$24,MATCH("Siam Discovery",設定!$A$20:$A$24,0),MATCH($E10,設定!$B$19:$D$19,0)),ROUND($H10*INDEX(実績!$N$5:$R$8,MATCH($I10,実績!$F$5:$F$8,0),3)*INDEX(設定!$B$29:$B$33,MATCH("Siam Discovery",設定!$A$29:$A$33,0))/INDEX(実績!$S$5:$S$8,MATCH($I10,実績!$F$5:$F$8,0))/設定!$B$36,0)*設定!$B$36))+U10</f>
        <v>1</v>
      </c>
      <c r="M10" s="6" t="n">
        <f aca="false">MIN(INDEX(設定!$E$20:$E$24,MATCH("Paradise Park",設定!$A$20:$A$24,0)),MAX(INDEX(設定!$B$20:$D$24,MATCH("Paradise Park",設定!$A$20:$A$24,0),MATCH($E10,設定!$B$19:$D$19,0)),ROUND($H10*INDEX(実績!$N$5:$R$8,MATCH($I10,実績!$F$5:$F$8,0),4)*INDEX(設定!$B$29:$B$33,MATCH("Paradise Park",設定!$A$29:$A$33,0))/INDEX(実績!$S$5:$S$8,MATCH($I10,実績!$F$5:$F$8,0))/設定!$B$36,0)*設定!$B$36))+V10</f>
        <v>0</v>
      </c>
      <c r="N10" s="6" t="n">
        <f aca="false">MIN(INDEX(設定!$E$20:$E$24,MATCH("Central Lardprao (Dept.)",設定!$A$20:$A$24,0)),MAX(INDEX(設定!$B$20:$D$24,MATCH("Central Lardprao (Dept.)",設定!$A$20:$A$24,0),MATCH($E10,設定!$B$19:$D$19,0)),ROUND($H10*INDEX(実績!$N$5:$R$8,MATCH($I10,実績!$F$5:$F$8,0),5)*INDEX(設定!$B$29:$B$33,MATCH("Central Lardprao (Dept.)",設定!$A$29:$A$33,0))/INDEX(実績!$S$5:$S$8,MATCH($I10,実績!$F$5:$F$8,0))/設定!$B$36,0)*設定!$B$36))+W10</f>
        <v>0</v>
      </c>
      <c r="O10" s="25" t="n">
        <f aca="false">SUM(J10:N10)</f>
        <v>3</v>
      </c>
      <c r="P10" s="25" t="n">
        <f aca="false">F10-O10</f>
        <v>9</v>
      </c>
      <c r="Q10" s="6" t="str">
        <f aca="false">IF(P10&lt;0,"入荷数超過→要調整","")</f>
        <v/>
      </c>
      <c r="S10" s="26"/>
      <c r="T10" s="26"/>
      <c r="U10" s="26"/>
      <c r="V10" s="26"/>
      <c r="W10" s="26"/>
    </row>
    <row r="11" customFormat="false" ht="14.25" hidden="false" customHeight="false" outlineLevel="0" collapsed="false">
      <c r="A11" s="6" t="s">
        <v>7</v>
      </c>
      <c r="B11" s="6" t="s">
        <v>97</v>
      </c>
      <c r="C11" s="6" t="s">
        <v>104</v>
      </c>
      <c r="D11" s="6" t="str">
        <f aca="false">LEFT(C11,1)</f>
        <v>M</v>
      </c>
      <c r="E11" s="23" t="s">
        <v>23</v>
      </c>
      <c r="F11" s="9" t="n">
        <v>9</v>
      </c>
      <c r="G11" s="24" t="n">
        <f aca="false">INDEX(設定!$B$6:$B$8,MATCH(A11,設定!$A$6:$A$8,0))</f>
        <v>0.26</v>
      </c>
      <c r="H11" s="6" t="n">
        <f aca="false">ROUND(F11*G11,0)</f>
        <v>2</v>
      </c>
      <c r="I11" s="6" t="str">
        <f aca="false">IF(A11="VFF Spidrwalk","Spidrwalk",IF(A11="VFF Trailope WP","TrailopeWP","GLS_"&amp;D11))</f>
        <v>Spidrwalk</v>
      </c>
      <c r="J11" s="6" t="n">
        <f aca="false">MIN(INDEX(設定!$E$20:$E$24,MATCH("K Village",設定!$A$20:$A$24,0)),MAX(INDEX(設定!$B$20:$D$24,MATCH("K Village",設定!$A$20:$A$24,0),MATCH($E11,設定!$B$19:$D$19,0)),ROUND($H11*INDEX(実績!$N$5:$R$8,MATCH($I11,実績!$F$5:$F$8,0),1)*INDEX(設定!$B$29:$B$33,MATCH("K Village",設定!$A$29:$A$33,0))/INDEX(実績!$S$5:$S$8,MATCH($I11,実績!$F$5:$F$8,0))/設定!$B$36,0)*設定!$B$36))+S11</f>
        <v>1</v>
      </c>
      <c r="K11" s="6" t="n">
        <f aca="false">MIN(INDEX(設定!$E$20:$E$24,MATCH("Central Chidlom",設定!$A$20:$A$24,0)),MAX(INDEX(設定!$B$20:$D$24,MATCH("Central Chidlom",設定!$A$20:$A$24,0),MATCH($E11,設定!$B$19:$D$19,0)),ROUND($H11*INDEX(実績!$N$5:$R$8,MATCH($I11,実績!$F$5:$F$8,0),2)*INDEX(設定!$B$29:$B$33,MATCH("Central Chidlom",設定!$A$29:$A$33,0))/INDEX(実績!$S$5:$S$8,MATCH($I11,実績!$F$5:$F$8,0))/設定!$B$36,0)*設定!$B$36))+T11</f>
        <v>1</v>
      </c>
      <c r="L11" s="6" t="n">
        <f aca="false">MIN(INDEX(設定!$E$20:$E$24,MATCH("Siam Discovery",設定!$A$20:$A$24,0)),MAX(INDEX(設定!$B$20:$D$24,MATCH("Siam Discovery",設定!$A$20:$A$24,0),MATCH($E11,設定!$B$19:$D$19,0)),ROUND($H11*INDEX(実績!$N$5:$R$8,MATCH($I11,実績!$F$5:$F$8,0),3)*INDEX(設定!$B$29:$B$33,MATCH("Siam Discovery",設定!$A$29:$A$33,0))/INDEX(実績!$S$5:$S$8,MATCH($I11,実績!$F$5:$F$8,0))/設定!$B$36,0)*設定!$B$36))+U11</f>
        <v>1</v>
      </c>
      <c r="M11" s="6" t="n">
        <f aca="false">MIN(INDEX(設定!$E$20:$E$24,MATCH("Paradise Park",設定!$A$20:$A$24,0)),MAX(INDEX(設定!$B$20:$D$24,MATCH("Paradise Park",設定!$A$20:$A$24,0),MATCH($E11,設定!$B$19:$D$19,0)),ROUND($H11*INDEX(実績!$N$5:$R$8,MATCH($I11,実績!$F$5:$F$8,0),4)*INDEX(設定!$B$29:$B$33,MATCH("Paradise Park",設定!$A$29:$A$33,0))/INDEX(実績!$S$5:$S$8,MATCH($I11,実績!$F$5:$F$8,0))/設定!$B$36,0)*設定!$B$36))+V11</f>
        <v>0</v>
      </c>
      <c r="N11" s="6" t="n">
        <f aca="false">MIN(INDEX(設定!$E$20:$E$24,MATCH("Central Lardprao (Dept.)",設定!$A$20:$A$24,0)),MAX(INDEX(設定!$B$20:$D$24,MATCH("Central Lardprao (Dept.)",設定!$A$20:$A$24,0),MATCH($E11,設定!$B$19:$D$19,0)),ROUND($H11*INDEX(実績!$N$5:$R$8,MATCH($I11,実績!$F$5:$F$8,0),5)*INDEX(設定!$B$29:$B$33,MATCH("Central Lardprao (Dept.)",設定!$A$29:$A$33,0))/INDEX(実績!$S$5:$S$8,MATCH($I11,実績!$F$5:$F$8,0))/設定!$B$36,0)*設定!$B$36))+W11</f>
        <v>0</v>
      </c>
      <c r="O11" s="25" t="n">
        <f aca="false">SUM(J11:N11)</f>
        <v>3</v>
      </c>
      <c r="P11" s="25" t="n">
        <f aca="false">F11-O11</f>
        <v>6</v>
      </c>
      <c r="Q11" s="6" t="str">
        <f aca="false">IF(P11&lt;0,"入荷数超過→要調整","")</f>
        <v/>
      </c>
      <c r="S11" s="26"/>
      <c r="T11" s="26"/>
      <c r="U11" s="26"/>
      <c r="V11" s="26"/>
      <c r="W11" s="26"/>
    </row>
    <row r="12" customFormat="false" ht="14.25" hidden="false" customHeight="false" outlineLevel="0" collapsed="false">
      <c r="A12" s="6" t="s">
        <v>7</v>
      </c>
      <c r="B12" s="6" t="s">
        <v>97</v>
      </c>
      <c r="C12" s="6" t="s">
        <v>105</v>
      </c>
      <c r="D12" s="6" t="str">
        <f aca="false">LEFT(C12,1)</f>
        <v>M</v>
      </c>
      <c r="E12" s="23" t="s">
        <v>24</v>
      </c>
      <c r="F12" s="9" t="n">
        <v>6</v>
      </c>
      <c r="G12" s="24" t="n">
        <f aca="false">INDEX(設定!$B$6:$B$8,MATCH(A12,設定!$A$6:$A$8,0))</f>
        <v>0.26</v>
      </c>
      <c r="H12" s="6" t="n">
        <f aca="false">ROUND(F12*G12,0)</f>
        <v>2</v>
      </c>
      <c r="I12" s="6" t="str">
        <f aca="false">IF(A12="VFF Spidrwalk","Spidrwalk",IF(A12="VFF Trailope WP","TrailopeWP","GLS_"&amp;D12))</f>
        <v>Spidrwalk</v>
      </c>
      <c r="J12" s="6" t="n">
        <f aca="false">MIN(INDEX(設定!$E$20:$E$24,MATCH("K Village",設定!$A$20:$A$24,0)),MAX(INDEX(設定!$B$20:$D$24,MATCH("K Village",設定!$A$20:$A$24,0),MATCH($E12,設定!$B$19:$D$19,0)),ROUND($H12*INDEX(実績!$N$5:$R$8,MATCH($I12,実績!$F$5:$F$8,0),1)*INDEX(設定!$B$29:$B$33,MATCH("K Village",設定!$A$29:$A$33,0))/INDEX(実績!$S$5:$S$8,MATCH($I12,実績!$F$5:$F$8,0))/設定!$B$36,0)*設定!$B$36))+S12</f>
        <v>1</v>
      </c>
      <c r="K12" s="6" t="n">
        <f aca="false">MIN(INDEX(設定!$E$20:$E$24,MATCH("Central Chidlom",設定!$A$20:$A$24,0)),MAX(INDEX(設定!$B$20:$D$24,MATCH("Central Chidlom",設定!$A$20:$A$24,0),MATCH($E12,設定!$B$19:$D$19,0)),ROUND($H12*INDEX(実績!$N$5:$R$8,MATCH($I12,実績!$F$5:$F$8,0),2)*INDEX(設定!$B$29:$B$33,MATCH("Central Chidlom",設定!$A$29:$A$33,0))/INDEX(実績!$S$5:$S$8,MATCH($I12,実績!$F$5:$F$8,0))/設定!$B$36,0)*設定!$B$36))+T12</f>
        <v>1</v>
      </c>
      <c r="L12" s="6" t="n">
        <f aca="false">MIN(INDEX(設定!$E$20:$E$24,MATCH("Siam Discovery",設定!$A$20:$A$24,0)),MAX(INDEX(設定!$B$20:$D$24,MATCH("Siam Discovery",設定!$A$20:$A$24,0),MATCH($E12,設定!$B$19:$D$19,0)),ROUND($H12*INDEX(実績!$N$5:$R$8,MATCH($I12,実績!$F$5:$F$8,0),3)*INDEX(設定!$B$29:$B$33,MATCH("Siam Discovery",設定!$A$29:$A$33,0))/INDEX(実績!$S$5:$S$8,MATCH($I12,実績!$F$5:$F$8,0))/設定!$B$36,0)*設定!$B$36))+U12</f>
        <v>0</v>
      </c>
      <c r="M12" s="6" t="n">
        <f aca="false">MIN(INDEX(設定!$E$20:$E$24,MATCH("Paradise Park",設定!$A$20:$A$24,0)),MAX(INDEX(設定!$B$20:$D$24,MATCH("Paradise Park",設定!$A$20:$A$24,0),MATCH($E12,設定!$B$19:$D$19,0)),ROUND($H12*INDEX(実績!$N$5:$R$8,MATCH($I12,実績!$F$5:$F$8,0),4)*INDEX(設定!$B$29:$B$33,MATCH("Paradise Park",設定!$A$29:$A$33,0))/INDEX(実績!$S$5:$S$8,MATCH($I12,実績!$F$5:$F$8,0))/設定!$B$36,0)*設定!$B$36))+V12</f>
        <v>0</v>
      </c>
      <c r="N12" s="6" t="n">
        <f aca="false">MIN(INDEX(設定!$E$20:$E$24,MATCH("Central Lardprao (Dept.)",設定!$A$20:$A$24,0)),MAX(INDEX(設定!$B$20:$D$24,MATCH("Central Lardprao (Dept.)",設定!$A$20:$A$24,0),MATCH($E12,設定!$B$19:$D$19,0)),ROUND($H12*INDEX(実績!$N$5:$R$8,MATCH($I12,実績!$F$5:$F$8,0),5)*INDEX(設定!$B$29:$B$33,MATCH("Central Lardprao (Dept.)",設定!$A$29:$A$33,0))/INDEX(実績!$S$5:$S$8,MATCH($I12,実績!$F$5:$F$8,0))/設定!$B$36,0)*設定!$B$36))+W12</f>
        <v>0</v>
      </c>
      <c r="O12" s="25" t="n">
        <f aca="false">SUM(J12:N12)</f>
        <v>2</v>
      </c>
      <c r="P12" s="25" t="n">
        <f aca="false">F12-O12</f>
        <v>4</v>
      </c>
      <c r="Q12" s="6" t="str">
        <f aca="false">IF(P12&lt;0,"入荷数超過→要調整","")</f>
        <v/>
      </c>
      <c r="S12" s="26"/>
      <c r="T12" s="26"/>
      <c r="U12" s="26"/>
      <c r="V12" s="26"/>
      <c r="W12" s="26"/>
    </row>
    <row r="13" customFormat="false" ht="14.25" hidden="false" customHeight="false" outlineLevel="0" collapsed="false">
      <c r="A13" s="6" t="s">
        <v>9</v>
      </c>
      <c r="B13" s="6" t="s">
        <v>97</v>
      </c>
      <c r="C13" s="6" t="s">
        <v>106</v>
      </c>
      <c r="D13" s="6" t="str">
        <f aca="false">LEFT(C13,1)</f>
        <v>M</v>
      </c>
      <c r="E13" s="23" t="s">
        <v>24</v>
      </c>
      <c r="F13" s="9" t="n">
        <v>3</v>
      </c>
      <c r="G13" s="24" t="n">
        <f aca="false">INDEX(設定!$B$6:$B$8,MATCH(A13,設定!$A$6:$A$8,0))</f>
        <v>0.28</v>
      </c>
      <c r="H13" s="6" t="n">
        <f aca="false">ROUND(F13*G13,0)</f>
        <v>1</v>
      </c>
      <c r="I13" s="6" t="str">
        <f aca="false">IF(A13="VFF Spidrwalk","Spidrwalk",IF(A13="VFF Trailope WP","TrailopeWP","GLS_"&amp;D13))</f>
        <v>TrailopeWP</v>
      </c>
      <c r="J13" s="6" t="n">
        <f aca="false">MIN(INDEX(設定!$E$20:$E$24,MATCH("K Village",設定!$A$20:$A$24,0)),MAX(INDEX(設定!$B$20:$D$24,MATCH("K Village",設定!$A$20:$A$24,0),MATCH($E13,設定!$B$19:$D$19,0)),ROUND($H13*INDEX(実績!$N$5:$R$8,MATCH($I13,実績!$F$5:$F$8,0),1)*INDEX(設定!$B$29:$B$33,MATCH("K Village",設定!$A$29:$A$33,0))/INDEX(実績!$S$5:$S$8,MATCH($I13,実績!$F$5:$F$8,0))/設定!$B$36,0)*設定!$B$36))+S13</f>
        <v>1</v>
      </c>
      <c r="K13" s="6" t="n">
        <f aca="false">MIN(INDEX(設定!$E$20:$E$24,MATCH("Central Chidlom",設定!$A$20:$A$24,0)),MAX(INDEX(設定!$B$20:$D$24,MATCH("Central Chidlom",設定!$A$20:$A$24,0),MATCH($E13,設定!$B$19:$D$19,0)),ROUND($H13*INDEX(実績!$N$5:$R$8,MATCH($I13,実績!$F$5:$F$8,0),2)*INDEX(設定!$B$29:$B$33,MATCH("Central Chidlom",設定!$A$29:$A$33,0))/INDEX(実績!$S$5:$S$8,MATCH($I13,実績!$F$5:$F$8,0))/設定!$B$36,0)*設定!$B$36))+T13</f>
        <v>0</v>
      </c>
      <c r="L13" s="6" t="n">
        <f aca="false">MIN(INDEX(設定!$E$20:$E$24,MATCH("Siam Discovery",設定!$A$20:$A$24,0)),MAX(INDEX(設定!$B$20:$D$24,MATCH("Siam Discovery",設定!$A$20:$A$24,0),MATCH($E13,設定!$B$19:$D$19,0)),ROUND($H13*INDEX(実績!$N$5:$R$8,MATCH($I13,実績!$F$5:$F$8,0),3)*INDEX(設定!$B$29:$B$33,MATCH("Siam Discovery",設定!$A$29:$A$33,0))/INDEX(実績!$S$5:$S$8,MATCH($I13,実績!$F$5:$F$8,0))/設定!$B$36,0)*設定!$B$36))+U13</f>
        <v>0</v>
      </c>
      <c r="M13" s="6" t="n">
        <f aca="false">MIN(INDEX(設定!$E$20:$E$24,MATCH("Paradise Park",設定!$A$20:$A$24,0)),MAX(INDEX(設定!$B$20:$D$24,MATCH("Paradise Park",設定!$A$20:$A$24,0),MATCH($E13,設定!$B$19:$D$19,0)),ROUND($H13*INDEX(実績!$N$5:$R$8,MATCH($I13,実績!$F$5:$F$8,0),4)*INDEX(設定!$B$29:$B$33,MATCH("Paradise Park",設定!$A$29:$A$33,0))/INDEX(実績!$S$5:$S$8,MATCH($I13,実績!$F$5:$F$8,0))/設定!$B$36,0)*設定!$B$36))+V13</f>
        <v>0</v>
      </c>
      <c r="N13" s="6" t="n">
        <f aca="false">MIN(INDEX(設定!$E$20:$E$24,MATCH("Central Lardprao (Dept.)",設定!$A$20:$A$24,0)),MAX(INDEX(設定!$B$20:$D$24,MATCH("Central Lardprao (Dept.)",設定!$A$20:$A$24,0),MATCH($E13,設定!$B$19:$D$19,0)),ROUND($H13*INDEX(実績!$N$5:$R$8,MATCH($I13,実績!$F$5:$F$8,0),5)*INDEX(設定!$B$29:$B$33,MATCH("Central Lardprao (Dept.)",設定!$A$29:$A$33,0))/INDEX(実績!$S$5:$S$8,MATCH($I13,実績!$F$5:$F$8,0))/設定!$B$36,0)*設定!$B$36))+W13</f>
        <v>0</v>
      </c>
      <c r="O13" s="25" t="n">
        <f aca="false">SUM(J13:N13)</f>
        <v>1</v>
      </c>
      <c r="P13" s="25" t="n">
        <f aca="false">F13-O13</f>
        <v>2</v>
      </c>
      <c r="Q13" s="6" t="str">
        <f aca="false">IF(P13&lt;0,"入荷数超過→要調整","")</f>
        <v/>
      </c>
      <c r="S13" s="26"/>
      <c r="T13" s="26"/>
      <c r="U13" s="26"/>
      <c r="V13" s="26"/>
      <c r="W13" s="26"/>
    </row>
    <row r="14" customFormat="false" ht="14.25" hidden="false" customHeight="false" outlineLevel="0" collapsed="false">
      <c r="A14" s="6" t="s">
        <v>9</v>
      </c>
      <c r="B14" s="6" t="s">
        <v>97</v>
      </c>
      <c r="C14" s="6" t="s">
        <v>98</v>
      </c>
      <c r="D14" s="6" t="str">
        <f aca="false">LEFT(C14,1)</f>
        <v>M</v>
      </c>
      <c r="E14" s="23" t="s">
        <v>23</v>
      </c>
      <c r="F14" s="9" t="n">
        <v>9</v>
      </c>
      <c r="G14" s="24" t="n">
        <f aca="false">INDEX(設定!$B$6:$B$8,MATCH(A14,設定!$A$6:$A$8,0))</f>
        <v>0.28</v>
      </c>
      <c r="H14" s="6" t="n">
        <f aca="false">ROUND(F14*G14,0)</f>
        <v>3</v>
      </c>
      <c r="I14" s="6" t="str">
        <f aca="false">IF(A14="VFF Spidrwalk","Spidrwalk",IF(A14="VFF Trailope WP","TrailopeWP","GLS_"&amp;D14))</f>
        <v>TrailopeWP</v>
      </c>
      <c r="J14" s="6" t="n">
        <f aca="false">MIN(INDEX(設定!$E$20:$E$24,MATCH("K Village",設定!$A$20:$A$24,0)),MAX(INDEX(設定!$B$20:$D$24,MATCH("K Village",設定!$A$20:$A$24,0),MATCH($E14,設定!$B$19:$D$19,0)),ROUND($H14*INDEX(実績!$N$5:$R$8,MATCH($I14,実績!$F$5:$F$8,0),1)*INDEX(設定!$B$29:$B$33,MATCH("K Village",設定!$A$29:$A$33,0))/INDEX(実績!$S$5:$S$8,MATCH($I14,実績!$F$5:$F$8,0))/設定!$B$36,0)*設定!$B$36))+S14</f>
        <v>1</v>
      </c>
      <c r="K14" s="6" t="n">
        <f aca="false">MIN(INDEX(設定!$E$20:$E$24,MATCH("Central Chidlom",設定!$A$20:$A$24,0)),MAX(INDEX(設定!$B$20:$D$24,MATCH("Central Chidlom",設定!$A$20:$A$24,0),MATCH($E14,設定!$B$19:$D$19,0)),ROUND($H14*INDEX(実績!$N$5:$R$8,MATCH($I14,実績!$F$5:$F$8,0),2)*INDEX(設定!$B$29:$B$33,MATCH("Central Chidlom",設定!$A$29:$A$33,0))/INDEX(実績!$S$5:$S$8,MATCH($I14,実績!$F$5:$F$8,0))/設定!$B$36,0)*設定!$B$36))+T14</f>
        <v>1</v>
      </c>
      <c r="L14" s="6" t="n">
        <f aca="false">MIN(INDEX(設定!$E$20:$E$24,MATCH("Siam Discovery",設定!$A$20:$A$24,0)),MAX(INDEX(設定!$B$20:$D$24,MATCH("Siam Discovery",設定!$A$20:$A$24,0),MATCH($E14,設定!$B$19:$D$19,0)),ROUND($H14*INDEX(実績!$N$5:$R$8,MATCH($I14,実績!$F$5:$F$8,0),3)*INDEX(設定!$B$29:$B$33,MATCH("Siam Discovery",設定!$A$29:$A$33,0))/INDEX(実績!$S$5:$S$8,MATCH($I14,実績!$F$5:$F$8,0))/設定!$B$36,0)*設定!$B$36))+U14</f>
        <v>1</v>
      </c>
      <c r="M14" s="6" t="n">
        <f aca="false">MIN(INDEX(設定!$E$20:$E$24,MATCH("Paradise Park",設定!$A$20:$A$24,0)),MAX(INDEX(設定!$B$20:$D$24,MATCH("Paradise Park",設定!$A$20:$A$24,0),MATCH($E14,設定!$B$19:$D$19,0)),ROUND($H14*INDEX(実績!$N$5:$R$8,MATCH($I14,実績!$F$5:$F$8,0),4)*INDEX(設定!$B$29:$B$33,MATCH("Paradise Park",設定!$A$29:$A$33,0))/INDEX(実績!$S$5:$S$8,MATCH($I14,実績!$F$5:$F$8,0))/設定!$B$36,0)*設定!$B$36))+V14</f>
        <v>1</v>
      </c>
      <c r="N14" s="6" t="n">
        <f aca="false">MIN(INDEX(設定!$E$20:$E$24,MATCH("Central Lardprao (Dept.)",設定!$A$20:$A$24,0)),MAX(INDEX(設定!$B$20:$D$24,MATCH("Central Lardprao (Dept.)",設定!$A$20:$A$24,0),MATCH($E14,設定!$B$19:$D$19,0)),ROUND($H14*INDEX(実績!$N$5:$R$8,MATCH($I14,実績!$F$5:$F$8,0),5)*INDEX(設定!$B$29:$B$33,MATCH("Central Lardprao (Dept.)",設定!$A$29:$A$33,0))/INDEX(実績!$S$5:$S$8,MATCH($I14,実績!$F$5:$F$8,0))/設定!$B$36,0)*設定!$B$36))+W14</f>
        <v>0</v>
      </c>
      <c r="O14" s="25" t="n">
        <f aca="false">SUM(J14:N14)</f>
        <v>4</v>
      </c>
      <c r="P14" s="25" t="n">
        <f aca="false">F14-O14</f>
        <v>5</v>
      </c>
      <c r="Q14" s="6" t="str">
        <f aca="false">IF(P14&lt;0,"入荷数超過→要調整","")</f>
        <v/>
      </c>
      <c r="S14" s="26"/>
      <c r="T14" s="26"/>
      <c r="U14" s="26"/>
      <c r="V14" s="26"/>
      <c r="W14" s="26"/>
    </row>
    <row r="15" customFormat="false" ht="14.25" hidden="false" customHeight="false" outlineLevel="0" collapsed="false">
      <c r="A15" s="6" t="s">
        <v>9</v>
      </c>
      <c r="B15" s="6" t="s">
        <v>97</v>
      </c>
      <c r="C15" s="6" t="s">
        <v>99</v>
      </c>
      <c r="D15" s="6" t="str">
        <f aca="false">LEFT(C15,1)</f>
        <v>M</v>
      </c>
      <c r="E15" s="23" t="s">
        <v>22</v>
      </c>
      <c r="F15" s="9" t="n">
        <v>18</v>
      </c>
      <c r="G15" s="24" t="n">
        <f aca="false">INDEX(設定!$B$6:$B$8,MATCH(A15,設定!$A$6:$A$8,0))</f>
        <v>0.28</v>
      </c>
      <c r="H15" s="6" t="n">
        <f aca="false">ROUND(F15*G15,0)</f>
        <v>5</v>
      </c>
      <c r="I15" s="6" t="str">
        <f aca="false">IF(A15="VFF Spidrwalk","Spidrwalk",IF(A15="VFF Trailope WP","TrailopeWP","GLS_"&amp;D15))</f>
        <v>TrailopeWP</v>
      </c>
      <c r="J15" s="6" t="n">
        <f aca="false">MIN(INDEX(設定!$E$20:$E$24,MATCH("K Village",設定!$A$20:$A$24,0)),MAX(INDEX(設定!$B$20:$D$24,MATCH("K Village",設定!$A$20:$A$24,0),MATCH($E15,設定!$B$19:$D$19,0)),ROUND($H15*INDEX(実績!$N$5:$R$8,MATCH($I15,実績!$F$5:$F$8,0),1)*INDEX(設定!$B$29:$B$33,MATCH("K Village",設定!$A$29:$A$33,0))/INDEX(実績!$S$5:$S$8,MATCH($I15,実績!$F$5:$F$8,0))/設定!$B$36,0)*設定!$B$36))+S15</f>
        <v>2</v>
      </c>
      <c r="K15" s="6" t="n">
        <f aca="false">MIN(INDEX(設定!$E$20:$E$24,MATCH("Central Chidlom",設定!$A$20:$A$24,0)),MAX(INDEX(設定!$B$20:$D$24,MATCH("Central Chidlom",設定!$A$20:$A$24,0),MATCH($E15,設定!$B$19:$D$19,0)),ROUND($H15*INDEX(実績!$N$5:$R$8,MATCH($I15,実績!$F$5:$F$8,0),2)*INDEX(設定!$B$29:$B$33,MATCH("Central Chidlom",設定!$A$29:$A$33,0))/INDEX(実績!$S$5:$S$8,MATCH($I15,実績!$F$5:$F$8,0))/設定!$B$36,0)*設定!$B$36))+T15</f>
        <v>1</v>
      </c>
      <c r="L15" s="6" t="n">
        <f aca="false">MIN(INDEX(設定!$E$20:$E$24,MATCH("Siam Discovery",設定!$A$20:$A$24,0)),MAX(INDEX(設定!$B$20:$D$24,MATCH("Siam Discovery",設定!$A$20:$A$24,0),MATCH($E15,設定!$B$19:$D$19,0)),ROUND($H15*INDEX(実績!$N$5:$R$8,MATCH($I15,実績!$F$5:$F$8,0),3)*INDEX(設定!$B$29:$B$33,MATCH("Siam Discovery",設定!$A$29:$A$33,0))/INDEX(実績!$S$5:$S$8,MATCH($I15,実績!$F$5:$F$8,0))/設定!$B$36,0)*設定!$B$36))+U15</f>
        <v>1</v>
      </c>
      <c r="M15" s="6" t="n">
        <f aca="false">MIN(INDEX(設定!$E$20:$E$24,MATCH("Paradise Park",設定!$A$20:$A$24,0)),MAX(INDEX(設定!$B$20:$D$24,MATCH("Paradise Park",設定!$A$20:$A$24,0),MATCH($E15,設定!$B$19:$D$19,0)),ROUND($H15*INDEX(実績!$N$5:$R$8,MATCH($I15,実績!$F$5:$F$8,0),4)*INDEX(設定!$B$29:$B$33,MATCH("Paradise Park",設定!$A$29:$A$33,0))/INDEX(実績!$S$5:$S$8,MATCH($I15,実績!$F$5:$F$8,0))/設定!$B$36,0)*設定!$B$36))+V15</f>
        <v>1</v>
      </c>
      <c r="N15" s="6" t="n">
        <f aca="false">MIN(INDEX(設定!$E$20:$E$24,MATCH("Central Lardprao (Dept.)",設定!$A$20:$A$24,0)),MAX(INDEX(設定!$B$20:$D$24,MATCH("Central Lardprao (Dept.)",設定!$A$20:$A$24,0),MATCH($E15,設定!$B$19:$D$19,0)),ROUND($H15*INDEX(実績!$N$5:$R$8,MATCH($I15,実績!$F$5:$F$8,0),5)*INDEX(設定!$B$29:$B$33,MATCH("Central Lardprao (Dept.)",設定!$A$29:$A$33,0))/INDEX(実績!$S$5:$S$8,MATCH($I15,実績!$F$5:$F$8,0))/設定!$B$36,0)*設定!$B$36))+W15</f>
        <v>0</v>
      </c>
      <c r="O15" s="25" t="n">
        <f aca="false">SUM(J15:N15)</f>
        <v>5</v>
      </c>
      <c r="P15" s="25" t="n">
        <f aca="false">F15-O15</f>
        <v>13</v>
      </c>
      <c r="Q15" s="6" t="str">
        <f aca="false">IF(P15&lt;0,"入荷数超過→要調整","")</f>
        <v/>
      </c>
      <c r="S15" s="26"/>
      <c r="T15" s="26"/>
      <c r="U15" s="26"/>
      <c r="V15" s="26"/>
      <c r="W15" s="26"/>
    </row>
    <row r="16" customFormat="false" ht="14.25" hidden="false" customHeight="false" outlineLevel="0" collapsed="false">
      <c r="A16" s="6" t="s">
        <v>9</v>
      </c>
      <c r="B16" s="6" t="s">
        <v>97</v>
      </c>
      <c r="C16" s="6" t="s">
        <v>100</v>
      </c>
      <c r="D16" s="6" t="str">
        <f aca="false">LEFT(C16,1)</f>
        <v>M</v>
      </c>
      <c r="E16" s="23" t="s">
        <v>22</v>
      </c>
      <c r="F16" s="9" t="n">
        <v>24</v>
      </c>
      <c r="G16" s="24" t="n">
        <f aca="false">INDEX(設定!$B$6:$B$8,MATCH(A16,設定!$A$6:$A$8,0))</f>
        <v>0.28</v>
      </c>
      <c r="H16" s="6" t="n">
        <f aca="false">ROUND(F16*G16,0)</f>
        <v>7</v>
      </c>
      <c r="I16" s="6" t="str">
        <f aca="false">IF(A16="VFF Spidrwalk","Spidrwalk",IF(A16="VFF Trailope WP","TrailopeWP","GLS_"&amp;D16))</f>
        <v>TrailopeWP</v>
      </c>
      <c r="J16" s="6" t="n">
        <f aca="false">MIN(INDEX(設定!$E$20:$E$24,MATCH("K Village",設定!$A$20:$A$24,0)),MAX(INDEX(設定!$B$20:$D$24,MATCH("K Village",設定!$A$20:$A$24,0),MATCH($E16,設定!$B$19:$D$19,0)),ROUND($H16*INDEX(実績!$N$5:$R$8,MATCH($I16,実績!$F$5:$F$8,0),1)*INDEX(設定!$B$29:$B$33,MATCH("K Village",設定!$A$29:$A$33,0))/INDEX(実績!$S$5:$S$8,MATCH($I16,実績!$F$5:$F$8,0))/設定!$B$36,0)*設定!$B$36))+S16</f>
        <v>2</v>
      </c>
      <c r="K16" s="6" t="n">
        <f aca="false">MIN(INDEX(設定!$E$20:$E$24,MATCH("Central Chidlom",設定!$A$20:$A$24,0)),MAX(INDEX(設定!$B$20:$D$24,MATCH("Central Chidlom",設定!$A$20:$A$24,0),MATCH($E16,設定!$B$19:$D$19,0)),ROUND($H16*INDEX(実績!$N$5:$R$8,MATCH($I16,実績!$F$5:$F$8,0),2)*INDEX(設定!$B$29:$B$33,MATCH("Central Chidlom",設定!$A$29:$A$33,0))/INDEX(実績!$S$5:$S$8,MATCH($I16,実績!$F$5:$F$8,0))/設定!$B$36,0)*設定!$B$36))+T16</f>
        <v>1</v>
      </c>
      <c r="L16" s="6" t="n">
        <f aca="false">MIN(INDEX(設定!$E$20:$E$24,MATCH("Siam Discovery",設定!$A$20:$A$24,0)),MAX(INDEX(設定!$B$20:$D$24,MATCH("Siam Discovery",設定!$A$20:$A$24,0),MATCH($E16,設定!$B$19:$D$19,0)),ROUND($H16*INDEX(実績!$N$5:$R$8,MATCH($I16,実績!$F$5:$F$8,0),3)*INDEX(設定!$B$29:$B$33,MATCH("Siam Discovery",設定!$A$29:$A$33,0))/INDEX(実績!$S$5:$S$8,MATCH($I16,実績!$F$5:$F$8,0))/設定!$B$36,0)*設定!$B$36))+U16</f>
        <v>1</v>
      </c>
      <c r="M16" s="6" t="n">
        <f aca="false">MIN(INDEX(設定!$E$20:$E$24,MATCH("Paradise Park",設定!$A$20:$A$24,0)),MAX(INDEX(設定!$B$20:$D$24,MATCH("Paradise Park",設定!$A$20:$A$24,0),MATCH($E16,設定!$B$19:$D$19,0)),ROUND($H16*INDEX(実績!$N$5:$R$8,MATCH($I16,実績!$F$5:$F$8,0),4)*INDEX(設定!$B$29:$B$33,MATCH("Paradise Park",設定!$A$29:$A$33,0))/INDEX(実績!$S$5:$S$8,MATCH($I16,実績!$F$5:$F$8,0))/設定!$B$36,0)*設定!$B$36))+V16</f>
        <v>2</v>
      </c>
      <c r="N16" s="6" t="n">
        <f aca="false">MIN(INDEX(設定!$E$20:$E$24,MATCH("Central Lardprao (Dept.)",設定!$A$20:$A$24,0)),MAX(INDEX(設定!$B$20:$D$24,MATCH("Central Lardprao (Dept.)",設定!$A$20:$A$24,0),MATCH($E16,設定!$B$19:$D$19,0)),ROUND($H16*INDEX(実績!$N$5:$R$8,MATCH($I16,実績!$F$5:$F$8,0),5)*INDEX(設定!$B$29:$B$33,MATCH("Central Lardprao (Dept.)",設定!$A$29:$A$33,0))/INDEX(実績!$S$5:$S$8,MATCH($I16,実績!$F$5:$F$8,0))/設定!$B$36,0)*設定!$B$36))+W16</f>
        <v>1</v>
      </c>
      <c r="O16" s="25" t="n">
        <f aca="false">SUM(J16:N16)</f>
        <v>7</v>
      </c>
      <c r="P16" s="25" t="n">
        <f aca="false">F16-O16</f>
        <v>17</v>
      </c>
      <c r="Q16" s="6" t="str">
        <f aca="false">IF(P16&lt;0,"入荷数超過→要調整","")</f>
        <v/>
      </c>
      <c r="S16" s="26"/>
      <c r="T16" s="26"/>
      <c r="U16" s="26"/>
      <c r="V16" s="26"/>
      <c r="W16" s="27" t="n">
        <v>1</v>
      </c>
    </row>
    <row r="17" customFormat="false" ht="14.25" hidden="false" customHeight="false" outlineLevel="0" collapsed="false">
      <c r="A17" s="6" t="s">
        <v>9</v>
      </c>
      <c r="B17" s="6" t="s">
        <v>97</v>
      </c>
      <c r="C17" s="6" t="s">
        <v>101</v>
      </c>
      <c r="D17" s="6" t="str">
        <f aca="false">LEFT(C17,1)</f>
        <v>M</v>
      </c>
      <c r="E17" s="23" t="s">
        <v>22</v>
      </c>
      <c r="F17" s="9" t="n">
        <v>30</v>
      </c>
      <c r="G17" s="24" t="n">
        <f aca="false">INDEX(設定!$B$6:$B$8,MATCH(A17,設定!$A$6:$A$8,0))</f>
        <v>0.28</v>
      </c>
      <c r="H17" s="6" t="n">
        <f aca="false">ROUND(F17*G17,0)</f>
        <v>8</v>
      </c>
      <c r="I17" s="6" t="str">
        <f aca="false">IF(A17="VFF Spidrwalk","Spidrwalk",IF(A17="VFF Trailope WP","TrailopeWP","GLS_"&amp;D17))</f>
        <v>TrailopeWP</v>
      </c>
      <c r="J17" s="6" t="n">
        <f aca="false">MIN(INDEX(設定!$E$20:$E$24,MATCH("K Village",設定!$A$20:$A$24,0)),MAX(INDEX(設定!$B$20:$D$24,MATCH("K Village",設定!$A$20:$A$24,0),MATCH($E17,設定!$B$19:$D$19,0)),ROUND($H17*INDEX(実績!$N$5:$R$8,MATCH($I17,実績!$F$5:$F$8,0),1)*INDEX(設定!$B$29:$B$33,MATCH("K Village",設定!$A$29:$A$33,0))/INDEX(実績!$S$5:$S$8,MATCH($I17,実績!$F$5:$F$8,0))/設定!$B$36,0)*設定!$B$36))+S17</f>
        <v>2</v>
      </c>
      <c r="K17" s="6" t="n">
        <f aca="false">MIN(INDEX(設定!$E$20:$E$24,MATCH("Central Chidlom",設定!$A$20:$A$24,0)),MAX(INDEX(設定!$B$20:$D$24,MATCH("Central Chidlom",設定!$A$20:$A$24,0),MATCH($E17,設定!$B$19:$D$19,0)),ROUND($H17*INDEX(実績!$N$5:$R$8,MATCH($I17,実績!$F$5:$F$8,0),2)*INDEX(設定!$B$29:$B$33,MATCH("Central Chidlom",設定!$A$29:$A$33,0))/INDEX(実績!$S$5:$S$8,MATCH($I17,実績!$F$5:$F$8,0))/設定!$B$36,0)*設定!$B$36))+T17</f>
        <v>1</v>
      </c>
      <c r="L17" s="6" t="n">
        <f aca="false">MIN(INDEX(設定!$E$20:$E$24,MATCH("Siam Discovery",設定!$A$20:$A$24,0)),MAX(INDEX(設定!$B$20:$D$24,MATCH("Siam Discovery",設定!$A$20:$A$24,0),MATCH($E17,設定!$B$19:$D$19,0)),ROUND($H17*INDEX(実績!$N$5:$R$8,MATCH($I17,実績!$F$5:$F$8,0),3)*INDEX(設定!$B$29:$B$33,MATCH("Siam Discovery",設定!$A$29:$A$33,0))/INDEX(実績!$S$5:$S$8,MATCH($I17,実績!$F$5:$F$8,0))/設定!$B$36,0)*設定!$B$36))+U17</f>
        <v>1</v>
      </c>
      <c r="M17" s="6" t="n">
        <f aca="false">MIN(INDEX(設定!$E$20:$E$24,MATCH("Paradise Park",設定!$A$20:$A$24,0)),MAX(INDEX(設定!$B$20:$D$24,MATCH("Paradise Park",設定!$A$20:$A$24,0),MATCH($E17,設定!$B$19:$D$19,0)),ROUND($H17*INDEX(実績!$N$5:$R$8,MATCH($I17,実績!$F$5:$F$8,0),4)*INDEX(設定!$B$29:$B$33,MATCH("Paradise Park",設定!$A$29:$A$33,0))/INDEX(実績!$S$5:$S$8,MATCH($I17,実績!$F$5:$F$8,0))/設定!$B$36,0)*設定!$B$36))+V17</f>
        <v>2</v>
      </c>
      <c r="N17" s="6" t="n">
        <f aca="false">MIN(INDEX(設定!$E$20:$E$24,MATCH("Central Lardprao (Dept.)",設定!$A$20:$A$24,0)),MAX(INDEX(設定!$B$20:$D$24,MATCH("Central Lardprao (Dept.)",設定!$A$20:$A$24,0),MATCH($E17,設定!$B$19:$D$19,0)),ROUND($H17*INDEX(実績!$N$5:$R$8,MATCH($I17,実績!$F$5:$F$8,0),5)*INDEX(設定!$B$29:$B$33,MATCH("Central Lardprao (Dept.)",設定!$A$29:$A$33,0))/INDEX(実績!$S$5:$S$8,MATCH($I17,実績!$F$5:$F$8,0))/設定!$B$36,0)*設定!$B$36))+W17</f>
        <v>1</v>
      </c>
      <c r="O17" s="25" t="n">
        <f aca="false">SUM(J17:N17)</f>
        <v>7</v>
      </c>
      <c r="P17" s="25" t="n">
        <f aca="false">F17-O17</f>
        <v>23</v>
      </c>
      <c r="Q17" s="6" t="str">
        <f aca="false">IF(P17&lt;0,"入荷数超過→要調整","")</f>
        <v/>
      </c>
      <c r="S17" s="26"/>
      <c r="T17" s="26"/>
      <c r="U17" s="26"/>
      <c r="V17" s="26"/>
      <c r="W17" s="27" t="n">
        <v>1</v>
      </c>
    </row>
    <row r="18" customFormat="false" ht="14.25" hidden="false" customHeight="false" outlineLevel="0" collapsed="false">
      <c r="A18" s="6" t="s">
        <v>9</v>
      </c>
      <c r="B18" s="6" t="s">
        <v>97</v>
      </c>
      <c r="C18" s="6" t="s">
        <v>102</v>
      </c>
      <c r="D18" s="6" t="str">
        <f aca="false">LEFT(C18,1)</f>
        <v>M</v>
      </c>
      <c r="E18" s="23" t="s">
        <v>22</v>
      </c>
      <c r="F18" s="9" t="n">
        <v>21</v>
      </c>
      <c r="G18" s="24" t="n">
        <f aca="false">INDEX(設定!$B$6:$B$8,MATCH(A18,設定!$A$6:$A$8,0))</f>
        <v>0.28</v>
      </c>
      <c r="H18" s="6" t="n">
        <f aca="false">ROUND(F18*G18,0)</f>
        <v>6</v>
      </c>
      <c r="I18" s="6" t="str">
        <f aca="false">IF(A18="VFF Spidrwalk","Spidrwalk",IF(A18="VFF Trailope WP","TrailopeWP","GLS_"&amp;D18))</f>
        <v>TrailopeWP</v>
      </c>
      <c r="J18" s="6" t="n">
        <f aca="false">MIN(INDEX(設定!$E$20:$E$24,MATCH("K Village",設定!$A$20:$A$24,0)),MAX(INDEX(設定!$B$20:$D$24,MATCH("K Village",設定!$A$20:$A$24,0),MATCH($E18,設定!$B$19:$D$19,0)),ROUND($H18*INDEX(実績!$N$5:$R$8,MATCH($I18,実績!$F$5:$F$8,0),1)*INDEX(設定!$B$29:$B$33,MATCH("K Village",設定!$A$29:$A$33,0))/INDEX(実績!$S$5:$S$8,MATCH($I18,実績!$F$5:$F$8,0))/設定!$B$36,0)*設定!$B$36))+S18</f>
        <v>2</v>
      </c>
      <c r="K18" s="6" t="n">
        <f aca="false">MIN(INDEX(設定!$E$20:$E$24,MATCH("Central Chidlom",設定!$A$20:$A$24,0)),MAX(INDEX(設定!$B$20:$D$24,MATCH("Central Chidlom",設定!$A$20:$A$24,0),MATCH($E18,設定!$B$19:$D$19,0)),ROUND($H18*INDEX(実績!$N$5:$R$8,MATCH($I18,実績!$F$5:$F$8,0),2)*INDEX(設定!$B$29:$B$33,MATCH("Central Chidlom",設定!$A$29:$A$33,0))/INDEX(実績!$S$5:$S$8,MATCH($I18,実績!$F$5:$F$8,0))/設定!$B$36,0)*設定!$B$36))+T18</f>
        <v>1</v>
      </c>
      <c r="L18" s="6" t="n">
        <f aca="false">MIN(INDEX(設定!$E$20:$E$24,MATCH("Siam Discovery",設定!$A$20:$A$24,0)),MAX(INDEX(設定!$B$20:$D$24,MATCH("Siam Discovery",設定!$A$20:$A$24,0),MATCH($E18,設定!$B$19:$D$19,0)),ROUND($H18*INDEX(実績!$N$5:$R$8,MATCH($I18,実績!$F$5:$F$8,0),3)*INDEX(設定!$B$29:$B$33,MATCH("Siam Discovery",設定!$A$29:$A$33,0))/INDEX(実績!$S$5:$S$8,MATCH($I18,実績!$F$5:$F$8,0))/設定!$B$36,0)*設定!$B$36))+U18</f>
        <v>1</v>
      </c>
      <c r="M18" s="6" t="n">
        <f aca="false">MIN(INDEX(設定!$E$20:$E$24,MATCH("Paradise Park",設定!$A$20:$A$24,0)),MAX(INDEX(設定!$B$20:$D$24,MATCH("Paradise Park",設定!$A$20:$A$24,0),MATCH($E18,設定!$B$19:$D$19,0)),ROUND($H18*INDEX(実績!$N$5:$R$8,MATCH($I18,実績!$F$5:$F$8,0),4)*INDEX(設定!$B$29:$B$33,MATCH("Paradise Park",設定!$A$29:$A$33,0))/INDEX(実績!$S$5:$S$8,MATCH($I18,実績!$F$5:$F$8,0))/設定!$B$36,0)*設定!$B$36))+V18</f>
        <v>1</v>
      </c>
      <c r="N18" s="6" t="n">
        <f aca="false">MIN(INDEX(設定!$E$20:$E$24,MATCH("Central Lardprao (Dept.)",設定!$A$20:$A$24,0)),MAX(INDEX(設定!$B$20:$D$24,MATCH("Central Lardprao (Dept.)",設定!$A$20:$A$24,0),MATCH($E18,設定!$B$19:$D$19,0)),ROUND($H18*INDEX(実績!$N$5:$R$8,MATCH($I18,実績!$F$5:$F$8,0),5)*INDEX(設定!$B$29:$B$33,MATCH("Central Lardprao (Dept.)",設定!$A$29:$A$33,0))/INDEX(実績!$S$5:$S$8,MATCH($I18,実績!$F$5:$F$8,0))/設定!$B$36,0)*設定!$B$36))+W18</f>
        <v>0</v>
      </c>
      <c r="O18" s="25" t="n">
        <f aca="false">SUM(J18:N18)</f>
        <v>5</v>
      </c>
      <c r="P18" s="25" t="n">
        <f aca="false">F18-O18</f>
        <v>16</v>
      </c>
      <c r="Q18" s="6" t="str">
        <f aca="false">IF(P18&lt;0,"入荷数超過→要調整","")</f>
        <v/>
      </c>
      <c r="S18" s="26"/>
      <c r="T18" s="26"/>
      <c r="U18" s="26"/>
      <c r="V18" s="26"/>
      <c r="W18" s="26"/>
    </row>
    <row r="19" customFormat="false" ht="14.25" hidden="false" customHeight="false" outlineLevel="0" collapsed="false">
      <c r="A19" s="6" t="s">
        <v>9</v>
      </c>
      <c r="B19" s="6" t="s">
        <v>97</v>
      </c>
      <c r="C19" s="6" t="s">
        <v>103</v>
      </c>
      <c r="D19" s="6" t="str">
        <f aca="false">LEFT(C19,1)</f>
        <v>M</v>
      </c>
      <c r="E19" s="23" t="s">
        <v>23</v>
      </c>
      <c r="F19" s="9" t="n">
        <v>12</v>
      </c>
      <c r="G19" s="24" t="n">
        <f aca="false">INDEX(設定!$B$6:$B$8,MATCH(A19,設定!$A$6:$A$8,0))</f>
        <v>0.28</v>
      </c>
      <c r="H19" s="6" t="n">
        <f aca="false">ROUND(F19*G19,0)</f>
        <v>3</v>
      </c>
      <c r="I19" s="6" t="str">
        <f aca="false">IF(A19="VFF Spidrwalk","Spidrwalk",IF(A19="VFF Trailope WP","TrailopeWP","GLS_"&amp;D19))</f>
        <v>TrailopeWP</v>
      </c>
      <c r="J19" s="6" t="n">
        <f aca="false">MIN(INDEX(設定!$E$20:$E$24,MATCH("K Village",設定!$A$20:$A$24,0)),MAX(INDEX(設定!$B$20:$D$24,MATCH("K Village",設定!$A$20:$A$24,0),MATCH($E19,設定!$B$19:$D$19,0)),ROUND($H19*INDEX(実績!$N$5:$R$8,MATCH($I19,実績!$F$5:$F$8,0),1)*INDEX(設定!$B$29:$B$33,MATCH("K Village",設定!$A$29:$A$33,0))/INDEX(実績!$S$5:$S$8,MATCH($I19,実績!$F$5:$F$8,0))/設定!$B$36,0)*設定!$B$36))+S19</f>
        <v>1</v>
      </c>
      <c r="K19" s="6" t="n">
        <f aca="false">MIN(INDEX(設定!$E$20:$E$24,MATCH("Central Chidlom",設定!$A$20:$A$24,0)),MAX(INDEX(設定!$B$20:$D$24,MATCH("Central Chidlom",設定!$A$20:$A$24,0),MATCH($E19,設定!$B$19:$D$19,0)),ROUND($H19*INDEX(実績!$N$5:$R$8,MATCH($I19,実績!$F$5:$F$8,0),2)*INDEX(設定!$B$29:$B$33,MATCH("Central Chidlom",設定!$A$29:$A$33,0))/INDEX(実績!$S$5:$S$8,MATCH($I19,実績!$F$5:$F$8,0))/設定!$B$36,0)*設定!$B$36))+T19</f>
        <v>1</v>
      </c>
      <c r="L19" s="6" t="n">
        <f aca="false">MIN(INDEX(設定!$E$20:$E$24,MATCH("Siam Discovery",設定!$A$20:$A$24,0)),MAX(INDEX(設定!$B$20:$D$24,MATCH("Siam Discovery",設定!$A$20:$A$24,0),MATCH($E19,設定!$B$19:$D$19,0)),ROUND($H19*INDEX(実績!$N$5:$R$8,MATCH($I19,実績!$F$5:$F$8,0),3)*INDEX(設定!$B$29:$B$33,MATCH("Siam Discovery",設定!$A$29:$A$33,0))/INDEX(実績!$S$5:$S$8,MATCH($I19,実績!$F$5:$F$8,0))/設定!$B$36,0)*設定!$B$36))+U19</f>
        <v>1</v>
      </c>
      <c r="M19" s="6" t="n">
        <f aca="false">MIN(INDEX(設定!$E$20:$E$24,MATCH("Paradise Park",設定!$A$20:$A$24,0)),MAX(INDEX(設定!$B$20:$D$24,MATCH("Paradise Park",設定!$A$20:$A$24,0),MATCH($E19,設定!$B$19:$D$19,0)),ROUND($H19*INDEX(実績!$N$5:$R$8,MATCH($I19,実績!$F$5:$F$8,0),4)*INDEX(設定!$B$29:$B$33,MATCH("Paradise Park",設定!$A$29:$A$33,0))/INDEX(実績!$S$5:$S$8,MATCH($I19,実績!$F$5:$F$8,0))/設定!$B$36,0)*設定!$B$36))+V19</f>
        <v>1</v>
      </c>
      <c r="N19" s="6" t="n">
        <f aca="false">MIN(INDEX(設定!$E$20:$E$24,MATCH("Central Lardprao (Dept.)",設定!$A$20:$A$24,0)),MAX(INDEX(設定!$B$20:$D$24,MATCH("Central Lardprao (Dept.)",設定!$A$20:$A$24,0),MATCH($E19,設定!$B$19:$D$19,0)),ROUND($H19*INDEX(実績!$N$5:$R$8,MATCH($I19,実績!$F$5:$F$8,0),5)*INDEX(設定!$B$29:$B$33,MATCH("Central Lardprao (Dept.)",設定!$A$29:$A$33,0))/INDEX(実績!$S$5:$S$8,MATCH($I19,実績!$F$5:$F$8,0))/設定!$B$36,0)*設定!$B$36))+W19</f>
        <v>0</v>
      </c>
      <c r="O19" s="25" t="n">
        <f aca="false">SUM(J19:N19)</f>
        <v>4</v>
      </c>
      <c r="P19" s="25" t="n">
        <f aca="false">F19-O19</f>
        <v>8</v>
      </c>
      <c r="Q19" s="6" t="str">
        <f aca="false">IF(P19&lt;0,"入荷数超過→要調整","")</f>
        <v/>
      </c>
      <c r="S19" s="26"/>
      <c r="T19" s="26"/>
      <c r="U19" s="26"/>
      <c r="V19" s="26"/>
      <c r="W19" s="26"/>
    </row>
    <row r="20" customFormat="false" ht="14.25" hidden="false" customHeight="false" outlineLevel="0" collapsed="false">
      <c r="A20" s="6" t="s">
        <v>9</v>
      </c>
      <c r="B20" s="6" t="s">
        <v>97</v>
      </c>
      <c r="C20" s="6" t="s">
        <v>104</v>
      </c>
      <c r="D20" s="6" t="str">
        <f aca="false">LEFT(C20,1)</f>
        <v>M</v>
      </c>
      <c r="E20" s="23" t="s">
        <v>23</v>
      </c>
      <c r="F20" s="9" t="n">
        <v>9</v>
      </c>
      <c r="G20" s="24" t="n">
        <f aca="false">INDEX(設定!$B$6:$B$8,MATCH(A20,設定!$A$6:$A$8,0))</f>
        <v>0.28</v>
      </c>
      <c r="H20" s="6" t="n">
        <f aca="false">ROUND(F20*G20,0)</f>
        <v>3</v>
      </c>
      <c r="I20" s="6" t="str">
        <f aca="false">IF(A20="VFF Spidrwalk","Spidrwalk",IF(A20="VFF Trailope WP","TrailopeWP","GLS_"&amp;D20))</f>
        <v>TrailopeWP</v>
      </c>
      <c r="J20" s="6" t="n">
        <f aca="false">MIN(INDEX(設定!$E$20:$E$24,MATCH("K Village",設定!$A$20:$A$24,0)),MAX(INDEX(設定!$B$20:$D$24,MATCH("K Village",設定!$A$20:$A$24,0),MATCH($E20,設定!$B$19:$D$19,0)),ROUND($H20*INDEX(実績!$N$5:$R$8,MATCH($I20,実績!$F$5:$F$8,0),1)*INDEX(設定!$B$29:$B$33,MATCH("K Village",設定!$A$29:$A$33,0))/INDEX(実績!$S$5:$S$8,MATCH($I20,実績!$F$5:$F$8,0))/設定!$B$36,0)*設定!$B$36))+S20</f>
        <v>1</v>
      </c>
      <c r="K20" s="6" t="n">
        <f aca="false">MIN(INDEX(設定!$E$20:$E$24,MATCH("Central Chidlom",設定!$A$20:$A$24,0)),MAX(INDEX(設定!$B$20:$D$24,MATCH("Central Chidlom",設定!$A$20:$A$24,0),MATCH($E20,設定!$B$19:$D$19,0)),ROUND($H20*INDEX(実績!$N$5:$R$8,MATCH($I20,実績!$F$5:$F$8,0),2)*INDEX(設定!$B$29:$B$33,MATCH("Central Chidlom",設定!$A$29:$A$33,0))/INDEX(実績!$S$5:$S$8,MATCH($I20,実績!$F$5:$F$8,0))/設定!$B$36,0)*設定!$B$36))+T20</f>
        <v>1</v>
      </c>
      <c r="L20" s="6" t="n">
        <f aca="false">MIN(INDEX(設定!$E$20:$E$24,MATCH("Siam Discovery",設定!$A$20:$A$24,0)),MAX(INDEX(設定!$B$20:$D$24,MATCH("Siam Discovery",設定!$A$20:$A$24,0),MATCH($E20,設定!$B$19:$D$19,0)),ROUND($H20*INDEX(実績!$N$5:$R$8,MATCH($I20,実績!$F$5:$F$8,0),3)*INDEX(設定!$B$29:$B$33,MATCH("Siam Discovery",設定!$A$29:$A$33,0))/INDEX(実績!$S$5:$S$8,MATCH($I20,実績!$F$5:$F$8,0))/設定!$B$36,0)*設定!$B$36))+U20</f>
        <v>1</v>
      </c>
      <c r="M20" s="6" t="n">
        <f aca="false">MIN(INDEX(設定!$E$20:$E$24,MATCH("Paradise Park",設定!$A$20:$A$24,0)),MAX(INDEX(設定!$B$20:$D$24,MATCH("Paradise Park",設定!$A$20:$A$24,0),MATCH($E20,設定!$B$19:$D$19,0)),ROUND($H20*INDEX(実績!$N$5:$R$8,MATCH($I20,実績!$F$5:$F$8,0),4)*INDEX(設定!$B$29:$B$33,MATCH("Paradise Park",設定!$A$29:$A$33,0))/INDEX(実績!$S$5:$S$8,MATCH($I20,実績!$F$5:$F$8,0))/設定!$B$36,0)*設定!$B$36))+V20</f>
        <v>1</v>
      </c>
      <c r="N20" s="6" t="n">
        <f aca="false">MIN(INDEX(設定!$E$20:$E$24,MATCH("Central Lardprao (Dept.)",設定!$A$20:$A$24,0)),MAX(INDEX(設定!$B$20:$D$24,MATCH("Central Lardprao (Dept.)",設定!$A$20:$A$24,0),MATCH($E20,設定!$B$19:$D$19,0)),ROUND($H20*INDEX(実績!$N$5:$R$8,MATCH($I20,実績!$F$5:$F$8,0),5)*INDEX(設定!$B$29:$B$33,MATCH("Central Lardprao (Dept.)",設定!$A$29:$A$33,0))/INDEX(実績!$S$5:$S$8,MATCH($I20,実績!$F$5:$F$8,0))/設定!$B$36,0)*設定!$B$36))+W20</f>
        <v>0</v>
      </c>
      <c r="O20" s="25" t="n">
        <f aca="false">SUM(J20:N20)</f>
        <v>4</v>
      </c>
      <c r="P20" s="25" t="n">
        <f aca="false">F20-O20</f>
        <v>5</v>
      </c>
      <c r="Q20" s="6" t="str">
        <f aca="false">IF(P20&lt;0,"入荷数超過→要調整","")</f>
        <v/>
      </c>
      <c r="S20" s="26"/>
      <c r="T20" s="26"/>
      <c r="U20" s="26"/>
      <c r="V20" s="26"/>
      <c r="W20" s="26"/>
    </row>
    <row r="21" customFormat="false" ht="14.25" hidden="false" customHeight="false" outlineLevel="0" collapsed="false">
      <c r="A21" s="6" t="s">
        <v>9</v>
      </c>
      <c r="B21" s="6" t="s">
        <v>97</v>
      </c>
      <c r="C21" s="6" t="s">
        <v>105</v>
      </c>
      <c r="D21" s="6" t="str">
        <f aca="false">LEFT(C21,1)</f>
        <v>M</v>
      </c>
      <c r="E21" s="23" t="s">
        <v>24</v>
      </c>
      <c r="F21" s="9" t="n">
        <v>6</v>
      </c>
      <c r="G21" s="24" t="n">
        <f aca="false">INDEX(設定!$B$6:$B$8,MATCH(A21,設定!$A$6:$A$8,0))</f>
        <v>0.28</v>
      </c>
      <c r="H21" s="6" t="n">
        <f aca="false">ROUND(F21*G21,0)</f>
        <v>2</v>
      </c>
      <c r="I21" s="6" t="str">
        <f aca="false">IF(A21="VFF Spidrwalk","Spidrwalk",IF(A21="VFF Trailope WP","TrailopeWP","GLS_"&amp;D21))</f>
        <v>TrailopeWP</v>
      </c>
      <c r="J21" s="6" t="n">
        <f aca="false">MIN(INDEX(設定!$E$20:$E$24,MATCH("K Village",設定!$A$20:$A$24,0)),MAX(INDEX(設定!$B$20:$D$24,MATCH("K Village",設定!$A$20:$A$24,0),MATCH($E21,設定!$B$19:$D$19,0)),ROUND($H21*INDEX(実績!$N$5:$R$8,MATCH($I21,実績!$F$5:$F$8,0),1)*INDEX(設定!$B$29:$B$33,MATCH("K Village",設定!$A$29:$A$33,0))/INDEX(実績!$S$5:$S$8,MATCH($I21,実績!$F$5:$F$8,0))/設定!$B$36,0)*設定!$B$36))+S21</f>
        <v>1</v>
      </c>
      <c r="K21" s="6" t="n">
        <f aca="false">MIN(INDEX(設定!$E$20:$E$24,MATCH("Central Chidlom",設定!$A$20:$A$24,0)),MAX(INDEX(設定!$B$20:$D$24,MATCH("Central Chidlom",設定!$A$20:$A$24,0),MATCH($E21,設定!$B$19:$D$19,0)),ROUND($H21*INDEX(実績!$N$5:$R$8,MATCH($I21,実績!$F$5:$F$8,0),2)*INDEX(設定!$B$29:$B$33,MATCH("Central Chidlom",設定!$A$29:$A$33,0))/INDEX(実績!$S$5:$S$8,MATCH($I21,実績!$F$5:$F$8,0))/設定!$B$36,0)*設定!$B$36))+T21</f>
        <v>0</v>
      </c>
      <c r="L21" s="6" t="n">
        <f aca="false">MIN(INDEX(設定!$E$20:$E$24,MATCH("Siam Discovery",設定!$A$20:$A$24,0)),MAX(INDEX(設定!$B$20:$D$24,MATCH("Siam Discovery",設定!$A$20:$A$24,0),MATCH($E21,設定!$B$19:$D$19,0)),ROUND($H21*INDEX(実績!$N$5:$R$8,MATCH($I21,実績!$F$5:$F$8,0),3)*INDEX(設定!$B$29:$B$33,MATCH("Siam Discovery",設定!$A$29:$A$33,0))/INDEX(実績!$S$5:$S$8,MATCH($I21,実績!$F$5:$F$8,0))/設定!$B$36,0)*設定!$B$36))+U21</f>
        <v>0</v>
      </c>
      <c r="M21" s="6" t="n">
        <f aca="false">MIN(INDEX(設定!$E$20:$E$24,MATCH("Paradise Park",設定!$A$20:$A$24,0)),MAX(INDEX(設定!$B$20:$D$24,MATCH("Paradise Park",設定!$A$20:$A$24,0),MATCH($E21,設定!$B$19:$D$19,0)),ROUND($H21*INDEX(実績!$N$5:$R$8,MATCH($I21,実績!$F$5:$F$8,0),4)*INDEX(設定!$B$29:$B$33,MATCH("Paradise Park",設定!$A$29:$A$33,0))/INDEX(実績!$S$5:$S$8,MATCH($I21,実績!$F$5:$F$8,0))/設定!$B$36,0)*設定!$B$36))+V21</f>
        <v>0</v>
      </c>
      <c r="N21" s="6" t="n">
        <f aca="false">MIN(INDEX(設定!$E$20:$E$24,MATCH("Central Lardprao (Dept.)",設定!$A$20:$A$24,0)),MAX(INDEX(設定!$B$20:$D$24,MATCH("Central Lardprao (Dept.)",設定!$A$20:$A$24,0),MATCH($E21,設定!$B$19:$D$19,0)),ROUND($H21*INDEX(実績!$N$5:$R$8,MATCH($I21,実績!$F$5:$F$8,0),5)*INDEX(設定!$B$29:$B$33,MATCH("Central Lardprao (Dept.)",設定!$A$29:$A$33,0))/INDEX(実績!$S$5:$S$8,MATCH($I21,実績!$F$5:$F$8,0))/設定!$B$36,0)*設定!$B$36))+W21</f>
        <v>0</v>
      </c>
      <c r="O21" s="25" t="n">
        <f aca="false">SUM(J21:N21)</f>
        <v>1</v>
      </c>
      <c r="P21" s="25" t="n">
        <f aca="false">F21-O21</f>
        <v>5</v>
      </c>
      <c r="Q21" s="6" t="str">
        <f aca="false">IF(P21&lt;0,"入荷数超過→要調整","")</f>
        <v/>
      </c>
      <c r="S21" s="26"/>
      <c r="T21" s="26"/>
      <c r="U21" s="26"/>
      <c r="V21" s="26"/>
      <c r="W21" s="26"/>
    </row>
    <row r="22" customFormat="false" ht="14.25" hidden="false" customHeight="false" outlineLevel="0" collapsed="false">
      <c r="A22" s="6" t="s">
        <v>11</v>
      </c>
      <c r="B22" s="6" t="s">
        <v>107</v>
      </c>
      <c r="C22" s="6" t="s">
        <v>98</v>
      </c>
      <c r="D22" s="6" t="str">
        <f aca="false">LEFT(C22,1)</f>
        <v>M</v>
      </c>
      <c r="E22" s="23" t="s">
        <v>23</v>
      </c>
      <c r="F22" s="9" t="n">
        <v>18</v>
      </c>
      <c r="G22" s="24" t="n">
        <f aca="false">INDEX(設定!$B$6:$B$8,MATCH(A22,設定!$A$6:$A$8,0))</f>
        <v>0.33</v>
      </c>
      <c r="H22" s="6" t="n">
        <f aca="false">ROUND(F22*G22,0)</f>
        <v>6</v>
      </c>
      <c r="I22" s="6" t="str">
        <f aca="false">IF(A22="VFF Spidrwalk","Spidrwalk",IF(A22="VFF Trailope WP","TrailopeWP","GLS_"&amp;D22))</f>
        <v>GLS_M</v>
      </c>
      <c r="J22" s="6" t="n">
        <f aca="false">MIN(INDEX(設定!$E$20:$E$24,MATCH("K Village",設定!$A$20:$A$24,0)),MAX(INDEX(設定!$B$20:$D$24,MATCH("K Village",設定!$A$20:$A$24,0),MATCH($E22,設定!$B$19:$D$19,0)),ROUND($H22*INDEX(実績!$N$5:$R$8,MATCH($I22,実績!$F$5:$F$8,0),1)*INDEX(設定!$B$29:$B$33,MATCH("K Village",設定!$A$29:$A$33,0))/INDEX(実績!$S$5:$S$8,MATCH($I22,実績!$F$5:$F$8,0))/設定!$B$36,0)*設定!$B$36))+S22</f>
        <v>2</v>
      </c>
      <c r="K22" s="6" t="n">
        <f aca="false">MIN(INDEX(設定!$E$20:$E$24,MATCH("Central Chidlom",設定!$A$20:$A$24,0)),MAX(INDEX(設定!$B$20:$D$24,MATCH("Central Chidlom",設定!$A$20:$A$24,0),MATCH($E22,設定!$B$19:$D$19,0)),ROUND($H22*INDEX(実績!$N$5:$R$8,MATCH($I22,実績!$F$5:$F$8,0),2)*INDEX(設定!$B$29:$B$33,MATCH("Central Chidlom",設定!$A$29:$A$33,0))/INDEX(実績!$S$5:$S$8,MATCH($I22,実績!$F$5:$F$8,0))/設定!$B$36,0)*設定!$B$36))+T22</f>
        <v>1</v>
      </c>
      <c r="L22" s="6" t="n">
        <f aca="false">MIN(INDEX(設定!$E$20:$E$24,MATCH("Siam Discovery",設定!$A$20:$A$24,0)),MAX(INDEX(設定!$B$20:$D$24,MATCH("Siam Discovery",設定!$A$20:$A$24,0),MATCH($E22,設定!$B$19:$D$19,0)),ROUND($H22*INDEX(実績!$N$5:$R$8,MATCH($I22,実績!$F$5:$F$8,0),3)*INDEX(設定!$B$29:$B$33,MATCH("Siam Discovery",設定!$A$29:$A$33,0))/INDEX(実績!$S$5:$S$8,MATCH($I22,実績!$F$5:$F$8,0))/設定!$B$36,0)*設定!$B$36))+U22</f>
        <v>1</v>
      </c>
      <c r="M22" s="6" t="n">
        <f aca="false">MIN(INDEX(設定!$E$20:$E$24,MATCH("Paradise Park",設定!$A$20:$A$24,0)),MAX(INDEX(設定!$B$20:$D$24,MATCH("Paradise Park",設定!$A$20:$A$24,0),MATCH($E22,設定!$B$19:$D$19,0)),ROUND($H22*INDEX(実績!$N$5:$R$8,MATCH($I22,実績!$F$5:$F$8,0),4)*INDEX(設定!$B$29:$B$33,MATCH("Paradise Park",設定!$A$29:$A$33,0))/INDEX(実績!$S$5:$S$8,MATCH($I22,実績!$F$5:$F$8,0))/設定!$B$36,0)*設定!$B$36))+V22</f>
        <v>1</v>
      </c>
      <c r="N22" s="6" t="n">
        <f aca="false">MIN(INDEX(設定!$E$20:$E$24,MATCH("Central Lardprao (Dept.)",設定!$A$20:$A$24,0)),MAX(INDEX(設定!$B$20:$D$24,MATCH("Central Lardprao (Dept.)",設定!$A$20:$A$24,0),MATCH($E22,設定!$B$19:$D$19,0)),ROUND($H22*INDEX(実績!$N$5:$R$8,MATCH($I22,実績!$F$5:$F$8,0),5)*INDEX(設定!$B$29:$B$33,MATCH("Central Lardprao (Dept.)",設定!$A$29:$A$33,0))/INDEX(実績!$S$5:$S$8,MATCH($I22,実績!$F$5:$F$8,0))/設定!$B$36,0)*設定!$B$36))+W22</f>
        <v>0</v>
      </c>
      <c r="O22" s="25" t="n">
        <f aca="false">SUM(J22:N22)</f>
        <v>5</v>
      </c>
      <c r="P22" s="25" t="n">
        <f aca="false">F22-O22</f>
        <v>13</v>
      </c>
      <c r="Q22" s="6" t="str">
        <f aca="false">IF(P22&lt;0,"入荷数超過→要調整","")</f>
        <v/>
      </c>
      <c r="S22" s="26"/>
      <c r="T22" s="26"/>
      <c r="U22" s="26"/>
      <c r="V22" s="26"/>
      <c r="W22" s="26"/>
    </row>
    <row r="23" customFormat="false" ht="14.25" hidden="false" customHeight="false" outlineLevel="0" collapsed="false">
      <c r="A23" s="6" t="s">
        <v>11</v>
      </c>
      <c r="B23" s="6" t="s">
        <v>107</v>
      </c>
      <c r="C23" s="6" t="s">
        <v>99</v>
      </c>
      <c r="D23" s="6" t="str">
        <f aca="false">LEFT(C23,1)</f>
        <v>M</v>
      </c>
      <c r="E23" s="23" t="s">
        <v>22</v>
      </c>
      <c r="F23" s="9" t="n">
        <v>27</v>
      </c>
      <c r="G23" s="24" t="n">
        <f aca="false">INDEX(設定!$B$6:$B$8,MATCH(A23,設定!$A$6:$A$8,0))</f>
        <v>0.33</v>
      </c>
      <c r="H23" s="6" t="n">
        <f aca="false">ROUND(F23*G23,0)</f>
        <v>9</v>
      </c>
      <c r="I23" s="6" t="str">
        <f aca="false">IF(A23="VFF Spidrwalk","Spidrwalk",IF(A23="VFF Trailope WP","TrailopeWP","GLS_"&amp;D23))</f>
        <v>GLS_M</v>
      </c>
      <c r="J23" s="6" t="n">
        <f aca="false">MIN(INDEX(設定!$E$20:$E$24,MATCH("K Village",設定!$A$20:$A$24,0)),MAX(INDEX(設定!$B$20:$D$24,MATCH("K Village",設定!$A$20:$A$24,0),MATCH($E23,設定!$B$19:$D$19,0)),ROUND($H23*INDEX(実績!$N$5:$R$8,MATCH($I23,実績!$F$5:$F$8,0),1)*INDEX(設定!$B$29:$B$33,MATCH("K Village",設定!$A$29:$A$33,0))/INDEX(実績!$S$5:$S$8,MATCH($I23,実績!$F$5:$F$8,0))/設定!$B$36,0)*設定!$B$36))+S23</f>
        <v>2</v>
      </c>
      <c r="K23" s="6" t="n">
        <f aca="false">MIN(INDEX(設定!$E$20:$E$24,MATCH("Central Chidlom",設定!$A$20:$A$24,0)),MAX(INDEX(設定!$B$20:$D$24,MATCH("Central Chidlom",設定!$A$20:$A$24,0),MATCH($E23,設定!$B$19:$D$19,0)),ROUND($H23*INDEX(実績!$N$5:$R$8,MATCH($I23,実績!$F$5:$F$8,0),2)*INDEX(設定!$B$29:$B$33,MATCH("Central Chidlom",設定!$A$29:$A$33,0))/INDEX(実績!$S$5:$S$8,MATCH($I23,実績!$F$5:$F$8,0))/設定!$B$36,0)*設定!$B$36))+T23</f>
        <v>2</v>
      </c>
      <c r="L23" s="6" t="n">
        <f aca="false">MIN(INDEX(設定!$E$20:$E$24,MATCH("Siam Discovery",設定!$A$20:$A$24,0)),MAX(INDEX(設定!$B$20:$D$24,MATCH("Siam Discovery",設定!$A$20:$A$24,0),MATCH($E23,設定!$B$19:$D$19,0)),ROUND($H23*INDEX(実績!$N$5:$R$8,MATCH($I23,実績!$F$5:$F$8,0),3)*INDEX(設定!$B$29:$B$33,MATCH("Siam Discovery",設定!$A$29:$A$33,0))/INDEX(実績!$S$5:$S$8,MATCH($I23,実績!$F$5:$F$8,0))/設定!$B$36,0)*設定!$B$36))+U23</f>
        <v>1</v>
      </c>
      <c r="M23" s="6" t="n">
        <f aca="false">MIN(INDEX(設定!$E$20:$E$24,MATCH("Paradise Park",設定!$A$20:$A$24,0)),MAX(INDEX(設定!$B$20:$D$24,MATCH("Paradise Park",設定!$A$20:$A$24,0),MATCH($E23,設定!$B$19:$D$19,0)),ROUND($H23*INDEX(実績!$N$5:$R$8,MATCH($I23,実績!$F$5:$F$8,0),4)*INDEX(設定!$B$29:$B$33,MATCH("Paradise Park",設定!$A$29:$A$33,0))/INDEX(実績!$S$5:$S$8,MATCH($I23,実績!$F$5:$F$8,0))/設定!$B$36,0)*設定!$B$36))+V23</f>
        <v>1</v>
      </c>
      <c r="N23" s="6" t="n">
        <f aca="false">MIN(INDEX(設定!$E$20:$E$24,MATCH("Central Lardprao (Dept.)",設定!$A$20:$A$24,0)),MAX(INDEX(設定!$B$20:$D$24,MATCH("Central Lardprao (Dept.)",設定!$A$20:$A$24,0),MATCH($E23,設定!$B$19:$D$19,0)),ROUND($H23*INDEX(実績!$N$5:$R$8,MATCH($I23,実績!$F$5:$F$8,0),5)*INDEX(設定!$B$29:$B$33,MATCH("Central Lardprao (Dept.)",設定!$A$29:$A$33,0))/INDEX(実績!$S$5:$S$8,MATCH($I23,実績!$F$5:$F$8,0))/設定!$B$36,0)*設定!$B$36))+W23</f>
        <v>0</v>
      </c>
      <c r="O23" s="25" t="n">
        <f aca="false">SUM(J23:N23)</f>
        <v>6</v>
      </c>
      <c r="P23" s="25" t="n">
        <f aca="false">F23-O23</f>
        <v>21</v>
      </c>
      <c r="Q23" s="6" t="str">
        <f aca="false">IF(P23&lt;0,"入荷数超過→要調整","")</f>
        <v/>
      </c>
      <c r="S23" s="26"/>
      <c r="T23" s="26"/>
      <c r="U23" s="26"/>
      <c r="V23" s="26"/>
      <c r="W23" s="26"/>
    </row>
    <row r="24" customFormat="false" ht="14.25" hidden="false" customHeight="false" outlineLevel="0" collapsed="false">
      <c r="A24" s="6" t="s">
        <v>11</v>
      </c>
      <c r="B24" s="6" t="s">
        <v>107</v>
      </c>
      <c r="C24" s="6" t="s">
        <v>100</v>
      </c>
      <c r="D24" s="6" t="str">
        <f aca="false">LEFT(C24,1)</f>
        <v>M</v>
      </c>
      <c r="E24" s="23" t="s">
        <v>22</v>
      </c>
      <c r="F24" s="9" t="n">
        <v>39</v>
      </c>
      <c r="G24" s="24" t="n">
        <f aca="false">INDEX(設定!$B$6:$B$8,MATCH(A24,設定!$A$6:$A$8,0))</f>
        <v>0.33</v>
      </c>
      <c r="H24" s="6" t="n">
        <f aca="false">ROUND(F24*G24,0)</f>
        <v>13</v>
      </c>
      <c r="I24" s="6" t="str">
        <f aca="false">IF(A24="VFF Spidrwalk","Spidrwalk",IF(A24="VFF Trailope WP","TrailopeWP","GLS_"&amp;D24))</f>
        <v>GLS_M</v>
      </c>
      <c r="J24" s="6" t="n">
        <f aca="false">MIN(INDEX(設定!$E$20:$E$24,MATCH("K Village",設定!$A$20:$A$24,0)),MAX(INDEX(設定!$B$20:$D$24,MATCH("K Village",設定!$A$20:$A$24,0),MATCH($E24,設定!$B$19:$D$19,0)),ROUND($H24*INDEX(実績!$N$5:$R$8,MATCH($I24,実績!$F$5:$F$8,0),1)*INDEX(設定!$B$29:$B$33,MATCH("K Village",設定!$A$29:$A$33,0))/INDEX(実績!$S$5:$S$8,MATCH($I24,実績!$F$5:$F$8,0))/設定!$B$36,0)*設定!$B$36))+S24</f>
        <v>2</v>
      </c>
      <c r="K24" s="6" t="n">
        <f aca="false">MIN(INDEX(設定!$E$20:$E$24,MATCH("Central Chidlom",設定!$A$20:$A$24,0)),MAX(INDEX(設定!$B$20:$D$24,MATCH("Central Chidlom",設定!$A$20:$A$24,0),MATCH($E24,設定!$B$19:$D$19,0)),ROUND($H24*INDEX(実績!$N$5:$R$8,MATCH($I24,実績!$F$5:$F$8,0),2)*INDEX(設定!$B$29:$B$33,MATCH("Central Chidlom",設定!$A$29:$A$33,0))/INDEX(実績!$S$5:$S$8,MATCH($I24,実績!$F$5:$F$8,0))/設定!$B$36,0)*設定!$B$36))+T24</f>
        <v>2</v>
      </c>
      <c r="L24" s="6" t="n">
        <f aca="false">MIN(INDEX(設定!$E$20:$E$24,MATCH("Siam Discovery",設定!$A$20:$A$24,0)),MAX(INDEX(設定!$B$20:$D$24,MATCH("Siam Discovery",設定!$A$20:$A$24,0),MATCH($E24,設定!$B$19:$D$19,0)),ROUND($H24*INDEX(実績!$N$5:$R$8,MATCH($I24,実績!$F$5:$F$8,0),3)*INDEX(設定!$B$29:$B$33,MATCH("Siam Discovery",設定!$A$29:$A$33,0))/INDEX(実績!$S$5:$S$8,MATCH($I24,実績!$F$5:$F$8,0))/設定!$B$36,0)*設定!$B$36))+U24</f>
        <v>2</v>
      </c>
      <c r="M24" s="6" t="n">
        <f aca="false">MIN(INDEX(設定!$E$20:$E$24,MATCH("Paradise Park",設定!$A$20:$A$24,0)),MAX(INDEX(設定!$B$20:$D$24,MATCH("Paradise Park",設定!$A$20:$A$24,0),MATCH($E24,設定!$B$19:$D$19,0)),ROUND($H24*INDEX(実績!$N$5:$R$8,MATCH($I24,実績!$F$5:$F$8,0),4)*INDEX(設定!$B$29:$B$33,MATCH("Paradise Park",設定!$A$29:$A$33,0))/INDEX(実績!$S$5:$S$8,MATCH($I24,実績!$F$5:$F$8,0))/設定!$B$36,0)*設定!$B$36))+V24</f>
        <v>2</v>
      </c>
      <c r="N24" s="6" t="n">
        <f aca="false">MIN(INDEX(設定!$E$20:$E$24,MATCH("Central Lardprao (Dept.)",設定!$A$20:$A$24,0)),MAX(INDEX(設定!$B$20:$D$24,MATCH("Central Lardprao (Dept.)",設定!$A$20:$A$24,0),MATCH($E24,設定!$B$19:$D$19,0)),ROUND($H24*INDEX(実績!$N$5:$R$8,MATCH($I24,実績!$F$5:$F$8,0),5)*INDEX(設定!$B$29:$B$33,MATCH("Central Lardprao (Dept.)",設定!$A$29:$A$33,0))/INDEX(実績!$S$5:$S$8,MATCH($I24,実績!$F$5:$F$8,0))/設定!$B$36,0)*設定!$B$36))+W24</f>
        <v>1</v>
      </c>
      <c r="O24" s="25" t="n">
        <f aca="false">SUM(J24:N24)</f>
        <v>9</v>
      </c>
      <c r="P24" s="25" t="n">
        <f aca="false">F24-O24</f>
        <v>30</v>
      </c>
      <c r="Q24" s="6" t="str">
        <f aca="false">IF(P24&lt;0,"入荷数超過→要調整","")</f>
        <v/>
      </c>
      <c r="S24" s="26"/>
      <c r="T24" s="26"/>
      <c r="U24" s="26"/>
      <c r="V24" s="26"/>
      <c r="W24" s="26"/>
    </row>
    <row r="25" customFormat="false" ht="14.25" hidden="false" customHeight="false" outlineLevel="0" collapsed="false">
      <c r="A25" s="6" t="s">
        <v>11</v>
      </c>
      <c r="B25" s="6" t="s">
        <v>107</v>
      </c>
      <c r="C25" s="6" t="s">
        <v>101</v>
      </c>
      <c r="D25" s="6" t="str">
        <f aca="false">LEFT(C25,1)</f>
        <v>M</v>
      </c>
      <c r="E25" s="23" t="s">
        <v>22</v>
      </c>
      <c r="F25" s="9" t="n">
        <v>39</v>
      </c>
      <c r="G25" s="24" t="n">
        <f aca="false">INDEX(設定!$B$6:$B$8,MATCH(A25,設定!$A$6:$A$8,0))</f>
        <v>0.33</v>
      </c>
      <c r="H25" s="6" t="n">
        <f aca="false">ROUND(F25*G25,0)</f>
        <v>13</v>
      </c>
      <c r="I25" s="6" t="str">
        <f aca="false">IF(A25="VFF Spidrwalk","Spidrwalk",IF(A25="VFF Trailope WP","TrailopeWP","GLS_"&amp;D25))</f>
        <v>GLS_M</v>
      </c>
      <c r="J25" s="6" t="n">
        <f aca="false">MIN(INDEX(設定!$E$20:$E$24,MATCH("K Village",設定!$A$20:$A$24,0)),MAX(INDEX(設定!$B$20:$D$24,MATCH("K Village",設定!$A$20:$A$24,0),MATCH($E25,設定!$B$19:$D$19,0)),ROUND($H25*INDEX(実績!$N$5:$R$8,MATCH($I25,実績!$F$5:$F$8,0),1)*INDEX(設定!$B$29:$B$33,MATCH("K Village",設定!$A$29:$A$33,0))/INDEX(実績!$S$5:$S$8,MATCH($I25,実績!$F$5:$F$8,0))/設定!$B$36,0)*設定!$B$36))+S25</f>
        <v>2</v>
      </c>
      <c r="K25" s="6" t="n">
        <f aca="false">MIN(INDEX(設定!$E$20:$E$24,MATCH("Central Chidlom",設定!$A$20:$A$24,0)),MAX(INDEX(設定!$B$20:$D$24,MATCH("Central Chidlom",設定!$A$20:$A$24,0),MATCH($E25,設定!$B$19:$D$19,0)),ROUND($H25*INDEX(実績!$N$5:$R$8,MATCH($I25,実績!$F$5:$F$8,0),2)*INDEX(設定!$B$29:$B$33,MATCH("Central Chidlom",設定!$A$29:$A$33,0))/INDEX(実績!$S$5:$S$8,MATCH($I25,実績!$F$5:$F$8,0))/設定!$B$36,0)*設定!$B$36))+T25</f>
        <v>2</v>
      </c>
      <c r="L25" s="6" t="n">
        <f aca="false">MIN(INDEX(設定!$E$20:$E$24,MATCH("Siam Discovery",設定!$A$20:$A$24,0)),MAX(INDEX(設定!$B$20:$D$24,MATCH("Siam Discovery",設定!$A$20:$A$24,0),MATCH($E25,設定!$B$19:$D$19,0)),ROUND($H25*INDEX(実績!$N$5:$R$8,MATCH($I25,実績!$F$5:$F$8,0),3)*INDEX(設定!$B$29:$B$33,MATCH("Siam Discovery",設定!$A$29:$A$33,0))/INDEX(実績!$S$5:$S$8,MATCH($I25,実績!$F$5:$F$8,0))/設定!$B$36,0)*設定!$B$36))+U25</f>
        <v>2</v>
      </c>
      <c r="M25" s="6" t="n">
        <f aca="false">MIN(INDEX(設定!$E$20:$E$24,MATCH("Paradise Park",設定!$A$20:$A$24,0)),MAX(INDEX(設定!$B$20:$D$24,MATCH("Paradise Park",設定!$A$20:$A$24,0),MATCH($E25,設定!$B$19:$D$19,0)),ROUND($H25*INDEX(実績!$N$5:$R$8,MATCH($I25,実績!$F$5:$F$8,0),4)*INDEX(設定!$B$29:$B$33,MATCH("Paradise Park",設定!$A$29:$A$33,0))/INDEX(実績!$S$5:$S$8,MATCH($I25,実績!$F$5:$F$8,0))/設定!$B$36,0)*設定!$B$36))+V25</f>
        <v>2</v>
      </c>
      <c r="N25" s="6" t="n">
        <f aca="false">MIN(INDEX(設定!$E$20:$E$24,MATCH("Central Lardprao (Dept.)",設定!$A$20:$A$24,0)),MAX(INDEX(設定!$B$20:$D$24,MATCH("Central Lardprao (Dept.)",設定!$A$20:$A$24,0),MATCH($E25,設定!$B$19:$D$19,0)),ROUND($H25*INDEX(実績!$N$5:$R$8,MATCH($I25,実績!$F$5:$F$8,0),5)*INDEX(設定!$B$29:$B$33,MATCH("Central Lardprao (Dept.)",設定!$A$29:$A$33,0))/INDEX(実績!$S$5:$S$8,MATCH($I25,実績!$F$5:$F$8,0))/設定!$B$36,0)*設定!$B$36))+W25</f>
        <v>1</v>
      </c>
      <c r="O25" s="25" t="n">
        <f aca="false">SUM(J25:N25)</f>
        <v>9</v>
      </c>
      <c r="P25" s="25" t="n">
        <f aca="false">F25-O25</f>
        <v>30</v>
      </c>
      <c r="Q25" s="6" t="str">
        <f aca="false">IF(P25&lt;0,"入荷数超過→要調整","")</f>
        <v/>
      </c>
      <c r="S25" s="26"/>
      <c r="T25" s="26"/>
      <c r="U25" s="26"/>
      <c r="V25" s="26"/>
      <c r="W25" s="26"/>
    </row>
    <row r="26" customFormat="false" ht="14.25" hidden="false" customHeight="false" outlineLevel="0" collapsed="false">
      <c r="A26" s="6" t="s">
        <v>11</v>
      </c>
      <c r="B26" s="6" t="s">
        <v>107</v>
      </c>
      <c r="C26" s="6" t="s">
        <v>102</v>
      </c>
      <c r="D26" s="6" t="str">
        <f aca="false">LEFT(C26,1)</f>
        <v>M</v>
      </c>
      <c r="E26" s="23" t="s">
        <v>22</v>
      </c>
      <c r="F26" s="9" t="n">
        <v>36</v>
      </c>
      <c r="G26" s="24" t="n">
        <f aca="false">INDEX(設定!$B$6:$B$8,MATCH(A26,設定!$A$6:$A$8,0))</f>
        <v>0.33</v>
      </c>
      <c r="H26" s="6" t="n">
        <f aca="false">ROUND(F26*G26,0)</f>
        <v>12</v>
      </c>
      <c r="I26" s="6" t="str">
        <f aca="false">IF(A26="VFF Spidrwalk","Spidrwalk",IF(A26="VFF Trailope WP","TrailopeWP","GLS_"&amp;D26))</f>
        <v>GLS_M</v>
      </c>
      <c r="J26" s="6" t="n">
        <f aca="false">MIN(INDEX(設定!$E$20:$E$24,MATCH("K Village",設定!$A$20:$A$24,0)),MAX(INDEX(設定!$B$20:$D$24,MATCH("K Village",設定!$A$20:$A$24,0),MATCH($E26,設定!$B$19:$D$19,0)),ROUND($H26*INDEX(実績!$N$5:$R$8,MATCH($I26,実績!$F$5:$F$8,0),1)*INDEX(設定!$B$29:$B$33,MATCH("K Village",設定!$A$29:$A$33,0))/INDEX(実績!$S$5:$S$8,MATCH($I26,実績!$F$5:$F$8,0))/設定!$B$36,0)*設定!$B$36))+S26</f>
        <v>2</v>
      </c>
      <c r="K26" s="6" t="n">
        <f aca="false">MIN(INDEX(設定!$E$20:$E$24,MATCH("Central Chidlom",設定!$A$20:$A$24,0)),MAX(INDEX(設定!$B$20:$D$24,MATCH("Central Chidlom",設定!$A$20:$A$24,0),MATCH($E26,設定!$B$19:$D$19,0)),ROUND($H26*INDEX(実績!$N$5:$R$8,MATCH($I26,実績!$F$5:$F$8,0),2)*INDEX(設定!$B$29:$B$33,MATCH("Central Chidlom",設定!$A$29:$A$33,0))/INDEX(実績!$S$5:$S$8,MATCH($I26,実績!$F$5:$F$8,0))/設定!$B$36,0)*設定!$B$36))+T26</f>
        <v>1</v>
      </c>
      <c r="L26" s="6" t="n">
        <f aca="false">MIN(INDEX(設定!$E$20:$E$24,MATCH("Siam Discovery",設定!$A$20:$A$24,0)),MAX(INDEX(設定!$B$20:$D$24,MATCH("Siam Discovery",設定!$A$20:$A$24,0),MATCH($E26,設定!$B$19:$D$19,0)),ROUND($H26*INDEX(実績!$N$5:$R$8,MATCH($I26,実績!$F$5:$F$8,0),3)*INDEX(設定!$B$29:$B$33,MATCH("Siam Discovery",設定!$A$29:$A$33,0))/INDEX(実績!$S$5:$S$8,MATCH($I26,実績!$F$5:$F$8,0))/設定!$B$36,0)*設定!$B$36))+U26</f>
        <v>1</v>
      </c>
      <c r="M26" s="6" t="n">
        <f aca="false">MIN(INDEX(設定!$E$20:$E$24,MATCH("Paradise Park",設定!$A$20:$A$24,0)),MAX(INDEX(設定!$B$20:$D$24,MATCH("Paradise Park",設定!$A$20:$A$24,0),MATCH($E26,設定!$B$19:$D$19,0)),ROUND($H26*INDEX(実績!$N$5:$R$8,MATCH($I26,実績!$F$5:$F$8,0),4)*INDEX(設定!$B$29:$B$33,MATCH("Paradise Park",設定!$A$29:$A$33,0))/INDEX(実績!$S$5:$S$8,MATCH($I26,実績!$F$5:$F$8,0))/設定!$B$36,0)*設定!$B$36))+V26</f>
        <v>2</v>
      </c>
      <c r="N26" s="6" t="n">
        <f aca="false">MIN(INDEX(設定!$E$20:$E$24,MATCH("Central Lardprao (Dept.)",設定!$A$20:$A$24,0)),MAX(INDEX(設定!$B$20:$D$24,MATCH("Central Lardprao (Dept.)",設定!$A$20:$A$24,0),MATCH($E26,設定!$B$19:$D$19,0)),ROUND($H26*INDEX(実績!$N$5:$R$8,MATCH($I26,実績!$F$5:$F$8,0),5)*INDEX(設定!$B$29:$B$33,MATCH("Central Lardprao (Dept.)",設定!$A$29:$A$33,0))/INDEX(実績!$S$5:$S$8,MATCH($I26,実績!$F$5:$F$8,0))/設定!$B$36,0)*設定!$B$36))+W26</f>
        <v>0</v>
      </c>
      <c r="O26" s="25" t="n">
        <f aca="false">SUM(J26:N26)</f>
        <v>6</v>
      </c>
      <c r="P26" s="25" t="n">
        <f aca="false">F26-O26</f>
        <v>30</v>
      </c>
      <c r="Q26" s="6" t="str">
        <f aca="false">IF(P26&lt;0,"入荷数超過→要調整","")</f>
        <v/>
      </c>
      <c r="S26" s="26"/>
      <c r="T26" s="27" t="n">
        <v>-1</v>
      </c>
      <c r="U26" s="27" t="n">
        <v>-1</v>
      </c>
      <c r="V26" s="26"/>
      <c r="W26" s="26"/>
    </row>
    <row r="27" customFormat="false" ht="14.25" hidden="false" customHeight="false" outlineLevel="0" collapsed="false">
      <c r="A27" s="6" t="s">
        <v>11</v>
      </c>
      <c r="B27" s="6" t="s">
        <v>107</v>
      </c>
      <c r="C27" s="6" t="s">
        <v>103</v>
      </c>
      <c r="D27" s="6" t="str">
        <f aca="false">LEFT(C27,1)</f>
        <v>M</v>
      </c>
      <c r="E27" s="23" t="s">
        <v>23</v>
      </c>
      <c r="F27" s="9" t="n">
        <v>18</v>
      </c>
      <c r="G27" s="24" t="n">
        <f aca="false">INDEX(設定!$B$6:$B$8,MATCH(A27,設定!$A$6:$A$8,0))</f>
        <v>0.33</v>
      </c>
      <c r="H27" s="6" t="n">
        <f aca="false">ROUND(F27*G27,0)</f>
        <v>6</v>
      </c>
      <c r="I27" s="6" t="str">
        <f aca="false">IF(A27="VFF Spidrwalk","Spidrwalk",IF(A27="VFF Trailope WP","TrailopeWP","GLS_"&amp;D27))</f>
        <v>GLS_M</v>
      </c>
      <c r="J27" s="6" t="n">
        <f aca="false">MIN(INDEX(設定!$E$20:$E$24,MATCH("K Village",設定!$A$20:$A$24,0)),MAX(INDEX(設定!$B$20:$D$24,MATCH("K Village",設定!$A$20:$A$24,0),MATCH($E27,設定!$B$19:$D$19,0)),ROUND($H27*INDEX(実績!$N$5:$R$8,MATCH($I27,実績!$F$5:$F$8,0),1)*INDEX(設定!$B$29:$B$33,MATCH("K Village",設定!$A$29:$A$33,0))/INDEX(実績!$S$5:$S$8,MATCH($I27,実績!$F$5:$F$8,0))/設定!$B$36,0)*設定!$B$36))+S27</f>
        <v>2</v>
      </c>
      <c r="K27" s="6" t="n">
        <f aca="false">MIN(INDEX(設定!$E$20:$E$24,MATCH("Central Chidlom",設定!$A$20:$A$24,0)),MAX(INDEX(設定!$B$20:$D$24,MATCH("Central Chidlom",設定!$A$20:$A$24,0),MATCH($E27,設定!$B$19:$D$19,0)),ROUND($H27*INDEX(実績!$N$5:$R$8,MATCH($I27,実績!$F$5:$F$8,0),2)*INDEX(設定!$B$29:$B$33,MATCH("Central Chidlom",設定!$A$29:$A$33,0))/INDEX(実績!$S$5:$S$8,MATCH($I27,実績!$F$5:$F$8,0))/設定!$B$36,0)*設定!$B$36))+T27</f>
        <v>1</v>
      </c>
      <c r="L27" s="6" t="n">
        <f aca="false">MIN(INDEX(設定!$E$20:$E$24,MATCH("Siam Discovery",設定!$A$20:$A$24,0)),MAX(INDEX(設定!$B$20:$D$24,MATCH("Siam Discovery",設定!$A$20:$A$24,0),MATCH($E27,設定!$B$19:$D$19,0)),ROUND($H27*INDEX(実績!$N$5:$R$8,MATCH($I27,実績!$F$5:$F$8,0),3)*INDEX(設定!$B$29:$B$33,MATCH("Siam Discovery",設定!$A$29:$A$33,0))/INDEX(実績!$S$5:$S$8,MATCH($I27,実績!$F$5:$F$8,0))/設定!$B$36,0)*設定!$B$36))+U27</f>
        <v>1</v>
      </c>
      <c r="M27" s="6" t="n">
        <f aca="false">MIN(INDEX(設定!$E$20:$E$24,MATCH("Paradise Park",設定!$A$20:$A$24,0)),MAX(INDEX(設定!$B$20:$D$24,MATCH("Paradise Park",設定!$A$20:$A$24,0),MATCH($E27,設定!$B$19:$D$19,0)),ROUND($H27*INDEX(実績!$N$5:$R$8,MATCH($I27,実績!$F$5:$F$8,0),4)*INDEX(設定!$B$29:$B$33,MATCH("Paradise Park",設定!$A$29:$A$33,0))/INDEX(実績!$S$5:$S$8,MATCH($I27,実績!$F$5:$F$8,0))/設定!$B$36,0)*設定!$B$36))+V27</f>
        <v>1</v>
      </c>
      <c r="N27" s="6" t="n">
        <f aca="false">MIN(INDEX(設定!$E$20:$E$24,MATCH("Central Lardprao (Dept.)",設定!$A$20:$A$24,0)),MAX(INDEX(設定!$B$20:$D$24,MATCH("Central Lardprao (Dept.)",設定!$A$20:$A$24,0),MATCH($E27,設定!$B$19:$D$19,0)),ROUND($H27*INDEX(実績!$N$5:$R$8,MATCH($I27,実績!$F$5:$F$8,0),5)*INDEX(設定!$B$29:$B$33,MATCH("Central Lardprao (Dept.)",設定!$A$29:$A$33,0))/INDEX(実績!$S$5:$S$8,MATCH($I27,実績!$F$5:$F$8,0))/設定!$B$36,0)*設定!$B$36))+W27</f>
        <v>0</v>
      </c>
      <c r="O27" s="25" t="n">
        <f aca="false">SUM(J27:N27)</f>
        <v>5</v>
      </c>
      <c r="P27" s="25" t="n">
        <f aca="false">F27-O27</f>
        <v>13</v>
      </c>
      <c r="Q27" s="6" t="str">
        <f aca="false">IF(P27&lt;0,"入荷数超過→要調整","")</f>
        <v/>
      </c>
      <c r="S27" s="26"/>
      <c r="T27" s="26"/>
      <c r="U27" s="26"/>
      <c r="V27" s="26"/>
      <c r="W27" s="26"/>
    </row>
    <row r="28" customFormat="false" ht="14.25" hidden="false" customHeight="false" outlineLevel="0" collapsed="false">
      <c r="A28" s="6" t="s">
        <v>11</v>
      </c>
      <c r="B28" s="6" t="s">
        <v>107</v>
      </c>
      <c r="C28" s="6" t="s">
        <v>104</v>
      </c>
      <c r="D28" s="6" t="str">
        <f aca="false">LEFT(C28,1)</f>
        <v>M</v>
      </c>
      <c r="E28" s="23" t="s">
        <v>23</v>
      </c>
      <c r="F28" s="9" t="n">
        <v>9</v>
      </c>
      <c r="G28" s="24" t="n">
        <f aca="false">INDEX(設定!$B$6:$B$8,MATCH(A28,設定!$A$6:$A$8,0))</f>
        <v>0.33</v>
      </c>
      <c r="H28" s="6" t="n">
        <f aca="false">ROUND(F28*G28,0)</f>
        <v>3</v>
      </c>
      <c r="I28" s="6" t="str">
        <f aca="false">IF(A28="VFF Spidrwalk","Spidrwalk",IF(A28="VFF Trailope WP","TrailopeWP","GLS_"&amp;D28))</f>
        <v>GLS_M</v>
      </c>
      <c r="J28" s="6" t="n">
        <f aca="false">MIN(INDEX(設定!$E$20:$E$24,MATCH("K Village",設定!$A$20:$A$24,0)),MAX(INDEX(設定!$B$20:$D$24,MATCH("K Village",設定!$A$20:$A$24,0),MATCH($E28,設定!$B$19:$D$19,0)),ROUND($H28*INDEX(実績!$N$5:$R$8,MATCH($I28,実績!$F$5:$F$8,0),1)*INDEX(設定!$B$29:$B$33,MATCH("K Village",設定!$A$29:$A$33,0))/INDEX(実績!$S$5:$S$8,MATCH($I28,実績!$F$5:$F$8,0))/設定!$B$36,0)*設定!$B$36))+S28</f>
        <v>1</v>
      </c>
      <c r="K28" s="6" t="n">
        <f aca="false">MIN(INDEX(設定!$E$20:$E$24,MATCH("Central Chidlom",設定!$A$20:$A$24,0)),MAX(INDEX(設定!$B$20:$D$24,MATCH("Central Chidlom",設定!$A$20:$A$24,0),MATCH($E28,設定!$B$19:$D$19,0)),ROUND($H28*INDEX(実績!$N$5:$R$8,MATCH($I28,実績!$F$5:$F$8,0),2)*INDEX(設定!$B$29:$B$33,MATCH("Central Chidlom",設定!$A$29:$A$33,0))/INDEX(実績!$S$5:$S$8,MATCH($I28,実績!$F$5:$F$8,0))/設定!$B$36,0)*設定!$B$36))+T28</f>
        <v>1</v>
      </c>
      <c r="L28" s="6" t="n">
        <f aca="false">MIN(INDEX(設定!$E$20:$E$24,MATCH("Siam Discovery",設定!$A$20:$A$24,0)),MAX(INDEX(設定!$B$20:$D$24,MATCH("Siam Discovery",設定!$A$20:$A$24,0),MATCH($E28,設定!$B$19:$D$19,0)),ROUND($H28*INDEX(実績!$N$5:$R$8,MATCH($I28,実績!$F$5:$F$8,0),3)*INDEX(設定!$B$29:$B$33,MATCH("Siam Discovery",設定!$A$29:$A$33,0))/INDEX(実績!$S$5:$S$8,MATCH($I28,実績!$F$5:$F$8,0))/設定!$B$36,0)*設定!$B$36))+U28</f>
        <v>1</v>
      </c>
      <c r="M28" s="6" t="n">
        <f aca="false">MIN(INDEX(設定!$E$20:$E$24,MATCH("Paradise Park",設定!$A$20:$A$24,0)),MAX(INDEX(設定!$B$20:$D$24,MATCH("Paradise Park",設定!$A$20:$A$24,0),MATCH($E28,設定!$B$19:$D$19,0)),ROUND($H28*INDEX(実績!$N$5:$R$8,MATCH($I28,実績!$F$5:$F$8,0),4)*INDEX(設定!$B$29:$B$33,MATCH("Paradise Park",設定!$A$29:$A$33,0))/INDEX(実績!$S$5:$S$8,MATCH($I28,実績!$F$5:$F$8,0))/設定!$B$36,0)*設定!$B$36))+V28</f>
        <v>0</v>
      </c>
      <c r="N28" s="6" t="n">
        <f aca="false">MIN(INDEX(設定!$E$20:$E$24,MATCH("Central Lardprao (Dept.)",設定!$A$20:$A$24,0)),MAX(INDEX(設定!$B$20:$D$24,MATCH("Central Lardprao (Dept.)",設定!$A$20:$A$24,0),MATCH($E28,設定!$B$19:$D$19,0)),ROUND($H28*INDEX(実績!$N$5:$R$8,MATCH($I28,実績!$F$5:$F$8,0),5)*INDEX(設定!$B$29:$B$33,MATCH("Central Lardprao (Dept.)",設定!$A$29:$A$33,0))/INDEX(実績!$S$5:$S$8,MATCH($I28,実績!$F$5:$F$8,0))/設定!$B$36,0)*設定!$B$36))+W28</f>
        <v>0</v>
      </c>
      <c r="O28" s="25" t="n">
        <f aca="false">SUM(J28:N28)</f>
        <v>3</v>
      </c>
      <c r="P28" s="25" t="n">
        <f aca="false">F28-O28</f>
        <v>6</v>
      </c>
      <c r="Q28" s="6" t="str">
        <f aca="false">IF(P28&lt;0,"入荷数超過→要調整","")</f>
        <v/>
      </c>
      <c r="S28" s="26"/>
      <c r="T28" s="26"/>
      <c r="U28" s="26"/>
      <c r="V28" s="26"/>
      <c r="W28" s="26"/>
    </row>
    <row r="29" customFormat="false" ht="14.25" hidden="false" customHeight="false" outlineLevel="0" collapsed="false">
      <c r="A29" s="6" t="s">
        <v>11</v>
      </c>
      <c r="B29" s="6" t="s">
        <v>107</v>
      </c>
      <c r="C29" s="6" t="s">
        <v>105</v>
      </c>
      <c r="D29" s="6" t="str">
        <f aca="false">LEFT(C29,1)</f>
        <v>M</v>
      </c>
      <c r="E29" s="23" t="s">
        <v>24</v>
      </c>
      <c r="F29" s="9" t="n">
        <v>6</v>
      </c>
      <c r="G29" s="24" t="n">
        <f aca="false">INDEX(設定!$B$6:$B$8,MATCH(A29,設定!$A$6:$A$8,0))</f>
        <v>0.33</v>
      </c>
      <c r="H29" s="6" t="n">
        <f aca="false">ROUND(F29*G29,0)</f>
        <v>2</v>
      </c>
      <c r="I29" s="6" t="str">
        <f aca="false">IF(A29="VFF Spidrwalk","Spidrwalk",IF(A29="VFF Trailope WP","TrailopeWP","GLS_"&amp;D29))</f>
        <v>GLS_M</v>
      </c>
      <c r="J29" s="6" t="n">
        <f aca="false">MIN(INDEX(設定!$E$20:$E$24,MATCH("K Village",設定!$A$20:$A$24,0)),MAX(INDEX(設定!$B$20:$D$24,MATCH("K Village",設定!$A$20:$A$24,0),MATCH($E29,設定!$B$19:$D$19,0)),ROUND($H29*INDEX(実績!$N$5:$R$8,MATCH($I29,実績!$F$5:$F$8,0),1)*INDEX(設定!$B$29:$B$33,MATCH("K Village",設定!$A$29:$A$33,0))/INDEX(実績!$S$5:$S$8,MATCH($I29,実績!$F$5:$F$8,0))/設定!$B$36,0)*設定!$B$36))+S29</f>
        <v>1</v>
      </c>
      <c r="K29" s="6" t="n">
        <f aca="false">MIN(INDEX(設定!$E$20:$E$24,MATCH("Central Chidlom",設定!$A$20:$A$24,0)),MAX(INDEX(設定!$B$20:$D$24,MATCH("Central Chidlom",設定!$A$20:$A$24,0),MATCH($E29,設定!$B$19:$D$19,0)),ROUND($H29*INDEX(実績!$N$5:$R$8,MATCH($I29,実績!$F$5:$F$8,0),2)*INDEX(設定!$B$29:$B$33,MATCH("Central Chidlom",設定!$A$29:$A$33,0))/INDEX(実績!$S$5:$S$8,MATCH($I29,実績!$F$5:$F$8,0))/設定!$B$36,0)*設定!$B$36))+T29</f>
        <v>0</v>
      </c>
      <c r="L29" s="6" t="n">
        <f aca="false">MIN(INDEX(設定!$E$20:$E$24,MATCH("Siam Discovery",設定!$A$20:$A$24,0)),MAX(INDEX(設定!$B$20:$D$24,MATCH("Siam Discovery",設定!$A$20:$A$24,0),MATCH($E29,設定!$B$19:$D$19,0)),ROUND($H29*INDEX(実績!$N$5:$R$8,MATCH($I29,実績!$F$5:$F$8,0),3)*INDEX(設定!$B$29:$B$33,MATCH("Siam Discovery",設定!$A$29:$A$33,0))/INDEX(実績!$S$5:$S$8,MATCH($I29,実績!$F$5:$F$8,0))/設定!$B$36,0)*設定!$B$36))+U29</f>
        <v>0</v>
      </c>
      <c r="M29" s="6" t="n">
        <f aca="false">MIN(INDEX(設定!$E$20:$E$24,MATCH("Paradise Park",設定!$A$20:$A$24,0)),MAX(INDEX(設定!$B$20:$D$24,MATCH("Paradise Park",設定!$A$20:$A$24,0),MATCH($E29,設定!$B$19:$D$19,0)),ROUND($H29*INDEX(実績!$N$5:$R$8,MATCH($I29,実績!$F$5:$F$8,0),4)*INDEX(設定!$B$29:$B$33,MATCH("Paradise Park",設定!$A$29:$A$33,0))/INDEX(実績!$S$5:$S$8,MATCH($I29,実績!$F$5:$F$8,0))/設定!$B$36,0)*設定!$B$36))+V29</f>
        <v>0</v>
      </c>
      <c r="N29" s="6" t="n">
        <f aca="false">MIN(INDEX(設定!$E$20:$E$24,MATCH("Central Lardprao (Dept.)",設定!$A$20:$A$24,0)),MAX(INDEX(設定!$B$20:$D$24,MATCH("Central Lardprao (Dept.)",設定!$A$20:$A$24,0),MATCH($E29,設定!$B$19:$D$19,0)),ROUND($H29*INDEX(実績!$N$5:$R$8,MATCH($I29,実績!$F$5:$F$8,0),5)*INDEX(設定!$B$29:$B$33,MATCH("Central Lardprao (Dept.)",設定!$A$29:$A$33,0))/INDEX(実績!$S$5:$S$8,MATCH($I29,実績!$F$5:$F$8,0))/設定!$B$36,0)*設定!$B$36))+W29</f>
        <v>0</v>
      </c>
      <c r="O29" s="25" t="n">
        <f aca="false">SUM(J29:N29)</f>
        <v>1</v>
      </c>
      <c r="P29" s="25" t="n">
        <f aca="false">F29-O29</f>
        <v>5</v>
      </c>
      <c r="Q29" s="6" t="str">
        <f aca="false">IF(P29&lt;0,"入荷数超過→要調整","")</f>
        <v/>
      </c>
      <c r="S29" s="26"/>
      <c r="T29" s="26"/>
      <c r="U29" s="26"/>
      <c r="V29" s="26"/>
      <c r="W29" s="26"/>
    </row>
    <row r="30" customFormat="false" ht="14.25" hidden="false" customHeight="false" outlineLevel="0" collapsed="false">
      <c r="A30" s="6" t="s">
        <v>11</v>
      </c>
      <c r="B30" s="6" t="s">
        <v>107</v>
      </c>
      <c r="C30" s="6" t="s">
        <v>108</v>
      </c>
      <c r="D30" s="6" t="str">
        <f aca="false">LEFT(C30,1)</f>
        <v>W</v>
      </c>
      <c r="E30" s="23" t="s">
        <v>24</v>
      </c>
      <c r="F30" s="9" t="n">
        <v>9</v>
      </c>
      <c r="G30" s="24" t="n">
        <f aca="false">INDEX(設定!$B$6:$B$8,MATCH(A30,設定!$A$6:$A$8,0))</f>
        <v>0.33</v>
      </c>
      <c r="H30" s="6" t="n">
        <f aca="false">ROUND(F30*G30,0)</f>
        <v>3</v>
      </c>
      <c r="I30" s="6" t="str">
        <f aca="false">IF(A30="VFF Spidrwalk","Spidrwalk",IF(A30="VFF Trailope WP","TrailopeWP","GLS_"&amp;D30))</f>
        <v>GLS_W</v>
      </c>
      <c r="J30" s="6" t="n">
        <f aca="false">MIN(INDEX(設定!$E$20:$E$24,MATCH("K Village",設定!$A$20:$A$24,0)),MAX(INDEX(設定!$B$20:$D$24,MATCH("K Village",設定!$A$20:$A$24,0),MATCH($E30,設定!$B$19:$D$19,0)),ROUND($H30*INDEX(実績!$N$5:$R$8,MATCH($I30,実績!$F$5:$F$8,0),1)*INDEX(設定!$B$29:$B$33,MATCH("K Village",設定!$A$29:$A$33,0))/INDEX(実績!$S$5:$S$8,MATCH($I30,実績!$F$5:$F$8,0))/設定!$B$36,0)*設定!$B$36))+S30</f>
        <v>2</v>
      </c>
      <c r="K30" s="6" t="n">
        <f aca="false">MIN(INDEX(設定!$E$20:$E$24,MATCH("Central Chidlom",設定!$A$20:$A$24,0)),MAX(INDEX(設定!$B$20:$D$24,MATCH("Central Chidlom",設定!$A$20:$A$24,0),MATCH($E30,設定!$B$19:$D$19,0)),ROUND($H30*INDEX(実績!$N$5:$R$8,MATCH($I30,実績!$F$5:$F$8,0),2)*INDEX(設定!$B$29:$B$33,MATCH("Central Chidlom",設定!$A$29:$A$33,0))/INDEX(実績!$S$5:$S$8,MATCH($I30,実績!$F$5:$F$8,0))/設定!$B$36,0)*設定!$B$36))+T30</f>
        <v>1</v>
      </c>
      <c r="L30" s="6" t="n">
        <f aca="false">MIN(INDEX(設定!$E$20:$E$24,MATCH("Siam Discovery",設定!$A$20:$A$24,0)),MAX(INDEX(設定!$B$20:$D$24,MATCH("Siam Discovery",設定!$A$20:$A$24,0),MATCH($E30,設定!$B$19:$D$19,0)),ROUND($H30*INDEX(実績!$N$5:$R$8,MATCH($I30,実績!$F$5:$F$8,0),3)*INDEX(設定!$B$29:$B$33,MATCH("Siam Discovery",設定!$A$29:$A$33,0))/INDEX(実績!$S$5:$S$8,MATCH($I30,実績!$F$5:$F$8,0))/設定!$B$36,0)*設定!$B$36))+U30</f>
        <v>0</v>
      </c>
      <c r="M30" s="6" t="n">
        <f aca="false">MIN(INDEX(設定!$E$20:$E$24,MATCH("Paradise Park",設定!$A$20:$A$24,0)),MAX(INDEX(設定!$B$20:$D$24,MATCH("Paradise Park",設定!$A$20:$A$24,0),MATCH($E30,設定!$B$19:$D$19,0)),ROUND($H30*INDEX(実績!$N$5:$R$8,MATCH($I30,実績!$F$5:$F$8,0),4)*INDEX(設定!$B$29:$B$33,MATCH("Paradise Park",設定!$A$29:$A$33,0))/INDEX(実績!$S$5:$S$8,MATCH($I30,実績!$F$5:$F$8,0))/設定!$B$36,0)*設定!$B$36))+V30</f>
        <v>0</v>
      </c>
      <c r="N30" s="6" t="n">
        <f aca="false">MIN(INDEX(設定!$E$20:$E$24,MATCH("Central Lardprao (Dept.)",設定!$A$20:$A$24,0)),MAX(INDEX(設定!$B$20:$D$24,MATCH("Central Lardprao (Dept.)",設定!$A$20:$A$24,0),MATCH($E30,設定!$B$19:$D$19,0)),ROUND($H30*INDEX(実績!$N$5:$R$8,MATCH($I30,実績!$F$5:$F$8,0),5)*INDEX(設定!$B$29:$B$33,MATCH("Central Lardprao (Dept.)",設定!$A$29:$A$33,0))/INDEX(実績!$S$5:$S$8,MATCH($I30,実績!$F$5:$F$8,0))/設定!$B$36,0)*設定!$B$36))+W30</f>
        <v>0</v>
      </c>
      <c r="O30" s="25" t="n">
        <f aca="false">SUM(J30:N30)</f>
        <v>3</v>
      </c>
      <c r="P30" s="25" t="n">
        <f aca="false">F30-O30</f>
        <v>6</v>
      </c>
      <c r="Q30" s="6" t="str">
        <f aca="false">IF(P30&lt;0,"入荷数超過→要調整","")</f>
        <v/>
      </c>
      <c r="S30" s="26"/>
      <c r="T30" s="26"/>
      <c r="U30" s="26"/>
      <c r="V30" s="26"/>
      <c r="W30" s="26"/>
    </row>
    <row r="31" customFormat="false" ht="14.25" hidden="false" customHeight="false" outlineLevel="0" collapsed="false">
      <c r="A31" s="6" t="s">
        <v>11</v>
      </c>
      <c r="B31" s="6" t="s">
        <v>107</v>
      </c>
      <c r="C31" s="6" t="s">
        <v>109</v>
      </c>
      <c r="D31" s="6" t="str">
        <f aca="false">LEFT(C31,1)</f>
        <v>W</v>
      </c>
      <c r="E31" s="23" t="s">
        <v>23</v>
      </c>
      <c r="F31" s="9" t="n">
        <v>18</v>
      </c>
      <c r="G31" s="24" t="n">
        <f aca="false">INDEX(設定!$B$6:$B$8,MATCH(A31,設定!$A$6:$A$8,0))</f>
        <v>0.33</v>
      </c>
      <c r="H31" s="6" t="n">
        <f aca="false">ROUND(F31*G31,0)</f>
        <v>6</v>
      </c>
      <c r="I31" s="6" t="str">
        <f aca="false">IF(A31="VFF Spidrwalk","Spidrwalk",IF(A31="VFF Trailope WP","TrailopeWP","GLS_"&amp;D31))</f>
        <v>GLS_W</v>
      </c>
      <c r="J31" s="6" t="n">
        <f aca="false">MIN(INDEX(設定!$E$20:$E$24,MATCH("K Village",設定!$A$20:$A$24,0)),MAX(INDEX(設定!$B$20:$D$24,MATCH("K Village",設定!$A$20:$A$24,0),MATCH($E31,設定!$B$19:$D$19,0)),ROUND($H31*INDEX(実績!$N$5:$R$8,MATCH($I31,実績!$F$5:$F$8,0),1)*INDEX(設定!$B$29:$B$33,MATCH("K Village",設定!$A$29:$A$33,0))/INDEX(実績!$S$5:$S$8,MATCH($I31,実績!$F$5:$F$8,0))/設定!$B$36,0)*設定!$B$36))+S31</f>
        <v>2</v>
      </c>
      <c r="K31" s="6" t="n">
        <f aca="false">MIN(INDEX(設定!$E$20:$E$24,MATCH("Central Chidlom",設定!$A$20:$A$24,0)),MAX(INDEX(設定!$B$20:$D$24,MATCH("Central Chidlom",設定!$A$20:$A$24,0),MATCH($E31,設定!$B$19:$D$19,0)),ROUND($H31*INDEX(実績!$N$5:$R$8,MATCH($I31,実績!$F$5:$F$8,0),2)*INDEX(設定!$B$29:$B$33,MATCH("Central Chidlom",設定!$A$29:$A$33,0))/INDEX(実績!$S$5:$S$8,MATCH($I31,実績!$F$5:$F$8,0))/設定!$B$36,0)*設定!$B$36))+T31</f>
        <v>1</v>
      </c>
      <c r="L31" s="6" t="n">
        <f aca="false">MIN(INDEX(設定!$E$20:$E$24,MATCH("Siam Discovery",設定!$A$20:$A$24,0)),MAX(INDEX(設定!$B$20:$D$24,MATCH("Siam Discovery",設定!$A$20:$A$24,0),MATCH($E31,設定!$B$19:$D$19,0)),ROUND($H31*INDEX(実績!$N$5:$R$8,MATCH($I31,実績!$F$5:$F$8,0),3)*INDEX(設定!$B$29:$B$33,MATCH("Siam Discovery",設定!$A$29:$A$33,0))/INDEX(実績!$S$5:$S$8,MATCH($I31,実績!$F$5:$F$8,0))/設定!$B$36,0)*設定!$B$36))+U31</f>
        <v>1</v>
      </c>
      <c r="M31" s="6" t="n">
        <f aca="false">MIN(INDEX(設定!$E$20:$E$24,MATCH("Paradise Park",設定!$A$20:$A$24,0)),MAX(INDEX(設定!$B$20:$D$24,MATCH("Paradise Park",設定!$A$20:$A$24,0),MATCH($E31,設定!$B$19:$D$19,0)),ROUND($H31*INDEX(実績!$N$5:$R$8,MATCH($I31,実績!$F$5:$F$8,0),4)*INDEX(設定!$B$29:$B$33,MATCH("Paradise Park",設定!$A$29:$A$33,0))/INDEX(実績!$S$5:$S$8,MATCH($I31,実績!$F$5:$F$8,0))/設定!$B$36,0)*設定!$B$36))+V31</f>
        <v>1</v>
      </c>
      <c r="N31" s="6" t="n">
        <f aca="false">MIN(INDEX(設定!$E$20:$E$24,MATCH("Central Lardprao (Dept.)",設定!$A$20:$A$24,0)),MAX(INDEX(設定!$B$20:$D$24,MATCH("Central Lardprao (Dept.)",設定!$A$20:$A$24,0),MATCH($E31,設定!$B$19:$D$19,0)),ROUND($H31*INDEX(実績!$N$5:$R$8,MATCH($I31,実績!$F$5:$F$8,0),5)*INDEX(設定!$B$29:$B$33,MATCH("Central Lardprao (Dept.)",設定!$A$29:$A$33,0))/INDEX(実績!$S$5:$S$8,MATCH($I31,実績!$F$5:$F$8,0))/設定!$B$36,0)*設定!$B$36))+W31</f>
        <v>0</v>
      </c>
      <c r="O31" s="25" t="n">
        <f aca="false">SUM(J31:N31)</f>
        <v>5</v>
      </c>
      <c r="P31" s="25" t="n">
        <f aca="false">F31-O31</f>
        <v>13</v>
      </c>
      <c r="Q31" s="6" t="str">
        <f aca="false">IF(P31&lt;0,"入荷数超過→要調整","")</f>
        <v/>
      </c>
      <c r="S31" s="26"/>
      <c r="T31" s="26"/>
      <c r="U31" s="26"/>
      <c r="V31" s="26"/>
      <c r="W31" s="26"/>
    </row>
    <row r="32" customFormat="false" ht="14.25" hidden="false" customHeight="false" outlineLevel="0" collapsed="false">
      <c r="A32" s="6" t="s">
        <v>11</v>
      </c>
      <c r="B32" s="6" t="s">
        <v>107</v>
      </c>
      <c r="C32" s="6" t="s">
        <v>110</v>
      </c>
      <c r="D32" s="6" t="str">
        <f aca="false">LEFT(C32,1)</f>
        <v>W</v>
      </c>
      <c r="E32" s="23" t="s">
        <v>22</v>
      </c>
      <c r="F32" s="9" t="n">
        <v>24</v>
      </c>
      <c r="G32" s="24" t="n">
        <f aca="false">INDEX(設定!$B$6:$B$8,MATCH(A32,設定!$A$6:$A$8,0))</f>
        <v>0.33</v>
      </c>
      <c r="H32" s="6" t="n">
        <f aca="false">ROUND(F32*G32,0)</f>
        <v>8</v>
      </c>
      <c r="I32" s="6" t="str">
        <f aca="false">IF(A32="VFF Spidrwalk","Spidrwalk",IF(A32="VFF Trailope WP","TrailopeWP","GLS_"&amp;D32))</f>
        <v>GLS_W</v>
      </c>
      <c r="J32" s="6" t="n">
        <f aca="false">MIN(INDEX(設定!$E$20:$E$24,MATCH("K Village",設定!$A$20:$A$24,0)),MAX(INDEX(設定!$B$20:$D$24,MATCH("K Village",設定!$A$20:$A$24,0),MATCH($E32,設定!$B$19:$D$19,0)),ROUND($H32*INDEX(実績!$N$5:$R$8,MATCH($I32,実績!$F$5:$F$8,0),1)*INDEX(設定!$B$29:$B$33,MATCH("K Village",設定!$A$29:$A$33,0))/INDEX(実績!$S$5:$S$8,MATCH($I32,実績!$F$5:$F$8,0))/設定!$B$36,0)*設定!$B$36))+S32</f>
        <v>2</v>
      </c>
      <c r="K32" s="6" t="n">
        <f aca="false">MIN(INDEX(設定!$E$20:$E$24,MATCH("Central Chidlom",設定!$A$20:$A$24,0)),MAX(INDEX(設定!$B$20:$D$24,MATCH("Central Chidlom",設定!$A$20:$A$24,0),MATCH($E32,設定!$B$19:$D$19,0)),ROUND($H32*INDEX(実績!$N$5:$R$8,MATCH($I32,実績!$F$5:$F$8,0),2)*INDEX(設定!$B$29:$B$33,MATCH("Central Chidlom",設定!$A$29:$A$33,0))/INDEX(実績!$S$5:$S$8,MATCH($I32,実績!$F$5:$F$8,0))/設定!$B$36,0)*設定!$B$36))+T32</f>
        <v>2</v>
      </c>
      <c r="L32" s="6" t="n">
        <f aca="false">MIN(INDEX(設定!$E$20:$E$24,MATCH("Siam Discovery",設定!$A$20:$A$24,0)),MAX(INDEX(設定!$B$20:$D$24,MATCH("Siam Discovery",設定!$A$20:$A$24,0),MATCH($E32,設定!$B$19:$D$19,0)),ROUND($H32*INDEX(実績!$N$5:$R$8,MATCH($I32,実績!$F$5:$F$8,0),3)*INDEX(設定!$B$29:$B$33,MATCH("Siam Discovery",設定!$A$29:$A$33,0))/INDEX(実績!$S$5:$S$8,MATCH($I32,実績!$F$5:$F$8,0))/設定!$B$36,0)*設定!$B$36))+U32</f>
        <v>1</v>
      </c>
      <c r="M32" s="6" t="n">
        <f aca="false">MIN(INDEX(設定!$E$20:$E$24,MATCH("Paradise Park",設定!$A$20:$A$24,0)),MAX(INDEX(設定!$B$20:$D$24,MATCH("Paradise Park",設定!$A$20:$A$24,0),MATCH($E32,設定!$B$19:$D$19,0)),ROUND($H32*INDEX(実績!$N$5:$R$8,MATCH($I32,実績!$F$5:$F$8,0),4)*INDEX(設定!$B$29:$B$33,MATCH("Paradise Park",設定!$A$29:$A$33,0))/INDEX(実績!$S$5:$S$8,MATCH($I32,実績!$F$5:$F$8,0))/設定!$B$36,0)*設定!$B$36))+V32</f>
        <v>1</v>
      </c>
      <c r="N32" s="6" t="n">
        <f aca="false">MIN(INDEX(設定!$E$20:$E$24,MATCH("Central Lardprao (Dept.)",設定!$A$20:$A$24,0)),MAX(INDEX(設定!$B$20:$D$24,MATCH("Central Lardprao (Dept.)",設定!$A$20:$A$24,0),MATCH($E32,設定!$B$19:$D$19,0)),ROUND($H32*INDEX(実績!$N$5:$R$8,MATCH($I32,実績!$F$5:$F$8,0),5)*INDEX(設定!$B$29:$B$33,MATCH("Central Lardprao (Dept.)",設定!$A$29:$A$33,0))/INDEX(実績!$S$5:$S$8,MATCH($I32,実績!$F$5:$F$8,0))/設定!$B$36,0)*設定!$B$36))+W32</f>
        <v>0</v>
      </c>
      <c r="O32" s="25" t="n">
        <f aca="false">SUM(J32:N32)</f>
        <v>6</v>
      </c>
      <c r="P32" s="25" t="n">
        <f aca="false">F32-O32</f>
        <v>18</v>
      </c>
      <c r="Q32" s="6" t="str">
        <f aca="false">IF(P32&lt;0,"入荷数超過→要調整","")</f>
        <v/>
      </c>
      <c r="S32" s="26"/>
      <c r="T32" s="26"/>
      <c r="U32" s="26"/>
      <c r="V32" s="26"/>
      <c r="W32" s="26"/>
    </row>
    <row r="33" customFormat="false" ht="14.25" hidden="false" customHeight="false" outlineLevel="0" collapsed="false">
      <c r="A33" s="6" t="s">
        <v>11</v>
      </c>
      <c r="B33" s="6" t="s">
        <v>107</v>
      </c>
      <c r="C33" s="6" t="s">
        <v>111</v>
      </c>
      <c r="D33" s="6" t="str">
        <f aca="false">LEFT(C33,1)</f>
        <v>W</v>
      </c>
      <c r="E33" s="23" t="s">
        <v>22</v>
      </c>
      <c r="F33" s="9" t="n">
        <v>36</v>
      </c>
      <c r="G33" s="24" t="n">
        <f aca="false">INDEX(設定!$B$6:$B$8,MATCH(A33,設定!$A$6:$A$8,0))</f>
        <v>0.33</v>
      </c>
      <c r="H33" s="6" t="n">
        <f aca="false">ROUND(F33*G33,0)</f>
        <v>12</v>
      </c>
      <c r="I33" s="6" t="str">
        <f aca="false">IF(A33="VFF Spidrwalk","Spidrwalk",IF(A33="VFF Trailope WP","TrailopeWP","GLS_"&amp;D33))</f>
        <v>GLS_W</v>
      </c>
      <c r="J33" s="6" t="n">
        <f aca="false">MIN(INDEX(設定!$E$20:$E$24,MATCH("K Village",設定!$A$20:$A$24,0)),MAX(INDEX(設定!$B$20:$D$24,MATCH("K Village",設定!$A$20:$A$24,0),MATCH($E33,設定!$B$19:$D$19,0)),ROUND($H33*INDEX(実績!$N$5:$R$8,MATCH($I33,実績!$F$5:$F$8,0),1)*INDEX(設定!$B$29:$B$33,MATCH("K Village",設定!$A$29:$A$33,0))/INDEX(実績!$S$5:$S$8,MATCH($I33,実績!$F$5:$F$8,0))/設定!$B$36,0)*設定!$B$36))+S33</f>
        <v>2</v>
      </c>
      <c r="K33" s="6" t="n">
        <f aca="false">MIN(INDEX(設定!$E$20:$E$24,MATCH("Central Chidlom",設定!$A$20:$A$24,0)),MAX(INDEX(設定!$B$20:$D$24,MATCH("Central Chidlom",設定!$A$20:$A$24,0),MATCH($E33,設定!$B$19:$D$19,0)),ROUND($H33*INDEX(実績!$N$5:$R$8,MATCH($I33,実績!$F$5:$F$8,0),2)*INDEX(設定!$B$29:$B$33,MATCH("Central Chidlom",設定!$A$29:$A$33,0))/INDEX(実績!$S$5:$S$8,MATCH($I33,実績!$F$5:$F$8,0))/設定!$B$36,0)*設定!$B$36))+T33</f>
        <v>2</v>
      </c>
      <c r="L33" s="6" t="n">
        <f aca="false">MIN(INDEX(設定!$E$20:$E$24,MATCH("Siam Discovery",設定!$A$20:$A$24,0)),MAX(INDEX(設定!$B$20:$D$24,MATCH("Siam Discovery",設定!$A$20:$A$24,0),MATCH($E33,設定!$B$19:$D$19,0)),ROUND($H33*INDEX(実績!$N$5:$R$8,MATCH($I33,実績!$F$5:$F$8,0),3)*INDEX(設定!$B$29:$B$33,MATCH("Siam Discovery",設定!$A$29:$A$33,0))/INDEX(実績!$S$5:$S$8,MATCH($I33,実績!$F$5:$F$8,0))/設定!$B$36,0)*設定!$B$36))+U33</f>
        <v>2</v>
      </c>
      <c r="M33" s="6" t="n">
        <f aca="false">MIN(INDEX(設定!$E$20:$E$24,MATCH("Paradise Park",設定!$A$20:$A$24,0)),MAX(INDEX(設定!$B$20:$D$24,MATCH("Paradise Park",設定!$A$20:$A$24,0),MATCH($E33,設定!$B$19:$D$19,0)),ROUND($H33*INDEX(実績!$N$5:$R$8,MATCH($I33,実績!$F$5:$F$8,0),4)*INDEX(設定!$B$29:$B$33,MATCH("Paradise Park",設定!$A$29:$A$33,0))/INDEX(実績!$S$5:$S$8,MATCH($I33,実績!$F$5:$F$8,0))/設定!$B$36,0)*設定!$B$36))+V33</f>
        <v>2</v>
      </c>
      <c r="N33" s="6" t="n">
        <f aca="false">MIN(INDEX(設定!$E$20:$E$24,MATCH("Central Lardprao (Dept.)",設定!$A$20:$A$24,0)),MAX(INDEX(設定!$B$20:$D$24,MATCH("Central Lardprao (Dept.)",設定!$A$20:$A$24,0),MATCH($E33,設定!$B$19:$D$19,0)),ROUND($H33*INDEX(実績!$N$5:$R$8,MATCH($I33,実績!$F$5:$F$8,0),5)*INDEX(設定!$B$29:$B$33,MATCH("Central Lardprao (Dept.)",設定!$A$29:$A$33,0))/INDEX(実績!$S$5:$S$8,MATCH($I33,実績!$F$5:$F$8,0))/設定!$B$36,0)*設定!$B$36))+W33</f>
        <v>0</v>
      </c>
      <c r="O33" s="25" t="n">
        <f aca="false">SUM(J33:N33)</f>
        <v>8</v>
      </c>
      <c r="P33" s="25" t="n">
        <f aca="false">F33-O33</f>
        <v>28</v>
      </c>
      <c r="Q33" s="6" t="str">
        <f aca="false">IF(P33&lt;0,"入荷数超過→要調整","")</f>
        <v/>
      </c>
      <c r="S33" s="26"/>
      <c r="T33" s="26"/>
      <c r="U33" s="26"/>
      <c r="V33" s="26"/>
      <c r="W33" s="26"/>
    </row>
    <row r="34" customFormat="false" ht="14.25" hidden="false" customHeight="false" outlineLevel="0" collapsed="false">
      <c r="A34" s="6" t="s">
        <v>11</v>
      </c>
      <c r="B34" s="6" t="s">
        <v>107</v>
      </c>
      <c r="C34" s="6" t="s">
        <v>112</v>
      </c>
      <c r="D34" s="6" t="str">
        <f aca="false">LEFT(C34,1)</f>
        <v>W</v>
      </c>
      <c r="E34" s="23" t="s">
        <v>22</v>
      </c>
      <c r="F34" s="9" t="n">
        <v>24</v>
      </c>
      <c r="G34" s="24" t="n">
        <f aca="false">INDEX(設定!$B$6:$B$8,MATCH(A34,設定!$A$6:$A$8,0))</f>
        <v>0.33</v>
      </c>
      <c r="H34" s="6" t="n">
        <f aca="false">ROUND(F34*G34,0)</f>
        <v>8</v>
      </c>
      <c r="I34" s="6" t="str">
        <f aca="false">IF(A34="VFF Spidrwalk","Spidrwalk",IF(A34="VFF Trailope WP","TrailopeWP","GLS_"&amp;D34))</f>
        <v>GLS_W</v>
      </c>
      <c r="J34" s="6" t="n">
        <f aca="false">MIN(INDEX(設定!$E$20:$E$24,MATCH("K Village",設定!$A$20:$A$24,0)),MAX(INDEX(設定!$B$20:$D$24,MATCH("K Village",設定!$A$20:$A$24,0),MATCH($E34,設定!$B$19:$D$19,0)),ROUND($H34*INDEX(実績!$N$5:$R$8,MATCH($I34,実績!$F$5:$F$8,0),1)*INDEX(設定!$B$29:$B$33,MATCH("K Village",設定!$A$29:$A$33,0))/INDEX(実績!$S$5:$S$8,MATCH($I34,実績!$F$5:$F$8,0))/設定!$B$36,0)*設定!$B$36))+S34</f>
        <v>2</v>
      </c>
      <c r="K34" s="6" t="n">
        <f aca="false">MIN(INDEX(設定!$E$20:$E$24,MATCH("Central Chidlom",設定!$A$20:$A$24,0)),MAX(INDEX(設定!$B$20:$D$24,MATCH("Central Chidlom",設定!$A$20:$A$24,0),MATCH($E34,設定!$B$19:$D$19,0)),ROUND($H34*INDEX(実績!$N$5:$R$8,MATCH($I34,実績!$F$5:$F$8,0),2)*INDEX(設定!$B$29:$B$33,MATCH("Central Chidlom",設定!$A$29:$A$33,0))/INDEX(実績!$S$5:$S$8,MATCH($I34,実績!$F$5:$F$8,0))/設定!$B$36,0)*設定!$B$36))+T34</f>
        <v>2</v>
      </c>
      <c r="L34" s="6" t="n">
        <f aca="false">MIN(INDEX(設定!$E$20:$E$24,MATCH("Siam Discovery",設定!$A$20:$A$24,0)),MAX(INDEX(設定!$B$20:$D$24,MATCH("Siam Discovery",設定!$A$20:$A$24,0),MATCH($E34,設定!$B$19:$D$19,0)),ROUND($H34*INDEX(実績!$N$5:$R$8,MATCH($I34,実績!$F$5:$F$8,0),3)*INDEX(設定!$B$29:$B$33,MATCH("Siam Discovery",設定!$A$29:$A$33,0))/INDEX(実績!$S$5:$S$8,MATCH($I34,実績!$F$5:$F$8,0))/設定!$B$36,0)*設定!$B$36))+U34</f>
        <v>1</v>
      </c>
      <c r="M34" s="6" t="n">
        <f aca="false">MIN(INDEX(設定!$E$20:$E$24,MATCH("Paradise Park",設定!$A$20:$A$24,0)),MAX(INDEX(設定!$B$20:$D$24,MATCH("Paradise Park",設定!$A$20:$A$24,0),MATCH($E34,設定!$B$19:$D$19,0)),ROUND($H34*INDEX(実績!$N$5:$R$8,MATCH($I34,実績!$F$5:$F$8,0),4)*INDEX(設定!$B$29:$B$33,MATCH("Paradise Park",設定!$A$29:$A$33,0))/INDEX(実績!$S$5:$S$8,MATCH($I34,実績!$F$5:$F$8,0))/設定!$B$36,0)*設定!$B$36))+V34</f>
        <v>1</v>
      </c>
      <c r="N34" s="6" t="n">
        <f aca="false">MIN(INDEX(設定!$E$20:$E$24,MATCH("Central Lardprao (Dept.)",設定!$A$20:$A$24,0)),MAX(INDEX(設定!$B$20:$D$24,MATCH("Central Lardprao (Dept.)",設定!$A$20:$A$24,0),MATCH($E34,設定!$B$19:$D$19,0)),ROUND($H34*INDEX(実績!$N$5:$R$8,MATCH($I34,実績!$F$5:$F$8,0),5)*INDEX(設定!$B$29:$B$33,MATCH("Central Lardprao (Dept.)",設定!$A$29:$A$33,0))/INDEX(実績!$S$5:$S$8,MATCH($I34,実績!$F$5:$F$8,0))/設定!$B$36,0)*設定!$B$36))+W34</f>
        <v>0</v>
      </c>
      <c r="O34" s="25" t="n">
        <f aca="false">SUM(J34:N34)</f>
        <v>6</v>
      </c>
      <c r="P34" s="25" t="n">
        <f aca="false">F34-O34</f>
        <v>18</v>
      </c>
      <c r="Q34" s="6" t="str">
        <f aca="false">IF(P34&lt;0,"入荷数超過→要調整","")</f>
        <v/>
      </c>
      <c r="S34" s="26"/>
      <c r="T34" s="26"/>
      <c r="U34" s="26"/>
      <c r="V34" s="26"/>
      <c r="W34" s="26"/>
    </row>
    <row r="35" customFormat="false" ht="14.25" hidden="false" customHeight="false" outlineLevel="0" collapsed="false">
      <c r="A35" s="6" t="s">
        <v>11</v>
      </c>
      <c r="B35" s="6" t="s">
        <v>107</v>
      </c>
      <c r="C35" s="6" t="s">
        <v>113</v>
      </c>
      <c r="D35" s="6" t="str">
        <f aca="false">LEFT(C35,1)</f>
        <v>W</v>
      </c>
      <c r="E35" s="23" t="s">
        <v>23</v>
      </c>
      <c r="F35" s="9" t="n">
        <v>15</v>
      </c>
      <c r="G35" s="24" t="n">
        <f aca="false">INDEX(設定!$B$6:$B$8,MATCH(A35,設定!$A$6:$A$8,0))</f>
        <v>0.33</v>
      </c>
      <c r="H35" s="6" t="n">
        <f aca="false">ROUND(F35*G35,0)</f>
        <v>5</v>
      </c>
      <c r="I35" s="6" t="str">
        <f aca="false">IF(A35="VFF Spidrwalk","Spidrwalk",IF(A35="VFF Trailope WP","TrailopeWP","GLS_"&amp;D35))</f>
        <v>GLS_W</v>
      </c>
      <c r="J35" s="6" t="n">
        <f aca="false">MIN(INDEX(設定!$E$20:$E$24,MATCH("K Village",設定!$A$20:$A$24,0)),MAX(INDEX(設定!$B$20:$D$24,MATCH("K Village",設定!$A$20:$A$24,0),MATCH($E35,設定!$B$19:$D$19,0)),ROUND($H35*INDEX(実績!$N$5:$R$8,MATCH($I35,実績!$F$5:$F$8,0),1)*INDEX(設定!$B$29:$B$33,MATCH("K Village",設定!$A$29:$A$33,0))/INDEX(実績!$S$5:$S$8,MATCH($I35,実績!$F$5:$F$8,0))/設定!$B$36,0)*設定!$B$36))+S35</f>
        <v>2</v>
      </c>
      <c r="K35" s="6" t="n">
        <f aca="false">MIN(INDEX(設定!$E$20:$E$24,MATCH("Central Chidlom",設定!$A$20:$A$24,0)),MAX(INDEX(設定!$B$20:$D$24,MATCH("Central Chidlom",設定!$A$20:$A$24,0),MATCH($E35,設定!$B$19:$D$19,0)),ROUND($H35*INDEX(実績!$N$5:$R$8,MATCH($I35,実績!$F$5:$F$8,0),2)*INDEX(設定!$B$29:$B$33,MATCH("Central Chidlom",設定!$A$29:$A$33,0))/INDEX(実績!$S$5:$S$8,MATCH($I35,実績!$F$5:$F$8,0))/設定!$B$36,0)*設定!$B$36))+T35</f>
        <v>1</v>
      </c>
      <c r="L35" s="6" t="n">
        <f aca="false">MIN(INDEX(設定!$E$20:$E$24,MATCH("Siam Discovery",設定!$A$20:$A$24,0)),MAX(INDEX(設定!$B$20:$D$24,MATCH("Siam Discovery",設定!$A$20:$A$24,0),MATCH($E35,設定!$B$19:$D$19,0)),ROUND($H35*INDEX(実績!$N$5:$R$8,MATCH($I35,実績!$F$5:$F$8,0),3)*INDEX(設定!$B$29:$B$33,MATCH("Siam Discovery",設定!$A$29:$A$33,0))/INDEX(実績!$S$5:$S$8,MATCH($I35,実績!$F$5:$F$8,0))/設定!$B$36,0)*設定!$B$36))+U35</f>
        <v>1</v>
      </c>
      <c r="M35" s="6" t="n">
        <f aca="false">MIN(INDEX(設定!$E$20:$E$24,MATCH("Paradise Park",設定!$A$20:$A$24,0)),MAX(INDEX(設定!$B$20:$D$24,MATCH("Paradise Park",設定!$A$20:$A$24,0),MATCH($E35,設定!$B$19:$D$19,0)),ROUND($H35*INDEX(実績!$N$5:$R$8,MATCH($I35,実績!$F$5:$F$8,0),4)*INDEX(設定!$B$29:$B$33,MATCH("Paradise Park",設定!$A$29:$A$33,0))/INDEX(実績!$S$5:$S$8,MATCH($I35,実績!$F$5:$F$8,0))/設定!$B$36,0)*設定!$B$36))+V35</f>
        <v>1</v>
      </c>
      <c r="N35" s="6" t="n">
        <f aca="false">MIN(INDEX(設定!$E$20:$E$24,MATCH("Central Lardprao (Dept.)",設定!$A$20:$A$24,0)),MAX(INDEX(設定!$B$20:$D$24,MATCH("Central Lardprao (Dept.)",設定!$A$20:$A$24,0),MATCH($E35,設定!$B$19:$D$19,0)),ROUND($H35*INDEX(実績!$N$5:$R$8,MATCH($I35,実績!$F$5:$F$8,0),5)*INDEX(設定!$B$29:$B$33,MATCH("Central Lardprao (Dept.)",設定!$A$29:$A$33,0))/INDEX(実績!$S$5:$S$8,MATCH($I35,実績!$F$5:$F$8,0))/設定!$B$36,0)*設定!$B$36))+W35</f>
        <v>0</v>
      </c>
      <c r="O35" s="25" t="n">
        <f aca="false">SUM(J35:N35)</f>
        <v>5</v>
      </c>
      <c r="P35" s="25" t="n">
        <f aca="false">F35-O35</f>
        <v>10</v>
      </c>
      <c r="Q35" s="6" t="str">
        <f aca="false">IF(P35&lt;0,"入荷数超過→要調整","")</f>
        <v/>
      </c>
      <c r="S35" s="26"/>
      <c r="T35" s="26"/>
      <c r="U35" s="26"/>
      <c r="V35" s="26"/>
      <c r="W35" s="26"/>
    </row>
    <row r="36" customFormat="false" ht="14.25" hidden="false" customHeight="false" outlineLevel="0" collapsed="false">
      <c r="A36" s="6" t="s">
        <v>11</v>
      </c>
      <c r="B36" s="6" t="s">
        <v>107</v>
      </c>
      <c r="C36" s="6" t="s">
        <v>114</v>
      </c>
      <c r="D36" s="6" t="str">
        <f aca="false">LEFT(C36,1)</f>
        <v>W</v>
      </c>
      <c r="E36" s="23" t="s">
        <v>24</v>
      </c>
      <c r="F36" s="9" t="n">
        <v>6</v>
      </c>
      <c r="G36" s="24" t="n">
        <f aca="false">INDEX(設定!$B$6:$B$8,MATCH(A36,設定!$A$6:$A$8,0))</f>
        <v>0.33</v>
      </c>
      <c r="H36" s="6" t="n">
        <f aca="false">ROUND(F36*G36,0)</f>
        <v>2</v>
      </c>
      <c r="I36" s="6" t="str">
        <f aca="false">IF(A36="VFF Spidrwalk","Spidrwalk",IF(A36="VFF Trailope WP","TrailopeWP","GLS_"&amp;D36))</f>
        <v>GLS_W</v>
      </c>
      <c r="J36" s="6" t="n">
        <f aca="false">MIN(INDEX(設定!$E$20:$E$24,MATCH("K Village",設定!$A$20:$A$24,0)),MAX(INDEX(設定!$B$20:$D$24,MATCH("K Village",設定!$A$20:$A$24,0),MATCH($E36,設定!$B$19:$D$19,0)),ROUND($H36*INDEX(実績!$N$5:$R$8,MATCH($I36,実績!$F$5:$F$8,0),1)*INDEX(設定!$B$29:$B$33,MATCH("K Village",設定!$A$29:$A$33,0))/INDEX(実績!$S$5:$S$8,MATCH($I36,実績!$F$5:$F$8,0))/設定!$B$36,0)*設定!$B$36))+S36</f>
        <v>1</v>
      </c>
      <c r="K36" s="6" t="n">
        <f aca="false">MIN(INDEX(設定!$E$20:$E$24,MATCH("Central Chidlom",設定!$A$20:$A$24,0)),MAX(INDEX(設定!$B$20:$D$24,MATCH("Central Chidlom",設定!$A$20:$A$24,0),MATCH($E36,設定!$B$19:$D$19,0)),ROUND($H36*INDEX(実績!$N$5:$R$8,MATCH($I36,実績!$F$5:$F$8,0),2)*INDEX(設定!$B$29:$B$33,MATCH("Central Chidlom",設定!$A$29:$A$33,0))/INDEX(実績!$S$5:$S$8,MATCH($I36,実績!$F$5:$F$8,0))/設定!$B$36,0)*設定!$B$36))+T36</f>
        <v>0</v>
      </c>
      <c r="L36" s="6" t="n">
        <f aca="false">MIN(INDEX(設定!$E$20:$E$24,MATCH("Siam Discovery",設定!$A$20:$A$24,0)),MAX(INDEX(設定!$B$20:$D$24,MATCH("Siam Discovery",設定!$A$20:$A$24,0),MATCH($E36,設定!$B$19:$D$19,0)),ROUND($H36*INDEX(実績!$N$5:$R$8,MATCH($I36,実績!$F$5:$F$8,0),3)*INDEX(設定!$B$29:$B$33,MATCH("Siam Discovery",設定!$A$29:$A$33,0))/INDEX(実績!$S$5:$S$8,MATCH($I36,実績!$F$5:$F$8,0))/設定!$B$36,0)*設定!$B$36))+U36</f>
        <v>0</v>
      </c>
      <c r="M36" s="6" t="n">
        <f aca="false">MIN(INDEX(設定!$E$20:$E$24,MATCH("Paradise Park",設定!$A$20:$A$24,0)),MAX(INDEX(設定!$B$20:$D$24,MATCH("Paradise Park",設定!$A$20:$A$24,0),MATCH($E36,設定!$B$19:$D$19,0)),ROUND($H36*INDEX(実績!$N$5:$R$8,MATCH($I36,実績!$F$5:$F$8,0),4)*INDEX(設定!$B$29:$B$33,MATCH("Paradise Park",設定!$A$29:$A$33,0))/INDEX(実績!$S$5:$S$8,MATCH($I36,実績!$F$5:$F$8,0))/設定!$B$36,0)*設定!$B$36))+V36</f>
        <v>0</v>
      </c>
      <c r="N36" s="6" t="n">
        <f aca="false">MIN(INDEX(設定!$E$20:$E$24,MATCH("Central Lardprao (Dept.)",設定!$A$20:$A$24,0)),MAX(INDEX(設定!$B$20:$D$24,MATCH("Central Lardprao (Dept.)",設定!$A$20:$A$24,0),MATCH($E36,設定!$B$19:$D$19,0)),ROUND($H36*INDEX(実績!$N$5:$R$8,MATCH($I36,実績!$F$5:$F$8,0),5)*INDEX(設定!$B$29:$B$33,MATCH("Central Lardprao (Dept.)",設定!$A$29:$A$33,0))/INDEX(実績!$S$5:$S$8,MATCH($I36,実績!$F$5:$F$8,0))/設定!$B$36,0)*設定!$B$36))+W36</f>
        <v>0</v>
      </c>
      <c r="O36" s="25" t="n">
        <f aca="false">SUM(J36:N36)</f>
        <v>1</v>
      </c>
      <c r="P36" s="25" t="n">
        <f aca="false">F36-O36</f>
        <v>5</v>
      </c>
      <c r="Q36" s="6" t="str">
        <f aca="false">IF(P36&lt;0,"入荷数超過→要調整","")</f>
        <v/>
      </c>
      <c r="S36" s="26"/>
      <c r="T36" s="26"/>
      <c r="U36" s="26"/>
      <c r="V36" s="26"/>
      <c r="W36" s="26"/>
    </row>
    <row r="37" customFormat="false" ht="14.25" hidden="false" customHeight="false" outlineLevel="0" collapsed="false">
      <c r="A37" s="6" t="s">
        <v>11</v>
      </c>
      <c r="B37" s="6" t="s">
        <v>115</v>
      </c>
      <c r="C37" s="6" t="s">
        <v>98</v>
      </c>
      <c r="D37" s="6" t="str">
        <f aca="false">LEFT(C37,1)</f>
        <v>M</v>
      </c>
      <c r="E37" s="23" t="s">
        <v>23</v>
      </c>
      <c r="F37" s="9" t="n">
        <v>27</v>
      </c>
      <c r="G37" s="24" t="n">
        <f aca="false">INDEX(設定!$B$6:$B$8,MATCH(A37,設定!$A$6:$A$8,0))</f>
        <v>0.33</v>
      </c>
      <c r="H37" s="6" t="n">
        <f aca="false">ROUND(F37*G37,0)</f>
        <v>9</v>
      </c>
      <c r="I37" s="6" t="str">
        <f aca="false">IF(A37="VFF Spidrwalk","Spidrwalk",IF(A37="VFF Trailope WP","TrailopeWP","GLS_"&amp;D37))</f>
        <v>GLS_M</v>
      </c>
      <c r="J37" s="6" t="n">
        <f aca="false">MIN(INDEX(設定!$E$20:$E$24,MATCH("K Village",設定!$A$20:$A$24,0)),MAX(INDEX(設定!$B$20:$D$24,MATCH("K Village",設定!$A$20:$A$24,0),MATCH($E37,設定!$B$19:$D$19,0)),ROUND($H37*INDEX(実績!$N$5:$R$8,MATCH($I37,実績!$F$5:$F$8,0),1)*INDEX(設定!$B$29:$B$33,MATCH("K Village",設定!$A$29:$A$33,0))/INDEX(実績!$S$5:$S$8,MATCH($I37,実績!$F$5:$F$8,0))/設定!$B$36,0)*設定!$B$36))+S37</f>
        <v>2</v>
      </c>
      <c r="K37" s="6" t="n">
        <f aca="false">MIN(INDEX(設定!$E$20:$E$24,MATCH("Central Chidlom",設定!$A$20:$A$24,0)),MAX(INDEX(設定!$B$20:$D$24,MATCH("Central Chidlom",設定!$A$20:$A$24,0),MATCH($E37,設定!$B$19:$D$19,0)),ROUND($H37*INDEX(実績!$N$5:$R$8,MATCH($I37,実績!$F$5:$F$8,0),2)*INDEX(設定!$B$29:$B$33,MATCH("Central Chidlom",設定!$A$29:$A$33,0))/INDEX(実績!$S$5:$S$8,MATCH($I37,実績!$F$5:$F$8,0))/設定!$B$36,0)*設定!$B$36))+T37</f>
        <v>2</v>
      </c>
      <c r="L37" s="6" t="n">
        <f aca="false">MIN(INDEX(設定!$E$20:$E$24,MATCH("Siam Discovery",設定!$A$20:$A$24,0)),MAX(INDEX(設定!$B$20:$D$24,MATCH("Siam Discovery",設定!$A$20:$A$24,0),MATCH($E37,設定!$B$19:$D$19,0)),ROUND($H37*INDEX(実績!$N$5:$R$8,MATCH($I37,実績!$F$5:$F$8,0),3)*INDEX(設定!$B$29:$B$33,MATCH("Siam Discovery",設定!$A$29:$A$33,0))/INDEX(実績!$S$5:$S$8,MATCH($I37,実績!$F$5:$F$8,0))/設定!$B$36,0)*設定!$B$36))+U37</f>
        <v>1</v>
      </c>
      <c r="M37" s="6" t="n">
        <f aca="false">MIN(INDEX(設定!$E$20:$E$24,MATCH("Paradise Park",設定!$A$20:$A$24,0)),MAX(INDEX(設定!$B$20:$D$24,MATCH("Paradise Park",設定!$A$20:$A$24,0),MATCH($E37,設定!$B$19:$D$19,0)),ROUND($H37*INDEX(実績!$N$5:$R$8,MATCH($I37,実績!$F$5:$F$8,0),4)*INDEX(設定!$B$29:$B$33,MATCH("Paradise Park",設定!$A$29:$A$33,0))/INDEX(実績!$S$5:$S$8,MATCH($I37,実績!$F$5:$F$8,0))/設定!$B$36,0)*設定!$B$36))+V37</f>
        <v>1</v>
      </c>
      <c r="N37" s="6" t="n">
        <f aca="false">MIN(INDEX(設定!$E$20:$E$24,MATCH("Central Lardprao (Dept.)",設定!$A$20:$A$24,0)),MAX(INDEX(設定!$B$20:$D$24,MATCH("Central Lardprao (Dept.)",設定!$A$20:$A$24,0),MATCH($E37,設定!$B$19:$D$19,0)),ROUND($H37*INDEX(実績!$N$5:$R$8,MATCH($I37,実績!$F$5:$F$8,0),5)*INDEX(設定!$B$29:$B$33,MATCH("Central Lardprao (Dept.)",設定!$A$29:$A$33,0))/INDEX(実績!$S$5:$S$8,MATCH($I37,実績!$F$5:$F$8,0))/設定!$B$36,0)*設定!$B$36))+W37</f>
        <v>0</v>
      </c>
      <c r="O37" s="25" t="n">
        <f aca="false">SUM(J37:N37)</f>
        <v>6</v>
      </c>
      <c r="P37" s="25" t="n">
        <f aca="false">F37-O37</f>
        <v>21</v>
      </c>
      <c r="Q37" s="6" t="str">
        <f aca="false">IF(P37&lt;0,"入荷数超過→要調整","")</f>
        <v/>
      </c>
      <c r="S37" s="26"/>
      <c r="T37" s="26"/>
      <c r="U37" s="26"/>
      <c r="V37" s="26"/>
      <c r="W37" s="26"/>
    </row>
    <row r="38" customFormat="false" ht="14.25" hidden="false" customHeight="false" outlineLevel="0" collapsed="false">
      <c r="A38" s="6" t="s">
        <v>11</v>
      </c>
      <c r="B38" s="6" t="s">
        <v>115</v>
      </c>
      <c r="C38" s="6" t="s">
        <v>99</v>
      </c>
      <c r="D38" s="6" t="str">
        <f aca="false">LEFT(C38,1)</f>
        <v>M</v>
      </c>
      <c r="E38" s="23" t="s">
        <v>22</v>
      </c>
      <c r="F38" s="9" t="n">
        <v>42</v>
      </c>
      <c r="G38" s="24" t="n">
        <f aca="false">INDEX(設定!$B$6:$B$8,MATCH(A38,設定!$A$6:$A$8,0))</f>
        <v>0.33</v>
      </c>
      <c r="H38" s="6" t="n">
        <f aca="false">ROUND(F38*G38,0)</f>
        <v>14</v>
      </c>
      <c r="I38" s="6" t="str">
        <f aca="false">IF(A38="VFF Spidrwalk","Spidrwalk",IF(A38="VFF Trailope WP","TrailopeWP","GLS_"&amp;D38))</f>
        <v>GLS_M</v>
      </c>
      <c r="J38" s="6" t="n">
        <f aca="false">MIN(INDEX(設定!$E$20:$E$24,MATCH("K Village",設定!$A$20:$A$24,0)),MAX(INDEX(設定!$B$20:$D$24,MATCH("K Village",設定!$A$20:$A$24,0),MATCH($E38,設定!$B$19:$D$19,0)),ROUND($H38*INDEX(実績!$N$5:$R$8,MATCH($I38,実績!$F$5:$F$8,0),1)*INDEX(設定!$B$29:$B$33,MATCH("K Village",設定!$A$29:$A$33,0))/INDEX(実績!$S$5:$S$8,MATCH($I38,実績!$F$5:$F$8,0))/設定!$B$36,0)*設定!$B$36))+S38</f>
        <v>2</v>
      </c>
      <c r="K38" s="6" t="n">
        <f aca="false">MIN(INDEX(設定!$E$20:$E$24,MATCH("Central Chidlom",設定!$A$20:$A$24,0)),MAX(INDEX(設定!$B$20:$D$24,MATCH("Central Chidlom",設定!$A$20:$A$24,0),MATCH($E38,設定!$B$19:$D$19,0)),ROUND($H38*INDEX(実績!$N$5:$R$8,MATCH($I38,実績!$F$5:$F$8,0),2)*INDEX(設定!$B$29:$B$33,MATCH("Central Chidlom",設定!$A$29:$A$33,0))/INDEX(実績!$S$5:$S$8,MATCH($I38,実績!$F$5:$F$8,0))/設定!$B$36,0)*設定!$B$36))+T38</f>
        <v>2</v>
      </c>
      <c r="L38" s="6" t="n">
        <f aca="false">MIN(INDEX(設定!$E$20:$E$24,MATCH("Siam Discovery",設定!$A$20:$A$24,0)),MAX(INDEX(設定!$B$20:$D$24,MATCH("Siam Discovery",設定!$A$20:$A$24,0),MATCH($E38,設定!$B$19:$D$19,0)),ROUND($H38*INDEX(実績!$N$5:$R$8,MATCH($I38,実績!$F$5:$F$8,0),3)*INDEX(設定!$B$29:$B$33,MATCH("Siam Discovery",設定!$A$29:$A$33,0))/INDEX(実績!$S$5:$S$8,MATCH($I38,実績!$F$5:$F$8,0))/設定!$B$36,0)*設定!$B$36))+U38</f>
        <v>2</v>
      </c>
      <c r="M38" s="6" t="n">
        <f aca="false">MIN(INDEX(設定!$E$20:$E$24,MATCH("Paradise Park",設定!$A$20:$A$24,0)),MAX(INDEX(設定!$B$20:$D$24,MATCH("Paradise Park",設定!$A$20:$A$24,0),MATCH($E38,設定!$B$19:$D$19,0)),ROUND($H38*INDEX(実績!$N$5:$R$8,MATCH($I38,実績!$F$5:$F$8,0),4)*INDEX(設定!$B$29:$B$33,MATCH("Paradise Park",設定!$A$29:$A$33,0))/INDEX(実績!$S$5:$S$8,MATCH($I38,実績!$F$5:$F$8,0))/設定!$B$36,0)*設定!$B$36))+V38</f>
        <v>2</v>
      </c>
      <c r="N38" s="6" t="n">
        <f aca="false">MIN(INDEX(設定!$E$20:$E$24,MATCH("Central Lardprao (Dept.)",設定!$A$20:$A$24,0)),MAX(INDEX(設定!$B$20:$D$24,MATCH("Central Lardprao (Dept.)",設定!$A$20:$A$24,0),MATCH($E38,設定!$B$19:$D$19,0)),ROUND($H38*INDEX(実績!$N$5:$R$8,MATCH($I38,実績!$F$5:$F$8,0),5)*INDEX(設定!$B$29:$B$33,MATCH("Central Lardprao (Dept.)",設定!$A$29:$A$33,0))/INDEX(実績!$S$5:$S$8,MATCH($I38,実績!$F$5:$F$8,0))/設定!$B$36,0)*設定!$B$36))+W38</f>
        <v>1</v>
      </c>
      <c r="O38" s="25" t="n">
        <f aca="false">SUM(J38:N38)</f>
        <v>9</v>
      </c>
      <c r="P38" s="25" t="n">
        <f aca="false">F38-O38</f>
        <v>33</v>
      </c>
      <c r="Q38" s="6" t="str">
        <f aca="false">IF(P38&lt;0,"入荷数超過→要調整","")</f>
        <v/>
      </c>
      <c r="S38" s="26"/>
      <c r="T38" s="26"/>
      <c r="U38" s="26"/>
      <c r="V38" s="26"/>
      <c r="W38" s="26"/>
    </row>
    <row r="39" customFormat="false" ht="14.25" hidden="false" customHeight="false" outlineLevel="0" collapsed="false">
      <c r="A39" s="6" t="s">
        <v>11</v>
      </c>
      <c r="B39" s="6" t="s">
        <v>115</v>
      </c>
      <c r="C39" s="6" t="s">
        <v>100</v>
      </c>
      <c r="D39" s="6" t="str">
        <f aca="false">LEFT(C39,1)</f>
        <v>M</v>
      </c>
      <c r="E39" s="23" t="s">
        <v>22</v>
      </c>
      <c r="F39" s="9" t="n">
        <v>51</v>
      </c>
      <c r="G39" s="24" t="n">
        <f aca="false">INDEX(設定!$B$6:$B$8,MATCH(A39,設定!$A$6:$A$8,0))</f>
        <v>0.33</v>
      </c>
      <c r="H39" s="6" t="n">
        <f aca="false">ROUND(F39*G39,0)</f>
        <v>17</v>
      </c>
      <c r="I39" s="6" t="str">
        <f aca="false">IF(A39="VFF Spidrwalk","Spidrwalk",IF(A39="VFF Trailope WP","TrailopeWP","GLS_"&amp;D39))</f>
        <v>GLS_M</v>
      </c>
      <c r="J39" s="6" t="n">
        <f aca="false">MIN(INDEX(設定!$E$20:$E$24,MATCH("K Village",設定!$A$20:$A$24,0)),MAX(INDEX(設定!$B$20:$D$24,MATCH("K Village",設定!$A$20:$A$24,0),MATCH($E39,設定!$B$19:$D$19,0)),ROUND($H39*INDEX(実績!$N$5:$R$8,MATCH($I39,実績!$F$5:$F$8,0),1)*INDEX(設定!$B$29:$B$33,MATCH("K Village",設定!$A$29:$A$33,0))/INDEX(実績!$S$5:$S$8,MATCH($I39,実績!$F$5:$F$8,0))/設定!$B$36,0)*設定!$B$36))+S39</f>
        <v>2</v>
      </c>
      <c r="K39" s="6" t="n">
        <f aca="false">MIN(INDEX(設定!$E$20:$E$24,MATCH("Central Chidlom",設定!$A$20:$A$24,0)),MAX(INDEX(設定!$B$20:$D$24,MATCH("Central Chidlom",設定!$A$20:$A$24,0),MATCH($E39,設定!$B$19:$D$19,0)),ROUND($H39*INDEX(実績!$N$5:$R$8,MATCH($I39,実績!$F$5:$F$8,0),2)*INDEX(設定!$B$29:$B$33,MATCH("Central Chidlom",設定!$A$29:$A$33,0))/INDEX(実績!$S$5:$S$8,MATCH($I39,実績!$F$5:$F$8,0))/設定!$B$36,0)*設定!$B$36))+T39</f>
        <v>2</v>
      </c>
      <c r="L39" s="6" t="n">
        <f aca="false">MIN(INDEX(設定!$E$20:$E$24,MATCH("Siam Discovery",設定!$A$20:$A$24,0)),MAX(INDEX(設定!$B$20:$D$24,MATCH("Siam Discovery",設定!$A$20:$A$24,0),MATCH($E39,設定!$B$19:$D$19,0)),ROUND($H39*INDEX(実績!$N$5:$R$8,MATCH($I39,実績!$F$5:$F$8,0),3)*INDEX(設定!$B$29:$B$33,MATCH("Siam Discovery",設定!$A$29:$A$33,0))/INDEX(実績!$S$5:$S$8,MATCH($I39,実績!$F$5:$F$8,0))/設定!$B$36,0)*設定!$B$36))+U39</f>
        <v>2</v>
      </c>
      <c r="M39" s="6" t="n">
        <f aca="false">MIN(INDEX(設定!$E$20:$E$24,MATCH("Paradise Park",設定!$A$20:$A$24,0)),MAX(INDEX(設定!$B$20:$D$24,MATCH("Paradise Park",設定!$A$20:$A$24,0),MATCH($E39,設定!$B$19:$D$19,0)),ROUND($H39*INDEX(実績!$N$5:$R$8,MATCH($I39,実績!$F$5:$F$8,0),4)*INDEX(設定!$B$29:$B$33,MATCH("Paradise Park",設定!$A$29:$A$33,0))/INDEX(実績!$S$5:$S$8,MATCH($I39,実績!$F$5:$F$8,0))/設定!$B$36,0)*設定!$B$36))+V39</f>
        <v>2</v>
      </c>
      <c r="N39" s="6" t="n">
        <f aca="false">MIN(INDEX(設定!$E$20:$E$24,MATCH("Central Lardprao (Dept.)",設定!$A$20:$A$24,0)),MAX(INDEX(設定!$B$20:$D$24,MATCH("Central Lardprao (Dept.)",設定!$A$20:$A$24,0),MATCH($E39,設定!$B$19:$D$19,0)),ROUND($H39*INDEX(実績!$N$5:$R$8,MATCH($I39,実績!$F$5:$F$8,0),5)*INDEX(設定!$B$29:$B$33,MATCH("Central Lardprao (Dept.)",設定!$A$29:$A$33,0))/INDEX(実績!$S$5:$S$8,MATCH($I39,実績!$F$5:$F$8,0))/設定!$B$36,0)*設定!$B$36))+W39</f>
        <v>1</v>
      </c>
      <c r="O39" s="25" t="n">
        <f aca="false">SUM(J39:N39)</f>
        <v>9</v>
      </c>
      <c r="P39" s="25" t="n">
        <f aca="false">F39-O39</f>
        <v>42</v>
      </c>
      <c r="Q39" s="6" t="str">
        <f aca="false">IF(P39&lt;0,"入荷数超過→要調整","")</f>
        <v/>
      </c>
      <c r="S39" s="26"/>
      <c r="T39" s="26"/>
      <c r="U39" s="26"/>
      <c r="V39" s="26"/>
      <c r="W39" s="26"/>
    </row>
    <row r="40" customFormat="false" ht="14.25" hidden="false" customHeight="false" outlineLevel="0" collapsed="false">
      <c r="A40" s="6" t="s">
        <v>11</v>
      </c>
      <c r="B40" s="6" t="s">
        <v>115</v>
      </c>
      <c r="C40" s="6" t="s">
        <v>101</v>
      </c>
      <c r="D40" s="6" t="str">
        <f aca="false">LEFT(C40,1)</f>
        <v>M</v>
      </c>
      <c r="E40" s="23" t="s">
        <v>22</v>
      </c>
      <c r="F40" s="9" t="n">
        <v>48</v>
      </c>
      <c r="G40" s="24" t="n">
        <f aca="false">INDEX(設定!$B$6:$B$8,MATCH(A40,設定!$A$6:$A$8,0))</f>
        <v>0.33</v>
      </c>
      <c r="H40" s="6" t="n">
        <f aca="false">ROUND(F40*G40,0)</f>
        <v>16</v>
      </c>
      <c r="I40" s="6" t="str">
        <f aca="false">IF(A40="VFF Spidrwalk","Spidrwalk",IF(A40="VFF Trailope WP","TrailopeWP","GLS_"&amp;D40))</f>
        <v>GLS_M</v>
      </c>
      <c r="J40" s="6" t="n">
        <f aca="false">MIN(INDEX(設定!$E$20:$E$24,MATCH("K Village",設定!$A$20:$A$24,0)),MAX(INDEX(設定!$B$20:$D$24,MATCH("K Village",設定!$A$20:$A$24,0),MATCH($E40,設定!$B$19:$D$19,0)),ROUND($H40*INDEX(実績!$N$5:$R$8,MATCH($I40,実績!$F$5:$F$8,0),1)*INDEX(設定!$B$29:$B$33,MATCH("K Village",設定!$A$29:$A$33,0))/INDEX(実績!$S$5:$S$8,MATCH($I40,実績!$F$5:$F$8,0))/設定!$B$36,0)*設定!$B$36))+S40</f>
        <v>2</v>
      </c>
      <c r="K40" s="6" t="n">
        <f aca="false">MIN(INDEX(設定!$E$20:$E$24,MATCH("Central Chidlom",設定!$A$20:$A$24,0)),MAX(INDEX(設定!$B$20:$D$24,MATCH("Central Chidlom",設定!$A$20:$A$24,0),MATCH($E40,設定!$B$19:$D$19,0)),ROUND($H40*INDEX(実績!$N$5:$R$8,MATCH($I40,実績!$F$5:$F$8,0),2)*INDEX(設定!$B$29:$B$33,MATCH("Central Chidlom",設定!$A$29:$A$33,0))/INDEX(実績!$S$5:$S$8,MATCH($I40,実績!$F$5:$F$8,0))/設定!$B$36,0)*設定!$B$36))+T40</f>
        <v>2</v>
      </c>
      <c r="L40" s="6" t="n">
        <f aca="false">MIN(INDEX(設定!$E$20:$E$24,MATCH("Siam Discovery",設定!$A$20:$A$24,0)),MAX(INDEX(設定!$B$20:$D$24,MATCH("Siam Discovery",設定!$A$20:$A$24,0),MATCH($E40,設定!$B$19:$D$19,0)),ROUND($H40*INDEX(実績!$N$5:$R$8,MATCH($I40,実績!$F$5:$F$8,0),3)*INDEX(設定!$B$29:$B$33,MATCH("Siam Discovery",設定!$A$29:$A$33,0))/INDEX(実績!$S$5:$S$8,MATCH($I40,実績!$F$5:$F$8,0))/設定!$B$36,0)*設定!$B$36))+U40</f>
        <v>2</v>
      </c>
      <c r="M40" s="6" t="n">
        <f aca="false">MIN(INDEX(設定!$E$20:$E$24,MATCH("Paradise Park",設定!$A$20:$A$24,0)),MAX(INDEX(設定!$B$20:$D$24,MATCH("Paradise Park",設定!$A$20:$A$24,0),MATCH($E40,設定!$B$19:$D$19,0)),ROUND($H40*INDEX(実績!$N$5:$R$8,MATCH($I40,実績!$F$5:$F$8,0),4)*INDEX(設定!$B$29:$B$33,MATCH("Paradise Park",設定!$A$29:$A$33,0))/INDEX(実績!$S$5:$S$8,MATCH($I40,実績!$F$5:$F$8,0))/設定!$B$36,0)*設定!$B$36))+V40</f>
        <v>2</v>
      </c>
      <c r="N40" s="6" t="n">
        <f aca="false">MIN(INDEX(設定!$E$20:$E$24,MATCH("Central Lardprao (Dept.)",設定!$A$20:$A$24,0)),MAX(INDEX(設定!$B$20:$D$24,MATCH("Central Lardprao (Dept.)",設定!$A$20:$A$24,0),MATCH($E40,設定!$B$19:$D$19,0)),ROUND($H40*INDEX(実績!$N$5:$R$8,MATCH($I40,実績!$F$5:$F$8,0),5)*INDEX(設定!$B$29:$B$33,MATCH("Central Lardprao (Dept.)",設定!$A$29:$A$33,0))/INDEX(実績!$S$5:$S$8,MATCH($I40,実績!$F$5:$F$8,0))/設定!$B$36,0)*設定!$B$36))+W40</f>
        <v>1</v>
      </c>
      <c r="O40" s="25" t="n">
        <f aca="false">SUM(J40:N40)</f>
        <v>9</v>
      </c>
      <c r="P40" s="25" t="n">
        <f aca="false">F40-O40</f>
        <v>39</v>
      </c>
      <c r="Q40" s="6" t="str">
        <f aca="false">IF(P40&lt;0,"入荷数超過→要調整","")</f>
        <v/>
      </c>
      <c r="S40" s="26"/>
      <c r="T40" s="26"/>
      <c r="U40" s="26"/>
      <c r="V40" s="26"/>
      <c r="W40" s="26"/>
    </row>
    <row r="41" customFormat="false" ht="14.25" hidden="false" customHeight="false" outlineLevel="0" collapsed="false">
      <c r="A41" s="6" t="s">
        <v>11</v>
      </c>
      <c r="B41" s="6" t="s">
        <v>115</v>
      </c>
      <c r="C41" s="6" t="s">
        <v>102</v>
      </c>
      <c r="D41" s="6" t="str">
        <f aca="false">LEFT(C41,1)</f>
        <v>M</v>
      </c>
      <c r="E41" s="23" t="s">
        <v>22</v>
      </c>
      <c r="F41" s="9" t="n">
        <v>33</v>
      </c>
      <c r="G41" s="24" t="n">
        <f aca="false">INDEX(設定!$B$6:$B$8,MATCH(A41,設定!$A$6:$A$8,0))</f>
        <v>0.33</v>
      </c>
      <c r="H41" s="6" t="n">
        <f aca="false">ROUND(F41*G41,0)</f>
        <v>11</v>
      </c>
      <c r="I41" s="6" t="str">
        <f aca="false">IF(A41="VFF Spidrwalk","Spidrwalk",IF(A41="VFF Trailope WP","TrailopeWP","GLS_"&amp;D41))</f>
        <v>GLS_M</v>
      </c>
      <c r="J41" s="6" t="n">
        <f aca="false">MIN(INDEX(設定!$E$20:$E$24,MATCH("K Village",設定!$A$20:$A$24,0)),MAX(INDEX(設定!$B$20:$D$24,MATCH("K Village",設定!$A$20:$A$24,0),MATCH($E41,設定!$B$19:$D$19,0)),ROUND($H41*INDEX(実績!$N$5:$R$8,MATCH($I41,実績!$F$5:$F$8,0),1)*INDEX(設定!$B$29:$B$33,MATCH("K Village",設定!$A$29:$A$33,0))/INDEX(実績!$S$5:$S$8,MATCH($I41,実績!$F$5:$F$8,0))/設定!$B$36,0)*設定!$B$36))+S41</f>
        <v>2</v>
      </c>
      <c r="K41" s="6" t="n">
        <f aca="false">MIN(INDEX(設定!$E$20:$E$24,MATCH("Central Chidlom",設定!$A$20:$A$24,0)),MAX(INDEX(設定!$B$20:$D$24,MATCH("Central Chidlom",設定!$A$20:$A$24,0),MATCH($E41,設定!$B$19:$D$19,0)),ROUND($H41*INDEX(実績!$N$5:$R$8,MATCH($I41,実績!$F$5:$F$8,0),2)*INDEX(設定!$B$29:$B$33,MATCH("Central Chidlom",設定!$A$29:$A$33,0))/INDEX(実績!$S$5:$S$8,MATCH($I41,実績!$F$5:$F$8,0))/設定!$B$36,0)*設定!$B$36))+T41</f>
        <v>2</v>
      </c>
      <c r="L41" s="6" t="n">
        <f aca="false">MIN(INDEX(設定!$E$20:$E$24,MATCH("Siam Discovery",設定!$A$20:$A$24,0)),MAX(INDEX(設定!$B$20:$D$24,MATCH("Siam Discovery",設定!$A$20:$A$24,0),MATCH($E41,設定!$B$19:$D$19,0)),ROUND($H41*INDEX(実績!$N$5:$R$8,MATCH($I41,実績!$F$5:$F$8,0),3)*INDEX(設定!$B$29:$B$33,MATCH("Siam Discovery",設定!$A$29:$A$33,0))/INDEX(実績!$S$5:$S$8,MATCH($I41,実績!$F$5:$F$8,0))/設定!$B$36,0)*設定!$B$36))+U41</f>
        <v>2</v>
      </c>
      <c r="M41" s="6" t="n">
        <f aca="false">MIN(INDEX(設定!$E$20:$E$24,MATCH("Paradise Park",設定!$A$20:$A$24,0)),MAX(INDEX(設定!$B$20:$D$24,MATCH("Paradise Park",設定!$A$20:$A$24,0),MATCH($E41,設定!$B$19:$D$19,0)),ROUND($H41*INDEX(実績!$N$5:$R$8,MATCH($I41,実績!$F$5:$F$8,0),4)*INDEX(設定!$B$29:$B$33,MATCH("Paradise Park",設定!$A$29:$A$33,0))/INDEX(実績!$S$5:$S$8,MATCH($I41,実績!$F$5:$F$8,0))/設定!$B$36,0)*設定!$B$36))+V41</f>
        <v>2</v>
      </c>
      <c r="N41" s="6" t="n">
        <f aca="false">MIN(INDEX(設定!$E$20:$E$24,MATCH("Central Lardprao (Dept.)",設定!$A$20:$A$24,0)),MAX(INDEX(設定!$B$20:$D$24,MATCH("Central Lardprao (Dept.)",設定!$A$20:$A$24,0),MATCH($E41,設定!$B$19:$D$19,0)),ROUND($H41*INDEX(実績!$N$5:$R$8,MATCH($I41,実績!$F$5:$F$8,0),5)*INDEX(設定!$B$29:$B$33,MATCH("Central Lardprao (Dept.)",設定!$A$29:$A$33,0))/INDEX(実績!$S$5:$S$8,MATCH($I41,実績!$F$5:$F$8,0))/設定!$B$36,0)*設定!$B$36))+W41</f>
        <v>0</v>
      </c>
      <c r="O41" s="25" t="n">
        <f aca="false">SUM(J41:N41)</f>
        <v>8</v>
      </c>
      <c r="P41" s="25" t="n">
        <f aca="false">F41-O41</f>
        <v>25</v>
      </c>
      <c r="Q41" s="6" t="str">
        <f aca="false">IF(P41&lt;0,"入荷数超過→要調整","")</f>
        <v/>
      </c>
      <c r="S41" s="26"/>
      <c r="T41" s="26"/>
      <c r="U41" s="26"/>
      <c r="V41" s="26"/>
      <c r="W41" s="26"/>
    </row>
    <row r="42" customFormat="false" ht="14.25" hidden="false" customHeight="false" outlineLevel="0" collapsed="false">
      <c r="A42" s="6" t="s">
        <v>11</v>
      </c>
      <c r="B42" s="6" t="s">
        <v>115</v>
      </c>
      <c r="C42" s="6" t="s">
        <v>103</v>
      </c>
      <c r="D42" s="6" t="str">
        <f aca="false">LEFT(C42,1)</f>
        <v>M</v>
      </c>
      <c r="E42" s="23" t="s">
        <v>23</v>
      </c>
      <c r="F42" s="9" t="n">
        <v>24</v>
      </c>
      <c r="G42" s="24" t="n">
        <f aca="false">INDEX(設定!$B$6:$B$8,MATCH(A42,設定!$A$6:$A$8,0))</f>
        <v>0.33</v>
      </c>
      <c r="H42" s="6" t="n">
        <f aca="false">ROUND(F42*G42,0)</f>
        <v>8</v>
      </c>
      <c r="I42" s="6" t="str">
        <f aca="false">IF(A42="VFF Spidrwalk","Spidrwalk",IF(A42="VFF Trailope WP","TrailopeWP","GLS_"&amp;D42))</f>
        <v>GLS_M</v>
      </c>
      <c r="J42" s="6" t="n">
        <f aca="false">MIN(INDEX(設定!$E$20:$E$24,MATCH("K Village",設定!$A$20:$A$24,0)),MAX(INDEX(設定!$B$20:$D$24,MATCH("K Village",設定!$A$20:$A$24,0),MATCH($E42,設定!$B$19:$D$19,0)),ROUND($H42*INDEX(実績!$N$5:$R$8,MATCH($I42,実績!$F$5:$F$8,0),1)*INDEX(設定!$B$29:$B$33,MATCH("K Village",設定!$A$29:$A$33,0))/INDEX(実績!$S$5:$S$8,MATCH($I42,実績!$F$5:$F$8,0))/設定!$B$36,0)*設定!$B$36))+S42</f>
        <v>2</v>
      </c>
      <c r="K42" s="6" t="n">
        <f aca="false">MIN(INDEX(設定!$E$20:$E$24,MATCH("Central Chidlom",設定!$A$20:$A$24,0)),MAX(INDEX(設定!$B$20:$D$24,MATCH("Central Chidlom",設定!$A$20:$A$24,0),MATCH($E42,設定!$B$19:$D$19,0)),ROUND($H42*INDEX(実績!$N$5:$R$8,MATCH($I42,実績!$F$5:$F$8,0),2)*INDEX(設定!$B$29:$B$33,MATCH("Central Chidlom",設定!$A$29:$A$33,0))/INDEX(実績!$S$5:$S$8,MATCH($I42,実績!$F$5:$F$8,0))/設定!$B$36,0)*設定!$B$36))+T42</f>
        <v>1</v>
      </c>
      <c r="L42" s="6" t="n">
        <f aca="false">MIN(INDEX(設定!$E$20:$E$24,MATCH("Siam Discovery",設定!$A$20:$A$24,0)),MAX(INDEX(設定!$B$20:$D$24,MATCH("Siam Discovery",設定!$A$20:$A$24,0),MATCH($E42,設定!$B$19:$D$19,0)),ROUND($H42*INDEX(実績!$N$5:$R$8,MATCH($I42,実績!$F$5:$F$8,0),3)*INDEX(設定!$B$29:$B$33,MATCH("Siam Discovery",設定!$A$29:$A$33,0))/INDEX(実績!$S$5:$S$8,MATCH($I42,実績!$F$5:$F$8,0))/設定!$B$36,0)*設定!$B$36))+U42</f>
        <v>1</v>
      </c>
      <c r="M42" s="6" t="n">
        <f aca="false">MIN(INDEX(設定!$E$20:$E$24,MATCH("Paradise Park",設定!$A$20:$A$24,0)),MAX(INDEX(設定!$B$20:$D$24,MATCH("Paradise Park",設定!$A$20:$A$24,0),MATCH($E42,設定!$B$19:$D$19,0)),ROUND($H42*INDEX(実績!$N$5:$R$8,MATCH($I42,実績!$F$5:$F$8,0),4)*INDEX(設定!$B$29:$B$33,MATCH("Paradise Park",設定!$A$29:$A$33,0))/INDEX(実績!$S$5:$S$8,MATCH($I42,実績!$F$5:$F$8,0))/設定!$B$36,0)*設定!$B$36))+V42</f>
        <v>1</v>
      </c>
      <c r="N42" s="6" t="n">
        <f aca="false">MIN(INDEX(設定!$E$20:$E$24,MATCH("Central Lardprao (Dept.)",設定!$A$20:$A$24,0)),MAX(INDEX(設定!$B$20:$D$24,MATCH("Central Lardprao (Dept.)",設定!$A$20:$A$24,0),MATCH($E42,設定!$B$19:$D$19,0)),ROUND($H42*INDEX(実績!$N$5:$R$8,MATCH($I42,実績!$F$5:$F$8,0),5)*INDEX(設定!$B$29:$B$33,MATCH("Central Lardprao (Dept.)",設定!$A$29:$A$33,0))/INDEX(実績!$S$5:$S$8,MATCH($I42,実績!$F$5:$F$8,0))/設定!$B$36,0)*設定!$B$36))+W42</f>
        <v>0</v>
      </c>
      <c r="O42" s="25" t="n">
        <f aca="false">SUM(J42:N42)</f>
        <v>5</v>
      </c>
      <c r="P42" s="25" t="n">
        <f aca="false">F42-O42</f>
        <v>19</v>
      </c>
      <c r="Q42" s="6" t="str">
        <f aca="false">IF(P42&lt;0,"入荷数超過→要調整","")</f>
        <v/>
      </c>
      <c r="S42" s="26"/>
      <c r="T42" s="26"/>
      <c r="U42" s="26"/>
      <c r="V42" s="26"/>
      <c r="W42" s="26"/>
    </row>
    <row r="43" customFormat="false" ht="14.25" hidden="false" customHeight="false" outlineLevel="0" collapsed="false">
      <c r="A43" s="6" t="s">
        <v>11</v>
      </c>
      <c r="B43" s="6" t="s">
        <v>115</v>
      </c>
      <c r="C43" s="6" t="s">
        <v>104</v>
      </c>
      <c r="D43" s="6" t="str">
        <f aca="false">LEFT(C43,1)</f>
        <v>M</v>
      </c>
      <c r="E43" s="23" t="s">
        <v>23</v>
      </c>
      <c r="F43" s="9" t="n">
        <v>12</v>
      </c>
      <c r="G43" s="24" t="n">
        <f aca="false">INDEX(設定!$B$6:$B$8,MATCH(A43,設定!$A$6:$A$8,0))</f>
        <v>0.33</v>
      </c>
      <c r="H43" s="6" t="n">
        <f aca="false">ROUND(F43*G43,0)</f>
        <v>4</v>
      </c>
      <c r="I43" s="6" t="str">
        <f aca="false">IF(A43="VFF Spidrwalk","Spidrwalk",IF(A43="VFF Trailope WP","TrailopeWP","GLS_"&amp;D43))</f>
        <v>GLS_M</v>
      </c>
      <c r="J43" s="6" t="n">
        <f aca="false">MIN(INDEX(設定!$E$20:$E$24,MATCH("K Village",設定!$A$20:$A$24,0)),MAX(INDEX(設定!$B$20:$D$24,MATCH("K Village",設定!$A$20:$A$24,0),MATCH($E43,設定!$B$19:$D$19,0)),ROUND($H43*INDEX(実績!$N$5:$R$8,MATCH($I43,実績!$F$5:$F$8,0),1)*INDEX(設定!$B$29:$B$33,MATCH("K Village",設定!$A$29:$A$33,0))/INDEX(実績!$S$5:$S$8,MATCH($I43,実績!$F$5:$F$8,0))/設定!$B$36,0)*設定!$B$36))+S43</f>
        <v>2</v>
      </c>
      <c r="K43" s="6" t="n">
        <f aca="false">MIN(INDEX(設定!$E$20:$E$24,MATCH("Central Chidlom",設定!$A$20:$A$24,0)),MAX(INDEX(設定!$B$20:$D$24,MATCH("Central Chidlom",設定!$A$20:$A$24,0),MATCH($E43,設定!$B$19:$D$19,0)),ROUND($H43*INDEX(実績!$N$5:$R$8,MATCH($I43,実績!$F$5:$F$8,0),2)*INDEX(設定!$B$29:$B$33,MATCH("Central Chidlom",設定!$A$29:$A$33,0))/INDEX(実績!$S$5:$S$8,MATCH($I43,実績!$F$5:$F$8,0))/設定!$B$36,0)*設定!$B$36))+T43</f>
        <v>1</v>
      </c>
      <c r="L43" s="6" t="n">
        <f aca="false">MIN(INDEX(設定!$E$20:$E$24,MATCH("Siam Discovery",設定!$A$20:$A$24,0)),MAX(INDEX(設定!$B$20:$D$24,MATCH("Siam Discovery",設定!$A$20:$A$24,0),MATCH($E43,設定!$B$19:$D$19,0)),ROUND($H43*INDEX(実績!$N$5:$R$8,MATCH($I43,実績!$F$5:$F$8,0),3)*INDEX(設定!$B$29:$B$33,MATCH("Siam Discovery",設定!$A$29:$A$33,0))/INDEX(実績!$S$5:$S$8,MATCH($I43,実績!$F$5:$F$8,0))/設定!$B$36,0)*設定!$B$36))+U43</f>
        <v>1</v>
      </c>
      <c r="M43" s="6" t="n">
        <f aca="false">MIN(INDEX(設定!$E$20:$E$24,MATCH("Paradise Park",設定!$A$20:$A$24,0)),MAX(INDEX(設定!$B$20:$D$24,MATCH("Paradise Park",設定!$A$20:$A$24,0),MATCH($E43,設定!$B$19:$D$19,0)),ROUND($H43*INDEX(実績!$N$5:$R$8,MATCH($I43,実績!$F$5:$F$8,0),4)*INDEX(設定!$B$29:$B$33,MATCH("Paradise Park",設定!$A$29:$A$33,0))/INDEX(実績!$S$5:$S$8,MATCH($I43,実績!$F$5:$F$8,0))/設定!$B$36,0)*設定!$B$36))+V43</f>
        <v>1</v>
      </c>
      <c r="N43" s="6" t="n">
        <f aca="false">MIN(INDEX(設定!$E$20:$E$24,MATCH("Central Lardprao (Dept.)",設定!$A$20:$A$24,0)),MAX(INDEX(設定!$B$20:$D$24,MATCH("Central Lardprao (Dept.)",設定!$A$20:$A$24,0),MATCH($E43,設定!$B$19:$D$19,0)),ROUND($H43*INDEX(実績!$N$5:$R$8,MATCH($I43,実績!$F$5:$F$8,0),5)*INDEX(設定!$B$29:$B$33,MATCH("Central Lardprao (Dept.)",設定!$A$29:$A$33,0))/INDEX(実績!$S$5:$S$8,MATCH($I43,実績!$F$5:$F$8,0))/設定!$B$36,0)*設定!$B$36))+W43</f>
        <v>0</v>
      </c>
      <c r="O43" s="25" t="n">
        <f aca="false">SUM(J43:N43)</f>
        <v>5</v>
      </c>
      <c r="P43" s="25" t="n">
        <f aca="false">F43-O43</f>
        <v>7</v>
      </c>
      <c r="Q43" s="6" t="str">
        <f aca="false">IF(P43&lt;0,"入荷数超過→要調整","")</f>
        <v/>
      </c>
      <c r="S43" s="26"/>
      <c r="T43" s="26"/>
      <c r="U43" s="26"/>
      <c r="V43" s="26"/>
      <c r="W43" s="26"/>
    </row>
    <row r="44" customFormat="false" ht="14.25" hidden="false" customHeight="false" outlineLevel="0" collapsed="false">
      <c r="A44" s="6" t="s">
        <v>11</v>
      </c>
      <c r="B44" s="6" t="s">
        <v>115</v>
      </c>
      <c r="C44" s="6" t="s">
        <v>105</v>
      </c>
      <c r="D44" s="6" t="str">
        <f aca="false">LEFT(C44,1)</f>
        <v>M</v>
      </c>
      <c r="E44" s="23" t="s">
        <v>24</v>
      </c>
      <c r="F44" s="9" t="n">
        <v>3</v>
      </c>
      <c r="G44" s="24" t="n">
        <f aca="false">INDEX(設定!$B$6:$B$8,MATCH(A44,設定!$A$6:$A$8,0))</f>
        <v>0.33</v>
      </c>
      <c r="H44" s="6" t="n">
        <f aca="false">ROUND(F44*G44,0)</f>
        <v>1</v>
      </c>
      <c r="I44" s="6" t="str">
        <f aca="false">IF(A44="VFF Spidrwalk","Spidrwalk",IF(A44="VFF Trailope WP","TrailopeWP","GLS_"&amp;D44))</f>
        <v>GLS_M</v>
      </c>
      <c r="J44" s="6" t="n">
        <f aca="false">MIN(INDEX(設定!$E$20:$E$24,MATCH("K Village",設定!$A$20:$A$24,0)),MAX(INDEX(設定!$B$20:$D$24,MATCH("K Village",設定!$A$20:$A$24,0),MATCH($E44,設定!$B$19:$D$19,0)),ROUND($H44*INDEX(実績!$N$5:$R$8,MATCH($I44,実績!$F$5:$F$8,0),1)*INDEX(設定!$B$29:$B$33,MATCH("K Village",設定!$A$29:$A$33,0))/INDEX(実績!$S$5:$S$8,MATCH($I44,実績!$F$5:$F$8,0))/設定!$B$36,0)*設定!$B$36))+S44</f>
        <v>1</v>
      </c>
      <c r="K44" s="6" t="n">
        <f aca="false">MIN(INDEX(設定!$E$20:$E$24,MATCH("Central Chidlom",設定!$A$20:$A$24,0)),MAX(INDEX(設定!$B$20:$D$24,MATCH("Central Chidlom",設定!$A$20:$A$24,0),MATCH($E44,設定!$B$19:$D$19,0)),ROUND($H44*INDEX(実績!$N$5:$R$8,MATCH($I44,実績!$F$5:$F$8,0),2)*INDEX(設定!$B$29:$B$33,MATCH("Central Chidlom",設定!$A$29:$A$33,0))/INDEX(実績!$S$5:$S$8,MATCH($I44,実績!$F$5:$F$8,0))/設定!$B$36,0)*設定!$B$36))+T44</f>
        <v>0</v>
      </c>
      <c r="L44" s="6" t="n">
        <f aca="false">MIN(INDEX(設定!$E$20:$E$24,MATCH("Siam Discovery",設定!$A$20:$A$24,0)),MAX(INDEX(設定!$B$20:$D$24,MATCH("Siam Discovery",設定!$A$20:$A$24,0),MATCH($E44,設定!$B$19:$D$19,0)),ROUND($H44*INDEX(実績!$N$5:$R$8,MATCH($I44,実績!$F$5:$F$8,0),3)*INDEX(設定!$B$29:$B$33,MATCH("Siam Discovery",設定!$A$29:$A$33,0))/INDEX(実績!$S$5:$S$8,MATCH($I44,実績!$F$5:$F$8,0))/設定!$B$36,0)*設定!$B$36))+U44</f>
        <v>0</v>
      </c>
      <c r="M44" s="6" t="n">
        <f aca="false">MIN(INDEX(設定!$E$20:$E$24,MATCH("Paradise Park",設定!$A$20:$A$24,0)),MAX(INDEX(設定!$B$20:$D$24,MATCH("Paradise Park",設定!$A$20:$A$24,0),MATCH($E44,設定!$B$19:$D$19,0)),ROUND($H44*INDEX(実績!$N$5:$R$8,MATCH($I44,実績!$F$5:$F$8,0),4)*INDEX(設定!$B$29:$B$33,MATCH("Paradise Park",設定!$A$29:$A$33,0))/INDEX(実績!$S$5:$S$8,MATCH($I44,実績!$F$5:$F$8,0))/設定!$B$36,0)*設定!$B$36))+V44</f>
        <v>0</v>
      </c>
      <c r="N44" s="6" t="n">
        <f aca="false">MIN(INDEX(設定!$E$20:$E$24,MATCH("Central Lardprao (Dept.)",設定!$A$20:$A$24,0)),MAX(INDEX(設定!$B$20:$D$24,MATCH("Central Lardprao (Dept.)",設定!$A$20:$A$24,0),MATCH($E44,設定!$B$19:$D$19,0)),ROUND($H44*INDEX(実績!$N$5:$R$8,MATCH($I44,実績!$F$5:$F$8,0),5)*INDEX(設定!$B$29:$B$33,MATCH("Central Lardprao (Dept.)",設定!$A$29:$A$33,0))/INDEX(実績!$S$5:$S$8,MATCH($I44,実績!$F$5:$F$8,0))/設定!$B$36,0)*設定!$B$36))+W44</f>
        <v>0</v>
      </c>
      <c r="O44" s="25" t="n">
        <f aca="false">SUM(J44:N44)</f>
        <v>1</v>
      </c>
      <c r="P44" s="25" t="n">
        <f aca="false">F44-O44</f>
        <v>2</v>
      </c>
      <c r="Q44" s="6" t="str">
        <f aca="false">IF(P44&lt;0,"入荷数超過→要調整","")</f>
        <v/>
      </c>
      <c r="S44" s="26"/>
      <c r="T44" s="26"/>
      <c r="U44" s="26"/>
      <c r="V44" s="26"/>
      <c r="W44" s="26"/>
    </row>
    <row r="45" customFormat="false" ht="14.25" hidden="false" customHeight="false" outlineLevel="0" collapsed="false">
      <c r="A45" s="6" t="s">
        <v>11</v>
      </c>
      <c r="B45" s="6" t="s">
        <v>115</v>
      </c>
      <c r="C45" s="6" t="s">
        <v>108</v>
      </c>
      <c r="D45" s="6" t="str">
        <f aca="false">LEFT(C45,1)</f>
        <v>W</v>
      </c>
      <c r="E45" s="23" t="s">
        <v>24</v>
      </c>
      <c r="F45" s="9" t="n">
        <v>6</v>
      </c>
      <c r="G45" s="24" t="n">
        <f aca="false">INDEX(設定!$B$6:$B$8,MATCH(A45,設定!$A$6:$A$8,0))</f>
        <v>0.33</v>
      </c>
      <c r="H45" s="6" t="n">
        <f aca="false">ROUND(F45*G45,0)</f>
        <v>2</v>
      </c>
      <c r="I45" s="6" t="str">
        <f aca="false">IF(A45="VFF Spidrwalk","Spidrwalk",IF(A45="VFF Trailope WP","TrailopeWP","GLS_"&amp;D45))</f>
        <v>GLS_W</v>
      </c>
      <c r="J45" s="6" t="n">
        <f aca="false">MIN(INDEX(設定!$E$20:$E$24,MATCH("K Village",設定!$A$20:$A$24,0)),MAX(INDEX(設定!$B$20:$D$24,MATCH("K Village",設定!$A$20:$A$24,0),MATCH($E45,設定!$B$19:$D$19,0)),ROUND($H45*INDEX(実績!$N$5:$R$8,MATCH($I45,実績!$F$5:$F$8,0),1)*INDEX(設定!$B$29:$B$33,MATCH("K Village",設定!$A$29:$A$33,0))/INDEX(実績!$S$5:$S$8,MATCH($I45,実績!$F$5:$F$8,0))/設定!$B$36,0)*設定!$B$36))+S45</f>
        <v>1</v>
      </c>
      <c r="K45" s="6" t="n">
        <f aca="false">MIN(INDEX(設定!$E$20:$E$24,MATCH("Central Chidlom",設定!$A$20:$A$24,0)),MAX(INDEX(設定!$B$20:$D$24,MATCH("Central Chidlom",設定!$A$20:$A$24,0),MATCH($E45,設定!$B$19:$D$19,0)),ROUND($H45*INDEX(実績!$N$5:$R$8,MATCH($I45,実績!$F$5:$F$8,0),2)*INDEX(設定!$B$29:$B$33,MATCH("Central Chidlom",設定!$A$29:$A$33,0))/INDEX(実績!$S$5:$S$8,MATCH($I45,実績!$F$5:$F$8,0))/設定!$B$36,0)*設定!$B$36))+T45</f>
        <v>0</v>
      </c>
      <c r="L45" s="6" t="n">
        <f aca="false">MIN(INDEX(設定!$E$20:$E$24,MATCH("Siam Discovery",設定!$A$20:$A$24,0)),MAX(INDEX(設定!$B$20:$D$24,MATCH("Siam Discovery",設定!$A$20:$A$24,0),MATCH($E45,設定!$B$19:$D$19,0)),ROUND($H45*INDEX(実績!$N$5:$R$8,MATCH($I45,実績!$F$5:$F$8,0),3)*INDEX(設定!$B$29:$B$33,MATCH("Siam Discovery",設定!$A$29:$A$33,0))/INDEX(実績!$S$5:$S$8,MATCH($I45,実績!$F$5:$F$8,0))/設定!$B$36,0)*設定!$B$36))+U45</f>
        <v>0</v>
      </c>
      <c r="M45" s="6" t="n">
        <f aca="false">MIN(INDEX(設定!$E$20:$E$24,MATCH("Paradise Park",設定!$A$20:$A$24,0)),MAX(INDEX(設定!$B$20:$D$24,MATCH("Paradise Park",設定!$A$20:$A$24,0),MATCH($E45,設定!$B$19:$D$19,0)),ROUND($H45*INDEX(実績!$N$5:$R$8,MATCH($I45,実績!$F$5:$F$8,0),4)*INDEX(設定!$B$29:$B$33,MATCH("Paradise Park",設定!$A$29:$A$33,0))/INDEX(実績!$S$5:$S$8,MATCH($I45,実績!$F$5:$F$8,0))/設定!$B$36,0)*設定!$B$36))+V45</f>
        <v>0</v>
      </c>
      <c r="N45" s="6" t="n">
        <f aca="false">MIN(INDEX(設定!$E$20:$E$24,MATCH("Central Lardprao (Dept.)",設定!$A$20:$A$24,0)),MAX(INDEX(設定!$B$20:$D$24,MATCH("Central Lardprao (Dept.)",設定!$A$20:$A$24,0),MATCH($E45,設定!$B$19:$D$19,0)),ROUND($H45*INDEX(実績!$N$5:$R$8,MATCH($I45,実績!$F$5:$F$8,0),5)*INDEX(設定!$B$29:$B$33,MATCH("Central Lardprao (Dept.)",設定!$A$29:$A$33,0))/INDEX(実績!$S$5:$S$8,MATCH($I45,実績!$F$5:$F$8,0))/設定!$B$36,0)*設定!$B$36))+W45</f>
        <v>0</v>
      </c>
      <c r="O45" s="25" t="n">
        <f aca="false">SUM(J45:N45)</f>
        <v>1</v>
      </c>
      <c r="P45" s="25" t="n">
        <f aca="false">F45-O45</f>
        <v>5</v>
      </c>
      <c r="Q45" s="6" t="str">
        <f aca="false">IF(P45&lt;0,"入荷数超過→要調整","")</f>
        <v/>
      </c>
      <c r="S45" s="26"/>
      <c r="T45" s="26"/>
      <c r="U45" s="26"/>
      <c r="V45" s="26"/>
      <c r="W45" s="26"/>
    </row>
    <row r="46" customFormat="false" ht="14.25" hidden="false" customHeight="false" outlineLevel="0" collapsed="false">
      <c r="A46" s="6" t="s">
        <v>11</v>
      </c>
      <c r="B46" s="6" t="s">
        <v>115</v>
      </c>
      <c r="C46" s="6" t="s">
        <v>109</v>
      </c>
      <c r="D46" s="6" t="str">
        <f aca="false">LEFT(C46,1)</f>
        <v>W</v>
      </c>
      <c r="E46" s="23" t="s">
        <v>23</v>
      </c>
      <c r="F46" s="9" t="n">
        <v>12</v>
      </c>
      <c r="G46" s="24" t="n">
        <f aca="false">INDEX(設定!$B$6:$B$8,MATCH(A46,設定!$A$6:$A$8,0))</f>
        <v>0.33</v>
      </c>
      <c r="H46" s="6" t="n">
        <f aca="false">ROUND(F46*G46,0)</f>
        <v>4</v>
      </c>
      <c r="I46" s="6" t="str">
        <f aca="false">IF(A46="VFF Spidrwalk","Spidrwalk",IF(A46="VFF Trailope WP","TrailopeWP","GLS_"&amp;D46))</f>
        <v>GLS_W</v>
      </c>
      <c r="J46" s="6" t="n">
        <f aca="false">MIN(INDEX(設定!$E$20:$E$24,MATCH("K Village",設定!$A$20:$A$24,0)),MAX(INDEX(設定!$B$20:$D$24,MATCH("K Village",設定!$A$20:$A$24,0),MATCH($E46,設定!$B$19:$D$19,0)),ROUND($H46*INDEX(実績!$N$5:$R$8,MATCH($I46,実績!$F$5:$F$8,0),1)*INDEX(設定!$B$29:$B$33,MATCH("K Village",設定!$A$29:$A$33,0))/INDEX(実績!$S$5:$S$8,MATCH($I46,実績!$F$5:$F$8,0))/設定!$B$36,0)*設定!$B$36))+S46</f>
        <v>2</v>
      </c>
      <c r="K46" s="6" t="n">
        <f aca="false">MIN(INDEX(設定!$E$20:$E$24,MATCH("Central Chidlom",設定!$A$20:$A$24,0)),MAX(INDEX(設定!$B$20:$D$24,MATCH("Central Chidlom",設定!$A$20:$A$24,0),MATCH($E46,設定!$B$19:$D$19,0)),ROUND($H46*INDEX(実績!$N$5:$R$8,MATCH($I46,実績!$F$5:$F$8,0),2)*INDEX(設定!$B$29:$B$33,MATCH("Central Chidlom",設定!$A$29:$A$33,0))/INDEX(実績!$S$5:$S$8,MATCH($I46,実績!$F$5:$F$8,0))/設定!$B$36,0)*設定!$B$36))+T46</f>
        <v>1</v>
      </c>
      <c r="L46" s="6" t="n">
        <f aca="false">MIN(INDEX(設定!$E$20:$E$24,MATCH("Siam Discovery",設定!$A$20:$A$24,0)),MAX(INDEX(設定!$B$20:$D$24,MATCH("Siam Discovery",設定!$A$20:$A$24,0),MATCH($E46,設定!$B$19:$D$19,0)),ROUND($H46*INDEX(実績!$N$5:$R$8,MATCH($I46,実績!$F$5:$F$8,0),3)*INDEX(設定!$B$29:$B$33,MATCH("Siam Discovery",設定!$A$29:$A$33,0))/INDEX(実績!$S$5:$S$8,MATCH($I46,実績!$F$5:$F$8,0))/設定!$B$36,0)*設定!$B$36))+U46</f>
        <v>1</v>
      </c>
      <c r="M46" s="6" t="n">
        <f aca="false">MIN(INDEX(設定!$E$20:$E$24,MATCH("Paradise Park",設定!$A$20:$A$24,0)),MAX(INDEX(設定!$B$20:$D$24,MATCH("Paradise Park",設定!$A$20:$A$24,0),MATCH($E46,設定!$B$19:$D$19,0)),ROUND($H46*INDEX(実績!$N$5:$R$8,MATCH($I46,実績!$F$5:$F$8,0),4)*INDEX(設定!$B$29:$B$33,MATCH("Paradise Park",設定!$A$29:$A$33,0))/INDEX(実績!$S$5:$S$8,MATCH($I46,実績!$F$5:$F$8,0))/設定!$B$36,0)*設定!$B$36))+V46</f>
        <v>1</v>
      </c>
      <c r="N46" s="6" t="n">
        <f aca="false">MIN(INDEX(設定!$E$20:$E$24,MATCH("Central Lardprao (Dept.)",設定!$A$20:$A$24,0)),MAX(INDEX(設定!$B$20:$D$24,MATCH("Central Lardprao (Dept.)",設定!$A$20:$A$24,0),MATCH($E46,設定!$B$19:$D$19,0)),ROUND($H46*INDEX(実績!$N$5:$R$8,MATCH($I46,実績!$F$5:$F$8,0),5)*INDEX(設定!$B$29:$B$33,MATCH("Central Lardprao (Dept.)",設定!$A$29:$A$33,0))/INDEX(実績!$S$5:$S$8,MATCH($I46,実績!$F$5:$F$8,0))/設定!$B$36,0)*設定!$B$36))+W46</f>
        <v>0</v>
      </c>
      <c r="O46" s="25" t="n">
        <f aca="false">SUM(J46:N46)</f>
        <v>5</v>
      </c>
      <c r="P46" s="25" t="n">
        <f aca="false">F46-O46</f>
        <v>7</v>
      </c>
      <c r="Q46" s="6" t="str">
        <f aca="false">IF(P46&lt;0,"入荷数超過→要調整","")</f>
        <v/>
      </c>
      <c r="S46" s="26"/>
      <c r="T46" s="26"/>
      <c r="U46" s="26"/>
      <c r="V46" s="26"/>
      <c r="W46" s="26"/>
    </row>
    <row r="47" customFormat="false" ht="14.25" hidden="false" customHeight="false" outlineLevel="0" collapsed="false">
      <c r="A47" s="6" t="s">
        <v>11</v>
      </c>
      <c r="B47" s="6" t="s">
        <v>115</v>
      </c>
      <c r="C47" s="6" t="s">
        <v>110</v>
      </c>
      <c r="D47" s="6" t="str">
        <f aca="false">LEFT(C47,1)</f>
        <v>W</v>
      </c>
      <c r="E47" s="23" t="s">
        <v>22</v>
      </c>
      <c r="F47" s="9" t="n">
        <v>24</v>
      </c>
      <c r="G47" s="24" t="n">
        <f aca="false">INDEX(設定!$B$6:$B$8,MATCH(A47,設定!$A$6:$A$8,0))</f>
        <v>0.33</v>
      </c>
      <c r="H47" s="6" t="n">
        <f aca="false">ROUND(F47*G47,0)</f>
        <v>8</v>
      </c>
      <c r="I47" s="6" t="str">
        <f aca="false">IF(A47="VFF Spidrwalk","Spidrwalk",IF(A47="VFF Trailope WP","TrailopeWP","GLS_"&amp;D47))</f>
        <v>GLS_W</v>
      </c>
      <c r="J47" s="6" t="n">
        <f aca="false">MIN(INDEX(設定!$E$20:$E$24,MATCH("K Village",設定!$A$20:$A$24,0)),MAX(INDEX(設定!$B$20:$D$24,MATCH("K Village",設定!$A$20:$A$24,0),MATCH($E47,設定!$B$19:$D$19,0)),ROUND($H47*INDEX(実績!$N$5:$R$8,MATCH($I47,実績!$F$5:$F$8,0),1)*INDEX(設定!$B$29:$B$33,MATCH("K Village",設定!$A$29:$A$33,0))/INDEX(実績!$S$5:$S$8,MATCH($I47,実績!$F$5:$F$8,0))/設定!$B$36,0)*設定!$B$36))+S47</f>
        <v>2</v>
      </c>
      <c r="K47" s="6" t="n">
        <f aca="false">MIN(INDEX(設定!$E$20:$E$24,MATCH("Central Chidlom",設定!$A$20:$A$24,0)),MAX(INDEX(設定!$B$20:$D$24,MATCH("Central Chidlom",設定!$A$20:$A$24,0),MATCH($E47,設定!$B$19:$D$19,0)),ROUND($H47*INDEX(実績!$N$5:$R$8,MATCH($I47,実績!$F$5:$F$8,0),2)*INDEX(設定!$B$29:$B$33,MATCH("Central Chidlom",設定!$A$29:$A$33,0))/INDEX(実績!$S$5:$S$8,MATCH($I47,実績!$F$5:$F$8,0))/設定!$B$36,0)*設定!$B$36))+T47</f>
        <v>2</v>
      </c>
      <c r="L47" s="6" t="n">
        <f aca="false">MIN(INDEX(設定!$E$20:$E$24,MATCH("Siam Discovery",設定!$A$20:$A$24,0)),MAX(INDEX(設定!$B$20:$D$24,MATCH("Siam Discovery",設定!$A$20:$A$24,0),MATCH($E47,設定!$B$19:$D$19,0)),ROUND($H47*INDEX(実績!$N$5:$R$8,MATCH($I47,実績!$F$5:$F$8,0),3)*INDEX(設定!$B$29:$B$33,MATCH("Siam Discovery",設定!$A$29:$A$33,0))/INDEX(実績!$S$5:$S$8,MATCH($I47,実績!$F$5:$F$8,0))/設定!$B$36,0)*設定!$B$36))+U47</f>
        <v>1</v>
      </c>
      <c r="M47" s="6" t="n">
        <f aca="false">MIN(INDEX(設定!$E$20:$E$24,MATCH("Paradise Park",設定!$A$20:$A$24,0)),MAX(INDEX(設定!$B$20:$D$24,MATCH("Paradise Park",設定!$A$20:$A$24,0),MATCH($E47,設定!$B$19:$D$19,0)),ROUND($H47*INDEX(実績!$N$5:$R$8,MATCH($I47,実績!$F$5:$F$8,0),4)*INDEX(設定!$B$29:$B$33,MATCH("Paradise Park",設定!$A$29:$A$33,0))/INDEX(実績!$S$5:$S$8,MATCH($I47,実績!$F$5:$F$8,0))/設定!$B$36,0)*設定!$B$36))+V47</f>
        <v>1</v>
      </c>
      <c r="N47" s="6" t="n">
        <f aca="false">MIN(INDEX(設定!$E$20:$E$24,MATCH("Central Lardprao (Dept.)",設定!$A$20:$A$24,0)),MAX(INDEX(設定!$B$20:$D$24,MATCH("Central Lardprao (Dept.)",設定!$A$20:$A$24,0),MATCH($E47,設定!$B$19:$D$19,0)),ROUND($H47*INDEX(実績!$N$5:$R$8,MATCH($I47,実績!$F$5:$F$8,0),5)*INDEX(設定!$B$29:$B$33,MATCH("Central Lardprao (Dept.)",設定!$A$29:$A$33,0))/INDEX(実績!$S$5:$S$8,MATCH($I47,実績!$F$5:$F$8,0))/設定!$B$36,0)*設定!$B$36))+W47</f>
        <v>0</v>
      </c>
      <c r="O47" s="25" t="n">
        <f aca="false">SUM(J47:N47)</f>
        <v>6</v>
      </c>
      <c r="P47" s="25" t="n">
        <f aca="false">F47-O47</f>
        <v>18</v>
      </c>
      <c r="Q47" s="6" t="str">
        <f aca="false">IF(P47&lt;0,"入荷数超過→要調整","")</f>
        <v/>
      </c>
      <c r="S47" s="26"/>
      <c r="T47" s="26"/>
      <c r="U47" s="26"/>
      <c r="V47" s="26"/>
      <c r="W47" s="26"/>
    </row>
    <row r="48" customFormat="false" ht="14.25" hidden="false" customHeight="false" outlineLevel="0" collapsed="false">
      <c r="A48" s="6" t="s">
        <v>11</v>
      </c>
      <c r="B48" s="6" t="s">
        <v>115</v>
      </c>
      <c r="C48" s="6" t="s">
        <v>111</v>
      </c>
      <c r="D48" s="6" t="str">
        <f aca="false">LEFT(C48,1)</f>
        <v>W</v>
      </c>
      <c r="E48" s="23" t="s">
        <v>22</v>
      </c>
      <c r="F48" s="9" t="n">
        <v>33</v>
      </c>
      <c r="G48" s="24" t="n">
        <f aca="false">INDEX(設定!$B$6:$B$8,MATCH(A48,設定!$A$6:$A$8,0))</f>
        <v>0.33</v>
      </c>
      <c r="H48" s="6" t="n">
        <f aca="false">ROUND(F48*G48,0)</f>
        <v>11</v>
      </c>
      <c r="I48" s="6" t="str">
        <f aca="false">IF(A48="VFF Spidrwalk","Spidrwalk",IF(A48="VFF Trailope WP","TrailopeWP","GLS_"&amp;D48))</f>
        <v>GLS_W</v>
      </c>
      <c r="J48" s="6" t="n">
        <f aca="false">MIN(INDEX(設定!$E$20:$E$24,MATCH("K Village",設定!$A$20:$A$24,0)),MAX(INDEX(設定!$B$20:$D$24,MATCH("K Village",設定!$A$20:$A$24,0),MATCH($E48,設定!$B$19:$D$19,0)),ROUND($H48*INDEX(実績!$N$5:$R$8,MATCH($I48,実績!$F$5:$F$8,0),1)*INDEX(設定!$B$29:$B$33,MATCH("K Village",設定!$A$29:$A$33,0))/INDEX(実績!$S$5:$S$8,MATCH($I48,実績!$F$5:$F$8,0))/設定!$B$36,0)*設定!$B$36))+S48</f>
        <v>2</v>
      </c>
      <c r="K48" s="6" t="n">
        <f aca="false">MIN(INDEX(設定!$E$20:$E$24,MATCH("Central Chidlom",設定!$A$20:$A$24,0)),MAX(INDEX(設定!$B$20:$D$24,MATCH("Central Chidlom",設定!$A$20:$A$24,0),MATCH($E48,設定!$B$19:$D$19,0)),ROUND($H48*INDEX(実績!$N$5:$R$8,MATCH($I48,実績!$F$5:$F$8,0),2)*INDEX(設定!$B$29:$B$33,MATCH("Central Chidlom",設定!$A$29:$A$33,0))/INDEX(実績!$S$5:$S$8,MATCH($I48,実績!$F$5:$F$8,0))/設定!$B$36,0)*設定!$B$36))+T48</f>
        <v>2</v>
      </c>
      <c r="L48" s="6" t="n">
        <f aca="false">MIN(INDEX(設定!$E$20:$E$24,MATCH("Siam Discovery",設定!$A$20:$A$24,0)),MAX(INDEX(設定!$B$20:$D$24,MATCH("Siam Discovery",設定!$A$20:$A$24,0),MATCH($E48,設定!$B$19:$D$19,0)),ROUND($H48*INDEX(実績!$N$5:$R$8,MATCH($I48,実績!$F$5:$F$8,0),3)*INDEX(設定!$B$29:$B$33,MATCH("Siam Discovery",設定!$A$29:$A$33,0))/INDEX(実績!$S$5:$S$8,MATCH($I48,実績!$F$5:$F$8,0))/設定!$B$36,0)*設定!$B$36))+U48</f>
        <v>1</v>
      </c>
      <c r="M48" s="6" t="n">
        <f aca="false">MIN(INDEX(設定!$E$20:$E$24,MATCH("Paradise Park",設定!$A$20:$A$24,0)),MAX(INDEX(設定!$B$20:$D$24,MATCH("Paradise Park",設定!$A$20:$A$24,0),MATCH($E48,設定!$B$19:$D$19,0)),ROUND($H48*INDEX(実績!$N$5:$R$8,MATCH($I48,実績!$F$5:$F$8,0),4)*INDEX(設定!$B$29:$B$33,MATCH("Paradise Park",設定!$A$29:$A$33,0))/INDEX(実績!$S$5:$S$8,MATCH($I48,実績!$F$5:$F$8,0))/設定!$B$36,0)*設定!$B$36))+V48</f>
        <v>2</v>
      </c>
      <c r="N48" s="6" t="n">
        <f aca="false">MIN(INDEX(設定!$E$20:$E$24,MATCH("Central Lardprao (Dept.)",設定!$A$20:$A$24,0)),MAX(INDEX(設定!$B$20:$D$24,MATCH("Central Lardprao (Dept.)",設定!$A$20:$A$24,0),MATCH($E48,設定!$B$19:$D$19,0)),ROUND($H48*INDEX(実績!$N$5:$R$8,MATCH($I48,実績!$F$5:$F$8,0),5)*INDEX(設定!$B$29:$B$33,MATCH("Central Lardprao (Dept.)",設定!$A$29:$A$33,0))/INDEX(実績!$S$5:$S$8,MATCH($I48,実績!$F$5:$F$8,0))/設定!$B$36,0)*設定!$B$36))+W48</f>
        <v>0</v>
      </c>
      <c r="O48" s="25" t="n">
        <f aca="false">SUM(J48:N48)</f>
        <v>7</v>
      </c>
      <c r="P48" s="25" t="n">
        <f aca="false">F48-O48</f>
        <v>26</v>
      </c>
      <c r="Q48" s="6" t="str">
        <f aca="false">IF(P48&lt;0,"入荷数超過→要調整","")</f>
        <v/>
      </c>
      <c r="S48" s="26"/>
      <c r="T48" s="26"/>
      <c r="U48" s="26"/>
      <c r="V48" s="26"/>
      <c r="W48" s="26"/>
    </row>
    <row r="49" customFormat="false" ht="14.25" hidden="false" customHeight="false" outlineLevel="0" collapsed="false">
      <c r="A49" s="6" t="s">
        <v>11</v>
      </c>
      <c r="B49" s="6" t="s">
        <v>115</v>
      </c>
      <c r="C49" s="6" t="s">
        <v>112</v>
      </c>
      <c r="D49" s="6" t="str">
        <f aca="false">LEFT(C49,1)</f>
        <v>W</v>
      </c>
      <c r="E49" s="23" t="s">
        <v>22</v>
      </c>
      <c r="F49" s="9" t="n">
        <v>24</v>
      </c>
      <c r="G49" s="24" t="n">
        <f aca="false">INDEX(設定!$B$6:$B$8,MATCH(A49,設定!$A$6:$A$8,0))</f>
        <v>0.33</v>
      </c>
      <c r="H49" s="6" t="n">
        <f aca="false">ROUND(F49*G49,0)</f>
        <v>8</v>
      </c>
      <c r="I49" s="6" t="str">
        <f aca="false">IF(A49="VFF Spidrwalk","Spidrwalk",IF(A49="VFF Trailope WP","TrailopeWP","GLS_"&amp;D49))</f>
        <v>GLS_W</v>
      </c>
      <c r="J49" s="6" t="n">
        <f aca="false">MIN(INDEX(設定!$E$20:$E$24,MATCH("K Village",設定!$A$20:$A$24,0)),MAX(INDEX(設定!$B$20:$D$24,MATCH("K Village",設定!$A$20:$A$24,0),MATCH($E49,設定!$B$19:$D$19,0)),ROUND($H49*INDEX(実績!$N$5:$R$8,MATCH($I49,実績!$F$5:$F$8,0),1)*INDEX(設定!$B$29:$B$33,MATCH("K Village",設定!$A$29:$A$33,0))/INDEX(実績!$S$5:$S$8,MATCH($I49,実績!$F$5:$F$8,0))/設定!$B$36,0)*設定!$B$36))+S49</f>
        <v>2</v>
      </c>
      <c r="K49" s="6" t="n">
        <f aca="false">MIN(INDEX(設定!$E$20:$E$24,MATCH("Central Chidlom",設定!$A$20:$A$24,0)),MAX(INDEX(設定!$B$20:$D$24,MATCH("Central Chidlom",設定!$A$20:$A$24,0),MATCH($E49,設定!$B$19:$D$19,0)),ROUND($H49*INDEX(実績!$N$5:$R$8,MATCH($I49,実績!$F$5:$F$8,0),2)*INDEX(設定!$B$29:$B$33,MATCH("Central Chidlom",設定!$A$29:$A$33,0))/INDEX(実績!$S$5:$S$8,MATCH($I49,実績!$F$5:$F$8,0))/設定!$B$36,0)*設定!$B$36))+T49</f>
        <v>2</v>
      </c>
      <c r="L49" s="6" t="n">
        <f aca="false">MIN(INDEX(設定!$E$20:$E$24,MATCH("Siam Discovery",設定!$A$20:$A$24,0)),MAX(INDEX(設定!$B$20:$D$24,MATCH("Siam Discovery",設定!$A$20:$A$24,0),MATCH($E49,設定!$B$19:$D$19,0)),ROUND($H49*INDEX(実績!$N$5:$R$8,MATCH($I49,実績!$F$5:$F$8,0),3)*INDEX(設定!$B$29:$B$33,MATCH("Siam Discovery",設定!$A$29:$A$33,0))/INDEX(実績!$S$5:$S$8,MATCH($I49,実績!$F$5:$F$8,0))/設定!$B$36,0)*設定!$B$36))+U49</f>
        <v>1</v>
      </c>
      <c r="M49" s="6" t="n">
        <f aca="false">MIN(INDEX(設定!$E$20:$E$24,MATCH("Paradise Park",設定!$A$20:$A$24,0)),MAX(INDEX(設定!$B$20:$D$24,MATCH("Paradise Park",設定!$A$20:$A$24,0),MATCH($E49,設定!$B$19:$D$19,0)),ROUND($H49*INDEX(実績!$N$5:$R$8,MATCH($I49,実績!$F$5:$F$8,0),4)*INDEX(設定!$B$29:$B$33,MATCH("Paradise Park",設定!$A$29:$A$33,0))/INDEX(実績!$S$5:$S$8,MATCH($I49,実績!$F$5:$F$8,0))/設定!$B$36,0)*設定!$B$36))+V49</f>
        <v>1</v>
      </c>
      <c r="N49" s="6" t="n">
        <f aca="false">MIN(INDEX(設定!$E$20:$E$24,MATCH("Central Lardprao (Dept.)",設定!$A$20:$A$24,0)),MAX(INDEX(設定!$B$20:$D$24,MATCH("Central Lardprao (Dept.)",設定!$A$20:$A$24,0),MATCH($E49,設定!$B$19:$D$19,0)),ROUND($H49*INDEX(実績!$N$5:$R$8,MATCH($I49,実績!$F$5:$F$8,0),5)*INDEX(設定!$B$29:$B$33,MATCH("Central Lardprao (Dept.)",設定!$A$29:$A$33,0))/INDEX(実績!$S$5:$S$8,MATCH($I49,実績!$F$5:$F$8,0))/設定!$B$36,0)*設定!$B$36))+W49</f>
        <v>0</v>
      </c>
      <c r="O49" s="25" t="n">
        <f aca="false">SUM(J49:N49)</f>
        <v>6</v>
      </c>
      <c r="P49" s="25" t="n">
        <f aca="false">F49-O49</f>
        <v>18</v>
      </c>
      <c r="Q49" s="6" t="str">
        <f aca="false">IF(P49&lt;0,"入荷数超過→要調整","")</f>
        <v/>
      </c>
      <c r="S49" s="26"/>
      <c r="T49" s="26"/>
      <c r="U49" s="26"/>
      <c r="V49" s="26"/>
      <c r="W49" s="26"/>
    </row>
    <row r="50" customFormat="false" ht="14.25" hidden="false" customHeight="false" outlineLevel="0" collapsed="false">
      <c r="A50" s="6" t="s">
        <v>11</v>
      </c>
      <c r="B50" s="6" t="s">
        <v>115</v>
      </c>
      <c r="C50" s="6" t="s">
        <v>113</v>
      </c>
      <c r="D50" s="6" t="str">
        <f aca="false">LEFT(C50,1)</f>
        <v>W</v>
      </c>
      <c r="E50" s="23" t="s">
        <v>23</v>
      </c>
      <c r="F50" s="9" t="n">
        <v>15</v>
      </c>
      <c r="G50" s="24" t="n">
        <f aca="false">INDEX(設定!$B$6:$B$8,MATCH(A50,設定!$A$6:$A$8,0))</f>
        <v>0.33</v>
      </c>
      <c r="H50" s="6" t="n">
        <f aca="false">ROUND(F50*G50,0)</f>
        <v>5</v>
      </c>
      <c r="I50" s="6" t="str">
        <f aca="false">IF(A50="VFF Spidrwalk","Spidrwalk",IF(A50="VFF Trailope WP","TrailopeWP","GLS_"&amp;D50))</f>
        <v>GLS_W</v>
      </c>
      <c r="J50" s="6" t="n">
        <f aca="false">MIN(INDEX(設定!$E$20:$E$24,MATCH("K Village",設定!$A$20:$A$24,0)),MAX(INDEX(設定!$B$20:$D$24,MATCH("K Village",設定!$A$20:$A$24,0),MATCH($E50,設定!$B$19:$D$19,0)),ROUND($H50*INDEX(実績!$N$5:$R$8,MATCH($I50,実績!$F$5:$F$8,0),1)*INDEX(設定!$B$29:$B$33,MATCH("K Village",設定!$A$29:$A$33,0))/INDEX(実績!$S$5:$S$8,MATCH($I50,実績!$F$5:$F$8,0))/設定!$B$36,0)*設定!$B$36))+S50</f>
        <v>2</v>
      </c>
      <c r="K50" s="6" t="n">
        <f aca="false">MIN(INDEX(設定!$E$20:$E$24,MATCH("Central Chidlom",設定!$A$20:$A$24,0)),MAX(INDEX(設定!$B$20:$D$24,MATCH("Central Chidlom",設定!$A$20:$A$24,0),MATCH($E50,設定!$B$19:$D$19,0)),ROUND($H50*INDEX(実績!$N$5:$R$8,MATCH($I50,実績!$F$5:$F$8,0),2)*INDEX(設定!$B$29:$B$33,MATCH("Central Chidlom",設定!$A$29:$A$33,0))/INDEX(実績!$S$5:$S$8,MATCH($I50,実績!$F$5:$F$8,0))/設定!$B$36,0)*設定!$B$36))+T50</f>
        <v>1</v>
      </c>
      <c r="L50" s="6" t="n">
        <f aca="false">MIN(INDEX(設定!$E$20:$E$24,MATCH("Siam Discovery",設定!$A$20:$A$24,0)),MAX(INDEX(設定!$B$20:$D$24,MATCH("Siam Discovery",設定!$A$20:$A$24,0),MATCH($E50,設定!$B$19:$D$19,0)),ROUND($H50*INDEX(実績!$N$5:$R$8,MATCH($I50,実績!$F$5:$F$8,0),3)*INDEX(設定!$B$29:$B$33,MATCH("Siam Discovery",設定!$A$29:$A$33,0))/INDEX(実績!$S$5:$S$8,MATCH($I50,実績!$F$5:$F$8,0))/設定!$B$36,0)*設定!$B$36))+U50</f>
        <v>1</v>
      </c>
      <c r="M50" s="6" t="n">
        <f aca="false">MIN(INDEX(設定!$E$20:$E$24,MATCH("Paradise Park",設定!$A$20:$A$24,0)),MAX(INDEX(設定!$B$20:$D$24,MATCH("Paradise Park",設定!$A$20:$A$24,0),MATCH($E50,設定!$B$19:$D$19,0)),ROUND($H50*INDEX(実績!$N$5:$R$8,MATCH($I50,実績!$F$5:$F$8,0),4)*INDEX(設定!$B$29:$B$33,MATCH("Paradise Park",設定!$A$29:$A$33,0))/INDEX(実績!$S$5:$S$8,MATCH($I50,実績!$F$5:$F$8,0))/設定!$B$36,0)*設定!$B$36))+V50</f>
        <v>1</v>
      </c>
      <c r="N50" s="6" t="n">
        <f aca="false">MIN(INDEX(設定!$E$20:$E$24,MATCH("Central Lardprao (Dept.)",設定!$A$20:$A$24,0)),MAX(INDEX(設定!$B$20:$D$24,MATCH("Central Lardprao (Dept.)",設定!$A$20:$A$24,0),MATCH($E50,設定!$B$19:$D$19,0)),ROUND($H50*INDEX(実績!$N$5:$R$8,MATCH($I50,実績!$F$5:$F$8,0),5)*INDEX(設定!$B$29:$B$33,MATCH("Central Lardprao (Dept.)",設定!$A$29:$A$33,0))/INDEX(実績!$S$5:$S$8,MATCH($I50,実績!$F$5:$F$8,0))/設定!$B$36,0)*設定!$B$36))+W50</f>
        <v>0</v>
      </c>
      <c r="O50" s="25" t="n">
        <f aca="false">SUM(J50:N50)</f>
        <v>5</v>
      </c>
      <c r="P50" s="25" t="n">
        <f aca="false">F50-O50</f>
        <v>10</v>
      </c>
      <c r="Q50" s="6" t="str">
        <f aca="false">IF(P50&lt;0,"入荷数超過→要調整","")</f>
        <v/>
      </c>
      <c r="S50" s="26"/>
      <c r="T50" s="26"/>
      <c r="U50" s="26"/>
      <c r="V50" s="26"/>
      <c r="W50" s="26"/>
    </row>
    <row r="51" customFormat="false" ht="14.25" hidden="false" customHeight="false" outlineLevel="0" collapsed="false">
      <c r="A51" s="6" t="s">
        <v>11</v>
      </c>
      <c r="B51" s="6" t="s">
        <v>115</v>
      </c>
      <c r="C51" s="6" t="s">
        <v>114</v>
      </c>
      <c r="D51" s="6" t="str">
        <f aca="false">LEFT(C51,1)</f>
        <v>W</v>
      </c>
      <c r="E51" s="23" t="s">
        <v>24</v>
      </c>
      <c r="F51" s="9" t="n">
        <v>6</v>
      </c>
      <c r="G51" s="24" t="n">
        <f aca="false">INDEX(設定!$B$6:$B$8,MATCH(A51,設定!$A$6:$A$8,0))</f>
        <v>0.33</v>
      </c>
      <c r="H51" s="6" t="n">
        <f aca="false">ROUND(F51*G51,0)</f>
        <v>2</v>
      </c>
      <c r="I51" s="6" t="str">
        <f aca="false">IF(A51="VFF Spidrwalk","Spidrwalk",IF(A51="VFF Trailope WP","TrailopeWP","GLS_"&amp;D51))</f>
        <v>GLS_W</v>
      </c>
      <c r="J51" s="6" t="n">
        <f aca="false">MIN(INDEX(設定!$E$20:$E$24,MATCH("K Village",設定!$A$20:$A$24,0)),MAX(INDEX(設定!$B$20:$D$24,MATCH("K Village",設定!$A$20:$A$24,0),MATCH($E51,設定!$B$19:$D$19,0)),ROUND($H51*INDEX(実績!$N$5:$R$8,MATCH($I51,実績!$F$5:$F$8,0),1)*INDEX(設定!$B$29:$B$33,MATCH("K Village",設定!$A$29:$A$33,0))/INDEX(実績!$S$5:$S$8,MATCH($I51,実績!$F$5:$F$8,0))/設定!$B$36,0)*設定!$B$36))+S51</f>
        <v>1</v>
      </c>
      <c r="K51" s="6" t="n">
        <f aca="false">MIN(INDEX(設定!$E$20:$E$24,MATCH("Central Chidlom",設定!$A$20:$A$24,0)),MAX(INDEX(設定!$B$20:$D$24,MATCH("Central Chidlom",設定!$A$20:$A$24,0),MATCH($E51,設定!$B$19:$D$19,0)),ROUND($H51*INDEX(実績!$N$5:$R$8,MATCH($I51,実績!$F$5:$F$8,0),2)*INDEX(設定!$B$29:$B$33,MATCH("Central Chidlom",設定!$A$29:$A$33,0))/INDEX(実績!$S$5:$S$8,MATCH($I51,実績!$F$5:$F$8,0))/設定!$B$36,0)*設定!$B$36))+T51</f>
        <v>0</v>
      </c>
      <c r="L51" s="6" t="n">
        <f aca="false">MIN(INDEX(設定!$E$20:$E$24,MATCH("Siam Discovery",設定!$A$20:$A$24,0)),MAX(INDEX(設定!$B$20:$D$24,MATCH("Siam Discovery",設定!$A$20:$A$24,0),MATCH($E51,設定!$B$19:$D$19,0)),ROUND($H51*INDEX(実績!$N$5:$R$8,MATCH($I51,実績!$F$5:$F$8,0),3)*INDEX(設定!$B$29:$B$33,MATCH("Siam Discovery",設定!$A$29:$A$33,0))/INDEX(実績!$S$5:$S$8,MATCH($I51,実績!$F$5:$F$8,0))/設定!$B$36,0)*設定!$B$36))+U51</f>
        <v>0</v>
      </c>
      <c r="M51" s="6" t="n">
        <f aca="false">MIN(INDEX(設定!$E$20:$E$24,MATCH("Paradise Park",設定!$A$20:$A$24,0)),MAX(INDEX(設定!$B$20:$D$24,MATCH("Paradise Park",設定!$A$20:$A$24,0),MATCH($E51,設定!$B$19:$D$19,0)),ROUND($H51*INDEX(実績!$N$5:$R$8,MATCH($I51,実績!$F$5:$F$8,0),4)*INDEX(設定!$B$29:$B$33,MATCH("Paradise Park",設定!$A$29:$A$33,0))/INDEX(実績!$S$5:$S$8,MATCH($I51,実績!$F$5:$F$8,0))/設定!$B$36,0)*設定!$B$36))+V51</f>
        <v>0</v>
      </c>
      <c r="N51" s="6" t="n">
        <f aca="false">MIN(INDEX(設定!$E$20:$E$24,MATCH("Central Lardprao (Dept.)",設定!$A$20:$A$24,0)),MAX(INDEX(設定!$B$20:$D$24,MATCH("Central Lardprao (Dept.)",設定!$A$20:$A$24,0),MATCH($E51,設定!$B$19:$D$19,0)),ROUND($H51*INDEX(実績!$N$5:$R$8,MATCH($I51,実績!$F$5:$F$8,0),5)*INDEX(設定!$B$29:$B$33,MATCH("Central Lardprao (Dept.)",設定!$A$29:$A$33,0))/INDEX(実績!$S$5:$S$8,MATCH($I51,実績!$F$5:$F$8,0))/設定!$B$36,0)*設定!$B$36))+W51</f>
        <v>0</v>
      </c>
      <c r="O51" s="25" t="n">
        <f aca="false">SUM(J51:N51)</f>
        <v>1</v>
      </c>
      <c r="P51" s="25" t="n">
        <f aca="false">F51-O51</f>
        <v>5</v>
      </c>
      <c r="Q51" s="6" t="str">
        <f aca="false">IF(P51&lt;0,"入荷数超過→要調整","")</f>
        <v/>
      </c>
      <c r="S51" s="26"/>
      <c r="T51" s="26"/>
      <c r="U51" s="26"/>
      <c r="V51" s="26"/>
      <c r="W51" s="26"/>
    </row>
    <row r="52" customFormat="false" ht="14.25" hidden="false" customHeight="false" outlineLevel="0" collapsed="false">
      <c r="A52" s="6" t="s">
        <v>11</v>
      </c>
      <c r="B52" s="6" t="s">
        <v>116</v>
      </c>
      <c r="C52" s="6" t="s">
        <v>98</v>
      </c>
      <c r="D52" s="6" t="str">
        <f aca="false">LEFT(C52,1)</f>
        <v>M</v>
      </c>
      <c r="E52" s="23" t="s">
        <v>23</v>
      </c>
      <c r="F52" s="9" t="n">
        <v>9</v>
      </c>
      <c r="G52" s="24" t="n">
        <f aca="false">INDEX(設定!$B$6:$B$8,MATCH(A52,設定!$A$6:$A$8,0))</f>
        <v>0.33</v>
      </c>
      <c r="H52" s="6" t="n">
        <f aca="false">ROUND(F52*G52,0)</f>
        <v>3</v>
      </c>
      <c r="I52" s="6" t="str">
        <f aca="false">IF(A52="VFF Spidrwalk","Spidrwalk",IF(A52="VFF Trailope WP","TrailopeWP","GLS_"&amp;D52))</f>
        <v>GLS_M</v>
      </c>
      <c r="J52" s="6" t="n">
        <f aca="false">MIN(INDEX(設定!$E$20:$E$24,MATCH("K Village",設定!$A$20:$A$24,0)),MAX(INDEX(設定!$B$20:$D$24,MATCH("K Village",設定!$A$20:$A$24,0),MATCH($E52,設定!$B$19:$D$19,0)),ROUND($H52*INDEX(実績!$N$5:$R$8,MATCH($I52,実績!$F$5:$F$8,0),1)*INDEX(設定!$B$29:$B$33,MATCH("K Village",設定!$A$29:$A$33,0))/INDEX(実績!$S$5:$S$8,MATCH($I52,実績!$F$5:$F$8,0))/設定!$B$36,0)*設定!$B$36))+S52</f>
        <v>1</v>
      </c>
      <c r="K52" s="6" t="n">
        <f aca="false">MIN(INDEX(設定!$E$20:$E$24,MATCH("Central Chidlom",設定!$A$20:$A$24,0)),MAX(INDEX(設定!$B$20:$D$24,MATCH("Central Chidlom",設定!$A$20:$A$24,0),MATCH($E52,設定!$B$19:$D$19,0)),ROUND($H52*INDEX(実績!$N$5:$R$8,MATCH($I52,実績!$F$5:$F$8,0),2)*INDEX(設定!$B$29:$B$33,MATCH("Central Chidlom",設定!$A$29:$A$33,0))/INDEX(実績!$S$5:$S$8,MATCH($I52,実績!$F$5:$F$8,0))/設定!$B$36,0)*設定!$B$36))+T52</f>
        <v>1</v>
      </c>
      <c r="L52" s="6" t="n">
        <f aca="false">MIN(INDEX(設定!$E$20:$E$24,MATCH("Siam Discovery",設定!$A$20:$A$24,0)),MAX(INDEX(設定!$B$20:$D$24,MATCH("Siam Discovery",設定!$A$20:$A$24,0),MATCH($E52,設定!$B$19:$D$19,0)),ROUND($H52*INDEX(実績!$N$5:$R$8,MATCH($I52,実績!$F$5:$F$8,0),3)*INDEX(設定!$B$29:$B$33,MATCH("Siam Discovery",設定!$A$29:$A$33,0))/INDEX(実績!$S$5:$S$8,MATCH($I52,実績!$F$5:$F$8,0))/設定!$B$36,0)*設定!$B$36))+U52</f>
        <v>1</v>
      </c>
      <c r="M52" s="6" t="n">
        <f aca="false">MIN(INDEX(設定!$E$20:$E$24,MATCH("Paradise Park",設定!$A$20:$A$24,0)),MAX(INDEX(設定!$B$20:$D$24,MATCH("Paradise Park",設定!$A$20:$A$24,0),MATCH($E52,設定!$B$19:$D$19,0)),ROUND($H52*INDEX(実績!$N$5:$R$8,MATCH($I52,実績!$F$5:$F$8,0),4)*INDEX(設定!$B$29:$B$33,MATCH("Paradise Park",設定!$A$29:$A$33,0))/INDEX(実績!$S$5:$S$8,MATCH($I52,実績!$F$5:$F$8,0))/設定!$B$36,0)*設定!$B$36))+V52</f>
        <v>0</v>
      </c>
      <c r="N52" s="6" t="n">
        <f aca="false">MIN(INDEX(設定!$E$20:$E$24,MATCH("Central Lardprao (Dept.)",設定!$A$20:$A$24,0)),MAX(INDEX(設定!$B$20:$D$24,MATCH("Central Lardprao (Dept.)",設定!$A$20:$A$24,0),MATCH($E52,設定!$B$19:$D$19,0)),ROUND($H52*INDEX(実績!$N$5:$R$8,MATCH($I52,実績!$F$5:$F$8,0),5)*INDEX(設定!$B$29:$B$33,MATCH("Central Lardprao (Dept.)",設定!$A$29:$A$33,0))/INDEX(実績!$S$5:$S$8,MATCH($I52,実績!$F$5:$F$8,0))/設定!$B$36,0)*設定!$B$36))+W52</f>
        <v>0</v>
      </c>
      <c r="O52" s="25" t="n">
        <f aca="false">SUM(J52:N52)</f>
        <v>3</v>
      </c>
      <c r="P52" s="25" t="n">
        <f aca="false">F52-O52</f>
        <v>6</v>
      </c>
      <c r="Q52" s="6" t="str">
        <f aca="false">IF(P52&lt;0,"入荷数超過→要調整","")</f>
        <v/>
      </c>
      <c r="S52" s="26"/>
      <c r="T52" s="26"/>
      <c r="U52" s="26"/>
      <c r="V52" s="26"/>
      <c r="W52" s="26"/>
    </row>
    <row r="53" customFormat="false" ht="14.25" hidden="false" customHeight="false" outlineLevel="0" collapsed="false">
      <c r="A53" s="6" t="s">
        <v>11</v>
      </c>
      <c r="B53" s="6" t="s">
        <v>116</v>
      </c>
      <c r="C53" s="6" t="s">
        <v>99</v>
      </c>
      <c r="D53" s="6" t="str">
        <f aca="false">LEFT(C53,1)</f>
        <v>M</v>
      </c>
      <c r="E53" s="23" t="s">
        <v>22</v>
      </c>
      <c r="F53" s="9" t="n">
        <v>18</v>
      </c>
      <c r="G53" s="24" t="n">
        <f aca="false">INDEX(設定!$B$6:$B$8,MATCH(A53,設定!$A$6:$A$8,0))</f>
        <v>0.33</v>
      </c>
      <c r="H53" s="6" t="n">
        <f aca="false">ROUND(F53*G53,0)</f>
        <v>6</v>
      </c>
      <c r="I53" s="6" t="str">
        <f aca="false">IF(A53="VFF Spidrwalk","Spidrwalk",IF(A53="VFF Trailope WP","TrailopeWP","GLS_"&amp;D53))</f>
        <v>GLS_M</v>
      </c>
      <c r="J53" s="6" t="n">
        <f aca="false">MIN(INDEX(設定!$E$20:$E$24,MATCH("K Village",設定!$A$20:$A$24,0)),MAX(INDEX(設定!$B$20:$D$24,MATCH("K Village",設定!$A$20:$A$24,0),MATCH($E53,設定!$B$19:$D$19,0)),ROUND($H53*INDEX(実績!$N$5:$R$8,MATCH($I53,実績!$F$5:$F$8,0),1)*INDEX(設定!$B$29:$B$33,MATCH("K Village",設定!$A$29:$A$33,0))/INDEX(実績!$S$5:$S$8,MATCH($I53,実績!$F$5:$F$8,0))/設定!$B$36,0)*設定!$B$36))+S53</f>
        <v>2</v>
      </c>
      <c r="K53" s="6" t="n">
        <f aca="false">MIN(INDEX(設定!$E$20:$E$24,MATCH("Central Chidlom",設定!$A$20:$A$24,0)),MAX(INDEX(設定!$B$20:$D$24,MATCH("Central Chidlom",設定!$A$20:$A$24,0),MATCH($E53,設定!$B$19:$D$19,0)),ROUND($H53*INDEX(実績!$N$5:$R$8,MATCH($I53,実績!$F$5:$F$8,0),2)*INDEX(設定!$B$29:$B$33,MATCH("Central Chidlom",設定!$A$29:$A$33,0))/INDEX(実績!$S$5:$S$8,MATCH($I53,実績!$F$5:$F$8,0))/設定!$B$36,0)*設定!$B$36))+T53</f>
        <v>1</v>
      </c>
      <c r="L53" s="6" t="n">
        <f aca="false">MIN(INDEX(設定!$E$20:$E$24,MATCH("Siam Discovery",設定!$A$20:$A$24,0)),MAX(INDEX(設定!$B$20:$D$24,MATCH("Siam Discovery",設定!$A$20:$A$24,0),MATCH($E53,設定!$B$19:$D$19,0)),ROUND($H53*INDEX(実績!$N$5:$R$8,MATCH($I53,実績!$F$5:$F$8,0),3)*INDEX(設定!$B$29:$B$33,MATCH("Siam Discovery",設定!$A$29:$A$33,0))/INDEX(実績!$S$5:$S$8,MATCH($I53,実績!$F$5:$F$8,0))/設定!$B$36,0)*設定!$B$36))+U53</f>
        <v>1</v>
      </c>
      <c r="M53" s="6" t="n">
        <f aca="false">MIN(INDEX(設定!$E$20:$E$24,MATCH("Paradise Park",設定!$A$20:$A$24,0)),MAX(INDEX(設定!$B$20:$D$24,MATCH("Paradise Park",設定!$A$20:$A$24,0),MATCH($E53,設定!$B$19:$D$19,0)),ROUND($H53*INDEX(実績!$N$5:$R$8,MATCH($I53,実績!$F$5:$F$8,0),4)*INDEX(設定!$B$29:$B$33,MATCH("Paradise Park",設定!$A$29:$A$33,0))/INDEX(実績!$S$5:$S$8,MATCH($I53,実績!$F$5:$F$8,0))/設定!$B$36,0)*設定!$B$36))+V53</f>
        <v>1</v>
      </c>
      <c r="N53" s="6" t="n">
        <f aca="false">MIN(INDEX(設定!$E$20:$E$24,MATCH("Central Lardprao (Dept.)",設定!$A$20:$A$24,0)),MAX(INDEX(設定!$B$20:$D$24,MATCH("Central Lardprao (Dept.)",設定!$A$20:$A$24,0),MATCH($E53,設定!$B$19:$D$19,0)),ROUND($H53*INDEX(実績!$N$5:$R$8,MATCH($I53,実績!$F$5:$F$8,0),5)*INDEX(設定!$B$29:$B$33,MATCH("Central Lardprao (Dept.)",設定!$A$29:$A$33,0))/INDEX(実績!$S$5:$S$8,MATCH($I53,実績!$F$5:$F$8,0))/設定!$B$36,0)*設定!$B$36))+W53</f>
        <v>0</v>
      </c>
      <c r="O53" s="25" t="n">
        <f aca="false">SUM(J53:N53)</f>
        <v>5</v>
      </c>
      <c r="P53" s="25" t="n">
        <f aca="false">F53-O53</f>
        <v>13</v>
      </c>
      <c r="Q53" s="6" t="str">
        <f aca="false">IF(P53&lt;0,"入荷数超過→要調整","")</f>
        <v/>
      </c>
      <c r="S53" s="26"/>
      <c r="T53" s="26"/>
      <c r="U53" s="26"/>
      <c r="V53" s="26"/>
      <c r="W53" s="26"/>
    </row>
    <row r="54" customFormat="false" ht="14.25" hidden="false" customHeight="false" outlineLevel="0" collapsed="false">
      <c r="A54" s="6" t="s">
        <v>11</v>
      </c>
      <c r="B54" s="6" t="s">
        <v>116</v>
      </c>
      <c r="C54" s="6" t="s">
        <v>100</v>
      </c>
      <c r="D54" s="6" t="str">
        <f aca="false">LEFT(C54,1)</f>
        <v>M</v>
      </c>
      <c r="E54" s="23" t="s">
        <v>22</v>
      </c>
      <c r="F54" s="9" t="n">
        <v>30</v>
      </c>
      <c r="G54" s="24" t="n">
        <f aca="false">INDEX(設定!$B$6:$B$8,MATCH(A54,設定!$A$6:$A$8,0))</f>
        <v>0.33</v>
      </c>
      <c r="H54" s="6" t="n">
        <f aca="false">ROUND(F54*G54,0)</f>
        <v>10</v>
      </c>
      <c r="I54" s="6" t="str">
        <f aca="false">IF(A54="VFF Spidrwalk","Spidrwalk",IF(A54="VFF Trailope WP","TrailopeWP","GLS_"&amp;D54))</f>
        <v>GLS_M</v>
      </c>
      <c r="J54" s="6" t="n">
        <f aca="false">MIN(INDEX(設定!$E$20:$E$24,MATCH("K Village",設定!$A$20:$A$24,0)),MAX(INDEX(設定!$B$20:$D$24,MATCH("K Village",設定!$A$20:$A$24,0),MATCH($E54,設定!$B$19:$D$19,0)),ROUND($H54*INDEX(実績!$N$5:$R$8,MATCH($I54,実績!$F$5:$F$8,0),1)*INDEX(設定!$B$29:$B$33,MATCH("K Village",設定!$A$29:$A$33,0))/INDEX(実績!$S$5:$S$8,MATCH($I54,実績!$F$5:$F$8,0))/設定!$B$36,0)*設定!$B$36))+S54</f>
        <v>2</v>
      </c>
      <c r="K54" s="6" t="n">
        <f aca="false">MIN(INDEX(設定!$E$20:$E$24,MATCH("Central Chidlom",設定!$A$20:$A$24,0)),MAX(INDEX(設定!$B$20:$D$24,MATCH("Central Chidlom",設定!$A$20:$A$24,0),MATCH($E54,設定!$B$19:$D$19,0)),ROUND($H54*INDEX(実績!$N$5:$R$8,MATCH($I54,実績!$F$5:$F$8,0),2)*INDEX(設定!$B$29:$B$33,MATCH("Central Chidlom",設定!$A$29:$A$33,0))/INDEX(実績!$S$5:$S$8,MATCH($I54,実績!$F$5:$F$8,0))/設定!$B$36,0)*設定!$B$36))+T54</f>
        <v>2</v>
      </c>
      <c r="L54" s="6" t="n">
        <f aca="false">MIN(INDEX(設定!$E$20:$E$24,MATCH("Siam Discovery",設定!$A$20:$A$24,0)),MAX(INDEX(設定!$B$20:$D$24,MATCH("Siam Discovery",設定!$A$20:$A$24,0),MATCH($E54,設定!$B$19:$D$19,0)),ROUND($H54*INDEX(実績!$N$5:$R$8,MATCH($I54,実績!$F$5:$F$8,0),3)*INDEX(設定!$B$29:$B$33,MATCH("Siam Discovery",設定!$A$29:$A$33,0))/INDEX(実績!$S$5:$S$8,MATCH($I54,実績!$F$5:$F$8,0))/設定!$B$36,0)*設定!$B$36))+U54</f>
        <v>1</v>
      </c>
      <c r="M54" s="6" t="n">
        <f aca="false">MIN(INDEX(設定!$E$20:$E$24,MATCH("Paradise Park",設定!$A$20:$A$24,0)),MAX(INDEX(設定!$B$20:$D$24,MATCH("Paradise Park",設定!$A$20:$A$24,0),MATCH($E54,設定!$B$19:$D$19,0)),ROUND($H54*INDEX(実績!$N$5:$R$8,MATCH($I54,実績!$F$5:$F$8,0),4)*INDEX(設定!$B$29:$B$33,MATCH("Paradise Park",設定!$A$29:$A$33,0))/INDEX(実績!$S$5:$S$8,MATCH($I54,実績!$F$5:$F$8,0))/設定!$B$36,0)*設定!$B$36))+V54</f>
        <v>2</v>
      </c>
      <c r="N54" s="6" t="n">
        <f aca="false">MIN(INDEX(設定!$E$20:$E$24,MATCH("Central Lardprao (Dept.)",設定!$A$20:$A$24,0)),MAX(INDEX(設定!$B$20:$D$24,MATCH("Central Lardprao (Dept.)",設定!$A$20:$A$24,0),MATCH($E54,設定!$B$19:$D$19,0)),ROUND($H54*INDEX(実績!$N$5:$R$8,MATCH($I54,実績!$F$5:$F$8,0),5)*INDEX(設定!$B$29:$B$33,MATCH("Central Lardprao (Dept.)",設定!$A$29:$A$33,0))/INDEX(実績!$S$5:$S$8,MATCH($I54,実績!$F$5:$F$8,0))/設定!$B$36,0)*設定!$B$36))+W54</f>
        <v>0</v>
      </c>
      <c r="O54" s="25" t="n">
        <f aca="false">SUM(J54:N54)</f>
        <v>7</v>
      </c>
      <c r="P54" s="25" t="n">
        <f aca="false">F54-O54</f>
        <v>23</v>
      </c>
      <c r="Q54" s="6" t="str">
        <f aca="false">IF(P54&lt;0,"入荷数超過→要調整","")</f>
        <v/>
      </c>
      <c r="S54" s="26"/>
      <c r="T54" s="26"/>
      <c r="U54" s="26"/>
      <c r="V54" s="26"/>
      <c r="W54" s="26"/>
    </row>
    <row r="55" customFormat="false" ht="14.25" hidden="false" customHeight="false" outlineLevel="0" collapsed="false">
      <c r="A55" s="6" t="s">
        <v>11</v>
      </c>
      <c r="B55" s="6" t="s">
        <v>116</v>
      </c>
      <c r="C55" s="6" t="s">
        <v>101</v>
      </c>
      <c r="D55" s="6" t="str">
        <f aca="false">LEFT(C55,1)</f>
        <v>M</v>
      </c>
      <c r="E55" s="23" t="s">
        <v>22</v>
      </c>
      <c r="F55" s="9" t="n">
        <v>30</v>
      </c>
      <c r="G55" s="24" t="n">
        <f aca="false">INDEX(設定!$B$6:$B$8,MATCH(A55,設定!$A$6:$A$8,0))</f>
        <v>0.33</v>
      </c>
      <c r="H55" s="6" t="n">
        <f aca="false">ROUND(F55*G55,0)</f>
        <v>10</v>
      </c>
      <c r="I55" s="6" t="str">
        <f aca="false">IF(A55="VFF Spidrwalk","Spidrwalk",IF(A55="VFF Trailope WP","TrailopeWP","GLS_"&amp;D55))</f>
        <v>GLS_M</v>
      </c>
      <c r="J55" s="6" t="n">
        <f aca="false">MIN(INDEX(設定!$E$20:$E$24,MATCH("K Village",設定!$A$20:$A$24,0)),MAX(INDEX(設定!$B$20:$D$24,MATCH("K Village",設定!$A$20:$A$24,0),MATCH($E55,設定!$B$19:$D$19,0)),ROUND($H55*INDEX(実績!$N$5:$R$8,MATCH($I55,実績!$F$5:$F$8,0),1)*INDEX(設定!$B$29:$B$33,MATCH("K Village",設定!$A$29:$A$33,0))/INDEX(実績!$S$5:$S$8,MATCH($I55,実績!$F$5:$F$8,0))/設定!$B$36,0)*設定!$B$36))+S55</f>
        <v>2</v>
      </c>
      <c r="K55" s="6" t="n">
        <f aca="false">MIN(INDEX(設定!$E$20:$E$24,MATCH("Central Chidlom",設定!$A$20:$A$24,0)),MAX(INDEX(設定!$B$20:$D$24,MATCH("Central Chidlom",設定!$A$20:$A$24,0),MATCH($E55,設定!$B$19:$D$19,0)),ROUND($H55*INDEX(実績!$N$5:$R$8,MATCH($I55,実績!$F$5:$F$8,0),2)*INDEX(設定!$B$29:$B$33,MATCH("Central Chidlom",設定!$A$29:$A$33,0))/INDEX(実績!$S$5:$S$8,MATCH($I55,実績!$F$5:$F$8,0))/設定!$B$36,0)*設定!$B$36))+T55</f>
        <v>2</v>
      </c>
      <c r="L55" s="6" t="n">
        <f aca="false">MIN(INDEX(設定!$E$20:$E$24,MATCH("Siam Discovery",設定!$A$20:$A$24,0)),MAX(INDEX(設定!$B$20:$D$24,MATCH("Siam Discovery",設定!$A$20:$A$24,0),MATCH($E55,設定!$B$19:$D$19,0)),ROUND($H55*INDEX(実績!$N$5:$R$8,MATCH($I55,実績!$F$5:$F$8,0),3)*INDEX(設定!$B$29:$B$33,MATCH("Siam Discovery",設定!$A$29:$A$33,0))/INDEX(実績!$S$5:$S$8,MATCH($I55,実績!$F$5:$F$8,0))/設定!$B$36,0)*設定!$B$36))+U55</f>
        <v>1</v>
      </c>
      <c r="M55" s="6" t="n">
        <f aca="false">MIN(INDEX(設定!$E$20:$E$24,MATCH("Paradise Park",設定!$A$20:$A$24,0)),MAX(INDEX(設定!$B$20:$D$24,MATCH("Paradise Park",設定!$A$20:$A$24,0),MATCH($E55,設定!$B$19:$D$19,0)),ROUND($H55*INDEX(実績!$N$5:$R$8,MATCH($I55,実績!$F$5:$F$8,0),4)*INDEX(設定!$B$29:$B$33,MATCH("Paradise Park",設定!$A$29:$A$33,0))/INDEX(実績!$S$5:$S$8,MATCH($I55,実績!$F$5:$F$8,0))/設定!$B$36,0)*設定!$B$36))+V55</f>
        <v>2</v>
      </c>
      <c r="N55" s="6" t="n">
        <f aca="false">MIN(INDEX(設定!$E$20:$E$24,MATCH("Central Lardprao (Dept.)",設定!$A$20:$A$24,0)),MAX(INDEX(設定!$B$20:$D$24,MATCH("Central Lardprao (Dept.)",設定!$A$20:$A$24,0),MATCH($E55,設定!$B$19:$D$19,0)),ROUND($H55*INDEX(実績!$N$5:$R$8,MATCH($I55,実績!$F$5:$F$8,0),5)*INDEX(設定!$B$29:$B$33,MATCH("Central Lardprao (Dept.)",設定!$A$29:$A$33,0))/INDEX(実績!$S$5:$S$8,MATCH($I55,実績!$F$5:$F$8,0))/設定!$B$36,0)*設定!$B$36))+W55</f>
        <v>0</v>
      </c>
      <c r="O55" s="25" t="n">
        <f aca="false">SUM(J55:N55)</f>
        <v>7</v>
      </c>
      <c r="P55" s="25" t="n">
        <f aca="false">F55-O55</f>
        <v>23</v>
      </c>
      <c r="Q55" s="6" t="str">
        <f aca="false">IF(P55&lt;0,"入荷数超過→要調整","")</f>
        <v/>
      </c>
      <c r="S55" s="26"/>
      <c r="T55" s="26"/>
      <c r="U55" s="26"/>
      <c r="V55" s="26"/>
      <c r="W55" s="26"/>
    </row>
    <row r="56" customFormat="false" ht="14.25" hidden="false" customHeight="false" outlineLevel="0" collapsed="false">
      <c r="A56" s="6" t="s">
        <v>11</v>
      </c>
      <c r="B56" s="6" t="s">
        <v>116</v>
      </c>
      <c r="C56" s="6" t="s">
        <v>102</v>
      </c>
      <c r="D56" s="6" t="str">
        <f aca="false">LEFT(C56,1)</f>
        <v>M</v>
      </c>
      <c r="E56" s="23" t="s">
        <v>22</v>
      </c>
      <c r="F56" s="9" t="n">
        <v>27</v>
      </c>
      <c r="G56" s="24" t="n">
        <f aca="false">INDEX(設定!$B$6:$B$8,MATCH(A56,設定!$A$6:$A$8,0))</f>
        <v>0.33</v>
      </c>
      <c r="H56" s="6" t="n">
        <f aca="false">ROUND(F56*G56,0)</f>
        <v>9</v>
      </c>
      <c r="I56" s="6" t="str">
        <f aca="false">IF(A56="VFF Spidrwalk","Spidrwalk",IF(A56="VFF Trailope WP","TrailopeWP","GLS_"&amp;D56))</f>
        <v>GLS_M</v>
      </c>
      <c r="J56" s="6" t="n">
        <f aca="false">MIN(INDEX(設定!$E$20:$E$24,MATCH("K Village",設定!$A$20:$A$24,0)),MAX(INDEX(設定!$B$20:$D$24,MATCH("K Village",設定!$A$20:$A$24,0),MATCH($E56,設定!$B$19:$D$19,0)),ROUND($H56*INDEX(実績!$N$5:$R$8,MATCH($I56,実績!$F$5:$F$8,0),1)*INDEX(設定!$B$29:$B$33,MATCH("K Village",設定!$A$29:$A$33,0))/INDEX(実績!$S$5:$S$8,MATCH($I56,実績!$F$5:$F$8,0))/設定!$B$36,0)*設定!$B$36))+S56</f>
        <v>2</v>
      </c>
      <c r="K56" s="6" t="n">
        <f aca="false">MIN(INDEX(設定!$E$20:$E$24,MATCH("Central Chidlom",設定!$A$20:$A$24,0)),MAX(INDEX(設定!$B$20:$D$24,MATCH("Central Chidlom",設定!$A$20:$A$24,0),MATCH($E56,設定!$B$19:$D$19,0)),ROUND($H56*INDEX(実績!$N$5:$R$8,MATCH($I56,実績!$F$5:$F$8,0),2)*INDEX(設定!$B$29:$B$33,MATCH("Central Chidlom",設定!$A$29:$A$33,0))/INDEX(実績!$S$5:$S$8,MATCH($I56,実績!$F$5:$F$8,0))/設定!$B$36,0)*設定!$B$36))+T56</f>
        <v>2</v>
      </c>
      <c r="L56" s="6" t="n">
        <f aca="false">MIN(INDEX(設定!$E$20:$E$24,MATCH("Siam Discovery",設定!$A$20:$A$24,0)),MAX(INDEX(設定!$B$20:$D$24,MATCH("Siam Discovery",設定!$A$20:$A$24,0),MATCH($E56,設定!$B$19:$D$19,0)),ROUND($H56*INDEX(実績!$N$5:$R$8,MATCH($I56,実績!$F$5:$F$8,0),3)*INDEX(設定!$B$29:$B$33,MATCH("Siam Discovery",設定!$A$29:$A$33,0))/INDEX(実績!$S$5:$S$8,MATCH($I56,実績!$F$5:$F$8,0))/設定!$B$36,0)*設定!$B$36))+U56</f>
        <v>1</v>
      </c>
      <c r="M56" s="6" t="n">
        <f aca="false">MIN(INDEX(設定!$E$20:$E$24,MATCH("Paradise Park",設定!$A$20:$A$24,0)),MAX(INDEX(設定!$B$20:$D$24,MATCH("Paradise Park",設定!$A$20:$A$24,0),MATCH($E56,設定!$B$19:$D$19,0)),ROUND($H56*INDEX(実績!$N$5:$R$8,MATCH($I56,実績!$F$5:$F$8,0),4)*INDEX(設定!$B$29:$B$33,MATCH("Paradise Park",設定!$A$29:$A$33,0))/INDEX(実績!$S$5:$S$8,MATCH($I56,実績!$F$5:$F$8,0))/設定!$B$36,0)*設定!$B$36))+V56</f>
        <v>1</v>
      </c>
      <c r="N56" s="6" t="n">
        <f aca="false">MIN(INDEX(設定!$E$20:$E$24,MATCH("Central Lardprao (Dept.)",設定!$A$20:$A$24,0)),MAX(INDEX(設定!$B$20:$D$24,MATCH("Central Lardprao (Dept.)",設定!$A$20:$A$24,0),MATCH($E56,設定!$B$19:$D$19,0)),ROUND($H56*INDEX(実績!$N$5:$R$8,MATCH($I56,実績!$F$5:$F$8,0),5)*INDEX(設定!$B$29:$B$33,MATCH("Central Lardprao (Dept.)",設定!$A$29:$A$33,0))/INDEX(実績!$S$5:$S$8,MATCH($I56,実績!$F$5:$F$8,0))/設定!$B$36,0)*設定!$B$36))+W56</f>
        <v>0</v>
      </c>
      <c r="O56" s="25" t="n">
        <f aca="false">SUM(J56:N56)</f>
        <v>6</v>
      </c>
      <c r="P56" s="25" t="n">
        <f aca="false">F56-O56</f>
        <v>21</v>
      </c>
      <c r="Q56" s="6" t="str">
        <f aca="false">IF(P56&lt;0,"入荷数超過→要調整","")</f>
        <v/>
      </c>
      <c r="S56" s="26"/>
      <c r="T56" s="26"/>
      <c r="U56" s="26"/>
      <c r="V56" s="26"/>
      <c r="W56" s="26"/>
    </row>
    <row r="57" customFormat="false" ht="14.25" hidden="false" customHeight="false" outlineLevel="0" collapsed="false">
      <c r="A57" s="6" t="s">
        <v>11</v>
      </c>
      <c r="B57" s="6" t="s">
        <v>116</v>
      </c>
      <c r="C57" s="6" t="s">
        <v>103</v>
      </c>
      <c r="D57" s="6" t="str">
        <f aca="false">LEFT(C57,1)</f>
        <v>M</v>
      </c>
      <c r="E57" s="23" t="s">
        <v>23</v>
      </c>
      <c r="F57" s="9" t="n">
        <v>15</v>
      </c>
      <c r="G57" s="24" t="n">
        <f aca="false">INDEX(設定!$B$6:$B$8,MATCH(A57,設定!$A$6:$A$8,0))</f>
        <v>0.33</v>
      </c>
      <c r="H57" s="6" t="n">
        <f aca="false">ROUND(F57*G57,0)</f>
        <v>5</v>
      </c>
      <c r="I57" s="6" t="str">
        <f aca="false">IF(A57="VFF Spidrwalk","Spidrwalk",IF(A57="VFF Trailope WP","TrailopeWP","GLS_"&amp;D57))</f>
        <v>GLS_M</v>
      </c>
      <c r="J57" s="6" t="n">
        <f aca="false">MIN(INDEX(設定!$E$20:$E$24,MATCH("K Village",設定!$A$20:$A$24,0)),MAX(INDEX(設定!$B$20:$D$24,MATCH("K Village",設定!$A$20:$A$24,0),MATCH($E57,設定!$B$19:$D$19,0)),ROUND($H57*INDEX(実績!$N$5:$R$8,MATCH($I57,実績!$F$5:$F$8,0),1)*INDEX(設定!$B$29:$B$33,MATCH("K Village",設定!$A$29:$A$33,0))/INDEX(実績!$S$5:$S$8,MATCH($I57,実績!$F$5:$F$8,0))/設定!$B$36,0)*設定!$B$36))+S57</f>
        <v>2</v>
      </c>
      <c r="K57" s="6" t="n">
        <f aca="false">MIN(INDEX(設定!$E$20:$E$24,MATCH("Central Chidlom",設定!$A$20:$A$24,0)),MAX(INDEX(設定!$B$20:$D$24,MATCH("Central Chidlom",設定!$A$20:$A$24,0),MATCH($E57,設定!$B$19:$D$19,0)),ROUND($H57*INDEX(実績!$N$5:$R$8,MATCH($I57,実績!$F$5:$F$8,0),2)*INDEX(設定!$B$29:$B$33,MATCH("Central Chidlom",設定!$A$29:$A$33,0))/INDEX(実績!$S$5:$S$8,MATCH($I57,実績!$F$5:$F$8,0))/設定!$B$36,0)*設定!$B$36))+T57</f>
        <v>1</v>
      </c>
      <c r="L57" s="6" t="n">
        <f aca="false">MIN(INDEX(設定!$E$20:$E$24,MATCH("Siam Discovery",設定!$A$20:$A$24,0)),MAX(INDEX(設定!$B$20:$D$24,MATCH("Siam Discovery",設定!$A$20:$A$24,0),MATCH($E57,設定!$B$19:$D$19,0)),ROUND($H57*INDEX(実績!$N$5:$R$8,MATCH($I57,実績!$F$5:$F$8,0),3)*INDEX(設定!$B$29:$B$33,MATCH("Siam Discovery",設定!$A$29:$A$33,0))/INDEX(実績!$S$5:$S$8,MATCH($I57,実績!$F$5:$F$8,0))/設定!$B$36,0)*設定!$B$36))+U57</f>
        <v>1</v>
      </c>
      <c r="M57" s="6" t="n">
        <f aca="false">MIN(INDEX(設定!$E$20:$E$24,MATCH("Paradise Park",設定!$A$20:$A$24,0)),MAX(INDEX(設定!$B$20:$D$24,MATCH("Paradise Park",設定!$A$20:$A$24,0),MATCH($E57,設定!$B$19:$D$19,0)),ROUND($H57*INDEX(実績!$N$5:$R$8,MATCH($I57,実績!$F$5:$F$8,0),4)*INDEX(設定!$B$29:$B$33,MATCH("Paradise Park",設定!$A$29:$A$33,0))/INDEX(実績!$S$5:$S$8,MATCH($I57,実績!$F$5:$F$8,0))/設定!$B$36,0)*設定!$B$36))+V57</f>
        <v>1</v>
      </c>
      <c r="N57" s="6" t="n">
        <f aca="false">MIN(INDEX(設定!$E$20:$E$24,MATCH("Central Lardprao (Dept.)",設定!$A$20:$A$24,0)),MAX(INDEX(設定!$B$20:$D$24,MATCH("Central Lardprao (Dept.)",設定!$A$20:$A$24,0),MATCH($E57,設定!$B$19:$D$19,0)),ROUND($H57*INDEX(実績!$N$5:$R$8,MATCH($I57,実績!$F$5:$F$8,0),5)*INDEX(設定!$B$29:$B$33,MATCH("Central Lardprao (Dept.)",設定!$A$29:$A$33,0))/INDEX(実績!$S$5:$S$8,MATCH($I57,実績!$F$5:$F$8,0))/設定!$B$36,0)*設定!$B$36))+W57</f>
        <v>0</v>
      </c>
      <c r="O57" s="25" t="n">
        <f aca="false">SUM(J57:N57)</f>
        <v>5</v>
      </c>
      <c r="P57" s="25" t="n">
        <f aca="false">F57-O57</f>
        <v>10</v>
      </c>
      <c r="Q57" s="6" t="str">
        <f aca="false">IF(P57&lt;0,"入荷数超過→要調整","")</f>
        <v/>
      </c>
      <c r="S57" s="26"/>
      <c r="T57" s="26"/>
      <c r="U57" s="26"/>
      <c r="V57" s="26"/>
      <c r="W57" s="26"/>
    </row>
    <row r="58" customFormat="false" ht="14.25" hidden="false" customHeight="false" outlineLevel="0" collapsed="false">
      <c r="A58" s="6" t="s">
        <v>11</v>
      </c>
      <c r="B58" s="6" t="s">
        <v>116</v>
      </c>
      <c r="C58" s="6" t="s">
        <v>104</v>
      </c>
      <c r="D58" s="6" t="str">
        <f aca="false">LEFT(C58,1)</f>
        <v>M</v>
      </c>
      <c r="E58" s="23" t="s">
        <v>23</v>
      </c>
      <c r="F58" s="9" t="n">
        <v>9</v>
      </c>
      <c r="G58" s="24" t="n">
        <f aca="false">INDEX(設定!$B$6:$B$8,MATCH(A58,設定!$A$6:$A$8,0))</f>
        <v>0.33</v>
      </c>
      <c r="H58" s="6" t="n">
        <f aca="false">ROUND(F58*G58,0)</f>
        <v>3</v>
      </c>
      <c r="I58" s="6" t="str">
        <f aca="false">IF(A58="VFF Spidrwalk","Spidrwalk",IF(A58="VFF Trailope WP","TrailopeWP","GLS_"&amp;D58))</f>
        <v>GLS_M</v>
      </c>
      <c r="J58" s="6" t="n">
        <f aca="false">MIN(INDEX(設定!$E$20:$E$24,MATCH("K Village",設定!$A$20:$A$24,0)),MAX(INDEX(設定!$B$20:$D$24,MATCH("K Village",設定!$A$20:$A$24,0),MATCH($E58,設定!$B$19:$D$19,0)),ROUND($H58*INDEX(実績!$N$5:$R$8,MATCH($I58,実績!$F$5:$F$8,0),1)*INDEX(設定!$B$29:$B$33,MATCH("K Village",設定!$A$29:$A$33,0))/INDEX(実績!$S$5:$S$8,MATCH($I58,実績!$F$5:$F$8,0))/設定!$B$36,0)*設定!$B$36))+S58</f>
        <v>1</v>
      </c>
      <c r="K58" s="6" t="n">
        <f aca="false">MIN(INDEX(設定!$E$20:$E$24,MATCH("Central Chidlom",設定!$A$20:$A$24,0)),MAX(INDEX(設定!$B$20:$D$24,MATCH("Central Chidlom",設定!$A$20:$A$24,0),MATCH($E58,設定!$B$19:$D$19,0)),ROUND($H58*INDEX(実績!$N$5:$R$8,MATCH($I58,実績!$F$5:$F$8,0),2)*INDEX(設定!$B$29:$B$33,MATCH("Central Chidlom",設定!$A$29:$A$33,0))/INDEX(実績!$S$5:$S$8,MATCH($I58,実績!$F$5:$F$8,0))/設定!$B$36,0)*設定!$B$36))+T58</f>
        <v>1</v>
      </c>
      <c r="L58" s="6" t="n">
        <f aca="false">MIN(INDEX(設定!$E$20:$E$24,MATCH("Siam Discovery",設定!$A$20:$A$24,0)),MAX(INDEX(設定!$B$20:$D$24,MATCH("Siam Discovery",設定!$A$20:$A$24,0),MATCH($E58,設定!$B$19:$D$19,0)),ROUND($H58*INDEX(実績!$N$5:$R$8,MATCH($I58,実績!$F$5:$F$8,0),3)*INDEX(設定!$B$29:$B$33,MATCH("Siam Discovery",設定!$A$29:$A$33,0))/INDEX(実績!$S$5:$S$8,MATCH($I58,実績!$F$5:$F$8,0))/設定!$B$36,0)*設定!$B$36))+U58</f>
        <v>1</v>
      </c>
      <c r="M58" s="6" t="n">
        <f aca="false">MIN(INDEX(設定!$E$20:$E$24,MATCH("Paradise Park",設定!$A$20:$A$24,0)),MAX(INDEX(設定!$B$20:$D$24,MATCH("Paradise Park",設定!$A$20:$A$24,0),MATCH($E58,設定!$B$19:$D$19,0)),ROUND($H58*INDEX(実績!$N$5:$R$8,MATCH($I58,実績!$F$5:$F$8,0),4)*INDEX(設定!$B$29:$B$33,MATCH("Paradise Park",設定!$A$29:$A$33,0))/INDEX(実績!$S$5:$S$8,MATCH($I58,実績!$F$5:$F$8,0))/設定!$B$36,0)*設定!$B$36))+V58</f>
        <v>0</v>
      </c>
      <c r="N58" s="6" t="n">
        <f aca="false">MIN(INDEX(設定!$E$20:$E$24,MATCH("Central Lardprao (Dept.)",設定!$A$20:$A$24,0)),MAX(INDEX(設定!$B$20:$D$24,MATCH("Central Lardprao (Dept.)",設定!$A$20:$A$24,0),MATCH($E58,設定!$B$19:$D$19,0)),ROUND($H58*INDEX(実績!$N$5:$R$8,MATCH($I58,実績!$F$5:$F$8,0),5)*INDEX(設定!$B$29:$B$33,MATCH("Central Lardprao (Dept.)",設定!$A$29:$A$33,0))/INDEX(実績!$S$5:$S$8,MATCH($I58,実績!$F$5:$F$8,0))/設定!$B$36,0)*設定!$B$36))+W58</f>
        <v>0</v>
      </c>
      <c r="O58" s="25" t="n">
        <f aca="false">SUM(J58:N58)</f>
        <v>3</v>
      </c>
      <c r="P58" s="25" t="n">
        <f aca="false">F58-O58</f>
        <v>6</v>
      </c>
      <c r="Q58" s="6" t="str">
        <f aca="false">IF(P58&lt;0,"入荷数超過→要調整","")</f>
        <v/>
      </c>
      <c r="S58" s="26"/>
      <c r="T58" s="26"/>
      <c r="U58" s="26"/>
      <c r="V58" s="26"/>
      <c r="W58" s="26"/>
    </row>
    <row r="59" customFormat="false" ht="14.25" hidden="false" customHeight="false" outlineLevel="0" collapsed="false">
      <c r="A59" s="6" t="s">
        <v>11</v>
      </c>
      <c r="B59" s="6" t="s">
        <v>116</v>
      </c>
      <c r="C59" s="6" t="s">
        <v>105</v>
      </c>
      <c r="D59" s="6" t="str">
        <f aca="false">LEFT(C59,1)</f>
        <v>M</v>
      </c>
      <c r="E59" s="23" t="s">
        <v>24</v>
      </c>
      <c r="F59" s="9" t="n">
        <v>6</v>
      </c>
      <c r="G59" s="24" t="n">
        <f aca="false">INDEX(設定!$B$6:$B$8,MATCH(A59,設定!$A$6:$A$8,0))</f>
        <v>0.33</v>
      </c>
      <c r="H59" s="6" t="n">
        <f aca="false">ROUND(F59*G59,0)</f>
        <v>2</v>
      </c>
      <c r="I59" s="6" t="str">
        <f aca="false">IF(A59="VFF Spidrwalk","Spidrwalk",IF(A59="VFF Trailope WP","TrailopeWP","GLS_"&amp;D59))</f>
        <v>GLS_M</v>
      </c>
      <c r="J59" s="6" t="n">
        <f aca="false">MIN(INDEX(設定!$E$20:$E$24,MATCH("K Village",設定!$A$20:$A$24,0)),MAX(INDEX(設定!$B$20:$D$24,MATCH("K Village",設定!$A$20:$A$24,0),MATCH($E59,設定!$B$19:$D$19,0)),ROUND($H59*INDEX(実績!$N$5:$R$8,MATCH($I59,実績!$F$5:$F$8,0),1)*INDEX(設定!$B$29:$B$33,MATCH("K Village",設定!$A$29:$A$33,0))/INDEX(実績!$S$5:$S$8,MATCH($I59,実績!$F$5:$F$8,0))/設定!$B$36,0)*設定!$B$36))+S59</f>
        <v>1</v>
      </c>
      <c r="K59" s="6" t="n">
        <f aca="false">MIN(INDEX(設定!$E$20:$E$24,MATCH("Central Chidlom",設定!$A$20:$A$24,0)),MAX(INDEX(設定!$B$20:$D$24,MATCH("Central Chidlom",設定!$A$20:$A$24,0),MATCH($E59,設定!$B$19:$D$19,0)),ROUND($H59*INDEX(実績!$N$5:$R$8,MATCH($I59,実績!$F$5:$F$8,0),2)*INDEX(設定!$B$29:$B$33,MATCH("Central Chidlom",設定!$A$29:$A$33,0))/INDEX(実績!$S$5:$S$8,MATCH($I59,実績!$F$5:$F$8,0))/設定!$B$36,0)*設定!$B$36))+T59</f>
        <v>0</v>
      </c>
      <c r="L59" s="6" t="n">
        <f aca="false">MIN(INDEX(設定!$E$20:$E$24,MATCH("Siam Discovery",設定!$A$20:$A$24,0)),MAX(INDEX(設定!$B$20:$D$24,MATCH("Siam Discovery",設定!$A$20:$A$24,0),MATCH($E59,設定!$B$19:$D$19,0)),ROUND($H59*INDEX(実績!$N$5:$R$8,MATCH($I59,実績!$F$5:$F$8,0),3)*INDEX(設定!$B$29:$B$33,MATCH("Siam Discovery",設定!$A$29:$A$33,0))/INDEX(実績!$S$5:$S$8,MATCH($I59,実績!$F$5:$F$8,0))/設定!$B$36,0)*設定!$B$36))+U59</f>
        <v>0</v>
      </c>
      <c r="M59" s="6" t="n">
        <f aca="false">MIN(INDEX(設定!$E$20:$E$24,MATCH("Paradise Park",設定!$A$20:$A$24,0)),MAX(INDEX(設定!$B$20:$D$24,MATCH("Paradise Park",設定!$A$20:$A$24,0),MATCH($E59,設定!$B$19:$D$19,0)),ROUND($H59*INDEX(実績!$N$5:$R$8,MATCH($I59,実績!$F$5:$F$8,0),4)*INDEX(設定!$B$29:$B$33,MATCH("Paradise Park",設定!$A$29:$A$33,0))/INDEX(実績!$S$5:$S$8,MATCH($I59,実績!$F$5:$F$8,0))/設定!$B$36,0)*設定!$B$36))+V59</f>
        <v>0</v>
      </c>
      <c r="N59" s="6" t="n">
        <f aca="false">MIN(INDEX(設定!$E$20:$E$24,MATCH("Central Lardprao (Dept.)",設定!$A$20:$A$24,0)),MAX(INDEX(設定!$B$20:$D$24,MATCH("Central Lardprao (Dept.)",設定!$A$20:$A$24,0),MATCH($E59,設定!$B$19:$D$19,0)),ROUND($H59*INDEX(実績!$N$5:$R$8,MATCH($I59,実績!$F$5:$F$8,0),5)*INDEX(設定!$B$29:$B$33,MATCH("Central Lardprao (Dept.)",設定!$A$29:$A$33,0))/INDEX(実績!$S$5:$S$8,MATCH($I59,実績!$F$5:$F$8,0))/設定!$B$36,0)*設定!$B$36))+W59</f>
        <v>0</v>
      </c>
      <c r="O59" s="25" t="n">
        <f aca="false">SUM(J59:N59)</f>
        <v>1</v>
      </c>
      <c r="P59" s="25" t="n">
        <f aca="false">F59-O59</f>
        <v>5</v>
      </c>
      <c r="Q59" s="6" t="str">
        <f aca="false">IF(P59&lt;0,"入荷数超過→要調整","")</f>
        <v/>
      </c>
      <c r="S59" s="26"/>
      <c r="T59" s="26"/>
      <c r="U59" s="26"/>
      <c r="V59" s="26"/>
      <c r="W59" s="26"/>
    </row>
    <row r="60" customFormat="false" ht="14.25" hidden="false" customHeight="false" outlineLevel="0" collapsed="false">
      <c r="A60" s="28" t="s">
        <v>53</v>
      </c>
      <c r="F60" s="25" t="n">
        <f aca="false">SUM(F5:F59)</f>
        <v>1068</v>
      </c>
      <c r="G60" s="29"/>
      <c r="H60" s="25" t="n">
        <f aca="false">SUM(H5:H59)</f>
        <v>341</v>
      </c>
      <c r="J60" s="25" t="n">
        <f aca="false">SUM(J5:J59)</f>
        <v>92</v>
      </c>
      <c r="K60" s="25" t="n">
        <f aca="false">SUM(K5:K59)</f>
        <v>65</v>
      </c>
      <c r="L60" s="25" t="n">
        <f aca="false">SUM(L5:L59)</f>
        <v>52</v>
      </c>
      <c r="M60" s="25" t="n">
        <f aca="false">SUM(M5:M59)</f>
        <v>53</v>
      </c>
      <c r="N60" s="25" t="n">
        <f aca="false">SUM(N5:N59)</f>
        <v>7</v>
      </c>
      <c r="O60" s="25" t="n">
        <f aca="false">SUM(O5:O59)</f>
        <v>269</v>
      </c>
      <c r="P60" s="25" t="n">
        <f aca="false">SUM(P5:P59)</f>
        <v>799</v>
      </c>
    </row>
  </sheetData>
  <conditionalFormatting sqref="P5:P5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8" min="5" style="0" width="13"/>
    <col collapsed="false" customWidth="true" hidden="false" outlineLevel="0" max="11" min="9" style="0" width="10"/>
  </cols>
  <sheetData>
    <row r="1" customFormat="false" ht="18" hidden="false" customHeight="true" outlineLevel="0" collapsed="false">
      <c r="A1" s="1" t="s">
        <v>117</v>
      </c>
    </row>
    <row r="3" customFormat="false" ht="31.5" hidden="false" customHeight="true" outlineLevel="0" collapsed="false">
      <c r="A3" s="4" t="s">
        <v>3</v>
      </c>
      <c r="B3" s="4" t="s">
        <v>83</v>
      </c>
      <c r="C3" s="4" t="s">
        <v>87</v>
      </c>
      <c r="D3" s="10" t="s">
        <v>16</v>
      </c>
      <c r="E3" s="10" t="s">
        <v>77</v>
      </c>
      <c r="F3" s="10" t="s">
        <v>18</v>
      </c>
      <c r="G3" s="10" t="s">
        <v>19</v>
      </c>
      <c r="H3" s="10" t="s">
        <v>79</v>
      </c>
      <c r="I3" s="4" t="s">
        <v>89</v>
      </c>
      <c r="J3" s="4" t="s">
        <v>90</v>
      </c>
      <c r="K3" s="4" t="s">
        <v>118</v>
      </c>
      <c r="L3" s="4" t="s">
        <v>119</v>
      </c>
    </row>
    <row r="4" customFormat="false" ht="14.25" hidden="false" customHeight="false" outlineLevel="0" collapsed="false">
      <c r="A4" s="6" t="s">
        <v>7</v>
      </c>
      <c r="B4" s="6" t="s">
        <v>97</v>
      </c>
      <c r="C4" s="6" t="n">
        <f aca="false">SUMIFS(配分表!$F$5:$F$59,配分表!$A$5:$A$59,A4,配分表!$B$5:$B$59,B4)</f>
        <v>108</v>
      </c>
      <c r="D4" s="6" t="n">
        <f aca="false">SUMIFS(配分表!$J$5:$J$59,配分表!$A$5:$A$59,A4,配分表!$B$5:$B$59,B4)</f>
        <v>12</v>
      </c>
      <c r="E4" s="6" t="n">
        <f aca="false">SUMIFS(配分表!$K$5:$K$59,配分表!$A$5:$A$59,A4,配分表!$B$5:$B$59,B4)</f>
        <v>9</v>
      </c>
      <c r="F4" s="6" t="n">
        <f aca="false">SUMIFS(配分表!$L$5:$L$59,配分表!$A$5:$A$59,A4,配分表!$B$5:$B$59,B4)</f>
        <v>7</v>
      </c>
      <c r="G4" s="6" t="n">
        <f aca="false">SUMIFS(配分表!$M$5:$M$59,配分表!$A$5:$A$59,A4,配分表!$B$5:$B$59,B4)</f>
        <v>5</v>
      </c>
      <c r="H4" s="6" t="n">
        <f aca="false">SUMIFS(配分表!$N$5:$N$59,配分表!$A$5:$A$59,A4,配分表!$B$5:$B$59,B4)</f>
        <v>0</v>
      </c>
      <c r="I4" s="25" t="n">
        <f aca="false">SUM(D4:H4)</f>
        <v>33</v>
      </c>
      <c r="J4" s="25" t="n">
        <f aca="false">C4-I4</f>
        <v>75</v>
      </c>
      <c r="K4" s="24" t="n">
        <f aca="false">IF(C4=0,0,I4/C4)</f>
        <v>0.305555555555556</v>
      </c>
      <c r="L4" s="30" t="str">
        <f aca="false">IF(K4&gt;設定!$B$42,"上限超過","OK")</f>
        <v>OK</v>
      </c>
    </row>
    <row r="5" customFormat="false" ht="14.25" hidden="false" customHeight="false" outlineLevel="0" collapsed="false">
      <c r="A5" s="6" t="s">
        <v>9</v>
      </c>
      <c r="B5" s="6" t="s">
        <v>97</v>
      </c>
      <c r="C5" s="6" t="n">
        <f aca="false">SUMIFS(配分表!$F$5:$F$59,配分表!$A$5:$A$59,A5,配分表!$B$5:$B$59,B5)</f>
        <v>132</v>
      </c>
      <c r="D5" s="6" t="n">
        <f aca="false">SUMIFS(配分表!$J$5:$J$59,配分表!$A$5:$A$59,A5,配分表!$B$5:$B$59,B5)</f>
        <v>13</v>
      </c>
      <c r="E5" s="6" t="n">
        <f aca="false">SUMIFS(配分表!$K$5:$K$59,配分表!$A$5:$A$59,A5,配分表!$B$5:$B$59,B5)</f>
        <v>7</v>
      </c>
      <c r="F5" s="6" t="n">
        <f aca="false">SUMIFS(配分表!$L$5:$L$59,配分表!$A$5:$A$59,A5,配分表!$B$5:$B$59,B5)</f>
        <v>7</v>
      </c>
      <c r="G5" s="6" t="n">
        <f aca="false">SUMIFS(配分表!$M$5:$M$59,配分表!$A$5:$A$59,A5,配分表!$B$5:$B$59,B5)</f>
        <v>9</v>
      </c>
      <c r="H5" s="6" t="n">
        <f aca="false">SUMIFS(配分表!$N$5:$N$59,配分表!$A$5:$A$59,A5,配分表!$B$5:$B$59,B5)</f>
        <v>2</v>
      </c>
      <c r="I5" s="25" t="n">
        <f aca="false">SUM(D5:H5)</f>
        <v>38</v>
      </c>
      <c r="J5" s="25" t="n">
        <f aca="false">C5-I5</f>
        <v>94</v>
      </c>
      <c r="K5" s="24" t="n">
        <f aca="false">IF(C5=0,0,I5/C5)</f>
        <v>0.287878787878788</v>
      </c>
      <c r="L5" s="30" t="str">
        <f aca="false">IF(K5&gt;設定!$B$42,"上限超過","OK")</f>
        <v>OK</v>
      </c>
    </row>
    <row r="6" customFormat="false" ht="14.25" hidden="false" customHeight="false" outlineLevel="0" collapsed="false">
      <c r="A6" s="6" t="s">
        <v>11</v>
      </c>
      <c r="B6" s="6" t="s">
        <v>107</v>
      </c>
      <c r="C6" s="6" t="n">
        <f aca="false">SUMIFS(配分表!$F$5:$F$59,配分表!$A$5:$A$59,A6,配分表!$B$5:$B$59,B6)</f>
        <v>324</v>
      </c>
      <c r="D6" s="6" t="n">
        <f aca="false">SUMIFS(配分表!$J$5:$J$59,配分表!$A$5:$A$59,A6,配分表!$B$5:$B$59,B6)</f>
        <v>27</v>
      </c>
      <c r="E6" s="6" t="n">
        <f aca="false">SUMIFS(配分表!$K$5:$K$59,配分表!$A$5:$A$59,A6,配分表!$B$5:$B$59,B6)</f>
        <v>19</v>
      </c>
      <c r="F6" s="6" t="n">
        <f aca="false">SUMIFS(配分表!$L$5:$L$59,配分表!$A$5:$A$59,A6,配分表!$B$5:$B$59,B6)</f>
        <v>15</v>
      </c>
      <c r="G6" s="6" t="n">
        <f aca="false">SUMIFS(配分表!$M$5:$M$59,配分表!$A$5:$A$59,A6,配分表!$B$5:$B$59,B6)</f>
        <v>15</v>
      </c>
      <c r="H6" s="6" t="n">
        <f aca="false">SUMIFS(配分表!$N$5:$N$59,配分表!$A$5:$A$59,A6,配分表!$B$5:$B$59,B6)</f>
        <v>2</v>
      </c>
      <c r="I6" s="25" t="n">
        <f aca="false">SUM(D6:H6)</f>
        <v>78</v>
      </c>
      <c r="J6" s="25" t="n">
        <f aca="false">C6-I6</f>
        <v>246</v>
      </c>
      <c r="K6" s="24" t="n">
        <f aca="false">IF(C6=0,0,I6/C6)</f>
        <v>0.240740740740741</v>
      </c>
      <c r="L6" s="30" t="str">
        <f aca="false">IF(K6&gt;設定!$B$42,"上限超過","OK")</f>
        <v>OK</v>
      </c>
    </row>
    <row r="7" customFormat="false" ht="14.25" hidden="false" customHeight="false" outlineLevel="0" collapsed="false">
      <c r="A7" s="6" t="s">
        <v>11</v>
      </c>
      <c r="B7" s="6" t="s">
        <v>115</v>
      </c>
      <c r="C7" s="6" t="n">
        <f aca="false">SUMIFS(配分表!$F$5:$F$59,配分表!$A$5:$A$59,A7,配分表!$B$5:$B$59,B7)</f>
        <v>360</v>
      </c>
      <c r="D7" s="6" t="n">
        <f aca="false">SUMIFS(配分表!$J$5:$J$59,配分表!$A$5:$A$59,A7,配分表!$B$5:$B$59,B7)</f>
        <v>27</v>
      </c>
      <c r="E7" s="6" t="n">
        <f aca="false">SUMIFS(配分表!$K$5:$K$59,配分表!$A$5:$A$59,A7,配分表!$B$5:$B$59,B7)</f>
        <v>20</v>
      </c>
      <c r="F7" s="6" t="n">
        <f aca="false">SUMIFS(配分表!$L$5:$L$59,配分表!$A$5:$A$59,A7,配分表!$B$5:$B$59,B7)</f>
        <v>16</v>
      </c>
      <c r="G7" s="6" t="n">
        <f aca="false">SUMIFS(配分表!$M$5:$M$59,配分表!$A$5:$A$59,A7,配分表!$B$5:$B$59,B7)</f>
        <v>17</v>
      </c>
      <c r="H7" s="6" t="n">
        <f aca="false">SUMIFS(配分表!$N$5:$N$59,配分表!$A$5:$A$59,A7,配分表!$B$5:$B$59,B7)</f>
        <v>3</v>
      </c>
      <c r="I7" s="25" t="n">
        <f aca="false">SUM(D7:H7)</f>
        <v>83</v>
      </c>
      <c r="J7" s="25" t="n">
        <f aca="false">C7-I7</f>
        <v>277</v>
      </c>
      <c r="K7" s="24" t="n">
        <f aca="false">IF(C7=0,0,I7/C7)</f>
        <v>0.230555555555556</v>
      </c>
      <c r="L7" s="30" t="str">
        <f aca="false">IF(K7&gt;設定!$B$42,"上限超過","OK")</f>
        <v>OK</v>
      </c>
    </row>
    <row r="8" customFormat="false" ht="14.25" hidden="false" customHeight="false" outlineLevel="0" collapsed="false">
      <c r="A8" s="6" t="s">
        <v>11</v>
      </c>
      <c r="B8" s="6" t="s">
        <v>116</v>
      </c>
      <c r="C8" s="6" t="n">
        <f aca="false">SUMIFS(配分表!$F$5:$F$59,配分表!$A$5:$A$59,A8,配分表!$B$5:$B$59,B8)</f>
        <v>144</v>
      </c>
      <c r="D8" s="6" t="n">
        <f aca="false">SUMIFS(配分表!$J$5:$J$59,配分表!$A$5:$A$59,A8,配分表!$B$5:$B$59,B8)</f>
        <v>13</v>
      </c>
      <c r="E8" s="6" t="n">
        <f aca="false">SUMIFS(配分表!$K$5:$K$59,配分表!$A$5:$A$59,A8,配分表!$B$5:$B$59,B8)</f>
        <v>10</v>
      </c>
      <c r="F8" s="6" t="n">
        <f aca="false">SUMIFS(配分表!$L$5:$L$59,配分表!$A$5:$A$59,A8,配分表!$B$5:$B$59,B8)</f>
        <v>7</v>
      </c>
      <c r="G8" s="6" t="n">
        <f aca="false">SUMIFS(配分表!$M$5:$M$59,配分表!$A$5:$A$59,A8,配分表!$B$5:$B$59,B8)</f>
        <v>7</v>
      </c>
      <c r="H8" s="6" t="n">
        <f aca="false">SUMIFS(配分表!$N$5:$N$59,配分表!$A$5:$A$59,A8,配分表!$B$5:$B$59,B8)</f>
        <v>0</v>
      </c>
      <c r="I8" s="25" t="n">
        <f aca="false">SUM(D8:H8)</f>
        <v>37</v>
      </c>
      <c r="J8" s="25" t="n">
        <f aca="false">C8-I8</f>
        <v>107</v>
      </c>
      <c r="K8" s="24" t="n">
        <f aca="false">IF(C8=0,0,I8/C8)</f>
        <v>0.256944444444444</v>
      </c>
      <c r="L8" s="30" t="str">
        <f aca="false">IF(K8&gt;設定!$B$42,"上限超過","OK")</f>
        <v>OK</v>
      </c>
    </row>
    <row r="9" customFormat="false" ht="14.25" hidden="false" customHeight="false" outlineLevel="0" collapsed="false">
      <c r="A9" s="28" t="s">
        <v>53</v>
      </c>
      <c r="C9" s="25" t="n">
        <f aca="false">SUM(C4:C8)</f>
        <v>1068</v>
      </c>
      <c r="D9" s="25" t="n">
        <f aca="false">SUM(D4:D8)</f>
        <v>92</v>
      </c>
      <c r="E9" s="25" t="n">
        <f aca="false">SUM(E4:E8)</f>
        <v>65</v>
      </c>
      <c r="F9" s="25" t="n">
        <f aca="false">SUM(F4:F8)</f>
        <v>52</v>
      </c>
      <c r="G9" s="25" t="n">
        <f aca="false">SUM(G4:G8)</f>
        <v>53</v>
      </c>
      <c r="H9" s="25" t="n">
        <f aca="false">SUM(H4:H8)</f>
        <v>7</v>
      </c>
      <c r="I9" s="25" t="n">
        <f aca="false">SUM(I4:I8)</f>
        <v>269</v>
      </c>
      <c r="J9" s="25" t="n">
        <f aca="false">SUM(J4:J8)</f>
        <v>799</v>
      </c>
      <c r="K9" s="31" t="n">
        <f aca="false">IF(C9=0,0,I9/C9)</f>
        <v>0.25187265917603</v>
      </c>
      <c r="L9" s="32" t="str">
        <f aca="false">IF(K9&gt;設定!$B$42,"上限超過","OK")</f>
        <v>OK</v>
      </c>
    </row>
    <row r="12" customFormat="false" ht="14.25" hidden="false" customHeight="false" outlineLevel="0" collapsed="false">
      <c r="A12" s="14" t="s">
        <v>120</v>
      </c>
    </row>
    <row r="13" customFormat="false" ht="15.65" hidden="false" customHeight="false" outlineLevel="0" collapsed="false">
      <c r="A13" s="4" t="s">
        <v>14</v>
      </c>
      <c r="B13" s="4" t="s">
        <v>121</v>
      </c>
      <c r="C13" s="4" t="s">
        <v>122</v>
      </c>
      <c r="D13" s="4" t="s">
        <v>123</v>
      </c>
    </row>
    <row r="14" customFormat="false" ht="14.25" hidden="false" customHeight="false" outlineLevel="0" collapsed="false">
      <c r="A14" s="6" t="s">
        <v>16</v>
      </c>
      <c r="B14" s="6" t="n">
        <f aca="false">D9</f>
        <v>92</v>
      </c>
      <c r="C14" s="20" t="n">
        <f aca="false">SUMIFS(実績!$D$5:$D$64,実績!$A$5:$A$64,"K Village")/INDEX(設定!$B$12:$B$16,MATCH("K Village",設定!$A$12:$A$16,0))</f>
        <v>28.125</v>
      </c>
      <c r="D14" s="20" t="n">
        <f aca="false">IF(C14=0,"-",B14/C14)</f>
        <v>3.27111111111111</v>
      </c>
    </row>
    <row r="15" customFormat="false" ht="14.25" hidden="false" customHeight="false" outlineLevel="0" collapsed="false">
      <c r="A15" s="6" t="s">
        <v>77</v>
      </c>
      <c r="B15" s="6" t="n">
        <f aca="false">E9</f>
        <v>65</v>
      </c>
      <c r="C15" s="20" t="n">
        <f aca="false">SUMIFS(実績!$D$5:$D$64,実績!$A$5:$A$64,"Central Chidlom")/INDEX(設定!$B$12:$B$16,MATCH("Central Chidlom",設定!$A$12:$A$16,0))</f>
        <v>12.125</v>
      </c>
      <c r="D15" s="20" t="n">
        <f aca="false">IF(C15=0,"-",B15/C15)</f>
        <v>5.36082474226804</v>
      </c>
    </row>
    <row r="16" customFormat="false" ht="14.25" hidden="false" customHeight="false" outlineLevel="0" collapsed="false">
      <c r="A16" s="6" t="s">
        <v>18</v>
      </c>
      <c r="B16" s="6" t="n">
        <f aca="false">F9</f>
        <v>52</v>
      </c>
      <c r="C16" s="20" t="n">
        <f aca="false">SUMIFS(実績!$D$5:$D$64,実績!$A$5:$A$64,"Siam Discovery")/INDEX(設定!$B$12:$B$16,MATCH("Siam Discovery",設定!$A$12:$A$16,0))</f>
        <v>9.625</v>
      </c>
      <c r="D16" s="20" t="n">
        <f aca="false">IF(C16=0,"-",B16/C16)</f>
        <v>5.4025974025974</v>
      </c>
    </row>
    <row r="17" customFormat="false" ht="14.25" hidden="false" customHeight="false" outlineLevel="0" collapsed="false">
      <c r="A17" s="6" t="s">
        <v>19</v>
      </c>
      <c r="B17" s="6" t="n">
        <f aca="false">G9</f>
        <v>53</v>
      </c>
      <c r="C17" s="20" t="n">
        <f aca="false">SUMIFS(実績!$D$5:$D$64,実績!$A$5:$A$64,"Paradise Park")/INDEX(設定!$B$12:$B$16,MATCH("Paradise Park",設定!$A$12:$A$16,0))</f>
        <v>9.4</v>
      </c>
      <c r="D17" s="20" t="n">
        <f aca="false">IF(C17=0,"-",B17/C17)</f>
        <v>5.63829787234043</v>
      </c>
    </row>
    <row r="18" customFormat="false" ht="14.25" hidden="false" customHeight="false" outlineLevel="0" collapsed="false">
      <c r="A18" s="6" t="s">
        <v>79</v>
      </c>
      <c r="B18" s="6" t="n">
        <f aca="false">H9</f>
        <v>7</v>
      </c>
      <c r="C18" s="20" t="n">
        <f aca="false">SUMIFS(実績!$D$5:$D$64,実績!$A$5:$A$64,"Central Lardprao (Dept.)")/INDEX(設定!$B$12:$B$16,MATCH("Central Lardprao (Dept.)",設定!$A$12:$A$16,0))</f>
        <v>1.5</v>
      </c>
      <c r="D18" s="20" t="n">
        <f aca="false">IF(C18=0,"-",B18/C18)</f>
        <v>4.66666666666667</v>
      </c>
    </row>
    <row r="19" customFormat="false" ht="15.65" hidden="false" customHeight="false" outlineLevel="0" collapsed="false">
      <c r="A19" s="2" t="s">
        <v>124</v>
      </c>
    </row>
  </sheetData>
  <conditionalFormatting sqref="L4:L9">
    <cfRule type="containsText" priority="2" operator="containsText" aboveAverage="0" equalAverage="0" bottom="0" percent="0" rank="0" text="超過" dxfId="1">
      <formula>NOT(ISERROR(SEARCH("超過",L4)))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6.5" hidden="false" customHeight="true" outlineLevel="0" collapsed="false">
      <c r="A1" s="33" t="s">
        <v>125</v>
      </c>
    </row>
    <row r="2" customFormat="false" ht="15.65" hidden="false" customHeight="false" outlineLevel="0" collapsed="false">
      <c r="A2" s="2" t="s">
        <v>126</v>
      </c>
    </row>
    <row r="4" customFormat="false" ht="30" hidden="false" customHeight="true" outlineLevel="0" collapsed="false">
      <c r="A4" s="4" t="s">
        <v>127</v>
      </c>
      <c r="B4" s="4" t="s">
        <v>128</v>
      </c>
      <c r="C4" s="4" t="s">
        <v>129</v>
      </c>
      <c r="D4" s="4" t="s">
        <v>130</v>
      </c>
      <c r="E4" s="4" t="s">
        <v>131</v>
      </c>
      <c r="F4" s="4" t="s">
        <v>132</v>
      </c>
      <c r="G4" s="4" t="s">
        <v>133</v>
      </c>
    </row>
    <row r="5" customFormat="false" ht="15.65" hidden="false" customHeight="false" outlineLevel="0" collapsed="false">
      <c r="A5" s="6" t="s">
        <v>134</v>
      </c>
      <c r="B5" s="6" t="n">
        <v>4158</v>
      </c>
      <c r="C5" s="6" t="n">
        <v>1068</v>
      </c>
      <c r="D5" s="6" t="n">
        <f aca="false">B5-C5</f>
        <v>3090</v>
      </c>
      <c r="E5" s="9" t="n">
        <v>540</v>
      </c>
      <c r="F5" s="34" t="n">
        <f aca="false">IF(E5=0,"-",D5/E5)</f>
        <v>5.72222222222222</v>
      </c>
      <c r="G5" s="12" t="s">
        <v>135</v>
      </c>
    </row>
    <row r="6" customFormat="false" ht="15.65" hidden="false" customHeight="false" outlineLevel="0" collapsed="false">
      <c r="A6" s="6" t="s">
        <v>16</v>
      </c>
      <c r="B6" s="6" t="n">
        <v>435</v>
      </c>
      <c r="C6" s="6" t="n">
        <v>0</v>
      </c>
      <c r="D6" s="6" t="n">
        <f aca="false">B6-C6</f>
        <v>435</v>
      </c>
      <c r="E6" s="9" t="n">
        <v>130</v>
      </c>
      <c r="F6" s="34" t="n">
        <f aca="false">IF(E6=0,"-",D6/E6)</f>
        <v>3.34615384615385</v>
      </c>
      <c r="G6" s="12" t="s">
        <v>136</v>
      </c>
    </row>
    <row r="7" customFormat="false" ht="14.25" hidden="false" customHeight="false" outlineLevel="0" collapsed="false">
      <c r="A7" s="6" t="s">
        <v>137</v>
      </c>
      <c r="B7" s="6" t="n">
        <v>258</v>
      </c>
      <c r="C7" s="6" t="n">
        <v>0</v>
      </c>
      <c r="D7" s="6" t="n">
        <f aca="false">B7-C7</f>
        <v>258</v>
      </c>
      <c r="E7" s="9" t="n">
        <v>58</v>
      </c>
      <c r="F7" s="34" t="n">
        <f aca="false">IF(E7=0,"-",D7/E7)</f>
        <v>4.44827586206897</v>
      </c>
      <c r="G7" s="6"/>
    </row>
    <row r="8" customFormat="false" ht="14.25" hidden="false" customHeight="false" outlineLevel="0" collapsed="false">
      <c r="A8" s="6" t="s">
        <v>18</v>
      </c>
      <c r="B8" s="6" t="n">
        <v>259</v>
      </c>
      <c r="C8" s="6" t="n">
        <v>0</v>
      </c>
      <c r="D8" s="6" t="n">
        <f aca="false">B8-C8</f>
        <v>259</v>
      </c>
      <c r="E8" s="9" t="n">
        <v>48</v>
      </c>
      <c r="F8" s="34" t="n">
        <f aca="false">IF(E8=0,"-",D8/E8)</f>
        <v>5.39583333333333</v>
      </c>
      <c r="G8" s="6"/>
    </row>
    <row r="9" customFormat="false" ht="15.65" hidden="false" customHeight="false" outlineLevel="0" collapsed="false">
      <c r="A9" s="6" t="s">
        <v>19</v>
      </c>
      <c r="B9" s="6" t="n">
        <v>577</v>
      </c>
      <c r="C9" s="6" t="n">
        <v>0</v>
      </c>
      <c r="D9" s="6" t="n">
        <f aca="false">B9-C9</f>
        <v>577</v>
      </c>
      <c r="E9" s="9" t="n">
        <v>52</v>
      </c>
      <c r="F9" s="34" t="n">
        <f aca="false">IF(E9=0,"-",D9/E9)</f>
        <v>11.0961538461538</v>
      </c>
      <c r="G9" s="6" t="s">
        <v>138</v>
      </c>
    </row>
    <row r="10" customFormat="false" ht="14.25" hidden="false" customHeight="false" outlineLevel="0" collapsed="false">
      <c r="A10" s="6" t="s">
        <v>139</v>
      </c>
      <c r="B10" s="6" t="n">
        <v>344</v>
      </c>
      <c r="C10" s="6" t="n">
        <v>0</v>
      </c>
      <c r="D10" s="6" t="n">
        <f aca="false">B10-C10</f>
        <v>344</v>
      </c>
      <c r="E10" s="9" t="n">
        <v>11</v>
      </c>
      <c r="F10" s="34" t="n">
        <f aca="false">IF(E10=0,"-",D10/E10)</f>
        <v>31.2727272727273</v>
      </c>
      <c r="G10" s="6"/>
    </row>
    <row r="11" customFormat="false" ht="14.25" hidden="false" customHeight="false" outlineLevel="0" collapsed="false">
      <c r="A11" s="28" t="s">
        <v>89</v>
      </c>
      <c r="B11" s="15" t="n">
        <f aca="false">SUM(B6:B10)</f>
        <v>1873</v>
      </c>
      <c r="C11" s="15" t="n">
        <f aca="false">SUM(C6:C10)</f>
        <v>0</v>
      </c>
      <c r="D11" s="15" t="n">
        <f aca="false">SUM(D6:D10)</f>
        <v>1873</v>
      </c>
    </row>
    <row r="12" customFormat="false" ht="14.25" hidden="false" customHeight="false" outlineLevel="0" collapsed="false">
      <c r="A12" s="28" t="s">
        <v>140</v>
      </c>
      <c r="B12" s="15" t="n">
        <f aca="false">SUM(B5:B10)</f>
        <v>6031</v>
      </c>
      <c r="C12" s="15" t="n">
        <f aca="false">SUM(C5:C10)</f>
        <v>1068</v>
      </c>
      <c r="D12" s="15" t="n">
        <f aca="false">SUM(D5:D10)</f>
        <v>4963</v>
      </c>
    </row>
    <row r="13" customFormat="false" ht="15.65" hidden="false" customHeight="false" outlineLevel="0" collapsed="false">
      <c r="A13" s="6" t="s">
        <v>141</v>
      </c>
      <c r="D13" s="35" t="n">
        <f aca="false">D5/D12</f>
        <v>0.622607293975418</v>
      </c>
    </row>
    <row r="14" customFormat="false" ht="14.25" hidden="false" customHeight="false" outlineLevel="0" collapsed="false">
      <c r="A14" s="12" t="s">
        <v>142</v>
      </c>
      <c r="D14" s="35" t="n">
        <f aca="false">D11/D12</f>
        <v>0.377392706024582</v>
      </c>
    </row>
    <row r="16" customFormat="false" ht="15.65" hidden="false" customHeight="false" outlineLevel="0" collapsed="false">
      <c r="A16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true" outlineLevel="0" collapsed="false">
      <c r="A1" s="36" t="s">
        <v>144</v>
      </c>
    </row>
    <row r="2" customFormat="false" ht="14.25" hidden="false" customHeight="false" outlineLevel="0" collapsed="false">
      <c r="A2" s="37"/>
    </row>
    <row r="3" customFormat="false" ht="15.65" hidden="false" customHeight="false" outlineLevel="0" collapsed="false">
      <c r="A3" s="37" t="s">
        <v>145</v>
      </c>
    </row>
    <row r="4" customFormat="false" ht="14.25" hidden="false" customHeight="false" outlineLevel="0" collapsed="false">
      <c r="A4" s="37"/>
    </row>
    <row r="5" customFormat="false" ht="15.65" hidden="false" customHeight="false" outlineLevel="0" collapsed="false">
      <c r="A5" s="37" t="str">
        <f aca="false">"2. 店舗への初回投入は、モデル別の初回投入率（Spidrwalk "&amp;TEXT(設定!B6,"0%")&amp;"／Trailope WP "&amp;TEXT(設定!B7,"0%")&amp;"／Groundsplay LS "&amp;TEXT(設定!B8,"0%")&amp;"。上限"&amp;TEXT(設定!B43,"0%")&amp;"）を目安とし、1SKUあたりの上限（全店"&amp;設定!E21&amp;"足、Central LPは"&amp;設定!E24&amp;"足）で頭打ちにする。モデル×カラー別の店舗投入率は"&amp;TEXT(設定!B42,"0%")&amp;"以内を目標とする"&amp;IF(COUNTIF(サマリー!L4:L8,"上限超過")&gt;0,"が、現在は"&amp;COUNTIF(サマリー!L4:L8,"上限超過")&amp;"行が超過（最低配分・手動調整の積み上げによる。サマリーL列参照）","（現在は全行クリア）")&amp;"。結果として店頭投入は"&amp;配分表!O60&amp;"足（"&amp;TEXT(配分表!O60/配分表!F60,"0.0%")&amp;"）、Office保留は"&amp;配分表!P60&amp;"足（"&amp;TEXT(配分表!P60/配分表!F60,"0.0%")&amp;"）。"</f>
        <v>2. 店舗への初回投入は、モデル別の初回投入率（Spidrwalk 26%／Trailope WP 28%／Groundsplay LS 33%。上限33%）を目安とし、1SKUあたりの上限（全店2足、Central LPは1足）で頭打ちにする。モデル×カラー別の店舗投入率は31%以内を目標とする（現在は全行クリア）。結果として店頭投入は269足（25.2%）、Office保留は799足（74.8%）。</v>
      </c>
    </row>
    <row r="6" customFormat="false" ht="15.65" hidden="false" customHeight="false" outlineLevel="0" collapsed="false">
      <c r="A6" s="38" t="str">
        <f aca="false">"   ・9/25時点の在庫（新入荷除く）はOffice 62％：店舗38％で、既存モデルも店頭比率は3割前後（Spidrwalk 30％、Trailope 29％、KSO EVO 39％）。店舗投入率"&amp;TEXT(設定!B42,"0%")&amp;"の上限はこの相場の上限側に合わせた水準。"</f>
        <v>   ・9/25時点の在庫（新入荷除く）はOffice 62％：店舗38％で、既存モデルも店頭比率は3割前後（Spidrwalk 30％、Trailope 29％、KSO EVO 39％）。店舗投入率31%の上限はこの相場の上限側に合わせた水準。</v>
      </c>
    </row>
    <row r="7" customFormat="false" ht="15.65" hidden="false" customHeight="false" outlineLevel="0" collapsed="false">
      <c r="A7" s="38" t="s">
        <v>146</v>
      </c>
    </row>
    <row r="8" customFormat="false" ht="15.65" hidden="false" customHeight="false" outlineLevel="0" collapsed="false">
      <c r="A8" s="38" t="s">
        <v>147</v>
      </c>
    </row>
    <row r="9" customFormat="false" ht="14.25" hidden="false" customHeight="false" outlineLevel="0" collapsed="false">
      <c r="A9" s="37"/>
    </row>
    <row r="10" customFormat="false" ht="15.65" hidden="false" customHeight="false" outlineLevel="0" collapsed="false">
      <c r="A10" s="37" t="s">
        <v>148</v>
      </c>
    </row>
    <row r="11" customFormat="false" ht="15.65" hidden="false" customHeight="false" outlineLevel="0" collapsed="false">
      <c r="A11" s="38" t="s">
        <v>149</v>
      </c>
    </row>
    <row r="12" customFormat="false" ht="15.65" hidden="false" customHeight="false" outlineLevel="0" collapsed="false">
      <c r="A12" s="38" t="s">
        <v>150</v>
      </c>
    </row>
    <row r="13" customFormat="false" ht="15.65" hidden="false" customHeight="false" outlineLevel="0" collapsed="false">
      <c r="A13" s="38" t="s">
        <v>151</v>
      </c>
    </row>
    <row r="14" customFormat="false" ht="15.65" hidden="false" customHeight="false" outlineLevel="0" collapsed="false">
      <c r="A14" s="38" t="s">
        <v>152</v>
      </c>
    </row>
    <row r="15" customFormat="false" ht="15.65" hidden="false" customHeight="false" outlineLevel="0" collapsed="false">
      <c r="A15" s="38" t="s">
        <v>153</v>
      </c>
    </row>
    <row r="16" customFormat="false" ht="15.65" hidden="false" customHeight="false" outlineLevel="0" collapsed="false">
      <c r="A16" s="37" t="str">
        <f aca="false">"   ・配分結果の店舗別構成比：K Village "&amp;TEXT(配分表!J60/配分表!O60,"0%")&amp;"／Central CL "&amp;TEXT(配分表!K60/配分表!O60,"0%")&amp;"／Siam Discovery "&amp;TEXT(配分表!L60/配分表!O60,"0%")&amp;"／Paradise Park "&amp;TEXT(配分表!M60/配分表!O60,"0%")&amp;"／Central LP "&amp;TEXT(配分表!N60/配分表!O60,"0%")&amp;"（1SKU上限と最低配分の影響で、実績シェアよりK Villageが低く、他店が高くなる）"</f>
        <v>   ・配分結果の店舗別構成比：K Village 34%／Central CL 24%／Siam Discovery 19%／Paradise Park 20%／Central LP 3%（1SKU上限と最低配分の影響で、実績シェアよりK Villageが低く、他店が高くなる）</v>
      </c>
    </row>
    <row r="17" customFormat="false" ht="15.65" hidden="false" customHeight="false" outlineLevel="0" collapsed="false">
      <c r="A17" s="37" t="s">
        <v>154</v>
      </c>
    </row>
    <row r="18" customFormat="false" ht="15.65" hidden="false" customHeight="false" outlineLevel="0" collapsed="false">
      <c r="A18" s="38" t="s">
        <v>155</v>
      </c>
    </row>
    <row r="19" customFormat="false" ht="15.65" hidden="false" customHeight="false" outlineLevel="0" collapsed="false">
      <c r="A19" s="38" t="str">
        <f aca="false">"   ・Paradise Parkは在庫月数は長いが販売はCentral CL・Siam Discoveryと同水準のため係数1.0のまま、1SKU上限"&amp;設定!E23&amp;"足で抑える。Central LPは最低配分0・1SKU上限"&amp;設定!E24&amp;"足とし、入荷の多い主要SKUに1足ずつ（合計"&amp;配分表!N60&amp;"足）。配分されないモデル・サイズがあってよい"</f>
        <v>   ・Paradise Parkは在庫月数は長いが販売はCentral CL・Siam Discoveryと同水準のため係数1.0のまま、1SKU上限2足で抑える。Central LPは最低配分0・1SKU上限1足とし、入荷の多い主要SKUに1足ずつ（合計7足）。配分されないモデル・サイズがあってよい</v>
      </c>
    </row>
    <row r="20" customFormat="false" ht="15.65" hidden="false" customHeight="false" outlineLevel="0" collapsed="false">
      <c r="A20" s="38" t="s">
        <v>156</v>
      </c>
    </row>
    <row r="21" customFormat="false" ht="14.25" hidden="false" customHeight="false" outlineLevel="0" collapsed="false">
      <c r="A21" s="37"/>
    </row>
    <row r="22" customFormat="false" ht="15.65" hidden="false" customHeight="false" outlineLevel="0" collapsed="false">
      <c r="A22" s="37" t="s">
        <v>157</v>
      </c>
    </row>
    <row r="23" customFormat="false" ht="14.25" hidden="false" customHeight="false" outlineLevel="0" collapsed="false">
      <c r="A23" s="37"/>
    </row>
    <row r="24" customFormat="false" ht="15.65" hidden="false" customHeight="false" outlineLevel="0" collapsed="false">
      <c r="A24" s="37" t="str">
        <f aca="false">"6. 最低配分と上限：主要サイズ（M41〜44／W38〜40）はK Village "&amp;設定!B20&amp;"足・他店"&amp;設定!B21&amp;"足を最低置き、店頭でサイズ展開が見えるようにする。端サイズはK Village〜Siam Discoveryに各"&amp;設定!C21&amp;"足、Paradise Parkは原則"&amp;設定!C23&amp;"足（在庫過剰のため）。1SKU上限は全店"&amp;設定!E21&amp;"足（K Villageも"&amp;設定!E20&amp;"足）、Central LPは"&amp;設定!E24&amp;"足。Central LPは最低配分なし。"</f>
        <v>6. 最低配分と上限：主要サイズ（M41〜44／W38〜40）はK Village 2足・他店1足を最低置き、店頭でサイズ展開が見えるようにする。端サイズはK Village〜Siam Discoveryに各1足、Paradise Parkは原則0足（在庫過剰のため）。1SKU上限は全店2足（K Villageも2足）、Central LPは1足。Central LPは最低配分なし。</v>
      </c>
    </row>
    <row r="25" customFormat="false" ht="14.25" hidden="false" customHeight="false" outlineLevel="0" collapsed="false">
      <c r="A25" s="37"/>
    </row>
    <row r="26" customFormat="false" ht="15.65" hidden="false" customHeight="false" outlineLevel="0" collapsed="false">
      <c r="A26" s="37" t="s">
        <v>158</v>
      </c>
    </row>
    <row r="27" customFormat="false" ht="15.65" hidden="false" customHeight="false" outlineLevel="0" collapsed="false">
      <c r="A27" s="38" t="s">
        <v>159</v>
      </c>
    </row>
    <row r="28" customFormat="false" ht="15.65" hidden="false" customHeight="false" outlineLevel="0" collapsed="false">
      <c r="A28" s="38" t="s">
        <v>160</v>
      </c>
    </row>
    <row r="29" customFormat="false" ht="15.65" hidden="false" customHeight="false" outlineLevel="0" collapsed="false">
      <c r="A29" s="38" t="s">
        <v>161</v>
      </c>
    </row>
    <row r="30" customFormat="false" ht="14.25" hidden="false" customHeight="false" outlineLevel="0" collapsed="false">
      <c r="A30" s="37"/>
    </row>
    <row r="31" customFormat="false" ht="15" hidden="false" customHeight="true" outlineLevel="0" collapsed="false">
      <c r="A31" s="36" t="s">
        <v>162</v>
      </c>
    </row>
    <row r="32" customFormat="false" ht="15.65" hidden="false" customHeight="false" outlineLevel="0" collapsed="false">
      <c r="A32" s="38" t="s">
        <v>163</v>
      </c>
    </row>
    <row r="33" customFormat="false" ht="15.65" hidden="false" customHeight="false" outlineLevel="0" collapsed="false">
      <c r="A33" s="38" t="s">
        <v>164</v>
      </c>
    </row>
    <row r="34" customFormat="false" ht="15.65" hidden="false" customHeight="false" outlineLevel="0" collapsed="false">
      <c r="A34" s="38" t="s">
        <v>165</v>
      </c>
    </row>
    <row r="35" customFormat="false" ht="15.65" hidden="false" customHeight="false" outlineLevel="0" collapsed="false">
      <c r="A35" s="38" t="s">
        <v>166</v>
      </c>
    </row>
    <row r="36" customFormat="false" ht="15.65" hidden="false" customHeight="false" outlineLevel="0" collapsed="false">
      <c r="A36" s="38" t="str">
        <f aca="false" t="array" ref="A36:A36">"・配分表の店舗別数量は数式で自動計算しており、数式で出ない例外分は配分表S〜W列の「手動調整（±足）」で加減している（現在"&amp;SUMPRODUCT(--(配分表!S5:W59&lt;&gt;0))&amp;"セル、純増減"&amp;TEXT(SUM(配分表!S5:W59),"0;-0;0")&amp;"足）。投入率・係数・上限を変えても調整分は固定のまま加減されるので、変更後は調整の要否を見直すこと。"</f>
        <v>・配分表の店舗別数量は数式で自動計算しており、数式で出ない例外分は配分表S〜W列の「手動調整（±足）」で加減している（現在5セル、純増減1足）。投入率・係数・上限を変えても調整分は固定のまま加減されるので、変更後は調整の要否を見直すこと。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2026-09-29T11:35:05Z</dcterms:created>
  <dc:creator>openpyxl</dc:creator>
  <dc:description/>
  <dc:language>en-US</dc:language>
  <cp:lastModifiedBy>Accounting EDV</cp:lastModifiedBy>
  <dcterms:modified xsi:type="dcterms:W3CDTF">2026-09-29T12:06:00Z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