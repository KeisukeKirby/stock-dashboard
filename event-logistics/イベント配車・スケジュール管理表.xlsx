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drawing3.xml" ContentType="application/vnd.openxmlformats-officedocument.drawing+xml"/>
  <Override PartName="/xl/drawings/vmlDrawing5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ダッシュボード" sheetId="2" state="visible" r:id="rId4"/>
    <sheet name="設定" sheetId="3" state="visible" r:id="rId5"/>
    <sheet name="マスタ" sheetId="4" state="visible" r:id="rId6"/>
    <sheet name="配車管理" sheetId="5" state="visible" r:id="rId7"/>
    <sheet name="スケジュール" sheetId="6" state="visible" r:id="rId8"/>
    <sheet name="スタッフ稼働" sheetId="7" state="visible" r:id="rId9"/>
    <sheet name="チェックリスト" sheetId="8" state="visible" r:id="rId10"/>
  </sheets>
  <definedNames>
    <definedName function="false" hidden="true" localSheetId="5" name="_xlnm._FilterDatabase" vbProcedure="false">スケジュール!$A$4:$P$44</definedName>
    <definedName function="false" hidden="true" localSheetId="6" name="_xlnm._FilterDatabase" vbProcedure="false">スタッフ稼働!$A$4:$Q$44</definedName>
    <definedName function="false" hidden="true" localSheetId="4" name="_xlnm._FilterDatabase" vbProcedure="false">配車管理!$A$4:$S$34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7" authorId="0">
      <text>
        <r>
          <rPr>
            <sz val="10"/>
            <rFont val="WenQuanYi Zen Hei"/>
            <family val="2"/>
          </rPr>
          <t xml:space="preserve">サンプル値。労働基準法の最低割増率（</t>
        </r>
        <r>
          <rPr>
            <sz val="10"/>
            <rFont val="Arial"/>
            <family val="2"/>
          </rPr>
          <t xml:space="preserve">25%</t>
        </r>
        <r>
          <rPr>
            <sz val="10"/>
            <rFont val="WenQuanYi Zen Hei"/>
            <family val="2"/>
          </rPr>
          <t xml:space="preserve">）を仮置き。実際の就業規則に合わせて変更してください。</t>
        </r>
      </text>
    </comment>
    <comment ref="B18" authorId="0">
      <text>
        <r>
          <rPr>
            <sz val="10"/>
            <rFont val="WenQuanYi Zen Hei"/>
            <family val="2"/>
          </rPr>
          <t xml:space="preserve">サンプル値。深夜割増 </t>
        </r>
        <r>
          <rPr>
            <sz val="10"/>
            <rFont val="Arial"/>
            <family val="2"/>
          </rPr>
          <t xml:space="preserve">25% </t>
        </r>
        <r>
          <rPr>
            <sz val="10"/>
            <rFont val="WenQuanYi Zen Hei"/>
            <family val="2"/>
          </rPr>
          <t xml:space="preserve">を仮置き。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1" authorId="0">
      <text>
        <r>
          <rPr>
            <sz val="10"/>
            <rFont val="WenQuanYi Zen Hei"/>
            <family val="2"/>
          </rPr>
          <t xml:space="preserve">サンプル行。実際の契約条件に書き換えてください。</t>
        </r>
      </text>
    </comment>
    <comment ref="C25" authorId="0">
      <text>
        <r>
          <rPr>
            <sz val="10"/>
            <rFont val="WenQuanYi Zen Hei"/>
            <family val="2"/>
          </rPr>
          <t xml:space="preserve">サンプル値（時給は仮）。残業・深夜代概算に使用。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〜</t>
        </r>
        <r>
          <rPr>
            <sz val="10"/>
            <rFont val="Arial"/>
            <family val="2"/>
          </rPr>
          <t xml:space="preserve">4 </t>
        </r>
        <r>
          <rPr>
            <sz val="10"/>
            <rFont val="WenQuanYi Zen Hei"/>
            <family val="2"/>
          </rPr>
          <t xml:space="preserve">行目はサンプルです。上書きして使用してください。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〜</t>
        </r>
        <r>
          <rPr>
            <sz val="10"/>
            <rFont val="Arial"/>
            <family val="2"/>
          </rPr>
          <t xml:space="preserve">7 </t>
        </r>
        <r>
          <rPr>
            <sz val="10"/>
            <rFont val="WenQuanYi Zen Hei"/>
            <family val="2"/>
          </rPr>
          <t xml:space="preserve">行目はサンプルです。上書きして使用してください。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〜</t>
        </r>
        <r>
          <rPr>
            <sz val="10"/>
            <rFont val="Arial"/>
            <family val="2"/>
          </rPr>
          <t xml:space="preserve">6 </t>
        </r>
        <r>
          <rPr>
            <sz val="10"/>
            <rFont val="WenQuanYi Zen Hei"/>
            <family val="2"/>
          </rPr>
          <t xml:space="preserve">行目はサンプルです。上書きして使用してください。</t>
        </r>
      </text>
    </comment>
  </commentList>
</comments>
</file>

<file path=xl/sharedStrings.xml><?xml version="1.0" encoding="utf-8"?>
<sst xmlns="http://schemas.openxmlformats.org/spreadsheetml/2006/main" count="381" uniqueCount="253">
  <si>
    <r>
      <rPr>
        <b val="true"/>
        <sz val="14"/>
        <color rgb="FF1F3864"/>
        <rFont val="WenQuanYi Zen Hei"/>
        <family val="2"/>
      </rPr>
      <t xml:space="preserve">イベント配車・配送</t>
    </r>
    <r>
      <rPr>
        <b val="true"/>
        <sz val="14"/>
        <color rgb="FF1F3864"/>
        <rFont val="Arial"/>
        <family val="0"/>
        <charset val="1"/>
      </rPr>
      <t xml:space="preserve">/</t>
    </r>
    <r>
      <rPr>
        <b val="true"/>
        <sz val="14"/>
        <color rgb="FF1F3864"/>
        <rFont val="WenQuanYi Zen Hei"/>
        <family val="2"/>
      </rPr>
      <t xml:space="preserve">設営</t>
    </r>
    <r>
      <rPr>
        <b val="true"/>
        <sz val="14"/>
        <color rgb="FF1F3864"/>
        <rFont val="Arial"/>
        <family val="0"/>
        <charset val="1"/>
      </rPr>
      <t xml:space="preserve">/</t>
    </r>
    <r>
      <rPr>
        <b val="true"/>
        <sz val="14"/>
        <color rgb="FF1F3864"/>
        <rFont val="WenQuanYi Zen Hei"/>
        <family val="2"/>
      </rPr>
      <t xml:space="preserve">撤収 スケジュール管理表</t>
    </r>
  </si>
  <si>
    <t xml:space="preserve">ポップアップイベント等の準備向け。配車の事前確定と作業時間の見える化で、直前キャンセル・深夜待機・不要な残業を減らす。</t>
  </si>
  <si>
    <t xml:space="preserve">■ このシートの目的</t>
  </si>
  <si>
    <t xml:space="preserve">1</t>
  </si>
  <si>
    <r>
      <rPr>
        <sz val="10"/>
        <color rgb="FF000000"/>
        <rFont val="WenQuanYi Zen Hei"/>
        <family val="2"/>
      </rPr>
      <t xml:space="preserve">配車を「配車日の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WenQuanYi Zen Hei"/>
        <family val="2"/>
      </rPr>
      <t xml:space="preserve">日前」までに確定させ、業者の無料キャンセル期限を過ぎてからのキャンセルをなくす。</t>
    </r>
  </si>
  <si>
    <t xml:space="preserve">2</t>
  </si>
  <si>
    <r>
      <rPr>
        <sz val="10"/>
        <color rgb="FF000000"/>
        <rFont val="WenQuanYi Zen Hei"/>
        <family val="2"/>
      </rPr>
      <t xml:space="preserve">配送・設営・撤収の作業を時刻付きで計画し、深夜帯（既定 </t>
    </r>
    <r>
      <rPr>
        <sz val="10"/>
        <color rgb="FF000000"/>
        <rFont val="Arial"/>
        <family val="0"/>
        <charset val="1"/>
      </rPr>
      <t xml:space="preserve">22:00</t>
    </r>
    <r>
      <rPr>
        <sz val="10"/>
        <color rgb="FF000000"/>
        <rFont val="WenQuanYi Zen Hei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5:00</t>
    </r>
    <r>
      <rPr>
        <sz val="10"/>
        <color rgb="FF000000"/>
        <rFont val="WenQuanYi Zen Hei"/>
        <family val="2"/>
      </rPr>
      <t xml:space="preserve">）にかかる作業を事前に発見して前倒し・分割する。</t>
    </r>
  </si>
  <si>
    <t xml:space="preserve">3</t>
  </si>
  <si>
    <t xml:space="preserve">スタッフの実働・残業・深夜・待機時間を記録し、不要な残業代・深夜手当の発生を防ぐ。</t>
  </si>
  <si>
    <t xml:space="preserve">■ シート構成</t>
  </si>
  <si>
    <t xml:space="preserve">設定</t>
  </si>
  <si>
    <t xml:space="preserve">イベント情報と判定ルール（確定期限、深夜帯、所定労働時間、割増率）。黄色セルを最初に埋める。</t>
  </si>
  <si>
    <t xml:space="preserve">マスタ</t>
  </si>
  <si>
    <t xml:space="preserve">プルダウン用リスト、業者（キャンセル規定）、スタッフ（役割・時給）。</t>
  </si>
  <si>
    <t xml:space="preserve">配車管理</t>
  </si>
  <si>
    <r>
      <rPr>
        <sz val="10"/>
        <color rgb="FF000000"/>
        <rFont val="WenQuanYi Zen Hei"/>
        <family val="2"/>
      </rPr>
      <t xml:space="preserve">車両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台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行。確定期限・無料キャンセル期限・警告が自動表示される。</t>
    </r>
  </si>
  <si>
    <t xml:space="preserve">スケジュール</t>
  </si>
  <si>
    <r>
      <rPr>
        <sz val="10"/>
        <color rgb="FF000000"/>
        <rFont val="WenQuanYi Zen Hei"/>
        <family val="2"/>
      </rPr>
      <t xml:space="preserve">配送・設営・撤収の作業を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行ずつ。所要時間と深夜帯の有無を自動判定。</t>
    </r>
  </si>
  <si>
    <t xml:space="preserve">スタッフ稼働</t>
  </si>
  <si>
    <r>
      <rPr>
        <sz val="10"/>
        <color rgb="FF000000"/>
        <rFont val="WenQuanYi Zen Hei"/>
        <family val="2"/>
      </rPr>
      <t xml:space="preserve">スタッフ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日の勤務時間。実働・残業・深夜・待機を計算し警告を表示。</t>
    </r>
  </si>
  <si>
    <t xml:space="preserve">チェックリスト</t>
  </si>
  <si>
    <r>
      <rPr>
        <sz val="10"/>
        <color rgb="FF000000"/>
        <rFont val="WenQuanYi Zen Hei"/>
        <family val="2"/>
      </rPr>
      <t xml:space="preserve">イベント初日からの逆算（</t>
    </r>
    <r>
      <rPr>
        <sz val="10"/>
        <color rgb="FF000000"/>
        <rFont val="Arial"/>
        <family val="0"/>
        <charset val="1"/>
      </rPr>
      <t xml:space="preserve">D-14</t>
    </r>
    <r>
      <rPr>
        <sz val="10"/>
        <color rgb="FF000000"/>
        <rFont val="WenQuanYi Zen Hei"/>
        <family val="2"/>
      </rPr>
      <t xml:space="preserve">〜撤収後）でやることと期限日。</t>
    </r>
  </si>
  <si>
    <t xml:space="preserve">ダッシュボード</t>
  </si>
  <si>
    <t xml:space="preserve">未確定の配車、警告件数、残業・深夜時間、コスト概算を一覧。</t>
  </si>
  <si>
    <t xml:space="preserve">■ セルの色</t>
  </si>
  <si>
    <t xml:space="preserve">黄色（薄）</t>
  </si>
  <si>
    <t xml:space="preserve">入力セル。この色のセルだけ編集する。</t>
  </si>
  <si>
    <t xml:space="preserve">黄色（濃）</t>
  </si>
  <si>
    <t xml:space="preserve">設定シートの重要パラメータ。運用ルールに合わせて変更する。</t>
  </si>
  <si>
    <t xml:space="preserve">灰色</t>
  </si>
  <si>
    <t xml:space="preserve">自動計算セル。編集しない（数式が入っている）。</t>
  </si>
  <si>
    <r>
      <rPr>
        <b val="true"/>
        <sz val="10"/>
        <color rgb="FF000000"/>
        <rFont val="WenQuanYi Zen Hei"/>
        <family val="2"/>
      </rPr>
      <t xml:space="preserve">赤 </t>
    </r>
    <r>
      <rPr>
        <b val="true"/>
        <sz val="10"/>
        <color rgb="FF000000"/>
        <rFont val="Arial"/>
        <family val="0"/>
        <charset val="1"/>
      </rPr>
      <t xml:space="preserve">/ </t>
    </r>
    <r>
      <rPr>
        <b val="true"/>
        <sz val="10"/>
        <color rgb="FF000000"/>
        <rFont val="WenQuanYi Zen Hei"/>
        <family val="2"/>
      </rPr>
      <t xml:space="preserve">オレンジ</t>
    </r>
  </si>
  <si>
    <t xml:space="preserve">警告の条件付き書式。赤＝期限超過・深夜帯、オレンジ＝期限間近・残業あり。</t>
  </si>
  <si>
    <t xml:space="preserve">■ 運用の流れ</t>
  </si>
  <si>
    <t xml:space="preserve">D-14</t>
  </si>
  <si>
    <t xml:space="preserve">設定シートに日程を入力 → 会場の搬入出可能時間を確認（夜間作業制限があればスケジュールを昼帯に寄せる）。</t>
  </si>
  <si>
    <t xml:space="preserve">D-10</t>
  </si>
  <si>
    <t xml:space="preserve">配車管理に必要車両をすべて入力（撤収・回収便を忘れない）。業者へ仮押さえ依頼 → ステータス「仮押さえ」。</t>
  </si>
  <si>
    <t xml:space="preserve">D-7</t>
  </si>
  <si>
    <t xml:space="preserve">スケジュールとスタッフ稼働に計画を入力。「深夜帯あり」「残業」の警告が出た行は前倒し・人員追加・分割で解消。</t>
  </si>
  <si>
    <t xml:space="preserve">D-5</t>
  </si>
  <si>
    <t xml:space="preserve">配車管理の警告列が空になるまで業者へ確定連絡 → ステータス「確定」＋確定日を入力。</t>
  </si>
  <si>
    <r>
      <rPr>
        <b val="true"/>
        <sz val="10"/>
        <color rgb="FF000000"/>
        <rFont val="Arial"/>
        <family val="0"/>
        <charset val="1"/>
      </rPr>
      <t xml:space="preserve">D-3</t>
    </r>
    <r>
      <rPr>
        <b val="true"/>
        <sz val="10"/>
        <color rgb="FF000000"/>
        <rFont val="WenQuanYi Zen Hei"/>
        <family val="2"/>
      </rPr>
      <t xml:space="preserve">〜</t>
    </r>
    <r>
      <rPr>
        <b val="true"/>
        <sz val="10"/>
        <color rgb="FF000000"/>
        <rFont val="Arial"/>
        <family val="0"/>
        <charset val="1"/>
      </rPr>
      <t xml:space="preserve">D-1</t>
    </r>
  </si>
  <si>
    <r>
      <rPr>
        <sz val="10"/>
        <color rgb="FF000000"/>
        <rFont val="WenQuanYi Zen Hei"/>
        <family val="2"/>
      </rPr>
      <t xml:space="preserve">チェックリストに沿って最終確認。ダッシュボードの「未確定」「警告」が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であることを確認。</t>
    </r>
  </si>
  <si>
    <t xml:space="preserve">撤収後</t>
  </si>
  <si>
    <t xml:space="preserve">スタッフ稼働に実績時間を入力し、残業・深夜が発生した原因を備考に残す（次回の計画に反映）。</t>
  </si>
  <si>
    <t xml:space="preserve">■ 注意</t>
  </si>
  <si>
    <r>
      <rPr>
        <sz val="10"/>
        <color rgb="FF000000"/>
        <rFont val="WenQuanYi Zen Hei"/>
        <family val="2"/>
      </rPr>
      <t xml:space="preserve">各シートの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行目はサンプル行です。実際の運用時は上書きしてください。</t>
    </r>
  </si>
  <si>
    <r>
      <rPr>
        <sz val="10"/>
        <color rgb="FF000000"/>
        <rFont val="WenQuanYi Zen Hei"/>
        <family val="2"/>
      </rPr>
      <t xml:space="preserve">日付は </t>
    </r>
    <r>
      <rPr>
        <sz val="10"/>
        <color rgb="FF000000"/>
        <rFont val="Arial"/>
        <family val="0"/>
        <charset val="1"/>
      </rPr>
      <t xml:space="preserve">yyyy/mm/dd</t>
    </r>
    <r>
      <rPr>
        <sz val="10"/>
        <color rgb="FF000000"/>
        <rFont val="WenQuanYi Zen Hei"/>
        <family val="2"/>
      </rPr>
      <t xml:space="preserve">、時刻は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時間表記（例 </t>
    </r>
    <r>
      <rPr>
        <sz val="10"/>
        <color rgb="FF000000"/>
        <rFont val="Arial"/>
        <family val="0"/>
        <charset val="1"/>
      </rPr>
      <t xml:space="preserve">22:30</t>
    </r>
    <r>
      <rPr>
        <sz val="10"/>
        <color rgb="FF000000"/>
        <rFont val="WenQuanYi Zen Hei"/>
        <family val="2"/>
      </rPr>
      <t xml:space="preserve">）で入力。深夜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時をまたぐ終了時刻もそのまま入力可（例 開始 </t>
    </r>
    <r>
      <rPr>
        <sz val="10"/>
        <color rgb="FF000000"/>
        <rFont val="Arial"/>
        <family val="0"/>
        <charset val="1"/>
      </rPr>
      <t xml:space="preserve">20:00 </t>
    </r>
    <r>
      <rPr>
        <sz val="10"/>
        <color rgb="FF000000"/>
        <rFont val="WenQuanYi Zen Hei"/>
        <family val="2"/>
      </rPr>
      <t xml:space="preserve">終了 </t>
    </r>
    <r>
      <rPr>
        <sz val="10"/>
        <color rgb="FF000000"/>
        <rFont val="Arial"/>
        <family val="0"/>
        <charset val="1"/>
      </rPr>
      <t xml:space="preserve">1:00</t>
    </r>
    <r>
      <rPr>
        <sz val="10"/>
        <color rgb="FF000000"/>
        <rFont val="WenQuanYi Zen Hei"/>
        <family val="2"/>
      </rPr>
      <t xml:space="preserve">）。</t>
    </r>
  </si>
  <si>
    <r>
      <rPr>
        <sz val="10"/>
        <color rgb="FF000000"/>
        <rFont val="WenQuanYi Zen Hei"/>
        <family val="2"/>
      </rPr>
      <t xml:space="preserve">割増率・所定労働時間は国・就業規則により異なります（日本：残業 </t>
    </r>
    <r>
      <rPr>
        <sz val="10"/>
        <color rgb="FF000000"/>
        <rFont val="Arial"/>
        <family val="0"/>
        <charset val="1"/>
      </rPr>
      <t xml:space="preserve">25%</t>
    </r>
    <r>
      <rPr>
        <sz val="10"/>
        <color rgb="FF000000"/>
        <rFont val="WenQuanYi Zen Hei"/>
        <family val="2"/>
      </rPr>
      <t xml:space="preserve">・深夜 </t>
    </r>
    <r>
      <rPr>
        <sz val="10"/>
        <color rgb="FF000000"/>
        <rFont val="Arial"/>
        <family val="0"/>
        <charset val="1"/>
      </rPr>
      <t xml:space="preserve">25%</t>
    </r>
    <r>
      <rPr>
        <sz val="10"/>
        <color rgb="FF000000"/>
        <rFont val="WenQuanYi Zen Hei"/>
        <family val="2"/>
      </rPr>
      <t xml:space="preserve">、タイ：残業 </t>
    </r>
    <r>
      <rPr>
        <sz val="10"/>
        <color rgb="FF000000"/>
        <rFont val="Arial"/>
        <family val="0"/>
        <charset val="1"/>
      </rPr>
      <t xml:space="preserve">150% </t>
    </r>
    <r>
      <rPr>
        <sz val="10"/>
        <color rgb="FF000000"/>
        <rFont val="WenQuanYi Zen Hei"/>
        <family val="2"/>
      </rPr>
      <t xml:space="preserve">など）。設定シートで変更してください。</t>
    </r>
  </si>
  <si>
    <r>
      <rPr>
        <i val="true"/>
        <sz val="9"/>
        <color rgb="FF595959"/>
        <rFont val="WenQuanYi Zen Hei"/>
        <family val="2"/>
      </rPr>
      <t xml:space="preserve">すべて自動計算。「未確定配車」「警告件数」「深夜帯作業」が </t>
    </r>
    <r>
      <rPr>
        <i val="true"/>
        <sz val="9"/>
        <color rgb="FF595959"/>
        <rFont val="Arial"/>
        <family val="0"/>
        <charset val="1"/>
      </rPr>
      <t xml:space="preserve">0 </t>
    </r>
    <r>
      <rPr>
        <i val="true"/>
        <sz val="9"/>
        <color rgb="FF595959"/>
        <rFont val="WenQuanYi Zen Hei"/>
        <family val="2"/>
      </rPr>
      <t xml:space="preserve">になるまで計画を見直す。</t>
    </r>
  </si>
  <si>
    <t xml:space="preserve">イベント概要</t>
  </si>
  <si>
    <t xml:space="preserve">イベント名</t>
  </si>
  <si>
    <t xml:space="preserve">作業件数</t>
  </si>
  <si>
    <t xml:space="preserve">会場</t>
  </si>
  <si>
    <t xml:space="preserve">深夜帯にかかる作業（要対応）</t>
  </si>
  <si>
    <t xml:space="preserve">搬入日</t>
  </si>
  <si>
    <t xml:space="preserve">完了</t>
  </si>
  <si>
    <t xml:space="preserve">イベント期間</t>
  </si>
  <si>
    <t xml:space="preserve">遅延</t>
  </si>
  <si>
    <t xml:space="preserve">撤収日</t>
  </si>
  <si>
    <t xml:space="preserve">配送 合計時間</t>
  </si>
  <si>
    <t xml:space="preserve">イベント初日まで（日）</t>
  </si>
  <si>
    <t xml:space="preserve">設営 合計時間</t>
  </si>
  <si>
    <t xml:space="preserve">撤収 合計時間</t>
  </si>
  <si>
    <t xml:space="preserve">配車</t>
  </si>
  <si>
    <t xml:space="preserve">登録車両数（配車日入力済）</t>
  </si>
  <si>
    <t xml:space="preserve">確定</t>
  </si>
  <si>
    <t xml:space="preserve">勤務行数</t>
  </si>
  <si>
    <t xml:space="preserve">仮押さえ</t>
  </si>
  <si>
    <t xml:space="preserve">総実働時間</t>
  </si>
  <si>
    <r>
      <rPr>
        <b val="true"/>
        <sz val="10"/>
        <color rgb="FF000000"/>
        <rFont val="WenQuanYi Zen Hei"/>
        <family val="2"/>
      </rPr>
      <t xml:space="preserve">未手配 </t>
    </r>
    <r>
      <rPr>
        <b val="true"/>
        <sz val="10"/>
        <color rgb="FF000000"/>
        <rFont val="Arial"/>
        <family val="0"/>
        <charset val="1"/>
      </rPr>
      <t xml:space="preserve">/ </t>
    </r>
    <r>
      <rPr>
        <b val="true"/>
        <sz val="10"/>
        <color rgb="FF000000"/>
        <rFont val="WenQuanYi Zen Hei"/>
        <family val="2"/>
      </rPr>
      <t xml:space="preserve">ステータス未入力</t>
    </r>
  </si>
  <si>
    <t xml:space="preserve">総残業時間</t>
  </si>
  <si>
    <t xml:space="preserve">変更あり</t>
  </si>
  <si>
    <t xml:space="preserve">総深夜時間</t>
  </si>
  <si>
    <t xml:space="preserve">キャンセル</t>
  </si>
  <si>
    <t xml:space="preserve">総待機時間</t>
  </si>
  <si>
    <t xml:space="preserve">未確定の配車（要対応）</t>
  </si>
  <si>
    <t xml:space="preserve">残業・深夜代 概算（円）</t>
  </si>
  <si>
    <t xml:space="preserve">警告：期限超過</t>
  </si>
  <si>
    <r>
      <rPr>
        <b val="true"/>
        <sz val="10"/>
        <color rgb="FF000000"/>
        <rFont val="WenQuanYi Zen Hei"/>
        <family val="2"/>
      </rPr>
      <t xml:space="preserve">警告のある勤務（残業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WenQuanYi Zen Hei"/>
        <family val="2"/>
      </rPr>
      <t xml:space="preserve">深夜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WenQuanYi Zen Hei"/>
        <family val="2"/>
      </rPr>
      <t xml:space="preserve">待機）</t>
    </r>
  </si>
  <si>
    <t xml:space="preserve">警告：期限間近</t>
  </si>
  <si>
    <t xml:space="preserve">深夜勤務あり</t>
  </si>
  <si>
    <t xml:space="preserve">次の確定期限（未確定分）</t>
  </si>
  <si>
    <t xml:space="preserve">待機超過</t>
  </si>
  <si>
    <t xml:space="preserve">判定ルール（設定シート）</t>
  </si>
  <si>
    <t xml:space="preserve">項目数</t>
  </si>
  <si>
    <t xml:space="preserve">配車確定期限</t>
  </si>
  <si>
    <t xml:space="preserve">深夜帯</t>
  </si>
  <si>
    <t xml:space="preserve">期限超過（未完了）</t>
  </si>
  <si>
    <t xml:space="preserve">所定労働時間</t>
  </si>
  <si>
    <r>
      <rPr>
        <b val="true"/>
        <sz val="10"/>
        <color rgb="FF000000"/>
        <rFont val="Arial"/>
        <family val="0"/>
        <charset val="1"/>
      </rPr>
      <t xml:space="preserve">3</t>
    </r>
    <r>
      <rPr>
        <b val="true"/>
        <sz val="10"/>
        <color rgb="FF000000"/>
        <rFont val="WenQuanYi Zen Hei"/>
        <family val="2"/>
      </rPr>
      <t xml:space="preserve">日以内に期限（未完了）</t>
    </r>
  </si>
  <si>
    <r>
      <rPr>
        <b val="true"/>
        <sz val="10"/>
        <color rgb="FF000000"/>
        <rFont val="WenQuanYi Zen Hei"/>
        <family val="2"/>
      </rPr>
      <t xml:space="preserve">割増率（残業 </t>
    </r>
    <r>
      <rPr>
        <b val="true"/>
        <sz val="10"/>
        <color rgb="FF000000"/>
        <rFont val="Arial"/>
        <family val="0"/>
        <charset val="1"/>
      </rPr>
      <t xml:space="preserve">/ </t>
    </r>
    <r>
      <rPr>
        <b val="true"/>
        <sz val="10"/>
        <color rgb="FF000000"/>
        <rFont val="WenQuanYi Zen Hei"/>
        <family val="2"/>
      </rPr>
      <t xml:space="preserve">深夜）</t>
    </r>
  </si>
  <si>
    <r>
      <rPr>
        <i val="true"/>
        <sz val="9"/>
        <color rgb="FF595959"/>
        <rFont val="WenQuanYi Zen Hei"/>
        <family val="2"/>
      </rPr>
      <t xml:space="preserve">※ 残業・深夜代は「スタッフマスタの時給 </t>
    </r>
    <r>
      <rPr>
        <i val="true"/>
        <sz val="9"/>
        <color rgb="FF595959"/>
        <rFont val="Arial"/>
        <family val="0"/>
        <charset val="1"/>
      </rPr>
      <t xml:space="preserve">× </t>
    </r>
    <r>
      <rPr>
        <i val="true"/>
        <sz val="9"/>
        <color rgb="FF595959"/>
        <rFont val="WenQuanYi Zen Hei"/>
        <family val="2"/>
      </rPr>
      <t xml:space="preserve">設定シートの割増率」による概算です。実際の給与計算とは異なる場合があります。</t>
    </r>
  </si>
  <si>
    <t xml:space="preserve">設定（イベント情報・判定ルール）</t>
  </si>
  <si>
    <t xml:space="preserve">黄色セルを入力。濃い黄色は運用ルールのパラメータで、各シートの判定に使われる。</t>
  </si>
  <si>
    <t xml:space="preserve">項目</t>
  </si>
  <si>
    <t xml:space="preserve">値</t>
  </si>
  <si>
    <t xml:space="preserve">説明</t>
  </si>
  <si>
    <t xml:space="preserve">秋のポップアップストア（サンプル）</t>
  </si>
  <si>
    <t xml:space="preserve">ダッシュボードに表示</t>
  </si>
  <si>
    <r>
      <rPr>
        <sz val="10"/>
        <color rgb="FF0000FF"/>
        <rFont val="WenQuanYi Zen Hei"/>
        <family val="2"/>
      </rPr>
      <t xml:space="preserve">○○モール </t>
    </r>
    <r>
      <rPr>
        <sz val="10"/>
        <color rgb="FF0000FF"/>
        <rFont val="Arial"/>
        <family val="0"/>
        <charset val="1"/>
      </rPr>
      <t xml:space="preserve">1F </t>
    </r>
    <r>
      <rPr>
        <sz val="10"/>
        <color rgb="FF0000FF"/>
        <rFont val="WenQuanYi Zen Hei"/>
        <family val="2"/>
      </rPr>
      <t xml:space="preserve">イベントスペース</t>
    </r>
  </si>
  <si>
    <t xml:space="preserve">配送・設営を行う日</t>
  </si>
  <si>
    <t xml:space="preserve">イベント初日</t>
  </si>
  <si>
    <r>
      <rPr>
        <sz val="9"/>
        <color rgb="FF595959"/>
        <rFont val="WenQuanYi Zen Hei"/>
        <family val="2"/>
      </rPr>
      <t xml:space="preserve">チェックリストの逆算基準日（</t>
    </r>
    <r>
      <rPr>
        <sz val="9"/>
        <color rgb="FF595959"/>
        <rFont val="Arial"/>
        <family val="0"/>
        <charset val="1"/>
      </rPr>
      <t xml:space="preserve">D-day</t>
    </r>
    <r>
      <rPr>
        <sz val="9"/>
        <color rgb="FF595959"/>
        <rFont val="WenQuanYi Zen Hei"/>
        <family val="2"/>
      </rPr>
      <t xml:space="preserve">）</t>
    </r>
  </si>
  <si>
    <t xml:space="preserve">イベント最終日</t>
  </si>
  <si>
    <t xml:space="preserve">撤収作業を行う日</t>
  </si>
  <si>
    <t xml:space="preserve">判定ルール</t>
  </si>
  <si>
    <t xml:space="preserve">配車確定期限（配車日の何日前）</t>
  </si>
  <si>
    <t xml:space="preserve">配車管理の「確定期限」＝配車日 − この日数。業者の無料キャンセル期限より前に設定する。</t>
  </si>
  <si>
    <t xml:space="preserve">警告開始（期限の何日前から）</t>
  </si>
  <si>
    <t xml:space="preserve">確定期限までの残日数がこの値以下で「要確定」警告。</t>
  </si>
  <si>
    <t xml:space="preserve">深夜帯 開始時刻</t>
  </si>
  <si>
    <t xml:space="preserve">この時刻以降の作業・勤務を深夜帯として判定。</t>
  </si>
  <si>
    <t xml:space="preserve">深夜帯 終了時刻</t>
  </si>
  <si>
    <t xml:space="preserve">翌日のこの時刻までを深夜帯として判定。</t>
  </si>
  <si>
    <t xml:space="preserve">実働がこれを超えた分を残業時間として計算。</t>
  </si>
  <si>
    <t xml:space="preserve">標準休憩時間</t>
  </si>
  <si>
    <t xml:space="preserve">スタッフ稼働で休憩が未入力の場合の参考値（計算には各行の休憩列を使用）。</t>
  </si>
  <si>
    <t xml:space="preserve">残業割増率</t>
  </si>
  <si>
    <r>
      <rPr>
        <sz val="9"/>
        <color rgb="FF595959"/>
        <rFont val="WenQuanYi Zen Hei"/>
        <family val="2"/>
      </rPr>
      <t xml:space="preserve">残業代概算＝残業時間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時給</t>
    </r>
    <r>
      <rPr>
        <sz val="9"/>
        <color rgb="FF595959"/>
        <rFont val="Arial"/>
        <family val="0"/>
        <charset val="1"/>
      </rPr>
      <t xml:space="preserve">×(1+</t>
    </r>
    <r>
      <rPr>
        <sz val="9"/>
        <color rgb="FF595959"/>
        <rFont val="WenQuanYi Zen Hei"/>
        <family val="2"/>
      </rPr>
      <t xml:space="preserve">割増率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。法令・就業規則に合わせて変更（例：日本 </t>
    </r>
    <r>
      <rPr>
        <sz val="9"/>
        <color rgb="FF595959"/>
        <rFont val="Arial"/>
        <family val="0"/>
        <charset val="1"/>
      </rPr>
      <t xml:space="preserve">25%</t>
    </r>
    <r>
      <rPr>
        <sz val="9"/>
        <color rgb="FF595959"/>
        <rFont val="WenQuanYi Zen Hei"/>
        <family val="2"/>
      </rPr>
      <t xml:space="preserve">、タイ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WenQuanYi Zen Hei"/>
        <family val="2"/>
      </rPr>
      <t xml:space="preserve">）。</t>
    </r>
  </si>
  <si>
    <t xml:space="preserve">深夜割増率</t>
  </si>
  <si>
    <r>
      <rPr>
        <sz val="9"/>
        <color rgb="FF595959"/>
        <rFont val="WenQuanYi Zen Hei"/>
        <family val="2"/>
      </rPr>
      <t xml:space="preserve">深夜手当概算＝深夜時間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時給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割増率。</t>
    </r>
  </si>
  <si>
    <t xml:space="preserve">待機許容時間</t>
  </si>
  <si>
    <t xml:space="preserve">スタッフの待機時間がこれを超えると警告。</t>
  </si>
  <si>
    <t xml:space="preserve">マスタ（プルダウン・業者・スタッフ）</t>
  </si>
  <si>
    <t xml:space="preserve">配車ステータス</t>
  </si>
  <si>
    <t xml:space="preserve">工程</t>
  </si>
  <si>
    <t xml:space="preserve">車種</t>
  </si>
  <si>
    <t xml:space="preserve">作業ステータス</t>
  </si>
  <si>
    <t xml:space="preserve">未手配</t>
  </si>
  <si>
    <t xml:space="preserve">配送</t>
  </si>
  <si>
    <t xml:space="preserve">軽バン</t>
  </si>
  <si>
    <t xml:space="preserve">未着手</t>
  </si>
  <si>
    <t xml:space="preserve">設営</t>
  </si>
  <si>
    <t xml:space="preserve">ハイエース</t>
  </si>
  <si>
    <t xml:space="preserve">進行中</t>
  </si>
  <si>
    <t xml:space="preserve">撤収</t>
  </si>
  <si>
    <r>
      <rPr>
        <sz val="10"/>
        <color rgb="FF000000"/>
        <rFont val="Arial"/>
        <family val="0"/>
        <charset val="1"/>
      </rPr>
      <t xml:space="preserve">2t</t>
    </r>
    <r>
      <rPr>
        <sz val="10"/>
        <color rgb="FF000000"/>
        <rFont val="WenQuanYi Zen Hei"/>
        <family val="2"/>
      </rPr>
      <t xml:space="preserve">トラック</t>
    </r>
  </si>
  <si>
    <t xml:space="preserve">回収</t>
  </si>
  <si>
    <r>
      <rPr>
        <sz val="10"/>
        <color rgb="FF000000"/>
        <rFont val="Arial"/>
        <family val="0"/>
        <charset val="1"/>
      </rPr>
      <t xml:space="preserve">4t</t>
    </r>
    <r>
      <rPr>
        <sz val="10"/>
        <color rgb="FF000000"/>
        <rFont val="WenQuanYi Zen Hei"/>
        <family val="2"/>
      </rPr>
      <t xml:space="preserve">トラック</t>
    </r>
  </si>
  <si>
    <t xml:space="preserve">待機</t>
  </si>
  <si>
    <t xml:space="preserve">ユニック車</t>
  </si>
  <si>
    <t xml:space="preserve">業者マスタ（キャンセル規定）</t>
  </si>
  <si>
    <t xml:space="preserve">業者名</t>
  </si>
  <si>
    <t xml:space="preserve">連絡先</t>
  </si>
  <si>
    <t xml:space="preserve">無料キャンセル期限（配車日の何日前）</t>
  </si>
  <si>
    <t xml:space="preserve">前日キャンセル料率</t>
  </si>
  <si>
    <t xml:space="preserve">当日キャンセル料率</t>
  </si>
  <si>
    <r>
      <rPr>
        <sz val="10"/>
        <color rgb="FF000000"/>
        <rFont val="WenQuanYi Zen Hei"/>
        <family val="2"/>
      </rPr>
      <t xml:space="preserve">業者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運送</t>
    </r>
  </si>
  <si>
    <r>
      <rPr>
        <sz val="10"/>
        <color rgb="FF000000"/>
        <rFont val="Arial"/>
        <family val="0"/>
        <charset val="1"/>
      </rPr>
      <t xml:space="preserve">03-0000-0000 / </t>
    </r>
    <r>
      <rPr>
        <sz val="10"/>
        <color rgb="FF000000"/>
        <rFont val="WenQuanYi Zen Hei"/>
        <family val="2"/>
      </rPr>
      <t xml:space="preserve">担当 山田</t>
    </r>
  </si>
  <si>
    <r>
      <rPr>
        <sz val="10"/>
        <color rgb="FF000000"/>
        <rFont val="WenQuanYi Zen Hei"/>
        <family val="2"/>
      </rPr>
      <t xml:space="preserve">業者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WenQuanYi Zen Hei"/>
        <family val="2"/>
      </rPr>
      <t xml:space="preserve">物流</t>
    </r>
  </si>
  <si>
    <r>
      <rPr>
        <sz val="10"/>
        <color rgb="FF000000"/>
        <rFont val="Arial"/>
        <family val="0"/>
        <charset val="1"/>
      </rPr>
      <t xml:space="preserve">03-1111-1111 / </t>
    </r>
    <r>
      <rPr>
        <sz val="10"/>
        <color rgb="FF000000"/>
        <rFont val="WenQuanYi Zen Hei"/>
        <family val="2"/>
      </rPr>
      <t xml:space="preserve">担当 高橋</t>
    </r>
  </si>
  <si>
    <t xml:space="preserve">スタッフマスタ</t>
  </si>
  <si>
    <t xml:space="preserve">スタッフ名</t>
  </si>
  <si>
    <t xml:space="preserve">役割</t>
  </si>
  <si>
    <t xml:space="preserve">時給（円）</t>
  </si>
  <si>
    <t xml:space="preserve">田中</t>
  </si>
  <si>
    <t xml:space="preserve">リーダー</t>
  </si>
  <si>
    <t xml:space="preserve">090-0000-0000</t>
  </si>
  <si>
    <t xml:space="preserve">佐藤</t>
  </si>
  <si>
    <t xml:space="preserve">スタッフ</t>
  </si>
  <si>
    <t xml:space="preserve">090-1111-1111</t>
  </si>
  <si>
    <t xml:space="preserve">鈴木</t>
  </si>
  <si>
    <t xml:space="preserve">090-2222-2222</t>
  </si>
  <si>
    <t xml:space="preserve">配車管理（事前確定）</t>
  </si>
  <si>
    <r>
      <rPr>
        <i val="true"/>
        <sz val="9"/>
        <color rgb="FF595959"/>
        <rFont val="WenQuanYi Zen Hei"/>
        <family val="2"/>
      </rPr>
      <t xml:space="preserve">車両</t>
    </r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WenQuanYi Zen Hei"/>
        <family val="2"/>
      </rPr>
      <t xml:space="preserve">台につき</t>
    </r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WenQuanYi Zen Hei"/>
        <family val="2"/>
      </rPr>
      <t xml:space="preserve">行。確定期限・無料キャンセル期限・警告は自動計算。「確定」になったら確定日を必ず入力。</t>
    </r>
  </si>
  <si>
    <t xml:space="preserve">No</t>
  </si>
  <si>
    <t xml:space="preserve">配車日</t>
  </si>
  <si>
    <t xml:space="preserve">曜日</t>
  </si>
  <si>
    <t xml:space="preserve">台数</t>
  </si>
  <si>
    <t xml:space="preserve">集荷場所</t>
  </si>
  <si>
    <t xml:space="preserve">集荷時刻</t>
  </si>
  <si>
    <t xml:space="preserve">納品先</t>
  </si>
  <si>
    <t xml:space="preserve">到着予定</t>
  </si>
  <si>
    <t xml:space="preserve">ステータス</t>
  </si>
  <si>
    <t xml:space="preserve">確定期限</t>
  </si>
  <si>
    <t xml:space="preserve">期限まで残日数</t>
  </si>
  <si>
    <t xml:space="preserve">無料キャンセル期限</t>
  </si>
  <si>
    <t xml:space="preserve">確定日</t>
  </si>
  <si>
    <t xml:space="preserve">警告</t>
  </si>
  <si>
    <t xml:space="preserve">担当者</t>
  </si>
  <si>
    <t xml:space="preserve">備考</t>
  </si>
  <si>
    <t xml:space="preserve">本社倉庫</t>
  </si>
  <si>
    <t xml:space="preserve">○○モール 搬入口</t>
  </si>
  <si>
    <t xml:space="preserve">什器・備品一式</t>
  </si>
  <si>
    <t xml:space="preserve">本店</t>
  </si>
  <si>
    <r>
      <rPr>
        <sz val="10"/>
        <color rgb="FF000000"/>
        <rFont val="WenQuanYi Zen Hei"/>
        <family val="2"/>
      </rPr>
      <t xml:space="preserve">商品（段ボール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WenQuanYi Zen Hei"/>
        <family val="2"/>
      </rPr>
      <t xml:space="preserve">箱）</t>
    </r>
  </si>
  <si>
    <t xml:space="preserve">撤収便。閉店後の積込</t>
  </si>
  <si>
    <t xml:space="preserve">残商品の回収</t>
  </si>
  <si>
    <t xml:space="preserve">配送・設営・撤収 スケジュール</t>
  </si>
  <si>
    <r>
      <rPr>
        <i val="true"/>
        <sz val="9"/>
        <color rgb="FF595959"/>
        <rFont val="WenQuanYi Zen Hei"/>
        <family val="2"/>
      </rPr>
      <t xml:space="preserve">作業</t>
    </r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WenQuanYi Zen Hei"/>
        <family val="2"/>
      </rPr>
      <t xml:space="preserve">件につき</t>
    </r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WenQuanYi Zen Hei"/>
        <family val="2"/>
      </rPr>
      <t xml:space="preserve">行。所要時間・使用車両のステータス・深夜帯の有無は自動判定。「深夜帯あり」の行は前倒し・分割・人員追加で解消する。</t>
    </r>
  </si>
  <si>
    <t xml:space="preserve">日付</t>
  </si>
  <si>
    <t xml:space="preserve">作業内容</t>
  </si>
  <si>
    <t xml:space="preserve">場所</t>
  </si>
  <si>
    <t xml:space="preserve">開始</t>
  </si>
  <si>
    <t xml:space="preserve">終了</t>
  </si>
  <si>
    <t xml:space="preserve">所要時間</t>
  </si>
  <si>
    <t xml:space="preserve">担当スタッフ</t>
  </si>
  <si>
    <t xml:space="preserve">人数</t>
  </si>
  <si>
    <r>
      <rPr>
        <b val="true"/>
        <sz val="10"/>
        <color rgb="FFFFFFFF"/>
        <rFont val="WenQuanYi Zen Hei"/>
        <family val="2"/>
      </rPr>
      <t xml:space="preserve">使用車両</t>
    </r>
    <r>
      <rPr>
        <b val="true"/>
        <sz val="10"/>
        <color rgb="FFFFFFFF"/>
        <rFont val="Arial"/>
        <family val="0"/>
        <charset val="1"/>
      </rPr>
      <t xml:space="preserve">No</t>
    </r>
  </si>
  <si>
    <t xml:space="preserve">車両ステータス</t>
  </si>
  <si>
    <t xml:space="preserve">什器・備品 荷受け・検品</t>
  </si>
  <si>
    <r>
      <rPr>
        <sz val="10"/>
        <color rgb="FF000000"/>
        <rFont val="WenQuanYi Zen Hei"/>
        <family val="2"/>
      </rPr>
      <t xml:space="preserve">田中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佐藤</t>
    </r>
  </si>
  <si>
    <t xml:space="preserve">商品 荷受け・検品</t>
  </si>
  <si>
    <t xml:space="preserve">什器組立・レイアウト</t>
  </si>
  <si>
    <t xml:space="preserve">イベントスペース</t>
  </si>
  <si>
    <r>
      <rPr>
        <sz val="10"/>
        <color rgb="FF000000"/>
        <rFont val="WenQuanYi Zen Hei"/>
        <family val="2"/>
      </rPr>
      <t xml:space="preserve">田中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佐藤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鈴木</t>
    </r>
  </si>
  <si>
    <r>
      <rPr>
        <sz val="10"/>
        <color rgb="FF000000"/>
        <rFont val="WenQuanYi Zen Hei"/>
        <family val="2"/>
      </rPr>
      <t xml:space="preserve">会場の設営可能時間 </t>
    </r>
    <r>
      <rPr>
        <sz val="10"/>
        <color rgb="FF000000"/>
        <rFont val="Arial"/>
        <family val="0"/>
        <charset val="1"/>
      </rPr>
      <t xml:space="preserve">10:00</t>
    </r>
    <r>
      <rPr>
        <sz val="10"/>
        <color rgb="FF000000"/>
        <rFont val="WenQuanYi Zen Hei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21:00</t>
    </r>
  </si>
  <si>
    <r>
      <rPr>
        <sz val="10"/>
        <color rgb="FF000000"/>
        <rFont val="WenQuanYi Zen Hei"/>
        <family val="2"/>
      </rPr>
      <t xml:space="preserve">商品陳列・</t>
    </r>
    <r>
      <rPr>
        <sz val="10"/>
        <color rgb="FF000000"/>
        <rFont val="Arial"/>
        <family val="0"/>
        <charset val="1"/>
      </rPr>
      <t xml:space="preserve">POP</t>
    </r>
    <r>
      <rPr>
        <sz val="10"/>
        <color rgb="FF000000"/>
        <rFont val="WenQuanYi Zen Hei"/>
        <family val="2"/>
      </rPr>
      <t xml:space="preserve">設置</t>
    </r>
  </si>
  <si>
    <t xml:space="preserve">商品梱包</t>
  </si>
  <si>
    <r>
      <rPr>
        <sz val="10"/>
        <color rgb="FF000000"/>
        <rFont val="WenQuanYi Zen Hei"/>
        <family val="2"/>
      </rPr>
      <t xml:space="preserve">佐藤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鈴木</t>
    </r>
  </si>
  <si>
    <r>
      <rPr>
        <sz val="10"/>
        <color rgb="FF000000"/>
        <rFont val="WenQuanYi Zen Hei"/>
        <family val="2"/>
      </rPr>
      <t xml:space="preserve">閉店 </t>
    </r>
    <r>
      <rPr>
        <sz val="10"/>
        <color rgb="FF000000"/>
        <rFont val="Arial"/>
        <family val="0"/>
        <charset val="1"/>
      </rPr>
      <t xml:space="preserve">18:00 </t>
    </r>
    <r>
      <rPr>
        <sz val="10"/>
        <color rgb="FF000000"/>
        <rFont val="WenQuanYi Zen Hei"/>
        <family val="2"/>
      </rPr>
      <t xml:space="preserve">後</t>
    </r>
  </si>
  <si>
    <t xml:space="preserve">什器解体・積込</t>
  </si>
  <si>
    <t xml:space="preserve">イベントスペース→搬入口</t>
  </si>
  <si>
    <r>
      <rPr>
        <sz val="10"/>
        <color rgb="FF000000"/>
        <rFont val="WenQuanYi Zen Hei"/>
        <family val="2"/>
      </rPr>
      <t xml:space="preserve">深夜帯警告 → 人員追加して </t>
    </r>
    <r>
      <rPr>
        <sz val="10"/>
        <color rgb="FF000000"/>
        <rFont val="Arial"/>
        <family val="0"/>
        <charset val="1"/>
      </rPr>
      <t xml:space="preserve">22:00 </t>
    </r>
    <r>
      <rPr>
        <sz val="10"/>
        <color rgb="FF000000"/>
        <rFont val="WenQuanYi Zen Hei"/>
        <family val="2"/>
      </rPr>
      <t xml:space="preserve">前に終了させる</t>
    </r>
  </si>
  <si>
    <t xml:space="preserve">残商品 回収</t>
  </si>
  <si>
    <t xml:space="preserve">スタッフ稼働（残業・深夜・待機の管理）</t>
  </si>
  <si>
    <r>
      <rPr>
        <i val="true"/>
        <sz val="9"/>
        <color rgb="FF595959"/>
        <rFont val="WenQuanYi Zen Hei"/>
        <family val="2"/>
      </rPr>
      <t xml:space="preserve">スタッフ</t>
    </r>
    <r>
      <rPr>
        <i val="true"/>
        <sz val="9"/>
        <color rgb="FF595959"/>
        <rFont val="Arial"/>
        <family val="0"/>
        <charset val="1"/>
      </rPr>
      <t xml:space="preserve">×</t>
    </r>
    <r>
      <rPr>
        <i val="true"/>
        <sz val="9"/>
        <color rgb="FF595959"/>
        <rFont val="WenQuanYi Zen Hei"/>
        <family val="2"/>
      </rPr>
      <t xml:space="preserve">日につき</t>
    </r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WenQuanYi Zen Hei"/>
        <family val="2"/>
      </rPr>
      <t xml:space="preserve">行。計画段階で入力して警告を潰し、実績が出たら上書きする。深夜 </t>
    </r>
    <r>
      <rPr>
        <i val="true"/>
        <sz val="9"/>
        <color rgb="FF595959"/>
        <rFont val="Arial"/>
        <family val="0"/>
        <charset val="1"/>
      </rPr>
      <t xml:space="preserve">0 </t>
    </r>
    <r>
      <rPr>
        <i val="true"/>
        <sz val="9"/>
        <color rgb="FF595959"/>
        <rFont val="WenQuanYi Zen Hei"/>
        <family val="2"/>
      </rPr>
      <t xml:space="preserve">時をまたぐ勤務は終了時刻をそのまま入力。</t>
    </r>
  </si>
  <si>
    <t xml:space="preserve">休憩</t>
  </si>
  <si>
    <t xml:space="preserve">実働</t>
  </si>
  <si>
    <t xml:space="preserve">残業時間</t>
  </si>
  <si>
    <t xml:space="preserve">深夜時間</t>
  </si>
  <si>
    <t xml:space="preserve">待機時間</t>
  </si>
  <si>
    <r>
      <rPr>
        <sz val="10"/>
        <color rgb="FF000000"/>
        <rFont val="WenQuanYi Zen Hei"/>
        <family val="2"/>
      </rPr>
      <t xml:space="preserve">残業・深夜 → 撤収を </t>
    </r>
    <r>
      <rPr>
        <sz val="10"/>
        <color rgb="FF000000"/>
        <rFont val="Arial"/>
        <family val="0"/>
        <charset val="1"/>
      </rPr>
      <t xml:space="preserve">22:00 </t>
    </r>
    <r>
      <rPr>
        <sz val="10"/>
        <color rgb="FF000000"/>
        <rFont val="WenQuanYi Zen Hei"/>
        <family val="2"/>
      </rPr>
      <t xml:space="preserve">前に終える計画へ変更</t>
    </r>
  </si>
  <si>
    <r>
      <rPr>
        <sz val="10"/>
        <color rgb="FF000000"/>
        <rFont val="WenQuanYi Zen Hei"/>
        <family val="2"/>
      </rPr>
      <t xml:space="preserve">待機超過 → 開始を </t>
    </r>
    <r>
      <rPr>
        <sz val="10"/>
        <color rgb="FF000000"/>
        <rFont val="Arial"/>
        <family val="0"/>
        <charset val="1"/>
      </rPr>
      <t xml:space="preserve">18:00 </t>
    </r>
    <r>
      <rPr>
        <sz val="10"/>
        <color rgb="FF000000"/>
        <rFont val="WenQuanYi Zen Hei"/>
        <family val="2"/>
      </rPr>
      <t xml:space="preserve">に遅らせる</t>
    </r>
  </si>
  <si>
    <t xml:space="preserve">準備チェックリスト（イベント初日からの逆算）</t>
  </si>
  <si>
    <t xml:space="preserve">期限日は 設定シートのイベント初日から自動計算。完了したら「✓」を入力。</t>
  </si>
  <si>
    <t xml:space="preserve">タイミング</t>
  </si>
  <si>
    <t xml:space="preserve">担当</t>
  </si>
  <si>
    <t xml:space="preserve">期限日</t>
  </si>
  <si>
    <t xml:space="preserve">残日数</t>
  </si>
  <si>
    <t xml:space="preserve">完了日</t>
  </si>
  <si>
    <r>
      <rPr>
        <sz val="10"/>
        <color rgb="FF000000"/>
        <rFont val="WenQuanYi Zen Hei"/>
        <family val="2"/>
      </rPr>
      <t xml:space="preserve">会場の搬入・搬出可能時間、夜間作業制限、使用可能エレベーター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搬入口を確認する</t>
    </r>
  </si>
  <si>
    <t xml:space="preserve">配送物量（什器・商品・備品）と必要車種・台数を確定する</t>
  </si>
  <si>
    <t xml:space="preserve">配車管理シートに全車両を入力（撤収便・回収便を含む）し、業者へ仮押さえを依頼する</t>
  </si>
  <si>
    <t xml:space="preserve">業者ごとの無料キャンセル期限・キャンセル料率をマスタに登録する</t>
  </si>
  <si>
    <t xml:space="preserve">スケジュールシートに配送・設営・撤収の作業を時刻付きで入力し、「深夜帯あり」を解消する</t>
  </si>
  <si>
    <t xml:space="preserve">スタッフ稼働シートにシフト案を入力し、「残業あり」「待機超過」を解消する</t>
  </si>
  <si>
    <t xml:space="preserve">配車を確定（業者へ確定連絡→ステータス「確定」・確定日を入力）。警告列が空であることを確認</t>
  </si>
  <si>
    <t xml:space="preserve">D-3</t>
  </si>
  <si>
    <t xml:space="preserve">業者と最終確認（集荷時刻・納品先・現地連絡先・駐車場所）</t>
  </si>
  <si>
    <t xml:space="preserve">スタッフへシフト確定を連絡（開始・終了時刻、集合場所）</t>
  </si>
  <si>
    <t xml:space="preserve">D-1</t>
  </si>
  <si>
    <t xml:space="preserve">積込完了・納品伝票・会場提出書類の確認</t>
  </si>
  <si>
    <t xml:space="preserve">当日の連絡体制（業者・会場担当・スタッフ）と緊急時の代替車両を確認</t>
  </si>
  <si>
    <t xml:space="preserve">当日</t>
  </si>
  <si>
    <r>
      <rPr>
        <sz val="10"/>
        <color rgb="FF000000"/>
        <rFont val="WenQuanYi Zen Hei"/>
        <family val="2"/>
      </rPr>
      <t xml:space="preserve">ダッシュボードの「未確定配車」「警告件数」が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であることを確認</t>
    </r>
  </si>
  <si>
    <r>
      <rPr>
        <sz val="10"/>
        <color rgb="FF000000"/>
        <rFont val="WenQuanYi Zen Hei"/>
        <family val="2"/>
      </rPr>
      <t xml:space="preserve">到着時刻・作業開始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終了の実績をスケジュールシートに記録</t>
    </r>
  </si>
  <si>
    <r>
      <rPr>
        <sz val="10"/>
        <color rgb="FF000000"/>
        <rFont val="WenQuanYi Zen Hei"/>
        <family val="2"/>
      </rPr>
      <t xml:space="preserve">撤収後 </t>
    </r>
    <r>
      <rPr>
        <sz val="10"/>
        <color rgb="FF000000"/>
        <rFont val="Arial"/>
        <family val="0"/>
        <charset val="1"/>
      </rPr>
      <t xml:space="preserve">(+1)</t>
    </r>
  </si>
  <si>
    <t xml:space="preserve">撤収後：スタッフ稼働に実績時間を入力し、残業・深夜の原因を備考に残す</t>
  </si>
  <si>
    <r>
      <rPr>
        <sz val="10"/>
        <color rgb="FF000000"/>
        <rFont val="WenQuanYi Zen Hei"/>
        <family val="2"/>
      </rPr>
      <t xml:space="preserve">撤収後 </t>
    </r>
    <r>
      <rPr>
        <sz val="10"/>
        <color rgb="FF000000"/>
        <rFont val="Arial"/>
        <family val="0"/>
        <charset val="1"/>
      </rPr>
      <t xml:space="preserve">(+2)</t>
    </r>
  </si>
  <si>
    <t xml:space="preserve">業者へ請求内容（追加料金・待機料金の有無）を確認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</si>
</sst>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yyyy/mm/dd"/>
    <numFmt numFmtId="167" formatCode="[h]:mm"/>
    <numFmt numFmtId="168" formatCode="#,##0"/>
    <numFmt numFmtId="169" formatCode="h:mm"/>
    <numFmt numFmtId="170" formatCode="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WenQuanYi Zen Hei"/>
      <family val="2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WenQuanYi Zen Hei"/>
      <family val="2"/>
    </font>
    <font>
      <b val="true"/>
      <sz val="11"/>
      <color rgb="FF1F3864"/>
      <name val="WenQuanYi Zen Hei"/>
      <family val="2"/>
    </font>
    <font>
      <b val="true"/>
      <sz val="10"/>
      <color rgb="FF000000"/>
      <name val="Arial"/>
      <family val="0"/>
      <charset val="1"/>
    </font>
    <font>
      <sz val="10"/>
      <color rgb="FF000000"/>
      <name val="WenQuanYi Zen Hei"/>
      <family val="2"/>
    </font>
    <font>
      <sz val="10"/>
      <color rgb="FF000000"/>
      <name val="Arial"/>
      <family val="0"/>
      <charset val="1"/>
    </font>
    <font>
      <b val="true"/>
      <sz val="10"/>
      <color rgb="FF000000"/>
      <name val="WenQuanYi Zen Hei"/>
      <family val="2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WenQuanYi Zen Hei"/>
      <family val="2"/>
    </font>
    <font>
      <sz val="10"/>
      <color rgb="FF0000FF"/>
      <name val="WenQuanYi Zen Hei"/>
      <family val="2"/>
    </font>
    <font>
      <sz val="9"/>
      <color rgb="FF595959"/>
      <name val="WenQuanYi Zen Hei"/>
      <family val="2"/>
    </font>
    <font>
      <sz val="10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sz val="10"/>
      <name val="WenQuanYi Zen Hei"/>
      <family val="2"/>
    </font>
    <font>
      <sz val="10"/>
      <name val="Arial"/>
      <family val="2"/>
    </font>
    <font>
      <b val="true"/>
      <sz val="10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FFFF00"/>
        <bgColor rgb="FFFFD966"/>
      </patternFill>
    </fill>
    <fill>
      <patternFill patternType="solid">
        <fgColor rgb="FFF2F2F2"/>
        <bgColor rgb="FFFFFFFF"/>
      </patternFill>
    </fill>
    <fill>
      <patternFill patternType="solid">
        <fgColor rgb="FFF8CBAD"/>
        <bgColor rgb="FFD9D9D9"/>
      </patternFill>
    </fill>
    <fill>
      <patternFill patternType="solid">
        <fgColor rgb="FFD9E1F2"/>
        <bgColor rgb="FFD9D9D9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ont>
        <name val="Arial"/>
        <charset val="1"/>
        <family val="0"/>
        <b val="1"/>
        <color rgb="FF9C0006"/>
      </font>
      <fill>
        <patternFill>
          <bgColor rgb="FFF8CBAD"/>
        </patternFill>
      </fill>
    </dxf>
    <dxf>
      <font>
        <name val="Arial"/>
        <charset val="1"/>
        <family val="0"/>
        <b val="1"/>
        <color rgb="FF7F6000"/>
      </font>
      <fill>
        <patternFill>
          <bgColor rgb="FFFFD966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FFD966"/>
        </patternFill>
      </fill>
    </dxf>
    <dxf>
      <fill>
        <patternFill>
          <bgColor rgb="FFD9D9D9"/>
        </patternFill>
      </fill>
    </dxf>
    <dxf>
      <fill>
        <patternFill patternType="solid">
          <fgColor rgb="FF9C0006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7030A0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D966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EB9C"/>
      <rgbColor rgb="FF99CCFF"/>
      <rgbColor rgb="FFFF99CC"/>
      <rgbColor rgb="FFCC99FF"/>
      <rgbColor rgb="FFF8CBAD"/>
      <rgbColor rgb="FF2E75B6"/>
      <rgbColor rgb="FF33CCCC"/>
      <rgbColor rgb="FF99CC00"/>
      <rgbColor rgb="FFFFC000"/>
      <rgbColor rgb="FFFF9900"/>
      <rgbColor rgb="FFFF6600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true"/>
  </sheetPr>
  <dimension ref="A1:C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95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  <c r="C4" s="4"/>
    </row>
    <row r="5" customFormat="false" ht="15" hidden="false" customHeight="false" outlineLevel="0" collapsed="false">
      <c r="B5" s="5" t="s">
        <v>3</v>
      </c>
      <c r="C5" s="6" t="s">
        <v>4</v>
      </c>
    </row>
    <row r="6" customFormat="false" ht="26.85" hidden="false" customHeight="false" outlineLevel="0" collapsed="false">
      <c r="B6" s="5" t="s">
        <v>5</v>
      </c>
      <c r="C6" s="6" t="s">
        <v>6</v>
      </c>
    </row>
    <row r="7" customFormat="false" ht="15" hidden="false" customHeight="false" outlineLevel="0" collapsed="false">
      <c r="B7" s="5" t="s">
        <v>7</v>
      </c>
      <c r="C7" s="6" t="s">
        <v>8</v>
      </c>
    </row>
    <row r="8" customFormat="false" ht="15" hidden="false" customHeight="false" outlineLevel="0" collapsed="false">
      <c r="B8" s="5"/>
      <c r="C8" s="6"/>
    </row>
    <row r="9" customFormat="false" ht="15" hidden="false" customHeight="false" outlineLevel="0" collapsed="false">
      <c r="B9" s="3" t="s">
        <v>9</v>
      </c>
      <c r="C9" s="4"/>
    </row>
    <row r="10" customFormat="false" ht="15" hidden="false" customHeight="false" outlineLevel="0" collapsed="false">
      <c r="B10" s="7" t="s">
        <v>10</v>
      </c>
      <c r="C10" s="6" t="s">
        <v>11</v>
      </c>
    </row>
    <row r="11" customFormat="false" ht="15" hidden="false" customHeight="false" outlineLevel="0" collapsed="false">
      <c r="B11" s="7" t="s">
        <v>12</v>
      </c>
      <c r="C11" s="6" t="s">
        <v>13</v>
      </c>
    </row>
    <row r="12" customFormat="false" ht="15" hidden="false" customHeight="false" outlineLevel="0" collapsed="false">
      <c r="B12" s="7" t="s">
        <v>14</v>
      </c>
      <c r="C12" s="6" t="s">
        <v>15</v>
      </c>
    </row>
    <row r="13" customFormat="false" ht="15" hidden="false" customHeight="false" outlineLevel="0" collapsed="false">
      <c r="B13" s="7" t="s">
        <v>16</v>
      </c>
      <c r="C13" s="6" t="s">
        <v>17</v>
      </c>
    </row>
    <row r="14" customFormat="false" ht="15" hidden="false" customHeight="false" outlineLevel="0" collapsed="false">
      <c r="B14" s="7" t="s">
        <v>18</v>
      </c>
      <c r="C14" s="6" t="s">
        <v>19</v>
      </c>
    </row>
    <row r="15" customFormat="false" ht="15" hidden="false" customHeight="false" outlineLevel="0" collapsed="false">
      <c r="B15" s="7" t="s">
        <v>20</v>
      </c>
      <c r="C15" s="6" t="s">
        <v>21</v>
      </c>
    </row>
    <row r="16" customFormat="false" ht="15" hidden="false" customHeight="false" outlineLevel="0" collapsed="false">
      <c r="B16" s="7" t="s">
        <v>22</v>
      </c>
      <c r="C16" s="6" t="s">
        <v>23</v>
      </c>
    </row>
    <row r="17" customFormat="false" ht="15" hidden="false" customHeight="false" outlineLevel="0" collapsed="false">
      <c r="B17" s="5"/>
      <c r="C17" s="6"/>
    </row>
    <row r="18" customFormat="false" ht="15" hidden="false" customHeight="false" outlineLevel="0" collapsed="false">
      <c r="B18" s="3" t="s">
        <v>24</v>
      </c>
      <c r="C18" s="4"/>
    </row>
    <row r="19" customFormat="false" ht="15" hidden="false" customHeight="false" outlineLevel="0" collapsed="false">
      <c r="B19" s="8" t="s">
        <v>25</v>
      </c>
      <c r="C19" s="6" t="s">
        <v>26</v>
      </c>
    </row>
    <row r="20" customFormat="false" ht="15" hidden="false" customHeight="false" outlineLevel="0" collapsed="false">
      <c r="B20" s="9" t="s">
        <v>27</v>
      </c>
      <c r="C20" s="6" t="s">
        <v>28</v>
      </c>
    </row>
    <row r="21" customFormat="false" ht="15" hidden="false" customHeight="false" outlineLevel="0" collapsed="false">
      <c r="B21" s="10" t="s">
        <v>29</v>
      </c>
      <c r="C21" s="6" t="s">
        <v>30</v>
      </c>
    </row>
    <row r="22" customFormat="false" ht="15" hidden="false" customHeight="false" outlineLevel="0" collapsed="false">
      <c r="B22" s="11" t="s">
        <v>31</v>
      </c>
      <c r="C22" s="6" t="s">
        <v>32</v>
      </c>
    </row>
    <row r="23" customFormat="false" ht="15" hidden="false" customHeight="false" outlineLevel="0" collapsed="false">
      <c r="B23" s="5"/>
      <c r="C23" s="6"/>
    </row>
    <row r="24" customFormat="false" ht="15" hidden="false" customHeight="false" outlineLevel="0" collapsed="false">
      <c r="B24" s="3" t="s">
        <v>33</v>
      </c>
      <c r="C24" s="4"/>
    </row>
    <row r="25" customFormat="false" ht="15" hidden="false" customHeight="false" outlineLevel="0" collapsed="false">
      <c r="B25" s="5" t="s">
        <v>34</v>
      </c>
      <c r="C25" s="6" t="s">
        <v>35</v>
      </c>
    </row>
    <row r="26" customFormat="false" ht="15" hidden="false" customHeight="false" outlineLevel="0" collapsed="false">
      <c r="B26" s="5" t="s">
        <v>36</v>
      </c>
      <c r="C26" s="6" t="s">
        <v>37</v>
      </c>
    </row>
    <row r="27" customFormat="false" ht="26.85" hidden="false" customHeight="false" outlineLevel="0" collapsed="false">
      <c r="B27" s="5" t="s">
        <v>38</v>
      </c>
      <c r="C27" s="6" t="s">
        <v>39</v>
      </c>
    </row>
    <row r="28" customFormat="false" ht="15" hidden="false" customHeight="false" outlineLevel="0" collapsed="false">
      <c r="B28" s="5" t="s">
        <v>40</v>
      </c>
      <c r="C28" s="6" t="s">
        <v>41</v>
      </c>
    </row>
    <row r="29" customFormat="false" ht="15" hidden="false" customHeight="false" outlineLevel="0" collapsed="false">
      <c r="B29" s="5" t="s">
        <v>42</v>
      </c>
      <c r="C29" s="6" t="s">
        <v>43</v>
      </c>
    </row>
    <row r="30" customFormat="false" ht="15" hidden="false" customHeight="false" outlineLevel="0" collapsed="false">
      <c r="B30" s="7" t="s">
        <v>44</v>
      </c>
      <c r="C30" s="6" t="s">
        <v>45</v>
      </c>
    </row>
    <row r="31" customFormat="false" ht="15" hidden="false" customHeight="false" outlineLevel="0" collapsed="false">
      <c r="B31" s="5"/>
      <c r="C31" s="6"/>
    </row>
    <row r="32" customFormat="false" ht="15" hidden="false" customHeight="false" outlineLevel="0" collapsed="false">
      <c r="B32" s="3" t="s">
        <v>46</v>
      </c>
      <c r="C32" s="4"/>
    </row>
    <row r="33" customFormat="false" ht="15" hidden="false" customHeight="false" outlineLevel="0" collapsed="false">
      <c r="B33" s="5"/>
      <c r="C33" s="6" t="s">
        <v>47</v>
      </c>
    </row>
    <row r="34" customFormat="false" ht="26.85" hidden="false" customHeight="false" outlineLevel="0" collapsed="false">
      <c r="B34" s="5"/>
      <c r="C34" s="6" t="s">
        <v>48</v>
      </c>
    </row>
    <row r="35" customFormat="false" ht="26.85" hidden="false" customHeight="false" outlineLevel="0" collapsed="false">
      <c r="B35" s="5"/>
      <c r="C35" s="6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4"/>
    <col collapsed="false" customWidth="true" hidden="false" outlineLevel="0" max="4" min="4" style="0" width="30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1" t="s">
        <v>22</v>
      </c>
    </row>
    <row r="2" customFormat="false" ht="15" hidden="false" customHeight="false" outlineLevel="0" collapsed="false">
      <c r="A2" s="2" t="s">
        <v>50</v>
      </c>
    </row>
    <row r="4" customFormat="false" ht="15" hidden="false" customHeight="false" outlineLevel="0" collapsed="false">
      <c r="A4" s="12" t="s">
        <v>51</v>
      </c>
      <c r="B4" s="13"/>
      <c r="D4" s="12" t="s">
        <v>16</v>
      </c>
      <c r="E4" s="13"/>
    </row>
    <row r="5" customFormat="false" ht="26.85" hidden="false" customHeight="false" outlineLevel="0" collapsed="false">
      <c r="A5" s="14" t="s">
        <v>52</v>
      </c>
      <c r="B5" s="15" t="str">
        <f aca="false">設定!B4</f>
        <v>秋のポップアップストア（サンプル）</v>
      </c>
      <c r="D5" s="14" t="s">
        <v>53</v>
      </c>
      <c r="E5" s="16" t="n">
        <f aca="false">COUNT(スケジュール!$B$5:$B$44)</f>
        <v>7</v>
      </c>
    </row>
    <row r="6" customFormat="false" ht="26.85" hidden="false" customHeight="false" outlineLevel="0" collapsed="false">
      <c r="A6" s="14" t="s">
        <v>54</v>
      </c>
      <c r="B6" s="15" t="str">
        <f aca="false">設定!B5</f>
        <v>○○モール 1F イベントスペース</v>
      </c>
      <c r="D6" s="14" t="s">
        <v>55</v>
      </c>
      <c r="E6" s="16" t="n">
        <f aca="false">COUNTIF(スケジュール!$N$5:$N$44,"深夜帯あり")</f>
        <v>1</v>
      </c>
    </row>
    <row r="7" customFormat="false" ht="15" hidden="false" customHeight="false" outlineLevel="0" collapsed="false">
      <c r="A7" s="14" t="s">
        <v>56</v>
      </c>
      <c r="B7" s="17" t="n">
        <f aca="false">設定!B6</f>
        <v>46339</v>
      </c>
      <c r="D7" s="14" t="s">
        <v>57</v>
      </c>
      <c r="E7" s="16" t="n">
        <f aca="false">COUNTIF(スケジュール!$O$5:$O$44,"完了")</f>
        <v>0</v>
      </c>
    </row>
    <row r="8" customFormat="false" ht="25.35" hidden="false" customHeight="false" outlineLevel="0" collapsed="false">
      <c r="A8" s="14" t="s">
        <v>58</v>
      </c>
      <c r="B8" s="15" t="str">
        <f aca="false">TEXT(設定!B7,"yyyy/mm/dd")&amp;" 〜 "&amp;TEXT(設定!B8,"yyyy/mm/dd")</f>
        <v>2026/11/14 〜 2026/11/15</v>
      </c>
      <c r="D8" s="14" t="s">
        <v>59</v>
      </c>
      <c r="E8" s="16" t="n">
        <f aca="false">COUNTIF(スケジュール!$O$5:$O$44,"遅延")</f>
        <v>0</v>
      </c>
    </row>
    <row r="9" customFormat="false" ht="15" hidden="false" customHeight="false" outlineLevel="0" collapsed="false">
      <c r="A9" s="14" t="s">
        <v>60</v>
      </c>
      <c r="B9" s="17" t="n">
        <f aca="false">設定!B9</f>
        <v>46341</v>
      </c>
      <c r="D9" s="14" t="s">
        <v>61</v>
      </c>
      <c r="E9" s="18" t="n">
        <f aca="false">SUMIF(スケジュール!$D$5:$D$44,"配送",スケジュール!$I$5:$I$44)</f>
        <v>0.0833333333333333</v>
      </c>
    </row>
    <row r="10" customFormat="false" ht="15" hidden="false" customHeight="false" outlineLevel="0" collapsed="false">
      <c r="A10" s="14" t="s">
        <v>62</v>
      </c>
      <c r="B10" s="16" t="n">
        <f aca="true">IF(設定!B7="","",設定!B7-TODAY())</f>
        <v>24</v>
      </c>
      <c r="D10" s="14" t="s">
        <v>63</v>
      </c>
      <c r="E10" s="18" t="n">
        <f aca="false">SUMIF(スケジュール!$D$5:$D$44,"設営",スケジュール!$I$5:$I$44)</f>
        <v>0.270833333333333</v>
      </c>
    </row>
    <row r="11" customFormat="false" ht="15" hidden="false" customHeight="false" outlineLevel="0" collapsed="false">
      <c r="D11" s="14" t="s">
        <v>64</v>
      </c>
      <c r="E11" s="18" t="n">
        <f aca="false">SUMIF(スケジュール!$D$5:$D$44,"撤収",スケジュール!$I$5:$I$44)</f>
        <v>0.1875</v>
      </c>
    </row>
    <row r="12" customFormat="false" ht="15" hidden="false" customHeight="false" outlineLevel="0" collapsed="false">
      <c r="A12" s="12" t="s">
        <v>65</v>
      </c>
      <c r="B12" s="13"/>
    </row>
    <row r="13" customFormat="false" ht="15" hidden="false" customHeight="false" outlineLevel="0" collapsed="false">
      <c r="A13" s="14" t="s">
        <v>66</v>
      </c>
      <c r="B13" s="16" t="n">
        <f aca="false">COUNT(配車管理!$C$5:$C$34)</f>
        <v>4</v>
      </c>
      <c r="D13" s="12" t="s">
        <v>18</v>
      </c>
      <c r="E13" s="13"/>
    </row>
    <row r="14" customFormat="false" ht="15" hidden="false" customHeight="false" outlineLevel="0" collapsed="false">
      <c r="A14" s="14" t="s">
        <v>67</v>
      </c>
      <c r="B14" s="16" t="n">
        <f aca="false">COUNTIFS(配車管理!$C$5:$C$34,"&lt;&gt;",配車管理!$L$5:$L$34,"確定")</f>
        <v>1</v>
      </c>
      <c r="D14" s="14" t="s">
        <v>68</v>
      </c>
      <c r="E14" s="16" t="n">
        <f aca="false">COUNTA(スタッフ稼働!$D$5:$D$44)</f>
        <v>6</v>
      </c>
    </row>
    <row r="15" customFormat="false" ht="15" hidden="false" customHeight="false" outlineLevel="0" collapsed="false">
      <c r="A15" s="14" t="s">
        <v>69</v>
      </c>
      <c r="B15" s="16" t="n">
        <f aca="false">COUNTIFS(配車管理!$C$5:$C$34,"&lt;&gt;",配車管理!$L$5:$L$34,"仮押さえ")</f>
        <v>2</v>
      </c>
      <c r="D15" s="14" t="s">
        <v>70</v>
      </c>
      <c r="E15" s="18" t="n">
        <f aca="false">SUM(スタッフ稼働!$J$5:$J$44)</f>
        <v>1.75</v>
      </c>
    </row>
    <row r="16" customFormat="false" ht="15" hidden="false" customHeight="false" outlineLevel="0" collapsed="false">
      <c r="A16" s="14" t="s">
        <v>71</v>
      </c>
      <c r="B16" s="16" t="n">
        <f aca="false">COUNTIFS(配車管理!$C$5:$C$34,"&lt;&gt;",配車管理!$L$5:$L$34,"未手配")+COUNTIFS(配車管理!$C$5:$C$34,"&lt;&gt;",配車管理!$L$5:$L$34,"")</f>
        <v>1</v>
      </c>
      <c r="D16" s="14" t="s">
        <v>72</v>
      </c>
      <c r="E16" s="18" t="n">
        <f aca="false">SUM(スタッフ稼働!$K$5:$K$44)</f>
        <v>0.0208333333333333</v>
      </c>
    </row>
    <row r="17" customFormat="false" ht="15" hidden="false" customHeight="false" outlineLevel="0" collapsed="false">
      <c r="A17" s="14" t="s">
        <v>73</v>
      </c>
      <c r="B17" s="16" t="n">
        <f aca="false">COUNTIFS(配車管理!$C$5:$C$34,"&lt;&gt;",配車管理!$L$5:$L$34,"変更あり")</f>
        <v>0</v>
      </c>
      <c r="D17" s="14" t="s">
        <v>74</v>
      </c>
      <c r="E17" s="18" t="n">
        <f aca="false">SUM(スタッフ稼働!$L$5:$L$44)</f>
        <v>0.0625</v>
      </c>
    </row>
    <row r="18" customFormat="false" ht="15" hidden="false" customHeight="false" outlineLevel="0" collapsed="false">
      <c r="A18" s="14" t="s">
        <v>75</v>
      </c>
      <c r="B18" s="16" t="n">
        <f aca="false">COUNTIFS(配車管理!$C$5:$C$34,"&lt;&gt;",配車管理!$L$5:$L$34,"キャンセル")</f>
        <v>0</v>
      </c>
      <c r="D18" s="14" t="s">
        <v>76</v>
      </c>
      <c r="E18" s="18" t="n">
        <f aca="false">SUM(スタッフ稼働!$M$5:$M$44)</f>
        <v>0.0625</v>
      </c>
    </row>
    <row r="19" customFormat="false" ht="15" hidden="false" customHeight="false" outlineLevel="0" collapsed="false">
      <c r="A19" s="14" t="s">
        <v>77</v>
      </c>
      <c r="B19" s="16" t="n">
        <f aca="false">B13-B14-B18</f>
        <v>3</v>
      </c>
      <c r="D19" s="14" t="s">
        <v>78</v>
      </c>
      <c r="E19" s="19" t="n">
        <f aca="false">SUM(スタッフ稼働!$O$5:$O$44)</f>
        <v>1425</v>
      </c>
    </row>
    <row r="20" customFormat="false" ht="15" hidden="false" customHeight="false" outlineLevel="0" collapsed="false">
      <c r="A20" s="14" t="s">
        <v>79</v>
      </c>
      <c r="B20" s="16" t="n">
        <f aca="false">COUNTIF(配車管理!$Q$5:$Q$34,"*超過*")</f>
        <v>0</v>
      </c>
      <c r="D20" s="14" t="s">
        <v>80</v>
      </c>
      <c r="E20" s="16" t="n">
        <f aca="false">COUNTIF(スタッフ稼働!$P$5:$P$44,"?*")</f>
        <v>3</v>
      </c>
    </row>
    <row r="21" customFormat="false" ht="15" hidden="false" customHeight="false" outlineLevel="0" collapsed="false">
      <c r="A21" s="14" t="s">
        <v>81</v>
      </c>
      <c r="B21" s="16" t="n">
        <f aca="false">COUNTIF(配車管理!$Q$5:$Q$34,"*要確定*")</f>
        <v>0</v>
      </c>
      <c r="D21" s="14" t="s">
        <v>82</v>
      </c>
      <c r="E21" s="16" t="n">
        <f aca="false">COUNTIF(スタッフ稼働!$P$5:$P$44,"*深夜*")</f>
        <v>3</v>
      </c>
    </row>
    <row r="22" customFormat="false" ht="15" hidden="false" customHeight="false" outlineLevel="0" collapsed="false">
      <c r="A22" s="14" t="s">
        <v>83</v>
      </c>
      <c r="B22" s="17" t="n">
        <f aca="false">IFERROR(IF(_xlfn.MINIFS(配車管理!$M$5:$M$34,配車管理!$L$5:$L$34,"&lt;&gt;確定",配車管理!$L$5:$L$34,"&lt;&gt;キャンセル",配車管理!$C$5:$C$34,"&lt;&gt;")=0,"-",_xlfn.MINIFS(配車管理!$M$5:$M$34,配車管理!$L$5:$L$34,"&lt;&gt;確定",配車管理!$L$5:$L$34,"&lt;&gt;キャンセル",配車管理!$C$5:$C$34,"&lt;&gt;")),"-")</f>
        <v>46334</v>
      </c>
      <c r="D22" s="14" t="s">
        <v>84</v>
      </c>
      <c r="E22" s="16" t="n">
        <f aca="false">COUNTIF(スタッフ稼働!$P$5:$P$44,"*待機超過*")</f>
        <v>1</v>
      </c>
    </row>
    <row r="24" customFormat="false" ht="15" hidden="false" customHeight="false" outlineLevel="0" collapsed="false">
      <c r="A24" s="12" t="s">
        <v>20</v>
      </c>
      <c r="B24" s="13"/>
      <c r="D24" s="12" t="s">
        <v>85</v>
      </c>
      <c r="E24" s="13"/>
    </row>
    <row r="25" customFormat="false" ht="15" hidden="false" customHeight="false" outlineLevel="0" collapsed="false">
      <c r="A25" s="14" t="s">
        <v>86</v>
      </c>
      <c r="B25" s="16" t="n">
        <f aca="false">15</f>
        <v>15</v>
      </c>
      <c r="D25" s="14" t="s">
        <v>87</v>
      </c>
      <c r="E25" s="15" t="str">
        <f aca="false">設定!B11&amp;" 日前"</f>
        <v>5 日前</v>
      </c>
    </row>
    <row r="26" customFormat="false" ht="15" hidden="false" customHeight="false" outlineLevel="0" collapsed="false">
      <c r="A26" s="14" t="s">
        <v>57</v>
      </c>
      <c r="B26" s="16" t="n">
        <f aca="false">COUNTIF(チェックリスト!$G$5:$G$19,"✓")</f>
        <v>0</v>
      </c>
      <c r="D26" s="14" t="s">
        <v>88</v>
      </c>
      <c r="E26" s="15" t="str">
        <f aca="false">TEXT(設定!B13,"h:mm")&amp;" 〜 "&amp;TEXT(設定!B14,"h:mm")</f>
        <v>22:00 〜 5:00</v>
      </c>
    </row>
    <row r="27" customFormat="false" ht="15" hidden="false" customHeight="false" outlineLevel="0" collapsed="false">
      <c r="A27" s="14" t="s">
        <v>89</v>
      </c>
      <c r="B27" s="16" t="n">
        <f aca="false">COUNTIF(チェックリスト!$F$5:$F$19,"&lt;0")</f>
        <v>0</v>
      </c>
      <c r="D27" s="14" t="s">
        <v>90</v>
      </c>
      <c r="E27" s="20" t="n">
        <f aca="false">設定!B15</f>
        <v>0.333333333333333</v>
      </c>
    </row>
    <row r="28" customFormat="false" ht="15" hidden="false" customHeight="false" outlineLevel="0" collapsed="false">
      <c r="A28" s="21" t="s">
        <v>91</v>
      </c>
      <c r="B28" s="16" t="n">
        <f aca="false">COUNTIFS(チェックリスト!$F$5:$F$19,"&gt;=0",チェックリスト!$F$5:$F$19,"&lt;=3")</f>
        <v>0</v>
      </c>
      <c r="D28" s="14" t="s">
        <v>92</v>
      </c>
      <c r="E28" s="15" t="str">
        <f aca="false">TEXT(設定!B17,"0%")&amp;" / "&amp;TEXT(設定!B18,"0%")</f>
        <v>25% / 25%</v>
      </c>
    </row>
    <row r="30" customFormat="false" ht="15" hidden="false" customHeight="false" outlineLevel="0" collapsed="false">
      <c r="A30" s="2" t="s">
        <v>93</v>
      </c>
    </row>
  </sheetData>
  <conditionalFormatting sqref="B19">
    <cfRule type="expression" priority="2" aboveAverage="0" equalAverage="0" bottom="0" percent="0" rank="0" text="" dxfId="0">
      <formula>AND(ISNUMBER(B19),B19&gt;0)</formula>
    </cfRule>
  </conditionalFormatting>
  <conditionalFormatting sqref="B20">
    <cfRule type="expression" priority="3" aboveAverage="0" equalAverage="0" bottom="0" percent="0" rank="0" text="" dxfId="0">
      <formula>AND(ISNUMBER(B20),B20&gt;0)</formula>
    </cfRule>
  </conditionalFormatting>
  <conditionalFormatting sqref="E6">
    <cfRule type="expression" priority="4" aboveAverage="0" equalAverage="0" bottom="0" percent="0" rank="0" text="" dxfId="0">
      <formula>AND(ISNUMBER(E6),E6&gt;0)</formula>
    </cfRule>
  </conditionalFormatting>
  <conditionalFormatting sqref="E21">
    <cfRule type="expression" priority="5" aboveAverage="0" equalAverage="0" bottom="0" percent="0" rank="0" text="" dxfId="0">
      <formula>AND(ISNUMBER(E21),E21&gt;0)</formula>
    </cfRule>
  </conditionalFormatting>
  <conditionalFormatting sqref="E22">
    <cfRule type="expression" priority="6" aboveAverage="0" equalAverage="0" bottom="0" percent="0" rank="0" text="" dxfId="0">
      <formula>AND(ISNUMBER(E22),E22&gt;0)</formula>
    </cfRule>
  </conditionalFormatting>
  <conditionalFormatting sqref="B27">
    <cfRule type="expression" priority="7" aboveAverage="0" equalAverage="0" bottom="0" percent="0" rank="0" text="" dxfId="0">
      <formula>AND(ISNUMBER(B27),B27&gt;0)</formula>
    </cfRule>
  </conditionalFormatting>
  <conditionalFormatting sqref="B21">
    <cfRule type="expression" priority="8" aboveAverage="0" equalAverage="0" bottom="0" percent="0" rank="0" text="" dxfId="1">
      <formula>AND(ISNUMBER(B21),B21&gt;0)</formula>
    </cfRule>
  </conditionalFormatting>
  <conditionalFormatting sqref="E16">
    <cfRule type="expression" priority="9" aboveAverage="0" equalAverage="0" bottom="0" percent="0" rank="0" text="" dxfId="1">
      <formula>AND(ISNUMBER(E16),E16&gt;0)</formula>
    </cfRule>
  </conditionalFormatting>
  <conditionalFormatting sqref="E20">
    <cfRule type="expression" priority="10" aboveAverage="0" equalAverage="0" bottom="0" percent="0" rank="0" text="" dxfId="1">
      <formula>AND(ISNUMBER(E20),E20&gt;0)</formula>
    </cfRule>
  </conditionalFormatting>
  <conditionalFormatting sqref="B28">
    <cfRule type="expression" priority="11" aboveAverage="0" equalAverage="0" bottom="0" percent="0" rank="0" text="" dxfId="1">
      <formula>AND(ISNUMBER(B28),B28&gt;0)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94</v>
      </c>
    </row>
    <row r="2" customFormat="false" ht="15" hidden="false" customHeight="false" outlineLevel="0" collapsed="false">
      <c r="A2" s="2" t="s">
        <v>95</v>
      </c>
    </row>
    <row r="3" customFormat="false" ht="31.5" hidden="false" customHeight="true" outlineLevel="0" collapsed="false">
      <c r="A3" s="22" t="s">
        <v>96</v>
      </c>
      <c r="B3" s="22" t="s">
        <v>97</v>
      </c>
      <c r="C3" s="22" t="s">
        <v>98</v>
      </c>
    </row>
    <row r="4" customFormat="false" ht="26.85" hidden="false" customHeight="false" outlineLevel="0" collapsed="false">
      <c r="A4" s="23" t="s">
        <v>52</v>
      </c>
      <c r="B4" s="24" t="s">
        <v>99</v>
      </c>
      <c r="C4" s="25" t="s">
        <v>100</v>
      </c>
    </row>
    <row r="5" customFormat="false" ht="26.85" hidden="false" customHeight="false" outlineLevel="0" collapsed="false">
      <c r="A5" s="23" t="s">
        <v>54</v>
      </c>
      <c r="B5" s="24" t="s">
        <v>101</v>
      </c>
      <c r="C5" s="25"/>
    </row>
    <row r="6" customFormat="false" ht="15" hidden="false" customHeight="false" outlineLevel="0" collapsed="false">
      <c r="A6" s="23" t="s">
        <v>56</v>
      </c>
      <c r="B6" s="26" t="n">
        <v>46339</v>
      </c>
      <c r="C6" s="25" t="s">
        <v>102</v>
      </c>
    </row>
    <row r="7" customFormat="false" ht="15" hidden="false" customHeight="false" outlineLevel="0" collapsed="false">
      <c r="A7" s="23" t="s">
        <v>103</v>
      </c>
      <c r="B7" s="26" t="n">
        <v>46340</v>
      </c>
      <c r="C7" s="25" t="s">
        <v>104</v>
      </c>
    </row>
    <row r="8" customFormat="false" ht="15" hidden="false" customHeight="false" outlineLevel="0" collapsed="false">
      <c r="A8" s="23" t="s">
        <v>105</v>
      </c>
      <c r="B8" s="26" t="n">
        <v>46341</v>
      </c>
      <c r="C8" s="25"/>
    </row>
    <row r="9" customFormat="false" ht="15" hidden="false" customHeight="false" outlineLevel="0" collapsed="false">
      <c r="A9" s="23" t="s">
        <v>60</v>
      </c>
      <c r="B9" s="26" t="n">
        <v>46341</v>
      </c>
      <c r="C9" s="25" t="s">
        <v>106</v>
      </c>
    </row>
    <row r="10" customFormat="false" ht="15" hidden="false" customHeight="false" outlineLevel="0" collapsed="false">
      <c r="A10" s="3" t="s">
        <v>107</v>
      </c>
    </row>
    <row r="11" customFormat="false" ht="25.35" hidden="false" customHeight="false" outlineLevel="0" collapsed="false">
      <c r="A11" s="23" t="s">
        <v>108</v>
      </c>
      <c r="B11" s="27" t="n">
        <v>5</v>
      </c>
      <c r="C11" s="25" t="s">
        <v>109</v>
      </c>
    </row>
    <row r="12" customFormat="false" ht="15" hidden="false" customHeight="false" outlineLevel="0" collapsed="false">
      <c r="A12" s="23" t="s">
        <v>110</v>
      </c>
      <c r="B12" s="27" t="n">
        <v>3</v>
      </c>
      <c r="C12" s="25" t="s">
        <v>111</v>
      </c>
    </row>
    <row r="13" customFormat="false" ht="15" hidden="false" customHeight="false" outlineLevel="0" collapsed="false">
      <c r="A13" s="23" t="s">
        <v>112</v>
      </c>
      <c r="B13" s="28" t="n">
        <v>0.916666666666667</v>
      </c>
      <c r="C13" s="25" t="s">
        <v>113</v>
      </c>
    </row>
    <row r="14" customFormat="false" ht="15" hidden="false" customHeight="false" outlineLevel="0" collapsed="false">
      <c r="A14" s="23" t="s">
        <v>114</v>
      </c>
      <c r="B14" s="28" t="n">
        <v>0.208333333333333</v>
      </c>
      <c r="C14" s="25" t="s">
        <v>115</v>
      </c>
    </row>
    <row r="15" customFormat="false" ht="15" hidden="false" customHeight="false" outlineLevel="0" collapsed="false">
      <c r="A15" s="23" t="s">
        <v>90</v>
      </c>
      <c r="B15" s="28" t="n">
        <v>0.333333333333333</v>
      </c>
      <c r="C15" s="25" t="s">
        <v>116</v>
      </c>
    </row>
    <row r="16" customFormat="false" ht="15" hidden="false" customHeight="false" outlineLevel="0" collapsed="false">
      <c r="A16" s="23" t="s">
        <v>117</v>
      </c>
      <c r="B16" s="29" t="n">
        <v>0.0416666666666667</v>
      </c>
      <c r="C16" s="25" t="s">
        <v>118</v>
      </c>
    </row>
    <row r="17" customFormat="false" ht="25.35" hidden="false" customHeight="false" outlineLevel="0" collapsed="false">
      <c r="A17" s="23" t="s">
        <v>119</v>
      </c>
      <c r="B17" s="30" t="n">
        <v>0.25</v>
      </c>
      <c r="C17" s="25" t="s">
        <v>120</v>
      </c>
    </row>
    <row r="18" customFormat="false" ht="15" hidden="false" customHeight="false" outlineLevel="0" collapsed="false">
      <c r="A18" s="23" t="s">
        <v>121</v>
      </c>
      <c r="B18" s="30" t="n">
        <v>0.25</v>
      </c>
      <c r="C18" s="25" t="s">
        <v>122</v>
      </c>
    </row>
    <row r="19" customFormat="false" ht="15" hidden="false" customHeight="false" outlineLevel="0" collapsed="false">
      <c r="A19" s="23" t="s">
        <v>123</v>
      </c>
      <c r="B19" s="28" t="n">
        <v>0.0416666666666667</v>
      </c>
      <c r="C19" s="25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5" min="4" style="0" width="16"/>
    <col collapsed="false" customWidth="true" hidden="false" outlineLevel="0" max="6" min="6" style="0" width="4"/>
    <col collapsed="false" customWidth="true" hidden="false" outlineLevel="0" max="8" min="7" style="0" width="16"/>
  </cols>
  <sheetData>
    <row r="1" customFormat="false" ht="17.35" hidden="false" customHeight="false" outlineLevel="0" collapsed="false">
      <c r="A1" s="1" t="s">
        <v>125</v>
      </c>
    </row>
    <row r="2" customFormat="false" ht="15" hidden="false" customHeight="false" outlineLevel="0" collapsed="false">
      <c r="A2" s="22" t="s">
        <v>126</v>
      </c>
      <c r="C2" s="22" t="s">
        <v>127</v>
      </c>
      <c r="E2" s="22" t="s">
        <v>128</v>
      </c>
      <c r="G2" s="22" t="s">
        <v>129</v>
      </c>
    </row>
    <row r="3" customFormat="false" ht="15" hidden="false" customHeight="false" outlineLevel="0" collapsed="false">
      <c r="A3" s="31" t="s">
        <v>130</v>
      </c>
      <c r="C3" s="31" t="s">
        <v>131</v>
      </c>
      <c r="E3" s="31" t="s">
        <v>132</v>
      </c>
      <c r="G3" s="31" t="s">
        <v>133</v>
      </c>
    </row>
    <row r="4" customFormat="false" ht="15" hidden="false" customHeight="false" outlineLevel="0" collapsed="false">
      <c r="A4" s="31" t="s">
        <v>69</v>
      </c>
      <c r="C4" s="31" t="s">
        <v>134</v>
      </c>
      <c r="E4" s="31" t="s">
        <v>135</v>
      </c>
      <c r="G4" s="31" t="s">
        <v>136</v>
      </c>
    </row>
    <row r="5" customFormat="false" ht="15" hidden="false" customHeight="false" outlineLevel="0" collapsed="false">
      <c r="A5" s="31" t="s">
        <v>67</v>
      </c>
      <c r="C5" s="31" t="s">
        <v>137</v>
      </c>
      <c r="E5" s="32" t="s">
        <v>138</v>
      </c>
      <c r="G5" s="31" t="s">
        <v>57</v>
      </c>
    </row>
    <row r="6" customFormat="false" ht="15" hidden="false" customHeight="false" outlineLevel="0" collapsed="false">
      <c r="A6" s="31" t="s">
        <v>73</v>
      </c>
      <c r="C6" s="31" t="s">
        <v>139</v>
      </c>
      <c r="E6" s="32" t="s">
        <v>140</v>
      </c>
      <c r="G6" s="31" t="s">
        <v>59</v>
      </c>
    </row>
    <row r="7" customFormat="false" ht="15" hidden="false" customHeight="false" outlineLevel="0" collapsed="false">
      <c r="A7" s="31" t="s">
        <v>75</v>
      </c>
      <c r="C7" s="31" t="s">
        <v>141</v>
      </c>
      <c r="E7" s="31" t="s">
        <v>142</v>
      </c>
      <c r="G7" s="31"/>
    </row>
    <row r="8" customFormat="false" ht="15" hidden="false" customHeight="false" outlineLevel="0" collapsed="false">
      <c r="A8" s="31"/>
      <c r="C8" s="31"/>
      <c r="E8" s="31"/>
      <c r="G8" s="31"/>
    </row>
    <row r="9" customFormat="false" ht="15" hidden="false" customHeight="false" outlineLevel="0" collapsed="false">
      <c r="A9" s="3" t="s">
        <v>143</v>
      </c>
    </row>
    <row r="10" customFormat="false" ht="31.5" hidden="false" customHeight="true" outlineLevel="0" collapsed="false">
      <c r="A10" s="22" t="s">
        <v>144</v>
      </c>
      <c r="B10" s="22" t="s">
        <v>145</v>
      </c>
      <c r="C10" s="22" t="s">
        <v>146</v>
      </c>
      <c r="D10" s="22" t="s">
        <v>147</v>
      </c>
      <c r="E10" s="22" t="s">
        <v>148</v>
      </c>
    </row>
    <row r="11" customFormat="false" ht="26.85" hidden="false" customHeight="false" outlineLevel="0" collapsed="false">
      <c r="A11" s="31" t="s">
        <v>149</v>
      </c>
      <c r="B11" s="32" t="s">
        <v>150</v>
      </c>
      <c r="C11" s="33" t="n">
        <v>3</v>
      </c>
      <c r="D11" s="34" t="n">
        <v>0.5</v>
      </c>
      <c r="E11" s="34" t="n">
        <v>1</v>
      </c>
    </row>
    <row r="12" customFormat="false" ht="26.85" hidden="false" customHeight="false" outlineLevel="0" collapsed="false">
      <c r="A12" s="31" t="s">
        <v>151</v>
      </c>
      <c r="B12" s="32" t="s">
        <v>152</v>
      </c>
      <c r="C12" s="33" t="n">
        <v>2</v>
      </c>
      <c r="D12" s="34" t="n">
        <v>0.3</v>
      </c>
      <c r="E12" s="34" t="n">
        <v>1</v>
      </c>
    </row>
    <row r="13" customFormat="false" ht="15" hidden="false" customHeight="false" outlineLevel="0" collapsed="false">
      <c r="A13" s="31"/>
      <c r="B13" s="31"/>
      <c r="C13" s="33"/>
      <c r="D13" s="34"/>
      <c r="E13" s="34"/>
    </row>
    <row r="14" customFormat="false" ht="15" hidden="false" customHeight="false" outlineLevel="0" collapsed="false">
      <c r="A14" s="31"/>
      <c r="B14" s="31"/>
      <c r="C14" s="33"/>
      <c r="D14" s="34"/>
      <c r="E14" s="34"/>
    </row>
    <row r="15" customFormat="false" ht="15" hidden="false" customHeight="false" outlineLevel="0" collapsed="false">
      <c r="A15" s="31"/>
      <c r="B15" s="31"/>
      <c r="C15" s="33"/>
      <c r="D15" s="34"/>
      <c r="E15" s="34"/>
    </row>
    <row r="16" customFormat="false" ht="15" hidden="false" customHeight="false" outlineLevel="0" collapsed="false">
      <c r="A16" s="31"/>
      <c r="B16" s="31"/>
      <c r="C16" s="33"/>
      <c r="D16" s="34"/>
      <c r="E16" s="34"/>
    </row>
    <row r="17" customFormat="false" ht="15" hidden="false" customHeight="false" outlineLevel="0" collapsed="false">
      <c r="A17" s="31"/>
      <c r="B17" s="31"/>
      <c r="C17" s="33"/>
      <c r="D17" s="34"/>
      <c r="E17" s="34"/>
    </row>
    <row r="18" customFormat="false" ht="15" hidden="false" customHeight="false" outlineLevel="0" collapsed="false">
      <c r="A18" s="31"/>
      <c r="B18" s="31"/>
      <c r="C18" s="33"/>
      <c r="D18" s="34"/>
      <c r="E18" s="34"/>
    </row>
    <row r="19" customFormat="false" ht="15" hidden="false" customHeight="false" outlineLevel="0" collapsed="false">
      <c r="A19" s="31"/>
      <c r="B19" s="31"/>
      <c r="C19" s="33"/>
      <c r="D19" s="34"/>
      <c r="E19" s="34"/>
    </row>
    <row r="20" customFormat="false" ht="15" hidden="false" customHeight="false" outlineLevel="0" collapsed="false">
      <c r="A20" s="31"/>
      <c r="B20" s="31"/>
      <c r="C20" s="33"/>
      <c r="D20" s="34"/>
      <c r="E20" s="34"/>
    </row>
    <row r="23" customFormat="false" ht="15" hidden="false" customHeight="false" outlineLevel="0" collapsed="false">
      <c r="A23" s="3" t="s">
        <v>153</v>
      </c>
    </row>
    <row r="24" customFormat="false" ht="31.5" hidden="false" customHeight="true" outlineLevel="0" collapsed="false">
      <c r="A24" s="22" t="s">
        <v>154</v>
      </c>
      <c r="B24" s="22" t="s">
        <v>155</v>
      </c>
      <c r="C24" s="22" t="s">
        <v>156</v>
      </c>
      <c r="D24" s="22" t="s">
        <v>145</v>
      </c>
    </row>
    <row r="25" customFormat="false" ht="15" hidden="false" customHeight="false" outlineLevel="0" collapsed="false">
      <c r="A25" s="31" t="s">
        <v>157</v>
      </c>
      <c r="B25" s="31" t="s">
        <v>158</v>
      </c>
      <c r="C25" s="35" t="n">
        <v>1500</v>
      </c>
      <c r="D25" s="32" t="s">
        <v>159</v>
      </c>
    </row>
    <row r="26" customFormat="false" ht="15" hidden="false" customHeight="false" outlineLevel="0" collapsed="false">
      <c r="A26" s="31" t="s">
        <v>160</v>
      </c>
      <c r="B26" s="31" t="s">
        <v>161</v>
      </c>
      <c r="C26" s="35" t="n">
        <v>1200</v>
      </c>
      <c r="D26" s="32" t="s">
        <v>162</v>
      </c>
    </row>
    <row r="27" customFormat="false" ht="15" hidden="false" customHeight="false" outlineLevel="0" collapsed="false">
      <c r="A27" s="31" t="s">
        <v>163</v>
      </c>
      <c r="B27" s="31" t="s">
        <v>161</v>
      </c>
      <c r="C27" s="35" t="n">
        <v>1200</v>
      </c>
      <c r="D27" s="32" t="s">
        <v>164</v>
      </c>
    </row>
    <row r="28" customFormat="false" ht="15" hidden="false" customHeight="false" outlineLevel="0" collapsed="false">
      <c r="A28" s="31"/>
      <c r="B28" s="31"/>
      <c r="C28" s="35"/>
      <c r="D28" s="31"/>
    </row>
    <row r="29" customFormat="false" ht="15" hidden="false" customHeight="false" outlineLevel="0" collapsed="false">
      <c r="A29" s="31"/>
      <c r="B29" s="31"/>
      <c r="C29" s="35"/>
      <c r="D29" s="31"/>
    </row>
    <row r="30" customFormat="false" ht="15" hidden="false" customHeight="false" outlineLevel="0" collapsed="false">
      <c r="A30" s="31"/>
      <c r="B30" s="31"/>
      <c r="C30" s="35"/>
      <c r="D30" s="31"/>
    </row>
    <row r="31" customFormat="false" ht="15" hidden="false" customHeight="false" outlineLevel="0" collapsed="false">
      <c r="A31" s="31"/>
      <c r="B31" s="31"/>
      <c r="C31" s="35"/>
      <c r="D31" s="31"/>
    </row>
    <row r="32" customFormat="false" ht="15" hidden="false" customHeight="false" outlineLevel="0" collapsed="false">
      <c r="A32" s="31"/>
      <c r="B32" s="31"/>
      <c r="C32" s="35"/>
      <c r="D32" s="31"/>
    </row>
    <row r="33" customFormat="false" ht="15" hidden="false" customHeight="false" outlineLevel="0" collapsed="false">
      <c r="A33" s="31"/>
      <c r="B33" s="31"/>
      <c r="C33" s="35"/>
      <c r="D33" s="31"/>
    </row>
    <row r="34" customFormat="false" ht="15" hidden="false" customHeight="false" outlineLevel="0" collapsed="false">
      <c r="A34" s="31"/>
      <c r="B34" s="31"/>
      <c r="C34" s="35"/>
      <c r="D34" s="31"/>
    </row>
    <row r="35" customFormat="false" ht="15" hidden="false" customHeight="false" outlineLevel="0" collapsed="false">
      <c r="A35" s="31"/>
      <c r="B35" s="31"/>
      <c r="C35" s="35"/>
      <c r="D35" s="31"/>
    </row>
    <row r="36" customFormat="false" ht="15" hidden="false" customHeight="false" outlineLevel="0" collapsed="false">
      <c r="A36" s="31"/>
      <c r="B36" s="31"/>
      <c r="C36" s="35"/>
      <c r="D36" s="31"/>
    </row>
    <row r="37" customFormat="false" ht="15" hidden="false" customHeight="false" outlineLevel="0" collapsed="false">
      <c r="A37" s="31"/>
      <c r="B37" s="31"/>
      <c r="C37" s="35"/>
      <c r="D37" s="31"/>
    </row>
    <row r="38" customFormat="false" ht="15" hidden="false" customHeight="false" outlineLevel="0" collapsed="false">
      <c r="A38" s="31"/>
      <c r="B38" s="31"/>
      <c r="C38" s="35"/>
      <c r="D38" s="31"/>
    </row>
    <row r="39" customFormat="false" ht="15" hidden="false" customHeight="false" outlineLevel="0" collapsed="false">
      <c r="A39" s="31"/>
      <c r="B39" s="31"/>
      <c r="C39" s="35"/>
      <c r="D39" s="31"/>
    </row>
    <row r="40" customFormat="false" ht="15" hidden="false" customHeight="false" outlineLevel="0" collapsed="false">
      <c r="A40" s="31"/>
      <c r="B40" s="31"/>
      <c r="C40" s="35"/>
      <c r="D40" s="3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S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6"/>
    <col collapsed="false" customWidth="true" hidden="false" outlineLevel="0" max="5" min="5" style="0" width="11"/>
    <col collapsed="false" customWidth="true" hidden="false" outlineLevel="0" max="6" min="6" style="0" width="6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9"/>
    <col collapsed="false" customWidth="true" hidden="false" outlineLevel="0" max="10" min="10" style="0" width="16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5" min="15" style="0" width="14"/>
    <col collapsed="false" customWidth="true" hidden="false" outlineLevel="0" max="16" min="16" style="0" width="12"/>
    <col collapsed="false" customWidth="true" hidden="false" outlineLevel="0" max="17" min="17" style="0" width="22"/>
    <col collapsed="false" customWidth="true" hidden="false" outlineLevel="0" max="18" min="18" style="0" width="10"/>
    <col collapsed="false" customWidth="true" hidden="false" outlineLevel="0" max="19" min="19" style="0" width="28"/>
  </cols>
  <sheetData>
    <row r="1" customFormat="false" ht="17.35" hidden="false" customHeight="false" outlineLevel="0" collapsed="false">
      <c r="A1" s="1" t="s">
        <v>165</v>
      </c>
    </row>
    <row r="2" customFormat="false" ht="15" hidden="false" customHeight="false" outlineLevel="0" collapsed="false">
      <c r="A2" s="2" t="s">
        <v>166</v>
      </c>
    </row>
    <row r="4" customFormat="false" ht="31.5" hidden="false" customHeight="true" outlineLevel="0" collapsed="false">
      <c r="A4" s="36" t="s">
        <v>167</v>
      </c>
      <c r="B4" s="22" t="s">
        <v>127</v>
      </c>
      <c r="C4" s="22" t="s">
        <v>168</v>
      </c>
      <c r="D4" s="22" t="s">
        <v>169</v>
      </c>
      <c r="E4" s="22" t="s">
        <v>128</v>
      </c>
      <c r="F4" s="22" t="s">
        <v>170</v>
      </c>
      <c r="G4" s="22" t="s">
        <v>144</v>
      </c>
      <c r="H4" s="22" t="s">
        <v>171</v>
      </c>
      <c r="I4" s="22" t="s">
        <v>172</v>
      </c>
      <c r="J4" s="22" t="s">
        <v>173</v>
      </c>
      <c r="K4" s="22" t="s">
        <v>174</v>
      </c>
      <c r="L4" s="22" t="s">
        <v>175</v>
      </c>
      <c r="M4" s="22" t="s">
        <v>176</v>
      </c>
      <c r="N4" s="22" t="s">
        <v>177</v>
      </c>
      <c r="O4" s="22" t="s">
        <v>178</v>
      </c>
      <c r="P4" s="22" t="s">
        <v>179</v>
      </c>
      <c r="Q4" s="22" t="s">
        <v>180</v>
      </c>
      <c r="R4" s="22" t="s">
        <v>181</v>
      </c>
      <c r="S4" s="22" t="s">
        <v>182</v>
      </c>
    </row>
    <row r="5" customFormat="false" ht="15" hidden="false" customHeight="false" outlineLevel="0" collapsed="false">
      <c r="A5" s="31" t="n">
        <v>1</v>
      </c>
      <c r="B5" s="31" t="s">
        <v>131</v>
      </c>
      <c r="C5" s="37" t="n">
        <v>46339</v>
      </c>
      <c r="D5" s="15" t="str">
        <f aca="false">IF(C5="","",CHOOSE(WEEKDAY(C5),"日","月","火","水","木","金","土"))</f>
        <v>金</v>
      </c>
      <c r="E5" s="32" t="s">
        <v>138</v>
      </c>
      <c r="F5" s="31" t="n">
        <v>1</v>
      </c>
      <c r="G5" s="31" t="s">
        <v>149</v>
      </c>
      <c r="H5" s="38" t="s">
        <v>183</v>
      </c>
      <c r="I5" s="39" t="n">
        <v>0.375</v>
      </c>
      <c r="J5" s="38" t="s">
        <v>184</v>
      </c>
      <c r="K5" s="39" t="n">
        <v>0.458333333333333</v>
      </c>
      <c r="L5" s="31" t="s">
        <v>67</v>
      </c>
      <c r="M5" s="17" t="n">
        <f aca="false">IF(C5="","",C5-設定!$B$11)</f>
        <v>46334</v>
      </c>
      <c r="N5" s="16" t="n">
        <f aca="true">IF(C5="","",M5-TODAY())</f>
        <v>18</v>
      </c>
      <c r="O5" s="17" t="n">
        <f aca="false">IF(OR(C5="",G5=""),"",IFERROR(C5-INDEX(マスタ!$C$11:$C$20,MATCH(G5,マスタ!$A$11:$A$20,0)),"業者未登録"))</f>
        <v>46336</v>
      </c>
      <c r="P5" s="37" t="n">
        <v>46331</v>
      </c>
      <c r="Q5" s="40" t="str">
        <f aca="false">IF(C5="","",IF(L5="キャンセル","",IF(L5="確定",IF(P5="","確定日を入力",""),IF(N5&lt;0,"⚠期限超過：至急確定",IF(N5&lt;=設定!$B$12,"要確定（期限間近）","")))))</f>
        <v/>
      </c>
      <c r="R5" s="31" t="s">
        <v>157</v>
      </c>
      <c r="S5" s="38" t="s">
        <v>185</v>
      </c>
    </row>
    <row r="6" customFormat="false" ht="15" hidden="false" customHeight="false" outlineLevel="0" collapsed="false">
      <c r="A6" s="31" t="n">
        <v>2</v>
      </c>
      <c r="B6" s="31" t="s">
        <v>131</v>
      </c>
      <c r="C6" s="37" t="n">
        <v>46339</v>
      </c>
      <c r="D6" s="15" t="str">
        <f aca="false">IF(C6="","",CHOOSE(WEEKDAY(C6),"日","月","火","水","木","金","土"))</f>
        <v>金</v>
      </c>
      <c r="E6" s="31" t="s">
        <v>135</v>
      </c>
      <c r="F6" s="31" t="n">
        <v>1</v>
      </c>
      <c r="G6" s="31" t="s">
        <v>151</v>
      </c>
      <c r="H6" s="38" t="s">
        <v>186</v>
      </c>
      <c r="I6" s="39" t="n">
        <v>0.416666666666667</v>
      </c>
      <c r="J6" s="38" t="s">
        <v>184</v>
      </c>
      <c r="K6" s="39" t="n">
        <v>0.479166666666667</v>
      </c>
      <c r="L6" s="31" t="s">
        <v>69</v>
      </c>
      <c r="M6" s="17" t="n">
        <f aca="false">IF(C6="","",C6-設定!$B$11)</f>
        <v>46334</v>
      </c>
      <c r="N6" s="16" t="n">
        <f aca="true">IF(C6="","",M6-TODAY())</f>
        <v>18</v>
      </c>
      <c r="O6" s="17" t="n">
        <f aca="false">IF(OR(C6="",G6=""),"",IFERROR(C6-INDEX(マスタ!$C$11:$C$20,MATCH(G6,マスタ!$A$11:$A$20,0)),"業者未登録"))</f>
        <v>46337</v>
      </c>
      <c r="P6" s="37"/>
      <c r="Q6" s="40" t="str">
        <f aca="false">IF(C6="","",IF(L6="キャンセル","",IF(L6="確定",IF(P6="","確定日を入力",""),IF(N6&lt;0,"⚠期限超過：至急確定",IF(N6&lt;=設定!$B$12,"要確定（期限間近）","")))))</f>
        <v/>
      </c>
      <c r="R6" s="31" t="s">
        <v>157</v>
      </c>
      <c r="S6" s="38" t="s">
        <v>187</v>
      </c>
    </row>
    <row r="7" customFormat="false" ht="15" hidden="false" customHeight="false" outlineLevel="0" collapsed="false">
      <c r="A7" s="31" t="n">
        <v>3</v>
      </c>
      <c r="B7" s="31" t="s">
        <v>137</v>
      </c>
      <c r="C7" s="37" t="n">
        <v>46341</v>
      </c>
      <c r="D7" s="15" t="str">
        <f aca="false">IF(C7="","",CHOOSE(WEEKDAY(C7),"日","月","火","水","木","金","土"))</f>
        <v>日</v>
      </c>
      <c r="E7" s="32" t="s">
        <v>138</v>
      </c>
      <c r="F7" s="31" t="n">
        <v>1</v>
      </c>
      <c r="G7" s="31" t="s">
        <v>149</v>
      </c>
      <c r="H7" s="38" t="s">
        <v>184</v>
      </c>
      <c r="I7" s="39" t="n">
        <v>0.833333333333333</v>
      </c>
      <c r="J7" s="38" t="s">
        <v>183</v>
      </c>
      <c r="K7" s="39" t="n">
        <v>0.916666666666667</v>
      </c>
      <c r="L7" s="31" t="s">
        <v>130</v>
      </c>
      <c r="M7" s="17" t="n">
        <f aca="false">IF(C7="","",C7-設定!$B$11)</f>
        <v>46336</v>
      </c>
      <c r="N7" s="16" t="n">
        <f aca="true">IF(C7="","",M7-TODAY())</f>
        <v>20</v>
      </c>
      <c r="O7" s="17" t="n">
        <f aca="false">IF(OR(C7="",G7=""),"",IFERROR(C7-INDEX(マスタ!$C$11:$C$20,MATCH(G7,マスタ!$A$11:$A$20,0)),"業者未登録"))</f>
        <v>46338</v>
      </c>
      <c r="P7" s="37"/>
      <c r="Q7" s="40" t="str">
        <f aca="false">IF(C7="","",IF(L7="キャンセル","",IF(L7="確定",IF(P7="","確定日を入力",""),IF(N7&lt;0,"⚠期限超過：至急確定",IF(N7&lt;=設定!$B$12,"要確定（期限間近）","")))))</f>
        <v/>
      </c>
      <c r="R7" s="31" t="s">
        <v>157</v>
      </c>
      <c r="S7" s="38" t="s">
        <v>188</v>
      </c>
    </row>
    <row r="8" customFormat="false" ht="15" hidden="false" customHeight="false" outlineLevel="0" collapsed="false">
      <c r="A8" s="31" t="n">
        <v>4</v>
      </c>
      <c r="B8" s="31" t="s">
        <v>139</v>
      </c>
      <c r="C8" s="37" t="n">
        <v>46342</v>
      </c>
      <c r="D8" s="15" t="str">
        <f aca="false">IF(C8="","",CHOOSE(WEEKDAY(C8),"日","月","火","水","木","金","土"))</f>
        <v>月</v>
      </c>
      <c r="E8" s="31" t="s">
        <v>132</v>
      </c>
      <c r="F8" s="31" t="n">
        <v>1</v>
      </c>
      <c r="G8" s="31" t="s">
        <v>151</v>
      </c>
      <c r="H8" s="38" t="s">
        <v>184</v>
      </c>
      <c r="I8" s="39" t="n">
        <v>0.375</v>
      </c>
      <c r="J8" s="38" t="s">
        <v>186</v>
      </c>
      <c r="K8" s="39" t="n">
        <v>0.416666666666667</v>
      </c>
      <c r="L8" s="31" t="s">
        <v>69</v>
      </c>
      <c r="M8" s="17" t="n">
        <f aca="false">IF(C8="","",C8-設定!$B$11)</f>
        <v>46337</v>
      </c>
      <c r="N8" s="16" t="n">
        <f aca="true">IF(C8="","",M8-TODAY())</f>
        <v>21</v>
      </c>
      <c r="O8" s="17" t="n">
        <f aca="false">IF(OR(C8="",G8=""),"",IFERROR(C8-INDEX(マスタ!$C$11:$C$20,MATCH(G8,マスタ!$A$11:$A$20,0)),"業者未登録"))</f>
        <v>46340</v>
      </c>
      <c r="P8" s="37"/>
      <c r="Q8" s="40" t="str">
        <f aca="false">IF(C8="","",IF(L8="キャンセル","",IF(L8="確定",IF(P8="","確定日を入力",""),IF(N8&lt;0,"⚠期限超過：至急確定",IF(N8&lt;=設定!$B$12,"要確定（期限間近）","")))))</f>
        <v/>
      </c>
      <c r="R8" s="31" t="s">
        <v>160</v>
      </c>
      <c r="S8" s="38" t="s">
        <v>189</v>
      </c>
    </row>
    <row r="9" customFormat="false" ht="15" hidden="false" customHeight="false" outlineLevel="0" collapsed="false">
      <c r="A9" s="31" t="n">
        <v>5</v>
      </c>
      <c r="B9" s="31"/>
      <c r="C9" s="37"/>
      <c r="D9" s="15" t="str">
        <f aca="false">IF(C9="","",CHOOSE(WEEKDAY(C9),"日","月","火","水","木","金","土"))</f>
        <v/>
      </c>
      <c r="E9" s="31"/>
      <c r="F9" s="31"/>
      <c r="G9" s="31"/>
      <c r="H9" s="38"/>
      <c r="I9" s="39"/>
      <c r="J9" s="38"/>
      <c r="K9" s="39"/>
      <c r="L9" s="31"/>
      <c r="M9" s="17" t="str">
        <f aca="false">IF(C9="","",C9-設定!$B$11)</f>
        <v/>
      </c>
      <c r="N9" s="16" t="str">
        <f aca="true">IF(C9="","",M9-TODAY())</f>
        <v/>
      </c>
      <c r="O9" s="17" t="str">
        <f aca="false">IF(OR(C9="",G9=""),"",IFERROR(C9-INDEX(マスタ!$C$11:$C$20,MATCH(G9,マスタ!$A$11:$A$20,0)),"業者未登録"))</f>
        <v/>
      </c>
      <c r="P9" s="37"/>
      <c r="Q9" s="40" t="str">
        <f aca="false">IF(C9="","",IF(L9="キャンセル","",IF(L9="確定",IF(P9="","確定日を入力",""),IF(N9&lt;0,"⚠期限超過：至急確定",IF(N9&lt;=設定!$B$12,"要確定（期限間近）","")))))</f>
        <v/>
      </c>
      <c r="R9" s="31"/>
      <c r="S9" s="38"/>
    </row>
    <row r="10" customFormat="false" ht="15" hidden="false" customHeight="false" outlineLevel="0" collapsed="false">
      <c r="A10" s="31" t="n">
        <v>6</v>
      </c>
      <c r="B10" s="31"/>
      <c r="C10" s="37"/>
      <c r="D10" s="15" t="str">
        <f aca="false">IF(C10="","",CHOOSE(WEEKDAY(C10),"日","月","火","水","木","金","土"))</f>
        <v/>
      </c>
      <c r="E10" s="31"/>
      <c r="F10" s="31"/>
      <c r="G10" s="31"/>
      <c r="H10" s="38"/>
      <c r="I10" s="39"/>
      <c r="J10" s="38"/>
      <c r="K10" s="39"/>
      <c r="L10" s="31"/>
      <c r="M10" s="17" t="str">
        <f aca="false">IF(C10="","",C10-設定!$B$11)</f>
        <v/>
      </c>
      <c r="N10" s="16" t="str">
        <f aca="true">IF(C10="","",M10-TODAY())</f>
        <v/>
      </c>
      <c r="O10" s="17" t="str">
        <f aca="false">IF(OR(C10="",G10=""),"",IFERROR(C10-INDEX(マスタ!$C$11:$C$20,MATCH(G10,マスタ!$A$11:$A$20,0)),"業者未登録"))</f>
        <v/>
      </c>
      <c r="P10" s="37"/>
      <c r="Q10" s="40" t="str">
        <f aca="false">IF(C10="","",IF(L10="キャンセル","",IF(L10="確定",IF(P10="","確定日を入力",""),IF(N10&lt;0,"⚠期限超過：至急確定",IF(N10&lt;=設定!$B$12,"要確定（期限間近）","")))))</f>
        <v/>
      </c>
      <c r="R10" s="31"/>
      <c r="S10" s="38"/>
    </row>
    <row r="11" customFormat="false" ht="15" hidden="false" customHeight="false" outlineLevel="0" collapsed="false">
      <c r="A11" s="31" t="n">
        <v>7</v>
      </c>
      <c r="B11" s="31"/>
      <c r="C11" s="37"/>
      <c r="D11" s="15" t="str">
        <f aca="false">IF(C11="","",CHOOSE(WEEKDAY(C11),"日","月","火","水","木","金","土"))</f>
        <v/>
      </c>
      <c r="E11" s="31"/>
      <c r="F11" s="31"/>
      <c r="G11" s="31"/>
      <c r="H11" s="38"/>
      <c r="I11" s="39"/>
      <c r="J11" s="38"/>
      <c r="K11" s="39"/>
      <c r="L11" s="31"/>
      <c r="M11" s="17" t="str">
        <f aca="false">IF(C11="","",C11-設定!$B$11)</f>
        <v/>
      </c>
      <c r="N11" s="16" t="str">
        <f aca="true">IF(C11="","",M11-TODAY())</f>
        <v/>
      </c>
      <c r="O11" s="17" t="str">
        <f aca="false">IF(OR(C11="",G11=""),"",IFERROR(C11-INDEX(マスタ!$C$11:$C$20,MATCH(G11,マスタ!$A$11:$A$20,0)),"業者未登録"))</f>
        <v/>
      </c>
      <c r="P11" s="37"/>
      <c r="Q11" s="40" t="str">
        <f aca="false">IF(C11="","",IF(L11="キャンセル","",IF(L11="確定",IF(P11="","確定日を入力",""),IF(N11&lt;0,"⚠期限超過：至急確定",IF(N11&lt;=設定!$B$12,"要確定（期限間近）","")))))</f>
        <v/>
      </c>
      <c r="R11" s="31"/>
      <c r="S11" s="38"/>
    </row>
    <row r="12" customFormat="false" ht="15" hidden="false" customHeight="false" outlineLevel="0" collapsed="false">
      <c r="A12" s="31" t="n">
        <v>8</v>
      </c>
      <c r="B12" s="31"/>
      <c r="C12" s="37"/>
      <c r="D12" s="15" t="str">
        <f aca="false">IF(C12="","",CHOOSE(WEEKDAY(C12),"日","月","火","水","木","金","土"))</f>
        <v/>
      </c>
      <c r="E12" s="31"/>
      <c r="F12" s="31"/>
      <c r="G12" s="31"/>
      <c r="H12" s="38"/>
      <c r="I12" s="39"/>
      <c r="J12" s="38"/>
      <c r="K12" s="39"/>
      <c r="L12" s="31"/>
      <c r="M12" s="17" t="str">
        <f aca="false">IF(C12="","",C12-設定!$B$11)</f>
        <v/>
      </c>
      <c r="N12" s="16" t="str">
        <f aca="true">IF(C12="","",M12-TODAY())</f>
        <v/>
      </c>
      <c r="O12" s="17" t="str">
        <f aca="false">IF(OR(C12="",G12=""),"",IFERROR(C12-INDEX(マスタ!$C$11:$C$20,MATCH(G12,マスタ!$A$11:$A$20,0)),"業者未登録"))</f>
        <v/>
      </c>
      <c r="P12" s="37"/>
      <c r="Q12" s="40" t="str">
        <f aca="false">IF(C12="","",IF(L12="キャンセル","",IF(L12="確定",IF(P12="","確定日を入力",""),IF(N12&lt;0,"⚠期限超過：至急確定",IF(N12&lt;=設定!$B$12,"要確定（期限間近）","")))))</f>
        <v/>
      </c>
      <c r="R12" s="31"/>
      <c r="S12" s="38"/>
    </row>
    <row r="13" customFormat="false" ht="15" hidden="false" customHeight="false" outlineLevel="0" collapsed="false">
      <c r="A13" s="31" t="n">
        <v>9</v>
      </c>
      <c r="B13" s="31"/>
      <c r="C13" s="37"/>
      <c r="D13" s="15" t="str">
        <f aca="false">IF(C13="","",CHOOSE(WEEKDAY(C13),"日","月","火","水","木","金","土"))</f>
        <v/>
      </c>
      <c r="E13" s="31"/>
      <c r="F13" s="31"/>
      <c r="G13" s="31"/>
      <c r="H13" s="38"/>
      <c r="I13" s="39"/>
      <c r="J13" s="38"/>
      <c r="K13" s="39"/>
      <c r="L13" s="31"/>
      <c r="M13" s="17" t="str">
        <f aca="false">IF(C13="","",C13-設定!$B$11)</f>
        <v/>
      </c>
      <c r="N13" s="16" t="str">
        <f aca="true">IF(C13="","",M13-TODAY())</f>
        <v/>
      </c>
      <c r="O13" s="17" t="str">
        <f aca="false">IF(OR(C13="",G13=""),"",IFERROR(C13-INDEX(マスタ!$C$11:$C$20,MATCH(G13,マスタ!$A$11:$A$20,0)),"業者未登録"))</f>
        <v/>
      </c>
      <c r="P13" s="37"/>
      <c r="Q13" s="40" t="str">
        <f aca="false">IF(C13="","",IF(L13="キャンセル","",IF(L13="確定",IF(P13="","確定日を入力",""),IF(N13&lt;0,"⚠期限超過：至急確定",IF(N13&lt;=設定!$B$12,"要確定（期限間近）","")))))</f>
        <v/>
      </c>
      <c r="R13" s="31"/>
      <c r="S13" s="38"/>
    </row>
    <row r="14" customFormat="false" ht="15" hidden="false" customHeight="false" outlineLevel="0" collapsed="false">
      <c r="A14" s="31" t="n">
        <v>10</v>
      </c>
      <c r="B14" s="31"/>
      <c r="C14" s="37"/>
      <c r="D14" s="15" t="str">
        <f aca="false">IF(C14="","",CHOOSE(WEEKDAY(C14),"日","月","火","水","木","金","土"))</f>
        <v/>
      </c>
      <c r="E14" s="31"/>
      <c r="F14" s="31"/>
      <c r="G14" s="31"/>
      <c r="H14" s="38"/>
      <c r="I14" s="39"/>
      <c r="J14" s="38"/>
      <c r="K14" s="39"/>
      <c r="L14" s="31"/>
      <c r="M14" s="17" t="str">
        <f aca="false">IF(C14="","",C14-設定!$B$11)</f>
        <v/>
      </c>
      <c r="N14" s="16" t="str">
        <f aca="true">IF(C14="","",M14-TODAY())</f>
        <v/>
      </c>
      <c r="O14" s="17" t="str">
        <f aca="false">IF(OR(C14="",G14=""),"",IFERROR(C14-INDEX(マスタ!$C$11:$C$20,MATCH(G14,マスタ!$A$11:$A$20,0)),"業者未登録"))</f>
        <v/>
      </c>
      <c r="P14" s="37"/>
      <c r="Q14" s="40" t="str">
        <f aca="false">IF(C14="","",IF(L14="キャンセル","",IF(L14="確定",IF(P14="","確定日を入力",""),IF(N14&lt;0,"⚠期限超過：至急確定",IF(N14&lt;=設定!$B$12,"要確定（期限間近）","")))))</f>
        <v/>
      </c>
      <c r="R14" s="31"/>
      <c r="S14" s="38"/>
    </row>
    <row r="15" customFormat="false" ht="15" hidden="false" customHeight="false" outlineLevel="0" collapsed="false">
      <c r="A15" s="31" t="n">
        <v>11</v>
      </c>
      <c r="B15" s="31"/>
      <c r="C15" s="37"/>
      <c r="D15" s="15" t="str">
        <f aca="false">IF(C15="","",CHOOSE(WEEKDAY(C15),"日","月","火","水","木","金","土"))</f>
        <v/>
      </c>
      <c r="E15" s="31"/>
      <c r="F15" s="31"/>
      <c r="G15" s="31"/>
      <c r="H15" s="38"/>
      <c r="I15" s="39"/>
      <c r="J15" s="38"/>
      <c r="K15" s="39"/>
      <c r="L15" s="31"/>
      <c r="M15" s="17" t="str">
        <f aca="false">IF(C15="","",C15-設定!$B$11)</f>
        <v/>
      </c>
      <c r="N15" s="16" t="str">
        <f aca="true">IF(C15="","",M15-TODAY())</f>
        <v/>
      </c>
      <c r="O15" s="17" t="str">
        <f aca="false">IF(OR(C15="",G15=""),"",IFERROR(C15-INDEX(マスタ!$C$11:$C$20,MATCH(G15,マスタ!$A$11:$A$20,0)),"業者未登録"))</f>
        <v/>
      </c>
      <c r="P15" s="37"/>
      <c r="Q15" s="40" t="str">
        <f aca="false">IF(C15="","",IF(L15="キャンセル","",IF(L15="確定",IF(P15="","確定日を入力",""),IF(N15&lt;0,"⚠期限超過：至急確定",IF(N15&lt;=設定!$B$12,"要確定（期限間近）","")))))</f>
        <v/>
      </c>
      <c r="R15" s="31"/>
      <c r="S15" s="38"/>
    </row>
    <row r="16" customFormat="false" ht="15" hidden="false" customHeight="false" outlineLevel="0" collapsed="false">
      <c r="A16" s="31" t="n">
        <v>12</v>
      </c>
      <c r="B16" s="31"/>
      <c r="C16" s="37"/>
      <c r="D16" s="15" t="str">
        <f aca="false">IF(C16="","",CHOOSE(WEEKDAY(C16),"日","月","火","水","木","金","土"))</f>
        <v/>
      </c>
      <c r="E16" s="31"/>
      <c r="F16" s="31"/>
      <c r="G16" s="31"/>
      <c r="H16" s="38"/>
      <c r="I16" s="39"/>
      <c r="J16" s="38"/>
      <c r="K16" s="39"/>
      <c r="L16" s="31"/>
      <c r="M16" s="17" t="str">
        <f aca="false">IF(C16="","",C16-設定!$B$11)</f>
        <v/>
      </c>
      <c r="N16" s="16" t="str">
        <f aca="true">IF(C16="","",M16-TODAY())</f>
        <v/>
      </c>
      <c r="O16" s="17" t="str">
        <f aca="false">IF(OR(C16="",G16=""),"",IFERROR(C16-INDEX(マスタ!$C$11:$C$20,MATCH(G16,マスタ!$A$11:$A$20,0)),"業者未登録"))</f>
        <v/>
      </c>
      <c r="P16" s="37"/>
      <c r="Q16" s="40" t="str">
        <f aca="false">IF(C16="","",IF(L16="キャンセル","",IF(L16="確定",IF(P16="","確定日を入力",""),IF(N16&lt;0,"⚠期限超過：至急確定",IF(N16&lt;=設定!$B$12,"要確定（期限間近）","")))))</f>
        <v/>
      </c>
      <c r="R16" s="31"/>
      <c r="S16" s="38"/>
    </row>
    <row r="17" customFormat="false" ht="15" hidden="false" customHeight="false" outlineLevel="0" collapsed="false">
      <c r="A17" s="31" t="n">
        <v>13</v>
      </c>
      <c r="B17" s="31"/>
      <c r="C17" s="37"/>
      <c r="D17" s="15" t="str">
        <f aca="false">IF(C17="","",CHOOSE(WEEKDAY(C17),"日","月","火","水","木","金","土"))</f>
        <v/>
      </c>
      <c r="E17" s="31"/>
      <c r="F17" s="31"/>
      <c r="G17" s="31"/>
      <c r="H17" s="38"/>
      <c r="I17" s="39"/>
      <c r="J17" s="38"/>
      <c r="K17" s="39"/>
      <c r="L17" s="31"/>
      <c r="M17" s="17" t="str">
        <f aca="false">IF(C17="","",C17-設定!$B$11)</f>
        <v/>
      </c>
      <c r="N17" s="16" t="str">
        <f aca="true">IF(C17="","",M17-TODAY())</f>
        <v/>
      </c>
      <c r="O17" s="17" t="str">
        <f aca="false">IF(OR(C17="",G17=""),"",IFERROR(C17-INDEX(マスタ!$C$11:$C$20,MATCH(G17,マスタ!$A$11:$A$20,0)),"業者未登録"))</f>
        <v/>
      </c>
      <c r="P17" s="37"/>
      <c r="Q17" s="40" t="str">
        <f aca="false">IF(C17="","",IF(L17="キャンセル","",IF(L17="確定",IF(P17="","確定日を入力",""),IF(N17&lt;0,"⚠期限超過：至急確定",IF(N17&lt;=設定!$B$12,"要確定（期限間近）","")))))</f>
        <v/>
      </c>
      <c r="R17" s="31"/>
      <c r="S17" s="38"/>
    </row>
    <row r="18" customFormat="false" ht="15" hidden="false" customHeight="false" outlineLevel="0" collapsed="false">
      <c r="A18" s="31" t="n">
        <v>14</v>
      </c>
      <c r="B18" s="31"/>
      <c r="C18" s="37"/>
      <c r="D18" s="15" t="str">
        <f aca="false">IF(C18="","",CHOOSE(WEEKDAY(C18),"日","月","火","水","木","金","土"))</f>
        <v/>
      </c>
      <c r="E18" s="31"/>
      <c r="F18" s="31"/>
      <c r="G18" s="31"/>
      <c r="H18" s="38"/>
      <c r="I18" s="39"/>
      <c r="J18" s="38"/>
      <c r="K18" s="39"/>
      <c r="L18" s="31"/>
      <c r="M18" s="17" t="str">
        <f aca="false">IF(C18="","",C18-設定!$B$11)</f>
        <v/>
      </c>
      <c r="N18" s="16" t="str">
        <f aca="true">IF(C18="","",M18-TODAY())</f>
        <v/>
      </c>
      <c r="O18" s="17" t="str">
        <f aca="false">IF(OR(C18="",G18=""),"",IFERROR(C18-INDEX(マスタ!$C$11:$C$20,MATCH(G18,マスタ!$A$11:$A$20,0)),"業者未登録"))</f>
        <v/>
      </c>
      <c r="P18" s="37"/>
      <c r="Q18" s="40" t="str">
        <f aca="false">IF(C18="","",IF(L18="キャンセル","",IF(L18="確定",IF(P18="","確定日を入力",""),IF(N18&lt;0,"⚠期限超過：至急確定",IF(N18&lt;=設定!$B$12,"要確定（期限間近）","")))))</f>
        <v/>
      </c>
      <c r="R18" s="31"/>
      <c r="S18" s="38"/>
    </row>
    <row r="19" customFormat="false" ht="15" hidden="false" customHeight="false" outlineLevel="0" collapsed="false">
      <c r="A19" s="31" t="n">
        <v>15</v>
      </c>
      <c r="B19" s="31"/>
      <c r="C19" s="37"/>
      <c r="D19" s="15" t="str">
        <f aca="false">IF(C19="","",CHOOSE(WEEKDAY(C19),"日","月","火","水","木","金","土"))</f>
        <v/>
      </c>
      <c r="E19" s="31"/>
      <c r="F19" s="31"/>
      <c r="G19" s="31"/>
      <c r="H19" s="38"/>
      <c r="I19" s="39"/>
      <c r="J19" s="38"/>
      <c r="K19" s="39"/>
      <c r="L19" s="31"/>
      <c r="M19" s="17" t="str">
        <f aca="false">IF(C19="","",C19-設定!$B$11)</f>
        <v/>
      </c>
      <c r="N19" s="16" t="str">
        <f aca="true">IF(C19="","",M19-TODAY())</f>
        <v/>
      </c>
      <c r="O19" s="17" t="str">
        <f aca="false">IF(OR(C19="",G19=""),"",IFERROR(C19-INDEX(マスタ!$C$11:$C$20,MATCH(G19,マスタ!$A$11:$A$20,0)),"業者未登録"))</f>
        <v/>
      </c>
      <c r="P19" s="37"/>
      <c r="Q19" s="40" t="str">
        <f aca="false">IF(C19="","",IF(L19="キャンセル","",IF(L19="確定",IF(P19="","確定日を入力",""),IF(N19&lt;0,"⚠期限超過：至急確定",IF(N19&lt;=設定!$B$12,"要確定（期限間近）","")))))</f>
        <v/>
      </c>
      <c r="R19" s="31"/>
      <c r="S19" s="38"/>
    </row>
    <row r="20" customFormat="false" ht="15" hidden="false" customHeight="false" outlineLevel="0" collapsed="false">
      <c r="A20" s="31" t="n">
        <v>16</v>
      </c>
      <c r="B20" s="31"/>
      <c r="C20" s="37"/>
      <c r="D20" s="15" t="str">
        <f aca="false">IF(C20="","",CHOOSE(WEEKDAY(C20),"日","月","火","水","木","金","土"))</f>
        <v/>
      </c>
      <c r="E20" s="31"/>
      <c r="F20" s="31"/>
      <c r="G20" s="31"/>
      <c r="H20" s="38"/>
      <c r="I20" s="39"/>
      <c r="J20" s="38"/>
      <c r="K20" s="39"/>
      <c r="L20" s="31"/>
      <c r="M20" s="17" t="str">
        <f aca="false">IF(C20="","",C20-設定!$B$11)</f>
        <v/>
      </c>
      <c r="N20" s="16" t="str">
        <f aca="true">IF(C20="","",M20-TODAY())</f>
        <v/>
      </c>
      <c r="O20" s="17" t="str">
        <f aca="false">IF(OR(C20="",G20=""),"",IFERROR(C20-INDEX(マスタ!$C$11:$C$20,MATCH(G20,マスタ!$A$11:$A$20,0)),"業者未登録"))</f>
        <v/>
      </c>
      <c r="P20" s="37"/>
      <c r="Q20" s="40" t="str">
        <f aca="false">IF(C20="","",IF(L20="キャンセル","",IF(L20="確定",IF(P20="","確定日を入力",""),IF(N20&lt;0,"⚠期限超過：至急確定",IF(N20&lt;=設定!$B$12,"要確定（期限間近）","")))))</f>
        <v/>
      </c>
      <c r="R20" s="31"/>
      <c r="S20" s="38"/>
    </row>
    <row r="21" customFormat="false" ht="15" hidden="false" customHeight="false" outlineLevel="0" collapsed="false">
      <c r="A21" s="31" t="n">
        <v>17</v>
      </c>
      <c r="B21" s="31"/>
      <c r="C21" s="37"/>
      <c r="D21" s="15" t="str">
        <f aca="false">IF(C21="","",CHOOSE(WEEKDAY(C21),"日","月","火","水","木","金","土"))</f>
        <v/>
      </c>
      <c r="E21" s="31"/>
      <c r="F21" s="31"/>
      <c r="G21" s="31"/>
      <c r="H21" s="38"/>
      <c r="I21" s="39"/>
      <c r="J21" s="38"/>
      <c r="K21" s="39"/>
      <c r="L21" s="31"/>
      <c r="M21" s="17" t="str">
        <f aca="false">IF(C21="","",C21-設定!$B$11)</f>
        <v/>
      </c>
      <c r="N21" s="16" t="str">
        <f aca="true">IF(C21="","",M21-TODAY())</f>
        <v/>
      </c>
      <c r="O21" s="17" t="str">
        <f aca="false">IF(OR(C21="",G21=""),"",IFERROR(C21-INDEX(マスタ!$C$11:$C$20,MATCH(G21,マスタ!$A$11:$A$20,0)),"業者未登録"))</f>
        <v/>
      </c>
      <c r="P21" s="37"/>
      <c r="Q21" s="40" t="str">
        <f aca="false">IF(C21="","",IF(L21="キャンセル","",IF(L21="確定",IF(P21="","確定日を入力",""),IF(N21&lt;0,"⚠期限超過：至急確定",IF(N21&lt;=設定!$B$12,"要確定（期限間近）","")))))</f>
        <v/>
      </c>
      <c r="R21" s="31"/>
      <c r="S21" s="38"/>
    </row>
    <row r="22" customFormat="false" ht="15" hidden="false" customHeight="false" outlineLevel="0" collapsed="false">
      <c r="A22" s="31" t="n">
        <v>18</v>
      </c>
      <c r="B22" s="31"/>
      <c r="C22" s="37"/>
      <c r="D22" s="15" t="str">
        <f aca="false">IF(C22="","",CHOOSE(WEEKDAY(C22),"日","月","火","水","木","金","土"))</f>
        <v/>
      </c>
      <c r="E22" s="31"/>
      <c r="F22" s="31"/>
      <c r="G22" s="31"/>
      <c r="H22" s="38"/>
      <c r="I22" s="39"/>
      <c r="J22" s="38"/>
      <c r="K22" s="39"/>
      <c r="L22" s="31"/>
      <c r="M22" s="17" t="str">
        <f aca="false">IF(C22="","",C22-設定!$B$11)</f>
        <v/>
      </c>
      <c r="N22" s="16" t="str">
        <f aca="true">IF(C22="","",M22-TODAY())</f>
        <v/>
      </c>
      <c r="O22" s="17" t="str">
        <f aca="false">IF(OR(C22="",G22=""),"",IFERROR(C22-INDEX(マスタ!$C$11:$C$20,MATCH(G22,マスタ!$A$11:$A$20,0)),"業者未登録"))</f>
        <v/>
      </c>
      <c r="P22" s="37"/>
      <c r="Q22" s="40" t="str">
        <f aca="false">IF(C22="","",IF(L22="キャンセル","",IF(L22="確定",IF(P22="","確定日を入力",""),IF(N22&lt;0,"⚠期限超過：至急確定",IF(N22&lt;=設定!$B$12,"要確定（期限間近）","")))))</f>
        <v/>
      </c>
      <c r="R22" s="31"/>
      <c r="S22" s="38"/>
    </row>
    <row r="23" customFormat="false" ht="15" hidden="false" customHeight="false" outlineLevel="0" collapsed="false">
      <c r="A23" s="31" t="n">
        <v>19</v>
      </c>
      <c r="B23" s="31"/>
      <c r="C23" s="37"/>
      <c r="D23" s="15" t="str">
        <f aca="false">IF(C23="","",CHOOSE(WEEKDAY(C23),"日","月","火","水","木","金","土"))</f>
        <v/>
      </c>
      <c r="E23" s="31"/>
      <c r="F23" s="31"/>
      <c r="G23" s="31"/>
      <c r="H23" s="38"/>
      <c r="I23" s="39"/>
      <c r="J23" s="38"/>
      <c r="K23" s="39"/>
      <c r="L23" s="31"/>
      <c r="M23" s="17" t="str">
        <f aca="false">IF(C23="","",C23-設定!$B$11)</f>
        <v/>
      </c>
      <c r="N23" s="16" t="str">
        <f aca="true">IF(C23="","",M23-TODAY())</f>
        <v/>
      </c>
      <c r="O23" s="17" t="str">
        <f aca="false">IF(OR(C23="",G23=""),"",IFERROR(C23-INDEX(マスタ!$C$11:$C$20,MATCH(G23,マスタ!$A$11:$A$20,0)),"業者未登録"))</f>
        <v/>
      </c>
      <c r="P23" s="37"/>
      <c r="Q23" s="40" t="str">
        <f aca="false">IF(C23="","",IF(L23="キャンセル","",IF(L23="確定",IF(P23="","確定日を入力",""),IF(N23&lt;0,"⚠期限超過：至急確定",IF(N23&lt;=設定!$B$12,"要確定（期限間近）","")))))</f>
        <v/>
      </c>
      <c r="R23" s="31"/>
      <c r="S23" s="38"/>
    </row>
    <row r="24" customFormat="false" ht="15" hidden="false" customHeight="false" outlineLevel="0" collapsed="false">
      <c r="A24" s="31" t="n">
        <v>20</v>
      </c>
      <c r="B24" s="31"/>
      <c r="C24" s="37"/>
      <c r="D24" s="15" t="str">
        <f aca="false">IF(C24="","",CHOOSE(WEEKDAY(C24),"日","月","火","水","木","金","土"))</f>
        <v/>
      </c>
      <c r="E24" s="31"/>
      <c r="F24" s="31"/>
      <c r="G24" s="31"/>
      <c r="H24" s="38"/>
      <c r="I24" s="39"/>
      <c r="J24" s="38"/>
      <c r="K24" s="39"/>
      <c r="L24" s="31"/>
      <c r="M24" s="17" t="str">
        <f aca="false">IF(C24="","",C24-設定!$B$11)</f>
        <v/>
      </c>
      <c r="N24" s="16" t="str">
        <f aca="true">IF(C24="","",M24-TODAY())</f>
        <v/>
      </c>
      <c r="O24" s="17" t="str">
        <f aca="false">IF(OR(C24="",G24=""),"",IFERROR(C24-INDEX(マスタ!$C$11:$C$20,MATCH(G24,マスタ!$A$11:$A$20,0)),"業者未登録"))</f>
        <v/>
      </c>
      <c r="P24" s="37"/>
      <c r="Q24" s="40" t="str">
        <f aca="false">IF(C24="","",IF(L24="キャンセル","",IF(L24="確定",IF(P24="","確定日を入力",""),IF(N24&lt;0,"⚠期限超過：至急確定",IF(N24&lt;=設定!$B$12,"要確定（期限間近）","")))))</f>
        <v/>
      </c>
      <c r="R24" s="31"/>
      <c r="S24" s="38"/>
    </row>
    <row r="25" customFormat="false" ht="15" hidden="false" customHeight="false" outlineLevel="0" collapsed="false">
      <c r="A25" s="31" t="n">
        <v>21</v>
      </c>
      <c r="B25" s="31"/>
      <c r="C25" s="37"/>
      <c r="D25" s="15" t="str">
        <f aca="false">IF(C25="","",CHOOSE(WEEKDAY(C25),"日","月","火","水","木","金","土"))</f>
        <v/>
      </c>
      <c r="E25" s="31"/>
      <c r="F25" s="31"/>
      <c r="G25" s="31"/>
      <c r="H25" s="38"/>
      <c r="I25" s="39"/>
      <c r="J25" s="38"/>
      <c r="K25" s="39"/>
      <c r="L25" s="31"/>
      <c r="M25" s="17" t="str">
        <f aca="false">IF(C25="","",C25-設定!$B$11)</f>
        <v/>
      </c>
      <c r="N25" s="16" t="str">
        <f aca="true">IF(C25="","",M25-TODAY())</f>
        <v/>
      </c>
      <c r="O25" s="17" t="str">
        <f aca="false">IF(OR(C25="",G25=""),"",IFERROR(C25-INDEX(マスタ!$C$11:$C$20,MATCH(G25,マスタ!$A$11:$A$20,0)),"業者未登録"))</f>
        <v/>
      </c>
      <c r="P25" s="37"/>
      <c r="Q25" s="40" t="str">
        <f aca="false">IF(C25="","",IF(L25="キャンセル","",IF(L25="確定",IF(P25="","確定日を入力",""),IF(N25&lt;0,"⚠期限超過：至急確定",IF(N25&lt;=設定!$B$12,"要確定（期限間近）","")))))</f>
        <v/>
      </c>
      <c r="R25" s="31"/>
      <c r="S25" s="38"/>
    </row>
    <row r="26" customFormat="false" ht="15" hidden="false" customHeight="false" outlineLevel="0" collapsed="false">
      <c r="A26" s="31" t="n">
        <v>22</v>
      </c>
      <c r="B26" s="31"/>
      <c r="C26" s="37"/>
      <c r="D26" s="15" t="str">
        <f aca="false">IF(C26="","",CHOOSE(WEEKDAY(C26),"日","月","火","水","木","金","土"))</f>
        <v/>
      </c>
      <c r="E26" s="31"/>
      <c r="F26" s="31"/>
      <c r="G26" s="31"/>
      <c r="H26" s="38"/>
      <c r="I26" s="39"/>
      <c r="J26" s="38"/>
      <c r="K26" s="39"/>
      <c r="L26" s="31"/>
      <c r="M26" s="17" t="str">
        <f aca="false">IF(C26="","",C26-設定!$B$11)</f>
        <v/>
      </c>
      <c r="N26" s="16" t="str">
        <f aca="true">IF(C26="","",M26-TODAY())</f>
        <v/>
      </c>
      <c r="O26" s="17" t="str">
        <f aca="false">IF(OR(C26="",G26=""),"",IFERROR(C26-INDEX(マスタ!$C$11:$C$20,MATCH(G26,マスタ!$A$11:$A$20,0)),"業者未登録"))</f>
        <v/>
      </c>
      <c r="P26" s="37"/>
      <c r="Q26" s="40" t="str">
        <f aca="false">IF(C26="","",IF(L26="キャンセル","",IF(L26="確定",IF(P26="","確定日を入力",""),IF(N26&lt;0,"⚠期限超過：至急確定",IF(N26&lt;=設定!$B$12,"要確定（期限間近）","")))))</f>
        <v/>
      </c>
      <c r="R26" s="31"/>
      <c r="S26" s="38"/>
    </row>
    <row r="27" customFormat="false" ht="15" hidden="false" customHeight="false" outlineLevel="0" collapsed="false">
      <c r="A27" s="31" t="n">
        <v>23</v>
      </c>
      <c r="B27" s="31"/>
      <c r="C27" s="37"/>
      <c r="D27" s="15" t="str">
        <f aca="false">IF(C27="","",CHOOSE(WEEKDAY(C27),"日","月","火","水","木","金","土"))</f>
        <v/>
      </c>
      <c r="E27" s="31"/>
      <c r="F27" s="31"/>
      <c r="G27" s="31"/>
      <c r="H27" s="38"/>
      <c r="I27" s="39"/>
      <c r="J27" s="38"/>
      <c r="K27" s="39"/>
      <c r="L27" s="31"/>
      <c r="M27" s="17" t="str">
        <f aca="false">IF(C27="","",C27-設定!$B$11)</f>
        <v/>
      </c>
      <c r="N27" s="16" t="str">
        <f aca="true">IF(C27="","",M27-TODAY())</f>
        <v/>
      </c>
      <c r="O27" s="17" t="str">
        <f aca="false">IF(OR(C27="",G27=""),"",IFERROR(C27-INDEX(マスタ!$C$11:$C$20,MATCH(G27,マスタ!$A$11:$A$20,0)),"業者未登録"))</f>
        <v/>
      </c>
      <c r="P27" s="37"/>
      <c r="Q27" s="40" t="str">
        <f aca="false">IF(C27="","",IF(L27="キャンセル","",IF(L27="確定",IF(P27="","確定日を入力",""),IF(N27&lt;0,"⚠期限超過：至急確定",IF(N27&lt;=設定!$B$12,"要確定（期限間近）","")))))</f>
        <v/>
      </c>
      <c r="R27" s="31"/>
      <c r="S27" s="38"/>
    </row>
    <row r="28" customFormat="false" ht="15" hidden="false" customHeight="false" outlineLevel="0" collapsed="false">
      <c r="A28" s="31" t="n">
        <v>24</v>
      </c>
      <c r="B28" s="31"/>
      <c r="C28" s="37"/>
      <c r="D28" s="15" t="str">
        <f aca="false">IF(C28="","",CHOOSE(WEEKDAY(C28),"日","月","火","水","木","金","土"))</f>
        <v/>
      </c>
      <c r="E28" s="31"/>
      <c r="F28" s="31"/>
      <c r="G28" s="31"/>
      <c r="H28" s="38"/>
      <c r="I28" s="39"/>
      <c r="J28" s="38"/>
      <c r="K28" s="39"/>
      <c r="L28" s="31"/>
      <c r="M28" s="17" t="str">
        <f aca="false">IF(C28="","",C28-設定!$B$11)</f>
        <v/>
      </c>
      <c r="N28" s="16" t="str">
        <f aca="true">IF(C28="","",M28-TODAY())</f>
        <v/>
      </c>
      <c r="O28" s="17" t="str">
        <f aca="false">IF(OR(C28="",G28=""),"",IFERROR(C28-INDEX(マスタ!$C$11:$C$20,MATCH(G28,マスタ!$A$11:$A$20,0)),"業者未登録"))</f>
        <v/>
      </c>
      <c r="P28" s="37"/>
      <c r="Q28" s="40" t="str">
        <f aca="false">IF(C28="","",IF(L28="キャンセル","",IF(L28="確定",IF(P28="","確定日を入力",""),IF(N28&lt;0,"⚠期限超過：至急確定",IF(N28&lt;=設定!$B$12,"要確定（期限間近）","")))))</f>
        <v/>
      </c>
      <c r="R28" s="31"/>
      <c r="S28" s="38"/>
    </row>
    <row r="29" customFormat="false" ht="15" hidden="false" customHeight="false" outlineLevel="0" collapsed="false">
      <c r="A29" s="31" t="n">
        <v>25</v>
      </c>
      <c r="B29" s="31"/>
      <c r="C29" s="37"/>
      <c r="D29" s="15" t="str">
        <f aca="false">IF(C29="","",CHOOSE(WEEKDAY(C29),"日","月","火","水","木","金","土"))</f>
        <v/>
      </c>
      <c r="E29" s="31"/>
      <c r="F29" s="31"/>
      <c r="G29" s="31"/>
      <c r="H29" s="38"/>
      <c r="I29" s="39"/>
      <c r="J29" s="38"/>
      <c r="K29" s="39"/>
      <c r="L29" s="31"/>
      <c r="M29" s="17" t="str">
        <f aca="false">IF(C29="","",C29-設定!$B$11)</f>
        <v/>
      </c>
      <c r="N29" s="16" t="str">
        <f aca="true">IF(C29="","",M29-TODAY())</f>
        <v/>
      </c>
      <c r="O29" s="17" t="str">
        <f aca="false">IF(OR(C29="",G29=""),"",IFERROR(C29-INDEX(マスタ!$C$11:$C$20,MATCH(G29,マスタ!$A$11:$A$20,0)),"業者未登録"))</f>
        <v/>
      </c>
      <c r="P29" s="37"/>
      <c r="Q29" s="40" t="str">
        <f aca="false">IF(C29="","",IF(L29="キャンセル","",IF(L29="確定",IF(P29="","確定日を入力",""),IF(N29&lt;0,"⚠期限超過：至急確定",IF(N29&lt;=設定!$B$12,"要確定（期限間近）","")))))</f>
        <v/>
      </c>
      <c r="R29" s="31"/>
      <c r="S29" s="38"/>
    </row>
    <row r="30" customFormat="false" ht="15" hidden="false" customHeight="false" outlineLevel="0" collapsed="false">
      <c r="A30" s="31" t="n">
        <v>26</v>
      </c>
      <c r="B30" s="31"/>
      <c r="C30" s="37"/>
      <c r="D30" s="15" t="str">
        <f aca="false">IF(C30="","",CHOOSE(WEEKDAY(C30),"日","月","火","水","木","金","土"))</f>
        <v/>
      </c>
      <c r="E30" s="31"/>
      <c r="F30" s="31"/>
      <c r="G30" s="31"/>
      <c r="H30" s="38"/>
      <c r="I30" s="39"/>
      <c r="J30" s="38"/>
      <c r="K30" s="39"/>
      <c r="L30" s="31"/>
      <c r="M30" s="17" t="str">
        <f aca="false">IF(C30="","",C30-設定!$B$11)</f>
        <v/>
      </c>
      <c r="N30" s="16" t="str">
        <f aca="true">IF(C30="","",M30-TODAY())</f>
        <v/>
      </c>
      <c r="O30" s="17" t="str">
        <f aca="false">IF(OR(C30="",G30=""),"",IFERROR(C30-INDEX(マスタ!$C$11:$C$20,MATCH(G30,マスタ!$A$11:$A$20,0)),"業者未登録"))</f>
        <v/>
      </c>
      <c r="P30" s="37"/>
      <c r="Q30" s="40" t="str">
        <f aca="false">IF(C30="","",IF(L30="キャンセル","",IF(L30="確定",IF(P30="","確定日を入力",""),IF(N30&lt;0,"⚠期限超過：至急確定",IF(N30&lt;=設定!$B$12,"要確定（期限間近）","")))))</f>
        <v/>
      </c>
      <c r="R30" s="31"/>
      <c r="S30" s="38"/>
    </row>
    <row r="31" customFormat="false" ht="15" hidden="false" customHeight="false" outlineLevel="0" collapsed="false">
      <c r="A31" s="31" t="n">
        <v>27</v>
      </c>
      <c r="B31" s="31"/>
      <c r="C31" s="37"/>
      <c r="D31" s="15" t="str">
        <f aca="false">IF(C31="","",CHOOSE(WEEKDAY(C31),"日","月","火","水","木","金","土"))</f>
        <v/>
      </c>
      <c r="E31" s="31"/>
      <c r="F31" s="31"/>
      <c r="G31" s="31"/>
      <c r="H31" s="38"/>
      <c r="I31" s="39"/>
      <c r="J31" s="38"/>
      <c r="K31" s="39"/>
      <c r="L31" s="31"/>
      <c r="M31" s="17" t="str">
        <f aca="false">IF(C31="","",C31-設定!$B$11)</f>
        <v/>
      </c>
      <c r="N31" s="16" t="str">
        <f aca="true">IF(C31="","",M31-TODAY())</f>
        <v/>
      </c>
      <c r="O31" s="17" t="str">
        <f aca="false">IF(OR(C31="",G31=""),"",IFERROR(C31-INDEX(マスタ!$C$11:$C$20,MATCH(G31,マスタ!$A$11:$A$20,0)),"業者未登録"))</f>
        <v/>
      </c>
      <c r="P31" s="37"/>
      <c r="Q31" s="40" t="str">
        <f aca="false">IF(C31="","",IF(L31="キャンセル","",IF(L31="確定",IF(P31="","確定日を入力",""),IF(N31&lt;0,"⚠期限超過：至急確定",IF(N31&lt;=設定!$B$12,"要確定（期限間近）","")))))</f>
        <v/>
      </c>
      <c r="R31" s="31"/>
      <c r="S31" s="38"/>
    </row>
    <row r="32" customFormat="false" ht="15" hidden="false" customHeight="false" outlineLevel="0" collapsed="false">
      <c r="A32" s="31" t="n">
        <v>28</v>
      </c>
      <c r="B32" s="31"/>
      <c r="C32" s="37"/>
      <c r="D32" s="15" t="str">
        <f aca="false">IF(C32="","",CHOOSE(WEEKDAY(C32),"日","月","火","水","木","金","土"))</f>
        <v/>
      </c>
      <c r="E32" s="31"/>
      <c r="F32" s="31"/>
      <c r="G32" s="31"/>
      <c r="H32" s="38"/>
      <c r="I32" s="39"/>
      <c r="J32" s="38"/>
      <c r="K32" s="39"/>
      <c r="L32" s="31"/>
      <c r="M32" s="17" t="str">
        <f aca="false">IF(C32="","",C32-設定!$B$11)</f>
        <v/>
      </c>
      <c r="N32" s="16" t="str">
        <f aca="true">IF(C32="","",M32-TODAY())</f>
        <v/>
      </c>
      <c r="O32" s="17" t="str">
        <f aca="false">IF(OR(C32="",G32=""),"",IFERROR(C32-INDEX(マスタ!$C$11:$C$20,MATCH(G32,マスタ!$A$11:$A$20,0)),"業者未登録"))</f>
        <v/>
      </c>
      <c r="P32" s="37"/>
      <c r="Q32" s="40" t="str">
        <f aca="false">IF(C32="","",IF(L32="キャンセル","",IF(L32="確定",IF(P32="","確定日を入力",""),IF(N32&lt;0,"⚠期限超過：至急確定",IF(N32&lt;=設定!$B$12,"要確定（期限間近）","")))))</f>
        <v/>
      </c>
      <c r="R32" s="31"/>
      <c r="S32" s="38"/>
    </row>
    <row r="33" customFormat="false" ht="15" hidden="false" customHeight="false" outlineLevel="0" collapsed="false">
      <c r="A33" s="31" t="n">
        <v>29</v>
      </c>
      <c r="B33" s="31"/>
      <c r="C33" s="37"/>
      <c r="D33" s="15" t="str">
        <f aca="false">IF(C33="","",CHOOSE(WEEKDAY(C33),"日","月","火","水","木","金","土"))</f>
        <v/>
      </c>
      <c r="E33" s="31"/>
      <c r="F33" s="31"/>
      <c r="G33" s="31"/>
      <c r="H33" s="38"/>
      <c r="I33" s="39"/>
      <c r="J33" s="38"/>
      <c r="K33" s="39"/>
      <c r="L33" s="31"/>
      <c r="M33" s="17" t="str">
        <f aca="false">IF(C33="","",C33-設定!$B$11)</f>
        <v/>
      </c>
      <c r="N33" s="16" t="str">
        <f aca="true">IF(C33="","",M33-TODAY())</f>
        <v/>
      </c>
      <c r="O33" s="17" t="str">
        <f aca="false">IF(OR(C33="",G33=""),"",IFERROR(C33-INDEX(マスタ!$C$11:$C$20,MATCH(G33,マスタ!$A$11:$A$20,0)),"業者未登録"))</f>
        <v/>
      </c>
      <c r="P33" s="37"/>
      <c r="Q33" s="40" t="str">
        <f aca="false">IF(C33="","",IF(L33="キャンセル","",IF(L33="確定",IF(P33="","確定日を入力",""),IF(N33&lt;0,"⚠期限超過：至急確定",IF(N33&lt;=設定!$B$12,"要確定（期限間近）","")))))</f>
        <v/>
      </c>
      <c r="R33" s="31"/>
      <c r="S33" s="38"/>
    </row>
    <row r="34" customFormat="false" ht="15" hidden="false" customHeight="false" outlineLevel="0" collapsed="false">
      <c r="A34" s="31" t="n">
        <v>30</v>
      </c>
      <c r="B34" s="31"/>
      <c r="C34" s="37"/>
      <c r="D34" s="15" t="str">
        <f aca="false">IF(C34="","",CHOOSE(WEEKDAY(C34),"日","月","火","水","木","金","土"))</f>
        <v/>
      </c>
      <c r="E34" s="31"/>
      <c r="F34" s="31"/>
      <c r="G34" s="31"/>
      <c r="H34" s="38"/>
      <c r="I34" s="39"/>
      <c r="J34" s="38"/>
      <c r="K34" s="39"/>
      <c r="L34" s="31"/>
      <c r="M34" s="17" t="str">
        <f aca="false">IF(C34="","",C34-設定!$B$11)</f>
        <v/>
      </c>
      <c r="N34" s="16" t="str">
        <f aca="true">IF(C34="","",M34-TODAY())</f>
        <v/>
      </c>
      <c r="O34" s="17" t="str">
        <f aca="false">IF(OR(C34="",G34=""),"",IFERROR(C34-INDEX(マスタ!$C$11:$C$20,MATCH(G34,マスタ!$A$11:$A$20,0)),"業者未登録"))</f>
        <v/>
      </c>
      <c r="P34" s="37"/>
      <c r="Q34" s="40" t="str">
        <f aca="false">IF(C34="","",IF(L34="キャンセル","",IF(L34="確定",IF(P34="","確定日を入力",""),IF(N34&lt;0,"⚠期限超過：至急確定",IF(N34&lt;=設定!$B$12,"要確定（期限間近）","")))))</f>
        <v/>
      </c>
      <c r="R34" s="31"/>
      <c r="S34" s="38"/>
    </row>
  </sheetData>
  <autoFilter ref="A4:S34"/>
  <conditionalFormatting sqref="Q5:Q34">
    <cfRule type="expression" priority="2" aboveAverage="0" equalAverage="0" bottom="0" percent="0" rank="0" text="" dxfId="0">
      <formula>ISNUMBER(SEARCH("超過",Q5))</formula>
    </cfRule>
    <cfRule type="expression" priority="3" aboveAverage="0" equalAverage="0" bottom="0" percent="0" rank="0" text="" dxfId="1">
      <formula>ISNUMBER(SEARCH("要確定",Q5))</formula>
    </cfRule>
    <cfRule type="expression" priority="4" aboveAverage="0" equalAverage="0" bottom="0" percent="0" rank="0" text="" dxfId="10">
      <formula>ISNUMBER(SEARCH("確定日",Q5))</formula>
    </cfRule>
  </conditionalFormatting>
  <conditionalFormatting sqref="L5:L34">
    <cfRule type="expression" priority="5" aboveAverage="0" equalAverage="0" bottom="0" percent="0" rank="0" text="" dxfId="11">
      <formula>L5="確定"</formula>
    </cfRule>
    <cfRule type="expression" priority="6" aboveAverage="0" equalAverage="0" bottom="0" percent="0" rank="0" text="" dxfId="12">
      <formula>L5="未手配"</formula>
    </cfRule>
    <cfRule type="expression" priority="7" aboveAverage="0" equalAverage="0" bottom="0" percent="0" rank="0" text="" dxfId="13">
      <formula>OR(L5="仮押さえ",L5="変更あり")</formula>
    </cfRule>
    <cfRule type="expression" priority="8" aboveAverage="0" equalAverage="0" bottom="0" percent="0" rank="0" text="" dxfId="14">
      <formula>L5="キャンセル"</formula>
    </cfRule>
  </conditionalFormatting>
  <conditionalFormatting sqref="O5:O34">
    <cfRule type="expression" priority="9" aboveAverage="0" equalAverage="0" bottom="0" percent="0" rank="0" text="" dxfId="12">
      <formula>AND(ISNUMBER(O5),O5-TODAY()&lt;=設定!$B$12,L5&lt;&gt;"確定",L5&lt;&gt;"キャンセル")</formula>
    </cfRule>
  </conditionalFormatting>
  <dataValidations count="5">
    <dataValidation allowBlank="true" errorStyle="stop" operator="between" showDropDown="false" showErrorMessage="false" showInputMessage="false" sqref="B5:B34" type="list">
      <formula1>マスタ!$C$3:$C$8</formula1>
      <formula2>0</formula2>
    </dataValidation>
    <dataValidation allowBlank="true" errorStyle="stop" operator="between" showDropDown="false" showErrorMessage="false" showInputMessage="false" sqref="E5:E34" type="list">
      <formula1>マスタ!$E$3:$E$8</formula1>
      <formula2>0</formula2>
    </dataValidation>
    <dataValidation allowBlank="true" errorStyle="stop" operator="between" showDropDown="false" showErrorMessage="false" showInputMessage="false" sqref="G5:G34" type="list">
      <formula1>マスタ!$A$11:$A$20</formula1>
      <formula2>0</formula2>
    </dataValidation>
    <dataValidation allowBlank="true" errorStyle="stop" operator="between" showDropDown="false" showErrorMessage="false" showInputMessage="false" sqref="L5:L34" type="list">
      <formula1>マスタ!$A$3:$A$8</formula1>
      <formula2>0</formula2>
    </dataValidation>
    <dataValidation allowBlank="true" errorStyle="stop" operator="between" showDropDown="false" showErrorMessage="false" showInputMessage="false" sqref="R5:R34" type="list">
      <formula1>マスタ!$A$25:$A$40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P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4" min="4" style="0" width="8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8" min="7" style="0" width="8"/>
    <col collapsed="false" customWidth="true" hidden="false" outlineLevel="0" max="9" min="9" style="0" width="9"/>
    <col collapsed="false" customWidth="true" hidden="false" outlineLevel="0" max="10" min="10" style="0" width="16"/>
    <col collapsed="false" customWidth="true" hidden="false" outlineLevel="0" max="11" min="11" style="0" width="6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5" min="15" style="0" width="12"/>
    <col collapsed="false" customWidth="true" hidden="false" outlineLevel="0" max="16" min="16" style="0" width="30"/>
  </cols>
  <sheetData>
    <row r="1" customFormat="false" ht="17.35" hidden="false" customHeight="false" outlineLevel="0" collapsed="false">
      <c r="A1" s="1" t="s">
        <v>190</v>
      </c>
    </row>
    <row r="2" customFormat="false" ht="15" hidden="false" customHeight="false" outlineLevel="0" collapsed="false">
      <c r="A2" s="2" t="s">
        <v>191</v>
      </c>
    </row>
    <row r="4" customFormat="false" ht="31.5" hidden="false" customHeight="true" outlineLevel="0" collapsed="false">
      <c r="A4" s="36" t="s">
        <v>167</v>
      </c>
      <c r="B4" s="22" t="s">
        <v>192</v>
      </c>
      <c r="C4" s="22" t="s">
        <v>169</v>
      </c>
      <c r="D4" s="22" t="s">
        <v>127</v>
      </c>
      <c r="E4" s="22" t="s">
        <v>193</v>
      </c>
      <c r="F4" s="22" t="s">
        <v>194</v>
      </c>
      <c r="G4" s="22" t="s">
        <v>195</v>
      </c>
      <c r="H4" s="22" t="s">
        <v>196</v>
      </c>
      <c r="I4" s="22" t="s">
        <v>197</v>
      </c>
      <c r="J4" s="22" t="s">
        <v>198</v>
      </c>
      <c r="K4" s="22" t="s">
        <v>199</v>
      </c>
      <c r="L4" s="22" t="s">
        <v>200</v>
      </c>
      <c r="M4" s="22" t="s">
        <v>201</v>
      </c>
      <c r="N4" s="22" t="s">
        <v>88</v>
      </c>
      <c r="O4" s="22" t="s">
        <v>129</v>
      </c>
      <c r="P4" s="22" t="s">
        <v>182</v>
      </c>
    </row>
    <row r="5" customFormat="false" ht="15" hidden="false" customHeight="false" outlineLevel="0" collapsed="false">
      <c r="A5" s="31" t="n">
        <v>1</v>
      </c>
      <c r="B5" s="37" t="n">
        <v>46339</v>
      </c>
      <c r="C5" s="15" t="str">
        <f aca="false">IF(B5="","",CHOOSE(WEEKDAY(B5),"日","月","火","水","木","金","土"))</f>
        <v>金</v>
      </c>
      <c r="D5" s="31" t="s">
        <v>131</v>
      </c>
      <c r="E5" s="38" t="s">
        <v>202</v>
      </c>
      <c r="F5" s="38" t="s">
        <v>184</v>
      </c>
      <c r="G5" s="39" t="n">
        <v>0.458333333333333</v>
      </c>
      <c r="H5" s="39" t="n">
        <v>0.5</v>
      </c>
      <c r="I5" s="18" t="n">
        <f aca="false">IF(OR(G5="",H5=""),"",MOD(H5-G5,1))</f>
        <v>0.0416666666666667</v>
      </c>
      <c r="J5" s="38" t="s">
        <v>203</v>
      </c>
      <c r="K5" s="31" t="n">
        <v>2</v>
      </c>
      <c r="L5" s="31" t="n">
        <v>1</v>
      </c>
      <c r="M5" s="15" t="str">
        <f aca="false">IF(L5="","",IFERROR(INDEX(配車管理!$L$5:$L$34,MATCH(L5,配車管理!$A$5:$A$34,0)),"該当なし"))</f>
        <v>確定</v>
      </c>
      <c r="N5" s="40" t="str">
        <f aca="false">IF(OR(G5="",H5=""),"",IF(MAX(0,MIN(H5+IF(H5&lt;G5,1,0),1+設定!$B$14)-MAX(G5,設定!$B$13))+MAX(0,MIN(H5+IF(H5&lt;G5,1,0),設定!$B$14)-G5)&gt;0,"深夜帯あり",""))</f>
        <v/>
      </c>
      <c r="O5" s="31" t="s">
        <v>133</v>
      </c>
      <c r="P5" s="38"/>
    </row>
    <row r="6" customFormat="false" ht="15" hidden="false" customHeight="false" outlineLevel="0" collapsed="false">
      <c r="A6" s="31" t="n">
        <v>2</v>
      </c>
      <c r="B6" s="37" t="n">
        <v>46339</v>
      </c>
      <c r="C6" s="15" t="str">
        <f aca="false">IF(B6="","",CHOOSE(WEEKDAY(B6),"日","月","火","水","木","金","土"))</f>
        <v>金</v>
      </c>
      <c r="D6" s="31" t="s">
        <v>131</v>
      </c>
      <c r="E6" s="38" t="s">
        <v>204</v>
      </c>
      <c r="F6" s="38" t="s">
        <v>184</v>
      </c>
      <c r="G6" s="39" t="n">
        <v>0.479166666666667</v>
      </c>
      <c r="H6" s="39" t="n">
        <v>0.520833333333333</v>
      </c>
      <c r="I6" s="18" t="n">
        <f aca="false">IF(OR(G6="",H6=""),"",MOD(H6-G6,1))</f>
        <v>0.0416666666666667</v>
      </c>
      <c r="J6" s="38" t="s">
        <v>163</v>
      </c>
      <c r="K6" s="31" t="n">
        <v>1</v>
      </c>
      <c r="L6" s="31" t="n">
        <v>2</v>
      </c>
      <c r="M6" s="15" t="str">
        <f aca="false">IF(L6="","",IFERROR(INDEX(配車管理!$L$5:$L$34,MATCH(L6,配車管理!$A$5:$A$34,0)),"該当なし"))</f>
        <v>仮押さえ</v>
      </c>
      <c r="N6" s="40" t="str">
        <f aca="false">IF(OR(G6="",H6=""),"",IF(MAX(0,MIN(H6+IF(H6&lt;G6,1,0),1+設定!$B$14)-MAX(G6,設定!$B$13))+MAX(0,MIN(H6+IF(H6&lt;G6,1,0),設定!$B$14)-G6)&gt;0,"深夜帯あり",""))</f>
        <v/>
      </c>
      <c r="O6" s="31" t="s">
        <v>133</v>
      </c>
      <c r="P6" s="38"/>
    </row>
    <row r="7" customFormat="false" ht="15" hidden="false" customHeight="false" outlineLevel="0" collapsed="false">
      <c r="A7" s="31" t="n">
        <v>3</v>
      </c>
      <c r="B7" s="37" t="n">
        <v>46339</v>
      </c>
      <c r="C7" s="15" t="str">
        <f aca="false">IF(B7="","",CHOOSE(WEEKDAY(B7),"日","月","火","水","木","金","土"))</f>
        <v>金</v>
      </c>
      <c r="D7" s="31" t="s">
        <v>134</v>
      </c>
      <c r="E7" s="38" t="s">
        <v>205</v>
      </c>
      <c r="F7" s="38" t="s">
        <v>206</v>
      </c>
      <c r="G7" s="39" t="n">
        <v>0.541666666666667</v>
      </c>
      <c r="H7" s="39" t="n">
        <v>0.708333333333333</v>
      </c>
      <c r="I7" s="18" t="n">
        <f aca="false">IF(OR(G7="",H7=""),"",MOD(H7-G7,1))</f>
        <v>0.166666666666667</v>
      </c>
      <c r="J7" s="38" t="s">
        <v>207</v>
      </c>
      <c r="K7" s="31" t="n">
        <v>3</v>
      </c>
      <c r="L7" s="31"/>
      <c r="M7" s="15" t="str">
        <f aca="false">IF(L7="","",IFERROR(INDEX(配車管理!$L$5:$L$34,MATCH(L7,配車管理!$A$5:$A$34,0)),"該当なし"))</f>
        <v/>
      </c>
      <c r="N7" s="40" t="str">
        <f aca="false">IF(OR(G7="",H7=""),"",IF(MAX(0,MIN(H7+IF(H7&lt;G7,1,0),1+設定!$B$14)-MAX(G7,設定!$B$13))+MAX(0,MIN(H7+IF(H7&lt;G7,1,0),設定!$B$14)-G7)&gt;0,"深夜帯あり",""))</f>
        <v/>
      </c>
      <c r="O7" s="31" t="s">
        <v>133</v>
      </c>
      <c r="P7" s="38" t="s">
        <v>208</v>
      </c>
    </row>
    <row r="8" customFormat="false" ht="15" hidden="false" customHeight="false" outlineLevel="0" collapsed="false">
      <c r="A8" s="31" t="n">
        <v>4</v>
      </c>
      <c r="B8" s="37" t="n">
        <v>46339</v>
      </c>
      <c r="C8" s="15" t="str">
        <f aca="false">IF(B8="","",CHOOSE(WEEKDAY(B8),"日","月","火","水","木","金","土"))</f>
        <v>金</v>
      </c>
      <c r="D8" s="31" t="s">
        <v>134</v>
      </c>
      <c r="E8" s="38" t="s">
        <v>209</v>
      </c>
      <c r="F8" s="38" t="s">
        <v>206</v>
      </c>
      <c r="G8" s="39" t="n">
        <v>0.708333333333333</v>
      </c>
      <c r="H8" s="39" t="n">
        <v>0.8125</v>
      </c>
      <c r="I8" s="18" t="n">
        <f aca="false">IF(OR(G8="",H8=""),"",MOD(H8-G8,1))</f>
        <v>0.104166666666667</v>
      </c>
      <c r="J8" s="38" t="s">
        <v>207</v>
      </c>
      <c r="K8" s="31" t="n">
        <v>3</v>
      </c>
      <c r="L8" s="31"/>
      <c r="M8" s="15" t="str">
        <f aca="false">IF(L8="","",IFERROR(INDEX(配車管理!$L$5:$L$34,MATCH(L8,配車管理!$A$5:$A$34,0)),"該当なし"))</f>
        <v/>
      </c>
      <c r="N8" s="40" t="str">
        <f aca="false">IF(OR(G8="",H8=""),"",IF(MAX(0,MIN(H8+IF(H8&lt;G8,1,0),1+設定!$B$14)-MAX(G8,設定!$B$13))+MAX(0,MIN(H8+IF(H8&lt;G8,1,0),設定!$B$14)-G8)&gt;0,"深夜帯あり",""))</f>
        <v/>
      </c>
      <c r="O8" s="31" t="s">
        <v>133</v>
      </c>
      <c r="P8" s="38"/>
    </row>
    <row r="9" customFormat="false" ht="15" hidden="false" customHeight="false" outlineLevel="0" collapsed="false">
      <c r="A9" s="31" t="n">
        <v>5</v>
      </c>
      <c r="B9" s="37" t="n">
        <v>46341</v>
      </c>
      <c r="C9" s="15" t="str">
        <f aca="false">IF(B9="","",CHOOSE(WEEKDAY(B9),"日","月","火","水","木","金","土"))</f>
        <v>日</v>
      </c>
      <c r="D9" s="31" t="s">
        <v>137</v>
      </c>
      <c r="E9" s="38" t="s">
        <v>210</v>
      </c>
      <c r="F9" s="38" t="s">
        <v>206</v>
      </c>
      <c r="G9" s="39" t="n">
        <v>0.75</v>
      </c>
      <c r="H9" s="39" t="n">
        <v>0.833333333333333</v>
      </c>
      <c r="I9" s="18" t="n">
        <f aca="false">IF(OR(G9="",H9=""),"",MOD(H9-G9,1))</f>
        <v>0.0833333333333333</v>
      </c>
      <c r="J9" s="38" t="s">
        <v>211</v>
      </c>
      <c r="K9" s="31" t="n">
        <v>2</v>
      </c>
      <c r="L9" s="31"/>
      <c r="M9" s="15" t="str">
        <f aca="false">IF(L9="","",IFERROR(INDEX(配車管理!$L$5:$L$34,MATCH(L9,配車管理!$A$5:$A$34,0)),"該当なし"))</f>
        <v/>
      </c>
      <c r="N9" s="40" t="str">
        <f aca="false">IF(OR(G9="",H9=""),"",IF(MAX(0,MIN(H9+IF(H9&lt;G9,1,0),1+設定!$B$14)-MAX(G9,設定!$B$13))+MAX(0,MIN(H9+IF(H9&lt;G9,1,0),設定!$B$14)-G9)&gt;0,"深夜帯あり",""))</f>
        <v/>
      </c>
      <c r="O9" s="31" t="s">
        <v>133</v>
      </c>
      <c r="P9" s="38" t="s">
        <v>212</v>
      </c>
    </row>
    <row r="10" customFormat="false" ht="26.85" hidden="false" customHeight="false" outlineLevel="0" collapsed="false">
      <c r="A10" s="31" t="n">
        <v>6</v>
      </c>
      <c r="B10" s="37" t="n">
        <v>46341</v>
      </c>
      <c r="C10" s="15" t="str">
        <f aca="false">IF(B10="","",CHOOSE(WEEKDAY(B10),"日","月","火","水","木","金","土"))</f>
        <v>日</v>
      </c>
      <c r="D10" s="31" t="s">
        <v>137</v>
      </c>
      <c r="E10" s="38" t="s">
        <v>213</v>
      </c>
      <c r="F10" s="38" t="s">
        <v>214</v>
      </c>
      <c r="G10" s="39" t="n">
        <v>0.833333333333333</v>
      </c>
      <c r="H10" s="39" t="n">
        <v>0.9375</v>
      </c>
      <c r="I10" s="18" t="n">
        <f aca="false">IF(OR(G10="",H10=""),"",MOD(H10-G10,1))</f>
        <v>0.104166666666667</v>
      </c>
      <c r="J10" s="38" t="s">
        <v>207</v>
      </c>
      <c r="K10" s="31" t="n">
        <v>3</v>
      </c>
      <c r="L10" s="31" t="n">
        <v>3</v>
      </c>
      <c r="M10" s="15" t="str">
        <f aca="false">IF(L10="","",IFERROR(INDEX(配車管理!$L$5:$L$34,MATCH(L10,配車管理!$A$5:$A$34,0)),"該当なし"))</f>
        <v>未手配</v>
      </c>
      <c r="N10" s="40" t="str">
        <f aca="false">IF(OR(G10="",H10=""),"",IF(MAX(0,MIN(H10+IF(H10&lt;G10,1,0),1+設定!$B$14)-MAX(G10,設定!$B$13))+MAX(0,MIN(H10+IF(H10&lt;G10,1,0),設定!$B$14)-G10)&gt;0,"深夜帯あり",""))</f>
        <v>深夜帯あり</v>
      </c>
      <c r="O10" s="31" t="s">
        <v>133</v>
      </c>
      <c r="P10" s="38" t="s">
        <v>215</v>
      </c>
    </row>
    <row r="11" customFormat="false" ht="15" hidden="false" customHeight="false" outlineLevel="0" collapsed="false">
      <c r="A11" s="31" t="n">
        <v>7</v>
      </c>
      <c r="B11" s="37" t="n">
        <v>46342</v>
      </c>
      <c r="C11" s="15" t="str">
        <f aca="false">IF(B11="","",CHOOSE(WEEKDAY(B11),"日","月","火","水","木","金","土"))</f>
        <v>月</v>
      </c>
      <c r="D11" s="31" t="s">
        <v>139</v>
      </c>
      <c r="E11" s="38" t="s">
        <v>216</v>
      </c>
      <c r="F11" s="38" t="s">
        <v>184</v>
      </c>
      <c r="G11" s="39" t="n">
        <v>0.375</v>
      </c>
      <c r="H11" s="39" t="n">
        <v>0.416666666666667</v>
      </c>
      <c r="I11" s="18" t="n">
        <f aca="false">IF(OR(G11="",H11=""),"",MOD(H11-G11,1))</f>
        <v>0.0416666666666667</v>
      </c>
      <c r="J11" s="38" t="s">
        <v>160</v>
      </c>
      <c r="K11" s="31" t="n">
        <v>1</v>
      </c>
      <c r="L11" s="31" t="n">
        <v>4</v>
      </c>
      <c r="M11" s="15" t="str">
        <f aca="false">IF(L11="","",IFERROR(INDEX(配車管理!$L$5:$L$34,MATCH(L11,配車管理!$A$5:$A$34,0)),"該当なし"))</f>
        <v>仮押さえ</v>
      </c>
      <c r="N11" s="40" t="str">
        <f aca="false">IF(OR(G11="",H11=""),"",IF(MAX(0,MIN(H11+IF(H11&lt;G11,1,0),1+設定!$B$14)-MAX(G11,設定!$B$13))+MAX(0,MIN(H11+IF(H11&lt;G11,1,0),設定!$B$14)-G11)&gt;0,"深夜帯あり",""))</f>
        <v/>
      </c>
      <c r="O11" s="31" t="s">
        <v>133</v>
      </c>
      <c r="P11" s="38"/>
    </row>
    <row r="12" customFormat="false" ht="15" hidden="false" customHeight="false" outlineLevel="0" collapsed="false">
      <c r="A12" s="31" t="n">
        <v>8</v>
      </c>
      <c r="B12" s="37"/>
      <c r="C12" s="15" t="str">
        <f aca="false">IF(B12="","",CHOOSE(WEEKDAY(B12),"日","月","火","水","木","金","土"))</f>
        <v/>
      </c>
      <c r="D12" s="31"/>
      <c r="E12" s="38"/>
      <c r="F12" s="38"/>
      <c r="G12" s="39"/>
      <c r="H12" s="39"/>
      <c r="I12" s="18" t="str">
        <f aca="false">IF(OR(G12="",H12=""),"",MOD(H12-G12,1))</f>
        <v/>
      </c>
      <c r="J12" s="38"/>
      <c r="K12" s="31"/>
      <c r="L12" s="31"/>
      <c r="M12" s="15" t="str">
        <f aca="false">IF(L12="","",IFERROR(INDEX(配車管理!$L$5:$L$34,MATCH(L12,配車管理!$A$5:$A$34,0)),"該当なし"))</f>
        <v/>
      </c>
      <c r="N12" s="40" t="str">
        <f aca="false">IF(OR(G12="",H12=""),"",IF(MAX(0,MIN(H12+IF(H12&lt;G12,1,0),1+設定!$B$14)-MAX(G12,設定!$B$13))+MAX(0,MIN(H12+IF(H12&lt;G12,1,0),設定!$B$14)-G12)&gt;0,"深夜帯あり",""))</f>
        <v/>
      </c>
      <c r="O12" s="31"/>
      <c r="P12" s="38"/>
    </row>
    <row r="13" customFormat="false" ht="15" hidden="false" customHeight="false" outlineLevel="0" collapsed="false">
      <c r="A13" s="31" t="n">
        <v>9</v>
      </c>
      <c r="B13" s="37"/>
      <c r="C13" s="15" t="str">
        <f aca="false">IF(B13="","",CHOOSE(WEEKDAY(B13),"日","月","火","水","木","金","土"))</f>
        <v/>
      </c>
      <c r="D13" s="31"/>
      <c r="E13" s="38"/>
      <c r="F13" s="38"/>
      <c r="G13" s="39"/>
      <c r="H13" s="39"/>
      <c r="I13" s="18" t="str">
        <f aca="false">IF(OR(G13="",H13=""),"",MOD(H13-G13,1))</f>
        <v/>
      </c>
      <c r="J13" s="38"/>
      <c r="K13" s="31"/>
      <c r="L13" s="31"/>
      <c r="M13" s="15" t="str">
        <f aca="false">IF(L13="","",IFERROR(INDEX(配車管理!$L$5:$L$34,MATCH(L13,配車管理!$A$5:$A$34,0)),"該当なし"))</f>
        <v/>
      </c>
      <c r="N13" s="40" t="str">
        <f aca="false">IF(OR(G13="",H13=""),"",IF(MAX(0,MIN(H13+IF(H13&lt;G13,1,0),1+設定!$B$14)-MAX(G13,設定!$B$13))+MAX(0,MIN(H13+IF(H13&lt;G13,1,0),設定!$B$14)-G13)&gt;0,"深夜帯あり",""))</f>
        <v/>
      </c>
      <c r="O13" s="31"/>
      <c r="P13" s="38"/>
    </row>
    <row r="14" customFormat="false" ht="15" hidden="false" customHeight="false" outlineLevel="0" collapsed="false">
      <c r="A14" s="31" t="n">
        <v>10</v>
      </c>
      <c r="B14" s="37"/>
      <c r="C14" s="15" t="str">
        <f aca="false">IF(B14="","",CHOOSE(WEEKDAY(B14),"日","月","火","水","木","金","土"))</f>
        <v/>
      </c>
      <c r="D14" s="31"/>
      <c r="E14" s="38"/>
      <c r="F14" s="38"/>
      <c r="G14" s="39"/>
      <c r="H14" s="39"/>
      <c r="I14" s="18" t="str">
        <f aca="false">IF(OR(G14="",H14=""),"",MOD(H14-G14,1))</f>
        <v/>
      </c>
      <c r="J14" s="38"/>
      <c r="K14" s="31"/>
      <c r="L14" s="31"/>
      <c r="M14" s="15" t="str">
        <f aca="false">IF(L14="","",IFERROR(INDEX(配車管理!$L$5:$L$34,MATCH(L14,配車管理!$A$5:$A$34,0)),"該当なし"))</f>
        <v/>
      </c>
      <c r="N14" s="40" t="str">
        <f aca="false">IF(OR(G14="",H14=""),"",IF(MAX(0,MIN(H14+IF(H14&lt;G14,1,0),1+設定!$B$14)-MAX(G14,設定!$B$13))+MAX(0,MIN(H14+IF(H14&lt;G14,1,0),設定!$B$14)-G14)&gt;0,"深夜帯あり",""))</f>
        <v/>
      </c>
      <c r="O14" s="31"/>
      <c r="P14" s="38"/>
    </row>
    <row r="15" customFormat="false" ht="15" hidden="false" customHeight="false" outlineLevel="0" collapsed="false">
      <c r="A15" s="31" t="n">
        <v>11</v>
      </c>
      <c r="B15" s="37"/>
      <c r="C15" s="15" t="str">
        <f aca="false">IF(B15="","",CHOOSE(WEEKDAY(B15),"日","月","火","水","木","金","土"))</f>
        <v/>
      </c>
      <c r="D15" s="31"/>
      <c r="E15" s="38"/>
      <c r="F15" s="38"/>
      <c r="G15" s="39"/>
      <c r="H15" s="39"/>
      <c r="I15" s="18" t="str">
        <f aca="false">IF(OR(G15="",H15=""),"",MOD(H15-G15,1))</f>
        <v/>
      </c>
      <c r="J15" s="38"/>
      <c r="K15" s="31"/>
      <c r="L15" s="31"/>
      <c r="M15" s="15" t="str">
        <f aca="false">IF(L15="","",IFERROR(INDEX(配車管理!$L$5:$L$34,MATCH(L15,配車管理!$A$5:$A$34,0)),"該当なし"))</f>
        <v/>
      </c>
      <c r="N15" s="40" t="str">
        <f aca="false">IF(OR(G15="",H15=""),"",IF(MAX(0,MIN(H15+IF(H15&lt;G15,1,0),1+設定!$B$14)-MAX(G15,設定!$B$13))+MAX(0,MIN(H15+IF(H15&lt;G15,1,0),設定!$B$14)-G15)&gt;0,"深夜帯あり",""))</f>
        <v/>
      </c>
      <c r="O15" s="31"/>
      <c r="P15" s="38"/>
    </row>
    <row r="16" customFormat="false" ht="15" hidden="false" customHeight="false" outlineLevel="0" collapsed="false">
      <c r="A16" s="31" t="n">
        <v>12</v>
      </c>
      <c r="B16" s="37"/>
      <c r="C16" s="15" t="str">
        <f aca="false">IF(B16="","",CHOOSE(WEEKDAY(B16),"日","月","火","水","木","金","土"))</f>
        <v/>
      </c>
      <c r="D16" s="31"/>
      <c r="E16" s="38"/>
      <c r="F16" s="38"/>
      <c r="G16" s="39"/>
      <c r="H16" s="39"/>
      <c r="I16" s="18" t="str">
        <f aca="false">IF(OR(G16="",H16=""),"",MOD(H16-G16,1))</f>
        <v/>
      </c>
      <c r="J16" s="38"/>
      <c r="K16" s="31"/>
      <c r="L16" s="31"/>
      <c r="M16" s="15" t="str">
        <f aca="false">IF(L16="","",IFERROR(INDEX(配車管理!$L$5:$L$34,MATCH(L16,配車管理!$A$5:$A$34,0)),"該当なし"))</f>
        <v/>
      </c>
      <c r="N16" s="40" t="str">
        <f aca="false">IF(OR(G16="",H16=""),"",IF(MAX(0,MIN(H16+IF(H16&lt;G16,1,0),1+設定!$B$14)-MAX(G16,設定!$B$13))+MAX(0,MIN(H16+IF(H16&lt;G16,1,0),設定!$B$14)-G16)&gt;0,"深夜帯あり",""))</f>
        <v/>
      </c>
      <c r="O16" s="31"/>
      <c r="P16" s="38"/>
    </row>
    <row r="17" customFormat="false" ht="15" hidden="false" customHeight="false" outlineLevel="0" collapsed="false">
      <c r="A17" s="31" t="n">
        <v>13</v>
      </c>
      <c r="B17" s="37"/>
      <c r="C17" s="15" t="str">
        <f aca="false">IF(B17="","",CHOOSE(WEEKDAY(B17),"日","月","火","水","木","金","土"))</f>
        <v/>
      </c>
      <c r="D17" s="31"/>
      <c r="E17" s="38"/>
      <c r="F17" s="38"/>
      <c r="G17" s="39"/>
      <c r="H17" s="39"/>
      <c r="I17" s="18" t="str">
        <f aca="false">IF(OR(G17="",H17=""),"",MOD(H17-G17,1))</f>
        <v/>
      </c>
      <c r="J17" s="38"/>
      <c r="K17" s="31"/>
      <c r="L17" s="31"/>
      <c r="M17" s="15" t="str">
        <f aca="false">IF(L17="","",IFERROR(INDEX(配車管理!$L$5:$L$34,MATCH(L17,配車管理!$A$5:$A$34,0)),"該当なし"))</f>
        <v/>
      </c>
      <c r="N17" s="40" t="str">
        <f aca="false">IF(OR(G17="",H17=""),"",IF(MAX(0,MIN(H17+IF(H17&lt;G17,1,0),1+設定!$B$14)-MAX(G17,設定!$B$13))+MAX(0,MIN(H17+IF(H17&lt;G17,1,0),設定!$B$14)-G17)&gt;0,"深夜帯あり",""))</f>
        <v/>
      </c>
      <c r="O17" s="31"/>
      <c r="P17" s="38"/>
    </row>
    <row r="18" customFormat="false" ht="15" hidden="false" customHeight="false" outlineLevel="0" collapsed="false">
      <c r="A18" s="31" t="n">
        <v>14</v>
      </c>
      <c r="B18" s="37"/>
      <c r="C18" s="15" t="str">
        <f aca="false">IF(B18="","",CHOOSE(WEEKDAY(B18),"日","月","火","水","木","金","土"))</f>
        <v/>
      </c>
      <c r="D18" s="31"/>
      <c r="E18" s="38"/>
      <c r="F18" s="38"/>
      <c r="G18" s="39"/>
      <c r="H18" s="39"/>
      <c r="I18" s="18" t="str">
        <f aca="false">IF(OR(G18="",H18=""),"",MOD(H18-G18,1))</f>
        <v/>
      </c>
      <c r="J18" s="38"/>
      <c r="K18" s="31"/>
      <c r="L18" s="31"/>
      <c r="M18" s="15" t="str">
        <f aca="false">IF(L18="","",IFERROR(INDEX(配車管理!$L$5:$L$34,MATCH(L18,配車管理!$A$5:$A$34,0)),"該当なし"))</f>
        <v/>
      </c>
      <c r="N18" s="40" t="str">
        <f aca="false">IF(OR(G18="",H18=""),"",IF(MAX(0,MIN(H18+IF(H18&lt;G18,1,0),1+設定!$B$14)-MAX(G18,設定!$B$13))+MAX(0,MIN(H18+IF(H18&lt;G18,1,0),設定!$B$14)-G18)&gt;0,"深夜帯あり",""))</f>
        <v/>
      </c>
      <c r="O18" s="31"/>
      <c r="P18" s="38"/>
    </row>
    <row r="19" customFormat="false" ht="15" hidden="false" customHeight="false" outlineLevel="0" collapsed="false">
      <c r="A19" s="31" t="n">
        <v>15</v>
      </c>
      <c r="B19" s="37"/>
      <c r="C19" s="15" t="str">
        <f aca="false">IF(B19="","",CHOOSE(WEEKDAY(B19),"日","月","火","水","木","金","土"))</f>
        <v/>
      </c>
      <c r="D19" s="31"/>
      <c r="E19" s="38"/>
      <c r="F19" s="38"/>
      <c r="G19" s="39"/>
      <c r="H19" s="39"/>
      <c r="I19" s="18" t="str">
        <f aca="false">IF(OR(G19="",H19=""),"",MOD(H19-G19,1))</f>
        <v/>
      </c>
      <c r="J19" s="38"/>
      <c r="K19" s="31"/>
      <c r="L19" s="31"/>
      <c r="M19" s="15" t="str">
        <f aca="false">IF(L19="","",IFERROR(INDEX(配車管理!$L$5:$L$34,MATCH(L19,配車管理!$A$5:$A$34,0)),"該当なし"))</f>
        <v/>
      </c>
      <c r="N19" s="40" t="str">
        <f aca="false">IF(OR(G19="",H19=""),"",IF(MAX(0,MIN(H19+IF(H19&lt;G19,1,0),1+設定!$B$14)-MAX(G19,設定!$B$13))+MAX(0,MIN(H19+IF(H19&lt;G19,1,0),設定!$B$14)-G19)&gt;0,"深夜帯あり",""))</f>
        <v/>
      </c>
      <c r="O19" s="31"/>
      <c r="P19" s="38"/>
    </row>
    <row r="20" customFormat="false" ht="15" hidden="false" customHeight="false" outlineLevel="0" collapsed="false">
      <c r="A20" s="31" t="n">
        <v>16</v>
      </c>
      <c r="B20" s="37"/>
      <c r="C20" s="15" t="str">
        <f aca="false">IF(B20="","",CHOOSE(WEEKDAY(B20),"日","月","火","水","木","金","土"))</f>
        <v/>
      </c>
      <c r="D20" s="31"/>
      <c r="E20" s="38"/>
      <c r="F20" s="38"/>
      <c r="G20" s="39"/>
      <c r="H20" s="39"/>
      <c r="I20" s="18" t="str">
        <f aca="false">IF(OR(G20="",H20=""),"",MOD(H20-G20,1))</f>
        <v/>
      </c>
      <c r="J20" s="38"/>
      <c r="K20" s="31"/>
      <c r="L20" s="31"/>
      <c r="M20" s="15" t="str">
        <f aca="false">IF(L20="","",IFERROR(INDEX(配車管理!$L$5:$L$34,MATCH(L20,配車管理!$A$5:$A$34,0)),"該当なし"))</f>
        <v/>
      </c>
      <c r="N20" s="40" t="str">
        <f aca="false">IF(OR(G20="",H20=""),"",IF(MAX(0,MIN(H20+IF(H20&lt;G20,1,0),1+設定!$B$14)-MAX(G20,設定!$B$13))+MAX(0,MIN(H20+IF(H20&lt;G20,1,0),設定!$B$14)-G20)&gt;0,"深夜帯あり",""))</f>
        <v/>
      </c>
      <c r="O20" s="31"/>
      <c r="P20" s="38"/>
    </row>
    <row r="21" customFormat="false" ht="15" hidden="false" customHeight="false" outlineLevel="0" collapsed="false">
      <c r="A21" s="31" t="n">
        <v>17</v>
      </c>
      <c r="B21" s="37"/>
      <c r="C21" s="15" t="str">
        <f aca="false">IF(B21="","",CHOOSE(WEEKDAY(B21),"日","月","火","水","木","金","土"))</f>
        <v/>
      </c>
      <c r="D21" s="31"/>
      <c r="E21" s="38"/>
      <c r="F21" s="38"/>
      <c r="G21" s="39"/>
      <c r="H21" s="39"/>
      <c r="I21" s="18" t="str">
        <f aca="false">IF(OR(G21="",H21=""),"",MOD(H21-G21,1))</f>
        <v/>
      </c>
      <c r="J21" s="38"/>
      <c r="K21" s="31"/>
      <c r="L21" s="31"/>
      <c r="M21" s="15" t="str">
        <f aca="false">IF(L21="","",IFERROR(INDEX(配車管理!$L$5:$L$34,MATCH(L21,配車管理!$A$5:$A$34,0)),"該当なし"))</f>
        <v/>
      </c>
      <c r="N21" s="40" t="str">
        <f aca="false">IF(OR(G21="",H21=""),"",IF(MAX(0,MIN(H21+IF(H21&lt;G21,1,0),1+設定!$B$14)-MAX(G21,設定!$B$13))+MAX(0,MIN(H21+IF(H21&lt;G21,1,0),設定!$B$14)-G21)&gt;0,"深夜帯あり",""))</f>
        <v/>
      </c>
      <c r="O21" s="31"/>
      <c r="P21" s="38"/>
    </row>
    <row r="22" customFormat="false" ht="15" hidden="false" customHeight="false" outlineLevel="0" collapsed="false">
      <c r="A22" s="31" t="n">
        <v>18</v>
      </c>
      <c r="B22" s="37"/>
      <c r="C22" s="15" t="str">
        <f aca="false">IF(B22="","",CHOOSE(WEEKDAY(B22),"日","月","火","水","木","金","土"))</f>
        <v/>
      </c>
      <c r="D22" s="31"/>
      <c r="E22" s="38"/>
      <c r="F22" s="38"/>
      <c r="G22" s="39"/>
      <c r="H22" s="39"/>
      <c r="I22" s="18" t="str">
        <f aca="false">IF(OR(G22="",H22=""),"",MOD(H22-G22,1))</f>
        <v/>
      </c>
      <c r="J22" s="38"/>
      <c r="K22" s="31"/>
      <c r="L22" s="31"/>
      <c r="M22" s="15" t="str">
        <f aca="false">IF(L22="","",IFERROR(INDEX(配車管理!$L$5:$L$34,MATCH(L22,配車管理!$A$5:$A$34,0)),"該当なし"))</f>
        <v/>
      </c>
      <c r="N22" s="40" t="str">
        <f aca="false">IF(OR(G22="",H22=""),"",IF(MAX(0,MIN(H22+IF(H22&lt;G22,1,0),1+設定!$B$14)-MAX(G22,設定!$B$13))+MAX(0,MIN(H22+IF(H22&lt;G22,1,0),設定!$B$14)-G22)&gt;0,"深夜帯あり",""))</f>
        <v/>
      </c>
      <c r="O22" s="31"/>
      <c r="P22" s="38"/>
    </row>
    <row r="23" customFormat="false" ht="15" hidden="false" customHeight="false" outlineLevel="0" collapsed="false">
      <c r="A23" s="31" t="n">
        <v>19</v>
      </c>
      <c r="B23" s="37"/>
      <c r="C23" s="15" t="str">
        <f aca="false">IF(B23="","",CHOOSE(WEEKDAY(B23),"日","月","火","水","木","金","土"))</f>
        <v/>
      </c>
      <c r="D23" s="31"/>
      <c r="E23" s="38"/>
      <c r="F23" s="38"/>
      <c r="G23" s="39"/>
      <c r="H23" s="39"/>
      <c r="I23" s="18" t="str">
        <f aca="false">IF(OR(G23="",H23=""),"",MOD(H23-G23,1))</f>
        <v/>
      </c>
      <c r="J23" s="38"/>
      <c r="K23" s="31"/>
      <c r="L23" s="31"/>
      <c r="M23" s="15" t="str">
        <f aca="false">IF(L23="","",IFERROR(INDEX(配車管理!$L$5:$L$34,MATCH(L23,配車管理!$A$5:$A$34,0)),"該当なし"))</f>
        <v/>
      </c>
      <c r="N23" s="40" t="str">
        <f aca="false">IF(OR(G23="",H23=""),"",IF(MAX(0,MIN(H23+IF(H23&lt;G23,1,0),1+設定!$B$14)-MAX(G23,設定!$B$13))+MAX(0,MIN(H23+IF(H23&lt;G23,1,0),設定!$B$14)-G23)&gt;0,"深夜帯あり",""))</f>
        <v/>
      </c>
      <c r="O23" s="31"/>
      <c r="P23" s="38"/>
    </row>
    <row r="24" customFormat="false" ht="15" hidden="false" customHeight="false" outlineLevel="0" collapsed="false">
      <c r="A24" s="31" t="n">
        <v>20</v>
      </c>
      <c r="B24" s="37"/>
      <c r="C24" s="15" t="str">
        <f aca="false">IF(B24="","",CHOOSE(WEEKDAY(B24),"日","月","火","水","木","金","土"))</f>
        <v/>
      </c>
      <c r="D24" s="31"/>
      <c r="E24" s="38"/>
      <c r="F24" s="38"/>
      <c r="G24" s="39"/>
      <c r="H24" s="39"/>
      <c r="I24" s="18" t="str">
        <f aca="false">IF(OR(G24="",H24=""),"",MOD(H24-G24,1))</f>
        <v/>
      </c>
      <c r="J24" s="38"/>
      <c r="K24" s="31"/>
      <c r="L24" s="31"/>
      <c r="M24" s="15" t="str">
        <f aca="false">IF(L24="","",IFERROR(INDEX(配車管理!$L$5:$L$34,MATCH(L24,配車管理!$A$5:$A$34,0)),"該当なし"))</f>
        <v/>
      </c>
      <c r="N24" s="40" t="str">
        <f aca="false">IF(OR(G24="",H24=""),"",IF(MAX(0,MIN(H24+IF(H24&lt;G24,1,0),1+設定!$B$14)-MAX(G24,設定!$B$13))+MAX(0,MIN(H24+IF(H24&lt;G24,1,0),設定!$B$14)-G24)&gt;0,"深夜帯あり",""))</f>
        <v/>
      </c>
      <c r="O24" s="31"/>
      <c r="P24" s="38"/>
    </row>
    <row r="25" customFormat="false" ht="15" hidden="false" customHeight="false" outlineLevel="0" collapsed="false">
      <c r="A25" s="31" t="n">
        <v>21</v>
      </c>
      <c r="B25" s="37"/>
      <c r="C25" s="15" t="str">
        <f aca="false">IF(B25="","",CHOOSE(WEEKDAY(B25),"日","月","火","水","木","金","土"))</f>
        <v/>
      </c>
      <c r="D25" s="31"/>
      <c r="E25" s="38"/>
      <c r="F25" s="38"/>
      <c r="G25" s="39"/>
      <c r="H25" s="39"/>
      <c r="I25" s="18" t="str">
        <f aca="false">IF(OR(G25="",H25=""),"",MOD(H25-G25,1))</f>
        <v/>
      </c>
      <c r="J25" s="38"/>
      <c r="K25" s="31"/>
      <c r="L25" s="31"/>
      <c r="M25" s="15" t="str">
        <f aca="false">IF(L25="","",IFERROR(INDEX(配車管理!$L$5:$L$34,MATCH(L25,配車管理!$A$5:$A$34,0)),"該当なし"))</f>
        <v/>
      </c>
      <c r="N25" s="40" t="str">
        <f aca="false">IF(OR(G25="",H25=""),"",IF(MAX(0,MIN(H25+IF(H25&lt;G25,1,0),1+設定!$B$14)-MAX(G25,設定!$B$13))+MAX(0,MIN(H25+IF(H25&lt;G25,1,0),設定!$B$14)-G25)&gt;0,"深夜帯あり",""))</f>
        <v/>
      </c>
      <c r="O25" s="31"/>
      <c r="P25" s="38"/>
    </row>
    <row r="26" customFormat="false" ht="15" hidden="false" customHeight="false" outlineLevel="0" collapsed="false">
      <c r="A26" s="31" t="n">
        <v>22</v>
      </c>
      <c r="B26" s="37"/>
      <c r="C26" s="15" t="str">
        <f aca="false">IF(B26="","",CHOOSE(WEEKDAY(B26),"日","月","火","水","木","金","土"))</f>
        <v/>
      </c>
      <c r="D26" s="31"/>
      <c r="E26" s="38"/>
      <c r="F26" s="38"/>
      <c r="G26" s="39"/>
      <c r="H26" s="39"/>
      <c r="I26" s="18" t="str">
        <f aca="false">IF(OR(G26="",H26=""),"",MOD(H26-G26,1))</f>
        <v/>
      </c>
      <c r="J26" s="38"/>
      <c r="K26" s="31"/>
      <c r="L26" s="31"/>
      <c r="M26" s="15" t="str">
        <f aca="false">IF(L26="","",IFERROR(INDEX(配車管理!$L$5:$L$34,MATCH(L26,配車管理!$A$5:$A$34,0)),"該当なし"))</f>
        <v/>
      </c>
      <c r="N26" s="40" t="str">
        <f aca="false">IF(OR(G26="",H26=""),"",IF(MAX(0,MIN(H26+IF(H26&lt;G26,1,0),1+設定!$B$14)-MAX(G26,設定!$B$13))+MAX(0,MIN(H26+IF(H26&lt;G26,1,0),設定!$B$14)-G26)&gt;0,"深夜帯あり",""))</f>
        <v/>
      </c>
      <c r="O26" s="31"/>
      <c r="P26" s="38"/>
    </row>
    <row r="27" customFormat="false" ht="15" hidden="false" customHeight="false" outlineLevel="0" collapsed="false">
      <c r="A27" s="31" t="n">
        <v>23</v>
      </c>
      <c r="B27" s="37"/>
      <c r="C27" s="15" t="str">
        <f aca="false">IF(B27="","",CHOOSE(WEEKDAY(B27),"日","月","火","水","木","金","土"))</f>
        <v/>
      </c>
      <c r="D27" s="31"/>
      <c r="E27" s="38"/>
      <c r="F27" s="38"/>
      <c r="G27" s="39"/>
      <c r="H27" s="39"/>
      <c r="I27" s="18" t="str">
        <f aca="false">IF(OR(G27="",H27=""),"",MOD(H27-G27,1))</f>
        <v/>
      </c>
      <c r="J27" s="38"/>
      <c r="K27" s="31"/>
      <c r="L27" s="31"/>
      <c r="M27" s="15" t="str">
        <f aca="false">IF(L27="","",IFERROR(INDEX(配車管理!$L$5:$L$34,MATCH(L27,配車管理!$A$5:$A$34,0)),"該当なし"))</f>
        <v/>
      </c>
      <c r="N27" s="40" t="str">
        <f aca="false">IF(OR(G27="",H27=""),"",IF(MAX(0,MIN(H27+IF(H27&lt;G27,1,0),1+設定!$B$14)-MAX(G27,設定!$B$13))+MAX(0,MIN(H27+IF(H27&lt;G27,1,0),設定!$B$14)-G27)&gt;0,"深夜帯あり",""))</f>
        <v/>
      </c>
      <c r="O27" s="31"/>
      <c r="P27" s="38"/>
    </row>
    <row r="28" customFormat="false" ht="15" hidden="false" customHeight="false" outlineLevel="0" collapsed="false">
      <c r="A28" s="31" t="n">
        <v>24</v>
      </c>
      <c r="B28" s="37"/>
      <c r="C28" s="15" t="str">
        <f aca="false">IF(B28="","",CHOOSE(WEEKDAY(B28),"日","月","火","水","木","金","土"))</f>
        <v/>
      </c>
      <c r="D28" s="31"/>
      <c r="E28" s="38"/>
      <c r="F28" s="38"/>
      <c r="G28" s="39"/>
      <c r="H28" s="39"/>
      <c r="I28" s="18" t="str">
        <f aca="false">IF(OR(G28="",H28=""),"",MOD(H28-G28,1))</f>
        <v/>
      </c>
      <c r="J28" s="38"/>
      <c r="K28" s="31"/>
      <c r="L28" s="31"/>
      <c r="M28" s="15" t="str">
        <f aca="false">IF(L28="","",IFERROR(INDEX(配車管理!$L$5:$L$34,MATCH(L28,配車管理!$A$5:$A$34,0)),"該当なし"))</f>
        <v/>
      </c>
      <c r="N28" s="40" t="str">
        <f aca="false">IF(OR(G28="",H28=""),"",IF(MAX(0,MIN(H28+IF(H28&lt;G28,1,0),1+設定!$B$14)-MAX(G28,設定!$B$13))+MAX(0,MIN(H28+IF(H28&lt;G28,1,0),設定!$B$14)-G28)&gt;0,"深夜帯あり",""))</f>
        <v/>
      </c>
      <c r="O28" s="31"/>
      <c r="P28" s="38"/>
    </row>
    <row r="29" customFormat="false" ht="15" hidden="false" customHeight="false" outlineLevel="0" collapsed="false">
      <c r="A29" s="31" t="n">
        <v>25</v>
      </c>
      <c r="B29" s="37"/>
      <c r="C29" s="15" t="str">
        <f aca="false">IF(B29="","",CHOOSE(WEEKDAY(B29),"日","月","火","水","木","金","土"))</f>
        <v/>
      </c>
      <c r="D29" s="31"/>
      <c r="E29" s="38"/>
      <c r="F29" s="38"/>
      <c r="G29" s="39"/>
      <c r="H29" s="39"/>
      <c r="I29" s="18" t="str">
        <f aca="false">IF(OR(G29="",H29=""),"",MOD(H29-G29,1))</f>
        <v/>
      </c>
      <c r="J29" s="38"/>
      <c r="K29" s="31"/>
      <c r="L29" s="31"/>
      <c r="M29" s="15" t="str">
        <f aca="false">IF(L29="","",IFERROR(INDEX(配車管理!$L$5:$L$34,MATCH(L29,配車管理!$A$5:$A$34,0)),"該当なし"))</f>
        <v/>
      </c>
      <c r="N29" s="40" t="str">
        <f aca="false">IF(OR(G29="",H29=""),"",IF(MAX(0,MIN(H29+IF(H29&lt;G29,1,0),1+設定!$B$14)-MAX(G29,設定!$B$13))+MAX(0,MIN(H29+IF(H29&lt;G29,1,0),設定!$B$14)-G29)&gt;0,"深夜帯あり",""))</f>
        <v/>
      </c>
      <c r="O29" s="31"/>
      <c r="P29" s="38"/>
    </row>
    <row r="30" customFormat="false" ht="15" hidden="false" customHeight="false" outlineLevel="0" collapsed="false">
      <c r="A30" s="31" t="n">
        <v>26</v>
      </c>
      <c r="B30" s="37"/>
      <c r="C30" s="15" t="str">
        <f aca="false">IF(B30="","",CHOOSE(WEEKDAY(B30),"日","月","火","水","木","金","土"))</f>
        <v/>
      </c>
      <c r="D30" s="31"/>
      <c r="E30" s="38"/>
      <c r="F30" s="38"/>
      <c r="G30" s="39"/>
      <c r="H30" s="39"/>
      <c r="I30" s="18" t="str">
        <f aca="false">IF(OR(G30="",H30=""),"",MOD(H30-G30,1))</f>
        <v/>
      </c>
      <c r="J30" s="38"/>
      <c r="K30" s="31"/>
      <c r="L30" s="31"/>
      <c r="M30" s="15" t="str">
        <f aca="false">IF(L30="","",IFERROR(INDEX(配車管理!$L$5:$L$34,MATCH(L30,配車管理!$A$5:$A$34,0)),"該当なし"))</f>
        <v/>
      </c>
      <c r="N30" s="40" t="str">
        <f aca="false">IF(OR(G30="",H30=""),"",IF(MAX(0,MIN(H30+IF(H30&lt;G30,1,0),1+設定!$B$14)-MAX(G30,設定!$B$13))+MAX(0,MIN(H30+IF(H30&lt;G30,1,0),設定!$B$14)-G30)&gt;0,"深夜帯あり",""))</f>
        <v/>
      </c>
      <c r="O30" s="31"/>
      <c r="P30" s="38"/>
    </row>
    <row r="31" customFormat="false" ht="15" hidden="false" customHeight="false" outlineLevel="0" collapsed="false">
      <c r="A31" s="31" t="n">
        <v>27</v>
      </c>
      <c r="B31" s="37"/>
      <c r="C31" s="15" t="str">
        <f aca="false">IF(B31="","",CHOOSE(WEEKDAY(B31),"日","月","火","水","木","金","土"))</f>
        <v/>
      </c>
      <c r="D31" s="31"/>
      <c r="E31" s="38"/>
      <c r="F31" s="38"/>
      <c r="G31" s="39"/>
      <c r="H31" s="39"/>
      <c r="I31" s="18" t="str">
        <f aca="false">IF(OR(G31="",H31=""),"",MOD(H31-G31,1))</f>
        <v/>
      </c>
      <c r="J31" s="38"/>
      <c r="K31" s="31"/>
      <c r="L31" s="31"/>
      <c r="M31" s="15" t="str">
        <f aca="false">IF(L31="","",IFERROR(INDEX(配車管理!$L$5:$L$34,MATCH(L31,配車管理!$A$5:$A$34,0)),"該当なし"))</f>
        <v/>
      </c>
      <c r="N31" s="40" t="str">
        <f aca="false">IF(OR(G31="",H31=""),"",IF(MAX(0,MIN(H31+IF(H31&lt;G31,1,0),1+設定!$B$14)-MAX(G31,設定!$B$13))+MAX(0,MIN(H31+IF(H31&lt;G31,1,0),設定!$B$14)-G31)&gt;0,"深夜帯あり",""))</f>
        <v/>
      </c>
      <c r="O31" s="31"/>
      <c r="P31" s="38"/>
    </row>
    <row r="32" customFormat="false" ht="15" hidden="false" customHeight="false" outlineLevel="0" collapsed="false">
      <c r="A32" s="31" t="n">
        <v>28</v>
      </c>
      <c r="B32" s="37"/>
      <c r="C32" s="15" t="str">
        <f aca="false">IF(B32="","",CHOOSE(WEEKDAY(B32),"日","月","火","水","木","金","土"))</f>
        <v/>
      </c>
      <c r="D32" s="31"/>
      <c r="E32" s="38"/>
      <c r="F32" s="38"/>
      <c r="G32" s="39"/>
      <c r="H32" s="39"/>
      <c r="I32" s="18" t="str">
        <f aca="false">IF(OR(G32="",H32=""),"",MOD(H32-G32,1))</f>
        <v/>
      </c>
      <c r="J32" s="38"/>
      <c r="K32" s="31"/>
      <c r="L32" s="31"/>
      <c r="M32" s="15" t="str">
        <f aca="false">IF(L32="","",IFERROR(INDEX(配車管理!$L$5:$L$34,MATCH(L32,配車管理!$A$5:$A$34,0)),"該当なし"))</f>
        <v/>
      </c>
      <c r="N32" s="40" t="str">
        <f aca="false">IF(OR(G32="",H32=""),"",IF(MAX(0,MIN(H32+IF(H32&lt;G32,1,0),1+設定!$B$14)-MAX(G32,設定!$B$13))+MAX(0,MIN(H32+IF(H32&lt;G32,1,0),設定!$B$14)-G32)&gt;0,"深夜帯あり",""))</f>
        <v/>
      </c>
      <c r="O32" s="31"/>
      <c r="P32" s="38"/>
    </row>
    <row r="33" customFormat="false" ht="15" hidden="false" customHeight="false" outlineLevel="0" collapsed="false">
      <c r="A33" s="31" t="n">
        <v>29</v>
      </c>
      <c r="B33" s="37"/>
      <c r="C33" s="15" t="str">
        <f aca="false">IF(B33="","",CHOOSE(WEEKDAY(B33),"日","月","火","水","木","金","土"))</f>
        <v/>
      </c>
      <c r="D33" s="31"/>
      <c r="E33" s="38"/>
      <c r="F33" s="38"/>
      <c r="G33" s="39"/>
      <c r="H33" s="39"/>
      <c r="I33" s="18" t="str">
        <f aca="false">IF(OR(G33="",H33=""),"",MOD(H33-G33,1))</f>
        <v/>
      </c>
      <c r="J33" s="38"/>
      <c r="K33" s="31"/>
      <c r="L33" s="31"/>
      <c r="M33" s="15" t="str">
        <f aca="false">IF(L33="","",IFERROR(INDEX(配車管理!$L$5:$L$34,MATCH(L33,配車管理!$A$5:$A$34,0)),"該当なし"))</f>
        <v/>
      </c>
      <c r="N33" s="40" t="str">
        <f aca="false">IF(OR(G33="",H33=""),"",IF(MAX(0,MIN(H33+IF(H33&lt;G33,1,0),1+設定!$B$14)-MAX(G33,設定!$B$13))+MAX(0,MIN(H33+IF(H33&lt;G33,1,0),設定!$B$14)-G33)&gt;0,"深夜帯あり",""))</f>
        <v/>
      </c>
      <c r="O33" s="31"/>
      <c r="P33" s="38"/>
    </row>
    <row r="34" customFormat="false" ht="15" hidden="false" customHeight="false" outlineLevel="0" collapsed="false">
      <c r="A34" s="31" t="n">
        <v>30</v>
      </c>
      <c r="B34" s="37"/>
      <c r="C34" s="15" t="str">
        <f aca="false">IF(B34="","",CHOOSE(WEEKDAY(B34),"日","月","火","水","木","金","土"))</f>
        <v/>
      </c>
      <c r="D34" s="31"/>
      <c r="E34" s="38"/>
      <c r="F34" s="38"/>
      <c r="G34" s="39"/>
      <c r="H34" s="39"/>
      <c r="I34" s="18" t="str">
        <f aca="false">IF(OR(G34="",H34=""),"",MOD(H34-G34,1))</f>
        <v/>
      </c>
      <c r="J34" s="38"/>
      <c r="K34" s="31"/>
      <c r="L34" s="31"/>
      <c r="M34" s="15" t="str">
        <f aca="false">IF(L34="","",IFERROR(INDEX(配車管理!$L$5:$L$34,MATCH(L34,配車管理!$A$5:$A$34,0)),"該当なし"))</f>
        <v/>
      </c>
      <c r="N34" s="40" t="str">
        <f aca="false">IF(OR(G34="",H34=""),"",IF(MAX(0,MIN(H34+IF(H34&lt;G34,1,0),1+設定!$B$14)-MAX(G34,設定!$B$13))+MAX(0,MIN(H34+IF(H34&lt;G34,1,0),設定!$B$14)-G34)&gt;0,"深夜帯あり",""))</f>
        <v/>
      </c>
      <c r="O34" s="31"/>
      <c r="P34" s="38"/>
    </row>
    <row r="35" customFormat="false" ht="15" hidden="false" customHeight="false" outlineLevel="0" collapsed="false">
      <c r="A35" s="31" t="n">
        <v>31</v>
      </c>
      <c r="B35" s="37"/>
      <c r="C35" s="15" t="str">
        <f aca="false">IF(B35="","",CHOOSE(WEEKDAY(B35),"日","月","火","水","木","金","土"))</f>
        <v/>
      </c>
      <c r="D35" s="31"/>
      <c r="E35" s="38"/>
      <c r="F35" s="38"/>
      <c r="G35" s="39"/>
      <c r="H35" s="39"/>
      <c r="I35" s="18" t="str">
        <f aca="false">IF(OR(G35="",H35=""),"",MOD(H35-G35,1))</f>
        <v/>
      </c>
      <c r="J35" s="38"/>
      <c r="K35" s="31"/>
      <c r="L35" s="31"/>
      <c r="M35" s="15" t="str">
        <f aca="false">IF(L35="","",IFERROR(INDEX(配車管理!$L$5:$L$34,MATCH(L35,配車管理!$A$5:$A$34,0)),"該当なし"))</f>
        <v/>
      </c>
      <c r="N35" s="40" t="str">
        <f aca="false">IF(OR(G35="",H35=""),"",IF(MAX(0,MIN(H35+IF(H35&lt;G35,1,0),1+設定!$B$14)-MAX(G35,設定!$B$13))+MAX(0,MIN(H35+IF(H35&lt;G35,1,0),設定!$B$14)-G35)&gt;0,"深夜帯あり",""))</f>
        <v/>
      </c>
      <c r="O35" s="31"/>
      <c r="P35" s="38"/>
    </row>
    <row r="36" customFormat="false" ht="15" hidden="false" customHeight="false" outlineLevel="0" collapsed="false">
      <c r="A36" s="31" t="n">
        <v>32</v>
      </c>
      <c r="B36" s="37"/>
      <c r="C36" s="15" t="str">
        <f aca="false">IF(B36="","",CHOOSE(WEEKDAY(B36),"日","月","火","水","木","金","土"))</f>
        <v/>
      </c>
      <c r="D36" s="31"/>
      <c r="E36" s="38"/>
      <c r="F36" s="38"/>
      <c r="G36" s="39"/>
      <c r="H36" s="39"/>
      <c r="I36" s="18" t="str">
        <f aca="false">IF(OR(G36="",H36=""),"",MOD(H36-G36,1))</f>
        <v/>
      </c>
      <c r="J36" s="38"/>
      <c r="K36" s="31"/>
      <c r="L36" s="31"/>
      <c r="M36" s="15" t="str">
        <f aca="false">IF(L36="","",IFERROR(INDEX(配車管理!$L$5:$L$34,MATCH(L36,配車管理!$A$5:$A$34,0)),"該当なし"))</f>
        <v/>
      </c>
      <c r="N36" s="40" t="str">
        <f aca="false">IF(OR(G36="",H36=""),"",IF(MAX(0,MIN(H36+IF(H36&lt;G36,1,0),1+設定!$B$14)-MAX(G36,設定!$B$13))+MAX(0,MIN(H36+IF(H36&lt;G36,1,0),設定!$B$14)-G36)&gt;0,"深夜帯あり",""))</f>
        <v/>
      </c>
      <c r="O36" s="31"/>
      <c r="P36" s="38"/>
    </row>
    <row r="37" customFormat="false" ht="15" hidden="false" customHeight="false" outlineLevel="0" collapsed="false">
      <c r="A37" s="31" t="n">
        <v>33</v>
      </c>
      <c r="B37" s="37"/>
      <c r="C37" s="15" t="str">
        <f aca="false">IF(B37="","",CHOOSE(WEEKDAY(B37),"日","月","火","水","木","金","土"))</f>
        <v/>
      </c>
      <c r="D37" s="31"/>
      <c r="E37" s="38"/>
      <c r="F37" s="38"/>
      <c r="G37" s="39"/>
      <c r="H37" s="39"/>
      <c r="I37" s="18" t="str">
        <f aca="false">IF(OR(G37="",H37=""),"",MOD(H37-G37,1))</f>
        <v/>
      </c>
      <c r="J37" s="38"/>
      <c r="K37" s="31"/>
      <c r="L37" s="31"/>
      <c r="M37" s="15" t="str">
        <f aca="false">IF(L37="","",IFERROR(INDEX(配車管理!$L$5:$L$34,MATCH(L37,配車管理!$A$5:$A$34,0)),"該当なし"))</f>
        <v/>
      </c>
      <c r="N37" s="40" t="str">
        <f aca="false">IF(OR(G37="",H37=""),"",IF(MAX(0,MIN(H37+IF(H37&lt;G37,1,0),1+設定!$B$14)-MAX(G37,設定!$B$13))+MAX(0,MIN(H37+IF(H37&lt;G37,1,0),設定!$B$14)-G37)&gt;0,"深夜帯あり",""))</f>
        <v/>
      </c>
      <c r="O37" s="31"/>
      <c r="P37" s="38"/>
    </row>
    <row r="38" customFormat="false" ht="15" hidden="false" customHeight="false" outlineLevel="0" collapsed="false">
      <c r="A38" s="31" t="n">
        <v>34</v>
      </c>
      <c r="B38" s="37"/>
      <c r="C38" s="15" t="str">
        <f aca="false">IF(B38="","",CHOOSE(WEEKDAY(B38),"日","月","火","水","木","金","土"))</f>
        <v/>
      </c>
      <c r="D38" s="31"/>
      <c r="E38" s="38"/>
      <c r="F38" s="38"/>
      <c r="G38" s="39"/>
      <c r="H38" s="39"/>
      <c r="I38" s="18" t="str">
        <f aca="false">IF(OR(G38="",H38=""),"",MOD(H38-G38,1))</f>
        <v/>
      </c>
      <c r="J38" s="38"/>
      <c r="K38" s="31"/>
      <c r="L38" s="31"/>
      <c r="M38" s="15" t="str">
        <f aca="false">IF(L38="","",IFERROR(INDEX(配車管理!$L$5:$L$34,MATCH(L38,配車管理!$A$5:$A$34,0)),"該当なし"))</f>
        <v/>
      </c>
      <c r="N38" s="40" t="str">
        <f aca="false">IF(OR(G38="",H38=""),"",IF(MAX(0,MIN(H38+IF(H38&lt;G38,1,0),1+設定!$B$14)-MAX(G38,設定!$B$13))+MAX(0,MIN(H38+IF(H38&lt;G38,1,0),設定!$B$14)-G38)&gt;0,"深夜帯あり",""))</f>
        <v/>
      </c>
      <c r="O38" s="31"/>
      <c r="P38" s="38"/>
    </row>
    <row r="39" customFormat="false" ht="15" hidden="false" customHeight="false" outlineLevel="0" collapsed="false">
      <c r="A39" s="31" t="n">
        <v>35</v>
      </c>
      <c r="B39" s="37"/>
      <c r="C39" s="15" t="str">
        <f aca="false">IF(B39="","",CHOOSE(WEEKDAY(B39),"日","月","火","水","木","金","土"))</f>
        <v/>
      </c>
      <c r="D39" s="31"/>
      <c r="E39" s="38"/>
      <c r="F39" s="38"/>
      <c r="G39" s="39"/>
      <c r="H39" s="39"/>
      <c r="I39" s="18" t="str">
        <f aca="false">IF(OR(G39="",H39=""),"",MOD(H39-G39,1))</f>
        <v/>
      </c>
      <c r="J39" s="38"/>
      <c r="K39" s="31"/>
      <c r="L39" s="31"/>
      <c r="M39" s="15" t="str">
        <f aca="false">IF(L39="","",IFERROR(INDEX(配車管理!$L$5:$L$34,MATCH(L39,配車管理!$A$5:$A$34,0)),"該当なし"))</f>
        <v/>
      </c>
      <c r="N39" s="40" t="str">
        <f aca="false">IF(OR(G39="",H39=""),"",IF(MAX(0,MIN(H39+IF(H39&lt;G39,1,0),1+設定!$B$14)-MAX(G39,設定!$B$13))+MAX(0,MIN(H39+IF(H39&lt;G39,1,0),設定!$B$14)-G39)&gt;0,"深夜帯あり",""))</f>
        <v/>
      </c>
      <c r="O39" s="31"/>
      <c r="P39" s="38"/>
    </row>
    <row r="40" customFormat="false" ht="15" hidden="false" customHeight="false" outlineLevel="0" collapsed="false">
      <c r="A40" s="31" t="n">
        <v>36</v>
      </c>
      <c r="B40" s="37"/>
      <c r="C40" s="15" t="str">
        <f aca="false">IF(B40="","",CHOOSE(WEEKDAY(B40),"日","月","火","水","木","金","土"))</f>
        <v/>
      </c>
      <c r="D40" s="31"/>
      <c r="E40" s="38"/>
      <c r="F40" s="38"/>
      <c r="G40" s="39"/>
      <c r="H40" s="39"/>
      <c r="I40" s="18" t="str">
        <f aca="false">IF(OR(G40="",H40=""),"",MOD(H40-G40,1))</f>
        <v/>
      </c>
      <c r="J40" s="38"/>
      <c r="K40" s="31"/>
      <c r="L40" s="31"/>
      <c r="M40" s="15" t="str">
        <f aca="false">IF(L40="","",IFERROR(INDEX(配車管理!$L$5:$L$34,MATCH(L40,配車管理!$A$5:$A$34,0)),"該当なし"))</f>
        <v/>
      </c>
      <c r="N40" s="40" t="str">
        <f aca="false">IF(OR(G40="",H40=""),"",IF(MAX(0,MIN(H40+IF(H40&lt;G40,1,0),1+設定!$B$14)-MAX(G40,設定!$B$13))+MAX(0,MIN(H40+IF(H40&lt;G40,1,0),設定!$B$14)-G40)&gt;0,"深夜帯あり",""))</f>
        <v/>
      </c>
      <c r="O40" s="31"/>
      <c r="P40" s="38"/>
    </row>
    <row r="41" customFormat="false" ht="15" hidden="false" customHeight="false" outlineLevel="0" collapsed="false">
      <c r="A41" s="31" t="n">
        <v>37</v>
      </c>
      <c r="B41" s="37"/>
      <c r="C41" s="15" t="str">
        <f aca="false">IF(B41="","",CHOOSE(WEEKDAY(B41),"日","月","火","水","木","金","土"))</f>
        <v/>
      </c>
      <c r="D41" s="31"/>
      <c r="E41" s="38"/>
      <c r="F41" s="38"/>
      <c r="G41" s="39"/>
      <c r="H41" s="39"/>
      <c r="I41" s="18" t="str">
        <f aca="false">IF(OR(G41="",H41=""),"",MOD(H41-G41,1))</f>
        <v/>
      </c>
      <c r="J41" s="38"/>
      <c r="K41" s="31"/>
      <c r="L41" s="31"/>
      <c r="M41" s="15" t="str">
        <f aca="false">IF(L41="","",IFERROR(INDEX(配車管理!$L$5:$L$34,MATCH(L41,配車管理!$A$5:$A$34,0)),"該当なし"))</f>
        <v/>
      </c>
      <c r="N41" s="40" t="str">
        <f aca="false">IF(OR(G41="",H41=""),"",IF(MAX(0,MIN(H41+IF(H41&lt;G41,1,0),1+設定!$B$14)-MAX(G41,設定!$B$13))+MAX(0,MIN(H41+IF(H41&lt;G41,1,0),設定!$B$14)-G41)&gt;0,"深夜帯あり",""))</f>
        <v/>
      </c>
      <c r="O41" s="31"/>
      <c r="P41" s="38"/>
    </row>
    <row r="42" customFormat="false" ht="15" hidden="false" customHeight="false" outlineLevel="0" collapsed="false">
      <c r="A42" s="31" t="n">
        <v>38</v>
      </c>
      <c r="B42" s="37"/>
      <c r="C42" s="15" t="str">
        <f aca="false">IF(B42="","",CHOOSE(WEEKDAY(B42),"日","月","火","水","木","金","土"))</f>
        <v/>
      </c>
      <c r="D42" s="31"/>
      <c r="E42" s="38"/>
      <c r="F42" s="38"/>
      <c r="G42" s="39"/>
      <c r="H42" s="39"/>
      <c r="I42" s="18" t="str">
        <f aca="false">IF(OR(G42="",H42=""),"",MOD(H42-G42,1))</f>
        <v/>
      </c>
      <c r="J42" s="38"/>
      <c r="K42" s="31"/>
      <c r="L42" s="31"/>
      <c r="M42" s="15" t="str">
        <f aca="false">IF(L42="","",IFERROR(INDEX(配車管理!$L$5:$L$34,MATCH(L42,配車管理!$A$5:$A$34,0)),"該当なし"))</f>
        <v/>
      </c>
      <c r="N42" s="40" t="str">
        <f aca="false">IF(OR(G42="",H42=""),"",IF(MAX(0,MIN(H42+IF(H42&lt;G42,1,0),1+設定!$B$14)-MAX(G42,設定!$B$13))+MAX(0,MIN(H42+IF(H42&lt;G42,1,0),設定!$B$14)-G42)&gt;0,"深夜帯あり",""))</f>
        <v/>
      </c>
      <c r="O42" s="31"/>
      <c r="P42" s="38"/>
    </row>
    <row r="43" customFormat="false" ht="15" hidden="false" customHeight="false" outlineLevel="0" collapsed="false">
      <c r="A43" s="31" t="n">
        <v>39</v>
      </c>
      <c r="B43" s="37"/>
      <c r="C43" s="15" t="str">
        <f aca="false">IF(B43="","",CHOOSE(WEEKDAY(B43),"日","月","火","水","木","金","土"))</f>
        <v/>
      </c>
      <c r="D43" s="31"/>
      <c r="E43" s="38"/>
      <c r="F43" s="38"/>
      <c r="G43" s="39"/>
      <c r="H43" s="39"/>
      <c r="I43" s="18" t="str">
        <f aca="false">IF(OR(G43="",H43=""),"",MOD(H43-G43,1))</f>
        <v/>
      </c>
      <c r="J43" s="38"/>
      <c r="K43" s="31"/>
      <c r="L43" s="31"/>
      <c r="M43" s="15" t="str">
        <f aca="false">IF(L43="","",IFERROR(INDEX(配車管理!$L$5:$L$34,MATCH(L43,配車管理!$A$5:$A$34,0)),"該当なし"))</f>
        <v/>
      </c>
      <c r="N43" s="40" t="str">
        <f aca="false">IF(OR(G43="",H43=""),"",IF(MAX(0,MIN(H43+IF(H43&lt;G43,1,0),1+設定!$B$14)-MAX(G43,設定!$B$13))+MAX(0,MIN(H43+IF(H43&lt;G43,1,0),設定!$B$14)-G43)&gt;0,"深夜帯あり",""))</f>
        <v/>
      </c>
      <c r="O43" s="31"/>
      <c r="P43" s="38"/>
    </row>
    <row r="44" customFormat="false" ht="15" hidden="false" customHeight="false" outlineLevel="0" collapsed="false">
      <c r="A44" s="31" t="n">
        <v>40</v>
      </c>
      <c r="B44" s="37"/>
      <c r="C44" s="15" t="str">
        <f aca="false">IF(B44="","",CHOOSE(WEEKDAY(B44),"日","月","火","水","木","金","土"))</f>
        <v/>
      </c>
      <c r="D44" s="31"/>
      <c r="E44" s="38"/>
      <c r="F44" s="38"/>
      <c r="G44" s="39"/>
      <c r="H44" s="39"/>
      <c r="I44" s="18" t="str">
        <f aca="false">IF(OR(G44="",H44=""),"",MOD(H44-G44,1))</f>
        <v/>
      </c>
      <c r="J44" s="38"/>
      <c r="K44" s="31"/>
      <c r="L44" s="31"/>
      <c r="M44" s="15" t="str">
        <f aca="false">IF(L44="","",IFERROR(INDEX(配車管理!$L$5:$L$34,MATCH(L44,配車管理!$A$5:$A$34,0)),"該当なし"))</f>
        <v/>
      </c>
      <c r="N44" s="40" t="str">
        <f aca="false">IF(OR(G44="",H44=""),"",IF(MAX(0,MIN(H44+IF(H44&lt;G44,1,0),1+設定!$B$14)-MAX(G44,設定!$B$13))+MAX(0,MIN(H44+IF(H44&lt;G44,1,0),設定!$B$14)-G44)&gt;0,"深夜帯あり",""))</f>
        <v/>
      </c>
      <c r="O44" s="31"/>
      <c r="P44" s="38"/>
    </row>
  </sheetData>
  <autoFilter ref="A4:P44"/>
  <conditionalFormatting sqref="N5:N44">
    <cfRule type="expression" priority="2" aboveAverage="0" equalAverage="0" bottom="0" percent="0" rank="0" text="" dxfId="0">
      <formula>N5="深夜帯あり"</formula>
    </cfRule>
  </conditionalFormatting>
  <conditionalFormatting sqref="M5:M44">
    <cfRule type="expression" priority="3" aboveAverage="0" equalAverage="0" bottom="0" percent="0" rank="0" text="" dxfId="11">
      <formula>M5="確定"</formula>
    </cfRule>
    <cfRule type="expression" priority="4" aboveAverage="0" equalAverage="0" bottom="0" percent="0" rank="0" text="" dxfId="12">
      <formula>OR(M5="未手配",M5="該当なし",M5="キャンセル")</formula>
    </cfRule>
    <cfRule type="expression" priority="5" aboveAverage="0" equalAverage="0" bottom="0" percent="0" rank="0" text="" dxfId="13">
      <formula>OR(M5="仮押さえ",M5="変更あり")</formula>
    </cfRule>
  </conditionalFormatting>
  <conditionalFormatting sqref="O5:O44">
    <cfRule type="expression" priority="6" aboveAverage="0" equalAverage="0" bottom="0" percent="0" rank="0" text="" dxfId="11">
      <formula>O5="完了"</formula>
    </cfRule>
    <cfRule type="expression" priority="7" aboveAverage="0" equalAverage="0" bottom="0" percent="0" rank="0" text="" dxfId="12">
      <formula>O5="遅延"</formula>
    </cfRule>
  </conditionalFormatting>
  <dataValidations count="2">
    <dataValidation allowBlank="true" errorStyle="stop" operator="between" showDropDown="false" showErrorMessage="false" showInputMessage="false" sqref="D5:D44" type="list">
      <formula1>マスタ!$C$3:$C$8</formula1>
      <formula2>0</formula2>
    </dataValidation>
    <dataValidation allowBlank="true" errorStyle="stop" operator="between" showDropDown="false" showErrorMessage="false" showInputMessage="false" sqref="O5:O44" type="list">
      <formula1>マスタ!$G$3:$G$8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Q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9" min="6" style="0" width="8"/>
    <col collapsed="false" customWidth="true" hidden="false" outlineLevel="0" max="13" min="10" style="0" width="9"/>
    <col collapsed="false" customWidth="true" hidden="false" outlineLevel="0" max="14" min="14" style="0" width="10"/>
    <col collapsed="false" customWidth="true" hidden="false" outlineLevel="0" max="15" min="15" style="0" width="14"/>
    <col collapsed="false" customWidth="true" hidden="false" outlineLevel="0" max="16" min="16" style="0" width="22"/>
    <col collapsed="false" customWidth="true" hidden="false" outlineLevel="0" max="17" min="17" style="0" width="30"/>
  </cols>
  <sheetData>
    <row r="1" customFormat="false" ht="17.35" hidden="false" customHeight="false" outlineLevel="0" collapsed="false">
      <c r="A1" s="1" t="s">
        <v>217</v>
      </c>
    </row>
    <row r="2" customFormat="false" ht="15" hidden="false" customHeight="false" outlineLevel="0" collapsed="false">
      <c r="A2" s="2" t="s">
        <v>218</v>
      </c>
    </row>
    <row r="4" customFormat="false" ht="31.5" hidden="false" customHeight="true" outlineLevel="0" collapsed="false">
      <c r="A4" s="36" t="s">
        <v>167</v>
      </c>
      <c r="B4" s="22" t="s">
        <v>192</v>
      </c>
      <c r="C4" s="22" t="s">
        <v>169</v>
      </c>
      <c r="D4" s="22" t="s">
        <v>154</v>
      </c>
      <c r="E4" s="22" t="s">
        <v>155</v>
      </c>
      <c r="F4" s="22" t="s">
        <v>127</v>
      </c>
      <c r="G4" s="22" t="s">
        <v>195</v>
      </c>
      <c r="H4" s="22" t="s">
        <v>196</v>
      </c>
      <c r="I4" s="22" t="s">
        <v>219</v>
      </c>
      <c r="J4" s="22" t="s">
        <v>220</v>
      </c>
      <c r="K4" s="22" t="s">
        <v>221</v>
      </c>
      <c r="L4" s="22" t="s">
        <v>222</v>
      </c>
      <c r="M4" s="22" t="s">
        <v>223</v>
      </c>
      <c r="N4" s="22" t="s">
        <v>156</v>
      </c>
      <c r="O4" s="22" t="s">
        <v>78</v>
      </c>
      <c r="P4" s="22" t="s">
        <v>180</v>
      </c>
      <c r="Q4" s="22" t="s">
        <v>182</v>
      </c>
    </row>
    <row r="5" customFormat="false" ht="15" hidden="false" customHeight="false" outlineLevel="0" collapsed="false">
      <c r="A5" s="31" t="n">
        <v>1</v>
      </c>
      <c r="B5" s="37" t="n">
        <v>46339</v>
      </c>
      <c r="C5" s="15" t="str">
        <f aca="false">IF(B5="","",CHOOSE(WEEKDAY(B5),"日","月","火","水","木","金","土"))</f>
        <v>金</v>
      </c>
      <c r="D5" s="31" t="s">
        <v>157</v>
      </c>
      <c r="E5" s="15" t="str">
        <f aca="false">IF(D5="","",IFERROR(INDEX(マスタ!$B$25:$B$40,MATCH(D5,マスタ!$A$25:$A$40,0)),"未登録"))</f>
        <v>リーダー</v>
      </c>
      <c r="F5" s="31" t="s">
        <v>134</v>
      </c>
      <c r="G5" s="39" t="n">
        <v>0.4375</v>
      </c>
      <c r="H5" s="39" t="n">
        <v>0.8125</v>
      </c>
      <c r="I5" s="39" t="n">
        <v>0.0416666666666667</v>
      </c>
      <c r="J5" s="18" t="n">
        <f aca="false">IF(OR(G5="",H5=""),"",MOD(H5-G5,1)-N(I5))</f>
        <v>0.333333333333333</v>
      </c>
      <c r="K5" s="18" t="n">
        <f aca="false">IF(J5="","",MAX(0,J5-設定!$B$15))</f>
        <v>0</v>
      </c>
      <c r="L5" s="18" t="n">
        <f aca="false">IF(OR(G5="",H5=""),"",MAX(0,MIN(H5+IF(H5&lt;G5,1,0),1+設定!$B$14)-MAX(G5,設定!$B$13))+MAX(0,MIN(H5+IF(H5&lt;G5,1,0),設定!$B$14)-G5))</f>
        <v>0</v>
      </c>
      <c r="M5" s="39"/>
      <c r="N5" s="19" t="n">
        <f aca="false">IF(D5="","",IFERROR(INDEX(マスタ!$C$25:$C$40,MATCH(D5,マスタ!$A$25:$A$40,0)),0))</f>
        <v>1500</v>
      </c>
      <c r="O5" s="19" t="n">
        <f aca="false">IF(J5="","",ROUND(K5*24*N5*(1+設定!$B$17)+L5*24*N5*設定!$B$18,0))</f>
        <v>0</v>
      </c>
      <c r="P5" s="40" t="str">
        <f aca="false">IF(J5="","",TRIM(IF(K5&gt;0,"残業あり ","")&amp;IF(L5&gt;0,"深夜あり ","")&amp;IF(N(M5)&gt;設定!$B$19,"待機超過","")))</f>
        <v/>
      </c>
      <c r="Q5" s="38"/>
    </row>
    <row r="6" customFormat="false" ht="15" hidden="false" customHeight="false" outlineLevel="0" collapsed="false">
      <c r="A6" s="31" t="n">
        <v>2</v>
      </c>
      <c r="B6" s="37" t="n">
        <v>46339</v>
      </c>
      <c r="C6" s="15" t="str">
        <f aca="false">IF(B6="","",CHOOSE(WEEKDAY(B6),"日","月","火","水","木","金","土"))</f>
        <v>金</v>
      </c>
      <c r="D6" s="31" t="s">
        <v>160</v>
      </c>
      <c r="E6" s="15" t="str">
        <f aca="false">IF(D6="","",IFERROR(INDEX(マスタ!$B$25:$B$40,MATCH(D6,マスタ!$A$25:$A$40,0)),"未登録"))</f>
        <v>スタッフ</v>
      </c>
      <c r="F6" s="31" t="s">
        <v>134</v>
      </c>
      <c r="G6" s="39" t="n">
        <v>0.4375</v>
      </c>
      <c r="H6" s="39" t="n">
        <v>0.8125</v>
      </c>
      <c r="I6" s="39" t="n">
        <v>0.0416666666666667</v>
      </c>
      <c r="J6" s="18" t="n">
        <f aca="false">IF(OR(G6="",H6=""),"",MOD(H6-G6,1)-N(I6))</f>
        <v>0.333333333333333</v>
      </c>
      <c r="K6" s="18" t="n">
        <f aca="false">IF(J6="","",MAX(0,J6-設定!$B$15))</f>
        <v>0</v>
      </c>
      <c r="L6" s="18" t="n">
        <f aca="false">IF(OR(G6="",H6=""),"",MAX(0,MIN(H6+IF(H6&lt;G6,1,0),1+設定!$B$14)-MAX(G6,設定!$B$13))+MAX(0,MIN(H6+IF(H6&lt;G6,1,0),設定!$B$14)-G6))</f>
        <v>0</v>
      </c>
      <c r="M6" s="39"/>
      <c r="N6" s="19" t="n">
        <f aca="false">IF(D6="","",IFERROR(INDEX(マスタ!$C$25:$C$40,MATCH(D6,マスタ!$A$25:$A$40,0)),0))</f>
        <v>1200</v>
      </c>
      <c r="O6" s="19" t="n">
        <f aca="false">IF(J6="","",ROUND(K6*24*N6*(1+設定!$B$17)+L6*24*N6*設定!$B$18,0))</f>
        <v>0</v>
      </c>
      <c r="P6" s="40" t="str">
        <f aca="false">IF(J6="","",TRIM(IF(K6&gt;0,"残業あり ","")&amp;IF(L6&gt;0,"深夜あり ","")&amp;IF(N(M6)&gt;設定!$B$19,"待機超過","")))</f>
        <v/>
      </c>
      <c r="Q6" s="38"/>
    </row>
    <row r="7" customFormat="false" ht="15" hidden="false" customHeight="false" outlineLevel="0" collapsed="false">
      <c r="A7" s="31" t="n">
        <v>3</v>
      </c>
      <c r="B7" s="37" t="n">
        <v>46339</v>
      </c>
      <c r="C7" s="15" t="str">
        <f aca="false">IF(B7="","",CHOOSE(WEEKDAY(B7),"日","月","火","水","木","金","土"))</f>
        <v>金</v>
      </c>
      <c r="D7" s="31" t="s">
        <v>163</v>
      </c>
      <c r="E7" s="15" t="str">
        <f aca="false">IF(D7="","",IFERROR(INDEX(マスタ!$B$25:$B$40,MATCH(D7,マスタ!$A$25:$A$40,0)),"未登録"))</f>
        <v>スタッフ</v>
      </c>
      <c r="F7" s="31" t="s">
        <v>134</v>
      </c>
      <c r="G7" s="39" t="n">
        <v>0.458333333333333</v>
      </c>
      <c r="H7" s="39" t="n">
        <v>0.8125</v>
      </c>
      <c r="I7" s="39" t="n">
        <v>0.0416666666666667</v>
      </c>
      <c r="J7" s="18" t="n">
        <f aca="false">IF(OR(G7="",H7=""),"",MOD(H7-G7,1)-N(I7))</f>
        <v>0.3125</v>
      </c>
      <c r="K7" s="18" t="n">
        <f aca="false">IF(J7="","",MAX(0,J7-設定!$B$15))</f>
        <v>0</v>
      </c>
      <c r="L7" s="18" t="n">
        <f aca="false">IF(OR(G7="",H7=""),"",MAX(0,MIN(H7+IF(H7&lt;G7,1,0),1+設定!$B$14)-MAX(G7,設定!$B$13))+MAX(0,MIN(H7+IF(H7&lt;G7,1,0),設定!$B$14)-G7))</f>
        <v>0</v>
      </c>
      <c r="M7" s="39"/>
      <c r="N7" s="19" t="n">
        <f aca="false">IF(D7="","",IFERROR(INDEX(マスタ!$C$25:$C$40,MATCH(D7,マスタ!$A$25:$A$40,0)),0))</f>
        <v>1200</v>
      </c>
      <c r="O7" s="19" t="n">
        <f aca="false">IF(J7="","",ROUND(K7*24*N7*(1+設定!$B$17)+L7*24*N7*設定!$B$18,0))</f>
        <v>0</v>
      </c>
      <c r="P7" s="40" t="str">
        <f aca="false">IF(J7="","",TRIM(IF(K7&gt;0,"残業あり ","")&amp;IF(L7&gt;0,"深夜あり ","")&amp;IF(N(M7)&gt;設定!$B$19,"待機超過","")))</f>
        <v/>
      </c>
      <c r="Q7" s="38"/>
    </row>
    <row r="8" customFormat="false" ht="26.85" hidden="false" customHeight="false" outlineLevel="0" collapsed="false">
      <c r="A8" s="31" t="n">
        <v>4</v>
      </c>
      <c r="B8" s="37" t="n">
        <v>46341</v>
      </c>
      <c r="C8" s="15" t="str">
        <f aca="false">IF(B8="","",CHOOSE(WEEKDAY(B8),"日","月","火","水","木","金","土"))</f>
        <v>日</v>
      </c>
      <c r="D8" s="31" t="s">
        <v>157</v>
      </c>
      <c r="E8" s="15" t="str">
        <f aca="false">IF(D8="","",IFERROR(INDEX(マスタ!$B$25:$B$40,MATCH(D8,マスタ!$A$25:$A$40,0)),"未登録"))</f>
        <v>リーダー</v>
      </c>
      <c r="F8" s="31" t="s">
        <v>137</v>
      </c>
      <c r="G8" s="39" t="n">
        <v>0.541666666666667</v>
      </c>
      <c r="H8" s="39" t="n">
        <v>0.9375</v>
      </c>
      <c r="I8" s="39" t="n">
        <v>0.0416666666666667</v>
      </c>
      <c r="J8" s="18" t="n">
        <f aca="false">IF(OR(G8="",H8=""),"",MOD(H8-G8,1)-N(I8))</f>
        <v>0.354166666666667</v>
      </c>
      <c r="K8" s="18" t="n">
        <f aca="false">IF(J8="","",MAX(0,J8-設定!$B$15))</f>
        <v>0.0208333333333333</v>
      </c>
      <c r="L8" s="18" t="n">
        <f aca="false">IF(OR(G8="",H8=""),"",MAX(0,MIN(H8+IF(H8&lt;G8,1,0),1+設定!$B$14)-MAX(G8,設定!$B$13))+MAX(0,MIN(H8+IF(H8&lt;G8,1,0),設定!$B$14)-G8))</f>
        <v>0.0208333333333333</v>
      </c>
      <c r="M8" s="39"/>
      <c r="N8" s="19" t="n">
        <f aca="false">IF(D8="","",IFERROR(INDEX(マスタ!$C$25:$C$40,MATCH(D8,マスタ!$A$25:$A$40,0)),0))</f>
        <v>1500</v>
      </c>
      <c r="O8" s="19" t="n">
        <f aca="false">IF(J8="","",ROUND(K8*24*N8*(1+設定!$B$17)+L8*24*N8*設定!$B$18,0))</f>
        <v>1125</v>
      </c>
      <c r="P8" s="40" t="str">
        <f aca="false">IF(J8="","",TRIM(IF(K8&gt;0,"残業あり ","")&amp;IF(L8&gt;0,"深夜あり ","")&amp;IF(N(M8)&gt;設定!$B$19,"待機超過","")))</f>
        <v>残業あり 深夜あり</v>
      </c>
      <c r="Q8" s="38" t="s">
        <v>224</v>
      </c>
    </row>
    <row r="9" customFormat="false" ht="26.85" hidden="false" customHeight="false" outlineLevel="0" collapsed="false">
      <c r="A9" s="31" t="n">
        <v>5</v>
      </c>
      <c r="B9" s="37" t="n">
        <v>46341</v>
      </c>
      <c r="C9" s="15" t="str">
        <f aca="false">IF(B9="","",CHOOSE(WEEKDAY(B9),"日","月","火","水","木","金","土"))</f>
        <v>日</v>
      </c>
      <c r="D9" s="31" t="s">
        <v>160</v>
      </c>
      <c r="E9" s="15" t="str">
        <f aca="false">IF(D9="","",IFERROR(INDEX(マスタ!$B$25:$B$40,MATCH(D9,マスタ!$A$25:$A$40,0)),"未登録"))</f>
        <v>スタッフ</v>
      </c>
      <c r="F9" s="31" t="s">
        <v>137</v>
      </c>
      <c r="G9" s="39" t="n">
        <v>0.708333333333333</v>
      </c>
      <c r="H9" s="39" t="n">
        <v>0.9375</v>
      </c>
      <c r="I9" s="39" t="n">
        <v>0</v>
      </c>
      <c r="J9" s="18" t="n">
        <f aca="false">IF(OR(G9="",H9=""),"",MOD(H9-G9,1)-N(I9))</f>
        <v>0.229166666666667</v>
      </c>
      <c r="K9" s="18" t="n">
        <f aca="false">IF(J9="","",MAX(0,J9-設定!$B$15))</f>
        <v>0</v>
      </c>
      <c r="L9" s="18" t="n">
        <f aca="false">IF(OR(G9="",H9=""),"",MAX(0,MIN(H9+IF(H9&lt;G9,1,0),1+設定!$B$14)-MAX(G9,設定!$B$13))+MAX(0,MIN(H9+IF(H9&lt;G9,1,0),設定!$B$14)-G9))</f>
        <v>0.0208333333333333</v>
      </c>
      <c r="M9" s="39" t="n">
        <v>0.0625</v>
      </c>
      <c r="N9" s="19" t="n">
        <f aca="false">IF(D9="","",IFERROR(INDEX(マスタ!$C$25:$C$40,MATCH(D9,マスタ!$A$25:$A$40,0)),0))</f>
        <v>1200</v>
      </c>
      <c r="O9" s="19" t="n">
        <f aca="false">IF(J9="","",ROUND(K9*24*N9*(1+設定!$B$17)+L9*24*N9*設定!$B$18,0))</f>
        <v>150</v>
      </c>
      <c r="P9" s="40" t="str">
        <f aca="false">IF(J9="","",TRIM(IF(K9&gt;0,"残業あり ","")&amp;IF(L9&gt;0,"深夜あり ","")&amp;IF(N(M9)&gt;設定!$B$19,"待機超過","")))</f>
        <v>深夜あり 待機超過</v>
      </c>
      <c r="Q9" s="38" t="s">
        <v>225</v>
      </c>
    </row>
    <row r="10" customFormat="false" ht="15" hidden="false" customHeight="false" outlineLevel="0" collapsed="false">
      <c r="A10" s="31" t="n">
        <v>6</v>
      </c>
      <c r="B10" s="37" t="n">
        <v>46341</v>
      </c>
      <c r="C10" s="15" t="str">
        <f aca="false">IF(B10="","",CHOOSE(WEEKDAY(B10),"日","月","火","水","木","金","土"))</f>
        <v>日</v>
      </c>
      <c r="D10" s="31" t="s">
        <v>163</v>
      </c>
      <c r="E10" s="15" t="str">
        <f aca="false">IF(D10="","",IFERROR(INDEX(マスタ!$B$25:$B$40,MATCH(D10,マスタ!$A$25:$A$40,0)),"未登録"))</f>
        <v>スタッフ</v>
      </c>
      <c r="F10" s="31" t="s">
        <v>137</v>
      </c>
      <c r="G10" s="39" t="n">
        <v>0.75</v>
      </c>
      <c r="H10" s="39" t="n">
        <v>0.9375</v>
      </c>
      <c r="I10" s="39" t="n">
        <v>0</v>
      </c>
      <c r="J10" s="18" t="n">
        <f aca="false">IF(OR(G10="",H10=""),"",MOD(H10-G10,1)-N(I10))</f>
        <v>0.1875</v>
      </c>
      <c r="K10" s="18" t="n">
        <f aca="false">IF(J10="","",MAX(0,J10-設定!$B$15))</f>
        <v>0</v>
      </c>
      <c r="L10" s="18" t="n">
        <f aca="false">IF(OR(G10="",H10=""),"",MAX(0,MIN(H10+IF(H10&lt;G10,1,0),1+設定!$B$14)-MAX(G10,設定!$B$13))+MAX(0,MIN(H10+IF(H10&lt;G10,1,0),設定!$B$14)-G10))</f>
        <v>0.0208333333333333</v>
      </c>
      <c r="M10" s="39"/>
      <c r="N10" s="19" t="n">
        <f aca="false">IF(D10="","",IFERROR(INDEX(マスタ!$C$25:$C$40,MATCH(D10,マスタ!$A$25:$A$40,0)),0))</f>
        <v>1200</v>
      </c>
      <c r="O10" s="19" t="n">
        <f aca="false">IF(J10="","",ROUND(K10*24*N10*(1+設定!$B$17)+L10*24*N10*設定!$B$18,0))</f>
        <v>150</v>
      </c>
      <c r="P10" s="40" t="str">
        <f aca="false">IF(J10="","",TRIM(IF(K10&gt;0,"残業あり ","")&amp;IF(L10&gt;0,"深夜あり ","")&amp;IF(N(M10)&gt;設定!$B$19,"待機超過","")))</f>
        <v>深夜あり</v>
      </c>
      <c r="Q10" s="38"/>
    </row>
    <row r="11" customFormat="false" ht="15" hidden="false" customHeight="false" outlineLevel="0" collapsed="false">
      <c r="A11" s="31" t="n">
        <v>7</v>
      </c>
      <c r="B11" s="37"/>
      <c r="C11" s="15" t="str">
        <f aca="false">IF(B11="","",CHOOSE(WEEKDAY(B11),"日","月","火","水","木","金","土"))</f>
        <v/>
      </c>
      <c r="D11" s="31"/>
      <c r="E11" s="15" t="str">
        <f aca="false">IF(D11="","",IFERROR(INDEX(マスタ!$B$25:$B$40,MATCH(D11,マスタ!$A$25:$A$40,0)),"未登録"))</f>
        <v/>
      </c>
      <c r="F11" s="31"/>
      <c r="G11" s="39"/>
      <c r="H11" s="39"/>
      <c r="I11" s="39"/>
      <c r="J11" s="18" t="str">
        <f aca="false">IF(OR(G11="",H11=""),"",MOD(H11-G11,1)-N(I11))</f>
        <v/>
      </c>
      <c r="K11" s="18" t="str">
        <f aca="false">IF(J11="","",MAX(0,J11-設定!$B$15))</f>
        <v/>
      </c>
      <c r="L11" s="18" t="str">
        <f aca="false">IF(OR(G11="",H11=""),"",MAX(0,MIN(H11+IF(H11&lt;G11,1,0),1+設定!$B$14)-MAX(G11,設定!$B$13))+MAX(0,MIN(H11+IF(H11&lt;G11,1,0),設定!$B$14)-G11))</f>
        <v/>
      </c>
      <c r="M11" s="39"/>
      <c r="N11" s="19" t="str">
        <f aca="false">IF(D11="","",IFERROR(INDEX(マスタ!$C$25:$C$40,MATCH(D11,マスタ!$A$25:$A$40,0)),0))</f>
        <v/>
      </c>
      <c r="O11" s="19" t="str">
        <f aca="false">IF(J11="","",ROUND(K11*24*N11*(1+設定!$B$17)+L11*24*N11*設定!$B$18,0))</f>
        <v/>
      </c>
      <c r="P11" s="40" t="str">
        <f aca="false">IF(J11="","",TRIM(IF(K11&gt;0,"残業あり ","")&amp;IF(L11&gt;0,"深夜あり ","")&amp;IF(N(M11)&gt;設定!$B$19,"待機超過","")))</f>
        <v/>
      </c>
      <c r="Q11" s="38"/>
    </row>
    <row r="12" customFormat="false" ht="15" hidden="false" customHeight="false" outlineLevel="0" collapsed="false">
      <c r="A12" s="31" t="n">
        <v>8</v>
      </c>
      <c r="B12" s="37"/>
      <c r="C12" s="15" t="str">
        <f aca="false">IF(B12="","",CHOOSE(WEEKDAY(B12),"日","月","火","水","木","金","土"))</f>
        <v/>
      </c>
      <c r="D12" s="31"/>
      <c r="E12" s="15" t="str">
        <f aca="false">IF(D12="","",IFERROR(INDEX(マスタ!$B$25:$B$40,MATCH(D12,マスタ!$A$25:$A$40,0)),"未登録"))</f>
        <v/>
      </c>
      <c r="F12" s="31"/>
      <c r="G12" s="39"/>
      <c r="H12" s="39"/>
      <c r="I12" s="39"/>
      <c r="J12" s="18" t="str">
        <f aca="false">IF(OR(G12="",H12=""),"",MOD(H12-G12,1)-N(I12))</f>
        <v/>
      </c>
      <c r="K12" s="18" t="str">
        <f aca="false">IF(J12="","",MAX(0,J12-設定!$B$15))</f>
        <v/>
      </c>
      <c r="L12" s="18" t="str">
        <f aca="false">IF(OR(G12="",H12=""),"",MAX(0,MIN(H12+IF(H12&lt;G12,1,0),1+設定!$B$14)-MAX(G12,設定!$B$13))+MAX(0,MIN(H12+IF(H12&lt;G12,1,0),設定!$B$14)-G12))</f>
        <v/>
      </c>
      <c r="M12" s="39"/>
      <c r="N12" s="19" t="str">
        <f aca="false">IF(D12="","",IFERROR(INDEX(マスタ!$C$25:$C$40,MATCH(D12,マスタ!$A$25:$A$40,0)),0))</f>
        <v/>
      </c>
      <c r="O12" s="19" t="str">
        <f aca="false">IF(J12="","",ROUND(K12*24*N12*(1+設定!$B$17)+L12*24*N12*設定!$B$18,0))</f>
        <v/>
      </c>
      <c r="P12" s="40" t="str">
        <f aca="false">IF(J12="","",TRIM(IF(K12&gt;0,"残業あり ","")&amp;IF(L12&gt;0,"深夜あり ","")&amp;IF(N(M12)&gt;設定!$B$19,"待機超過","")))</f>
        <v/>
      </c>
      <c r="Q12" s="38"/>
    </row>
    <row r="13" customFormat="false" ht="15" hidden="false" customHeight="false" outlineLevel="0" collapsed="false">
      <c r="A13" s="31" t="n">
        <v>9</v>
      </c>
      <c r="B13" s="37"/>
      <c r="C13" s="15" t="str">
        <f aca="false">IF(B13="","",CHOOSE(WEEKDAY(B13),"日","月","火","水","木","金","土"))</f>
        <v/>
      </c>
      <c r="D13" s="31"/>
      <c r="E13" s="15" t="str">
        <f aca="false">IF(D13="","",IFERROR(INDEX(マスタ!$B$25:$B$40,MATCH(D13,マスタ!$A$25:$A$40,0)),"未登録"))</f>
        <v/>
      </c>
      <c r="F13" s="31"/>
      <c r="G13" s="39"/>
      <c r="H13" s="39"/>
      <c r="I13" s="39"/>
      <c r="J13" s="18" t="str">
        <f aca="false">IF(OR(G13="",H13=""),"",MOD(H13-G13,1)-N(I13))</f>
        <v/>
      </c>
      <c r="K13" s="18" t="str">
        <f aca="false">IF(J13="","",MAX(0,J13-設定!$B$15))</f>
        <v/>
      </c>
      <c r="L13" s="18" t="str">
        <f aca="false">IF(OR(G13="",H13=""),"",MAX(0,MIN(H13+IF(H13&lt;G13,1,0),1+設定!$B$14)-MAX(G13,設定!$B$13))+MAX(0,MIN(H13+IF(H13&lt;G13,1,0),設定!$B$14)-G13))</f>
        <v/>
      </c>
      <c r="M13" s="39"/>
      <c r="N13" s="19" t="str">
        <f aca="false">IF(D13="","",IFERROR(INDEX(マスタ!$C$25:$C$40,MATCH(D13,マスタ!$A$25:$A$40,0)),0))</f>
        <v/>
      </c>
      <c r="O13" s="19" t="str">
        <f aca="false">IF(J13="","",ROUND(K13*24*N13*(1+設定!$B$17)+L13*24*N13*設定!$B$18,0))</f>
        <v/>
      </c>
      <c r="P13" s="40" t="str">
        <f aca="false">IF(J13="","",TRIM(IF(K13&gt;0,"残業あり ","")&amp;IF(L13&gt;0,"深夜あり ","")&amp;IF(N(M13)&gt;設定!$B$19,"待機超過","")))</f>
        <v/>
      </c>
      <c r="Q13" s="38"/>
    </row>
    <row r="14" customFormat="false" ht="15" hidden="false" customHeight="false" outlineLevel="0" collapsed="false">
      <c r="A14" s="31" t="n">
        <v>10</v>
      </c>
      <c r="B14" s="37"/>
      <c r="C14" s="15" t="str">
        <f aca="false">IF(B14="","",CHOOSE(WEEKDAY(B14),"日","月","火","水","木","金","土"))</f>
        <v/>
      </c>
      <c r="D14" s="31"/>
      <c r="E14" s="15" t="str">
        <f aca="false">IF(D14="","",IFERROR(INDEX(マスタ!$B$25:$B$40,MATCH(D14,マスタ!$A$25:$A$40,0)),"未登録"))</f>
        <v/>
      </c>
      <c r="F14" s="31"/>
      <c r="G14" s="39"/>
      <c r="H14" s="39"/>
      <c r="I14" s="39"/>
      <c r="J14" s="18" t="str">
        <f aca="false">IF(OR(G14="",H14=""),"",MOD(H14-G14,1)-N(I14))</f>
        <v/>
      </c>
      <c r="K14" s="18" t="str">
        <f aca="false">IF(J14="","",MAX(0,J14-設定!$B$15))</f>
        <v/>
      </c>
      <c r="L14" s="18" t="str">
        <f aca="false">IF(OR(G14="",H14=""),"",MAX(0,MIN(H14+IF(H14&lt;G14,1,0),1+設定!$B$14)-MAX(G14,設定!$B$13))+MAX(0,MIN(H14+IF(H14&lt;G14,1,0),設定!$B$14)-G14))</f>
        <v/>
      </c>
      <c r="M14" s="39"/>
      <c r="N14" s="19" t="str">
        <f aca="false">IF(D14="","",IFERROR(INDEX(マスタ!$C$25:$C$40,MATCH(D14,マスタ!$A$25:$A$40,0)),0))</f>
        <v/>
      </c>
      <c r="O14" s="19" t="str">
        <f aca="false">IF(J14="","",ROUND(K14*24*N14*(1+設定!$B$17)+L14*24*N14*設定!$B$18,0))</f>
        <v/>
      </c>
      <c r="P14" s="40" t="str">
        <f aca="false">IF(J14="","",TRIM(IF(K14&gt;0,"残業あり ","")&amp;IF(L14&gt;0,"深夜あり ","")&amp;IF(N(M14)&gt;設定!$B$19,"待機超過","")))</f>
        <v/>
      </c>
      <c r="Q14" s="38"/>
    </row>
    <row r="15" customFormat="false" ht="15" hidden="false" customHeight="false" outlineLevel="0" collapsed="false">
      <c r="A15" s="31" t="n">
        <v>11</v>
      </c>
      <c r="B15" s="37"/>
      <c r="C15" s="15" t="str">
        <f aca="false">IF(B15="","",CHOOSE(WEEKDAY(B15),"日","月","火","水","木","金","土"))</f>
        <v/>
      </c>
      <c r="D15" s="31"/>
      <c r="E15" s="15" t="str">
        <f aca="false">IF(D15="","",IFERROR(INDEX(マスタ!$B$25:$B$40,MATCH(D15,マスタ!$A$25:$A$40,0)),"未登録"))</f>
        <v/>
      </c>
      <c r="F15" s="31"/>
      <c r="G15" s="39"/>
      <c r="H15" s="39"/>
      <c r="I15" s="39"/>
      <c r="J15" s="18" t="str">
        <f aca="false">IF(OR(G15="",H15=""),"",MOD(H15-G15,1)-N(I15))</f>
        <v/>
      </c>
      <c r="K15" s="18" t="str">
        <f aca="false">IF(J15="","",MAX(0,J15-設定!$B$15))</f>
        <v/>
      </c>
      <c r="L15" s="18" t="str">
        <f aca="false">IF(OR(G15="",H15=""),"",MAX(0,MIN(H15+IF(H15&lt;G15,1,0),1+設定!$B$14)-MAX(G15,設定!$B$13))+MAX(0,MIN(H15+IF(H15&lt;G15,1,0),設定!$B$14)-G15))</f>
        <v/>
      </c>
      <c r="M15" s="39"/>
      <c r="N15" s="19" t="str">
        <f aca="false">IF(D15="","",IFERROR(INDEX(マスタ!$C$25:$C$40,MATCH(D15,マスタ!$A$25:$A$40,0)),0))</f>
        <v/>
      </c>
      <c r="O15" s="19" t="str">
        <f aca="false">IF(J15="","",ROUND(K15*24*N15*(1+設定!$B$17)+L15*24*N15*設定!$B$18,0))</f>
        <v/>
      </c>
      <c r="P15" s="40" t="str">
        <f aca="false">IF(J15="","",TRIM(IF(K15&gt;0,"残業あり ","")&amp;IF(L15&gt;0,"深夜あり ","")&amp;IF(N(M15)&gt;設定!$B$19,"待機超過","")))</f>
        <v/>
      </c>
      <c r="Q15" s="38"/>
    </row>
    <row r="16" customFormat="false" ht="15" hidden="false" customHeight="false" outlineLevel="0" collapsed="false">
      <c r="A16" s="31" t="n">
        <v>12</v>
      </c>
      <c r="B16" s="37"/>
      <c r="C16" s="15" t="str">
        <f aca="false">IF(B16="","",CHOOSE(WEEKDAY(B16),"日","月","火","水","木","金","土"))</f>
        <v/>
      </c>
      <c r="D16" s="31"/>
      <c r="E16" s="15" t="str">
        <f aca="false">IF(D16="","",IFERROR(INDEX(マスタ!$B$25:$B$40,MATCH(D16,マスタ!$A$25:$A$40,0)),"未登録"))</f>
        <v/>
      </c>
      <c r="F16" s="31"/>
      <c r="G16" s="39"/>
      <c r="H16" s="39"/>
      <c r="I16" s="39"/>
      <c r="J16" s="18" t="str">
        <f aca="false">IF(OR(G16="",H16=""),"",MOD(H16-G16,1)-N(I16))</f>
        <v/>
      </c>
      <c r="K16" s="18" t="str">
        <f aca="false">IF(J16="","",MAX(0,J16-設定!$B$15))</f>
        <v/>
      </c>
      <c r="L16" s="18" t="str">
        <f aca="false">IF(OR(G16="",H16=""),"",MAX(0,MIN(H16+IF(H16&lt;G16,1,0),1+設定!$B$14)-MAX(G16,設定!$B$13))+MAX(0,MIN(H16+IF(H16&lt;G16,1,0),設定!$B$14)-G16))</f>
        <v/>
      </c>
      <c r="M16" s="39"/>
      <c r="N16" s="19" t="str">
        <f aca="false">IF(D16="","",IFERROR(INDEX(マスタ!$C$25:$C$40,MATCH(D16,マスタ!$A$25:$A$40,0)),0))</f>
        <v/>
      </c>
      <c r="O16" s="19" t="str">
        <f aca="false">IF(J16="","",ROUND(K16*24*N16*(1+設定!$B$17)+L16*24*N16*設定!$B$18,0))</f>
        <v/>
      </c>
      <c r="P16" s="40" t="str">
        <f aca="false">IF(J16="","",TRIM(IF(K16&gt;0,"残業あり ","")&amp;IF(L16&gt;0,"深夜あり ","")&amp;IF(N(M16)&gt;設定!$B$19,"待機超過","")))</f>
        <v/>
      </c>
      <c r="Q16" s="38"/>
    </row>
    <row r="17" customFormat="false" ht="15" hidden="false" customHeight="false" outlineLevel="0" collapsed="false">
      <c r="A17" s="31" t="n">
        <v>13</v>
      </c>
      <c r="B17" s="37"/>
      <c r="C17" s="15" t="str">
        <f aca="false">IF(B17="","",CHOOSE(WEEKDAY(B17),"日","月","火","水","木","金","土"))</f>
        <v/>
      </c>
      <c r="D17" s="31"/>
      <c r="E17" s="15" t="str">
        <f aca="false">IF(D17="","",IFERROR(INDEX(マスタ!$B$25:$B$40,MATCH(D17,マスタ!$A$25:$A$40,0)),"未登録"))</f>
        <v/>
      </c>
      <c r="F17" s="31"/>
      <c r="G17" s="39"/>
      <c r="H17" s="39"/>
      <c r="I17" s="39"/>
      <c r="J17" s="18" t="str">
        <f aca="false">IF(OR(G17="",H17=""),"",MOD(H17-G17,1)-N(I17))</f>
        <v/>
      </c>
      <c r="K17" s="18" t="str">
        <f aca="false">IF(J17="","",MAX(0,J17-設定!$B$15))</f>
        <v/>
      </c>
      <c r="L17" s="18" t="str">
        <f aca="false">IF(OR(G17="",H17=""),"",MAX(0,MIN(H17+IF(H17&lt;G17,1,0),1+設定!$B$14)-MAX(G17,設定!$B$13))+MAX(0,MIN(H17+IF(H17&lt;G17,1,0),設定!$B$14)-G17))</f>
        <v/>
      </c>
      <c r="M17" s="39"/>
      <c r="N17" s="19" t="str">
        <f aca="false">IF(D17="","",IFERROR(INDEX(マスタ!$C$25:$C$40,MATCH(D17,マスタ!$A$25:$A$40,0)),0))</f>
        <v/>
      </c>
      <c r="O17" s="19" t="str">
        <f aca="false">IF(J17="","",ROUND(K17*24*N17*(1+設定!$B$17)+L17*24*N17*設定!$B$18,0))</f>
        <v/>
      </c>
      <c r="P17" s="40" t="str">
        <f aca="false">IF(J17="","",TRIM(IF(K17&gt;0,"残業あり ","")&amp;IF(L17&gt;0,"深夜あり ","")&amp;IF(N(M17)&gt;設定!$B$19,"待機超過","")))</f>
        <v/>
      </c>
      <c r="Q17" s="38"/>
    </row>
    <row r="18" customFormat="false" ht="15" hidden="false" customHeight="false" outlineLevel="0" collapsed="false">
      <c r="A18" s="31" t="n">
        <v>14</v>
      </c>
      <c r="B18" s="37"/>
      <c r="C18" s="15" t="str">
        <f aca="false">IF(B18="","",CHOOSE(WEEKDAY(B18),"日","月","火","水","木","金","土"))</f>
        <v/>
      </c>
      <c r="D18" s="31"/>
      <c r="E18" s="15" t="str">
        <f aca="false">IF(D18="","",IFERROR(INDEX(マスタ!$B$25:$B$40,MATCH(D18,マスタ!$A$25:$A$40,0)),"未登録"))</f>
        <v/>
      </c>
      <c r="F18" s="31"/>
      <c r="G18" s="39"/>
      <c r="H18" s="39"/>
      <c r="I18" s="39"/>
      <c r="J18" s="18" t="str">
        <f aca="false">IF(OR(G18="",H18=""),"",MOD(H18-G18,1)-N(I18))</f>
        <v/>
      </c>
      <c r="K18" s="18" t="str">
        <f aca="false">IF(J18="","",MAX(0,J18-設定!$B$15))</f>
        <v/>
      </c>
      <c r="L18" s="18" t="str">
        <f aca="false">IF(OR(G18="",H18=""),"",MAX(0,MIN(H18+IF(H18&lt;G18,1,0),1+設定!$B$14)-MAX(G18,設定!$B$13))+MAX(0,MIN(H18+IF(H18&lt;G18,1,0),設定!$B$14)-G18))</f>
        <v/>
      </c>
      <c r="M18" s="39"/>
      <c r="N18" s="19" t="str">
        <f aca="false">IF(D18="","",IFERROR(INDEX(マスタ!$C$25:$C$40,MATCH(D18,マスタ!$A$25:$A$40,0)),0))</f>
        <v/>
      </c>
      <c r="O18" s="19" t="str">
        <f aca="false">IF(J18="","",ROUND(K18*24*N18*(1+設定!$B$17)+L18*24*N18*設定!$B$18,0))</f>
        <v/>
      </c>
      <c r="P18" s="40" t="str">
        <f aca="false">IF(J18="","",TRIM(IF(K18&gt;0,"残業あり ","")&amp;IF(L18&gt;0,"深夜あり ","")&amp;IF(N(M18)&gt;設定!$B$19,"待機超過","")))</f>
        <v/>
      </c>
      <c r="Q18" s="38"/>
    </row>
    <row r="19" customFormat="false" ht="15" hidden="false" customHeight="false" outlineLevel="0" collapsed="false">
      <c r="A19" s="31" t="n">
        <v>15</v>
      </c>
      <c r="B19" s="37"/>
      <c r="C19" s="15" t="str">
        <f aca="false">IF(B19="","",CHOOSE(WEEKDAY(B19),"日","月","火","水","木","金","土"))</f>
        <v/>
      </c>
      <c r="D19" s="31"/>
      <c r="E19" s="15" t="str">
        <f aca="false">IF(D19="","",IFERROR(INDEX(マスタ!$B$25:$B$40,MATCH(D19,マスタ!$A$25:$A$40,0)),"未登録"))</f>
        <v/>
      </c>
      <c r="F19" s="31"/>
      <c r="G19" s="39"/>
      <c r="H19" s="39"/>
      <c r="I19" s="39"/>
      <c r="J19" s="18" t="str">
        <f aca="false">IF(OR(G19="",H19=""),"",MOD(H19-G19,1)-N(I19))</f>
        <v/>
      </c>
      <c r="K19" s="18" t="str">
        <f aca="false">IF(J19="","",MAX(0,J19-設定!$B$15))</f>
        <v/>
      </c>
      <c r="L19" s="18" t="str">
        <f aca="false">IF(OR(G19="",H19=""),"",MAX(0,MIN(H19+IF(H19&lt;G19,1,0),1+設定!$B$14)-MAX(G19,設定!$B$13))+MAX(0,MIN(H19+IF(H19&lt;G19,1,0),設定!$B$14)-G19))</f>
        <v/>
      </c>
      <c r="M19" s="39"/>
      <c r="N19" s="19" t="str">
        <f aca="false">IF(D19="","",IFERROR(INDEX(マスタ!$C$25:$C$40,MATCH(D19,マスタ!$A$25:$A$40,0)),0))</f>
        <v/>
      </c>
      <c r="O19" s="19" t="str">
        <f aca="false">IF(J19="","",ROUND(K19*24*N19*(1+設定!$B$17)+L19*24*N19*設定!$B$18,0))</f>
        <v/>
      </c>
      <c r="P19" s="40" t="str">
        <f aca="false">IF(J19="","",TRIM(IF(K19&gt;0,"残業あり ","")&amp;IF(L19&gt;0,"深夜あり ","")&amp;IF(N(M19)&gt;設定!$B$19,"待機超過","")))</f>
        <v/>
      </c>
      <c r="Q19" s="38"/>
    </row>
    <row r="20" customFormat="false" ht="15" hidden="false" customHeight="false" outlineLevel="0" collapsed="false">
      <c r="A20" s="31" t="n">
        <v>16</v>
      </c>
      <c r="B20" s="37"/>
      <c r="C20" s="15" t="str">
        <f aca="false">IF(B20="","",CHOOSE(WEEKDAY(B20),"日","月","火","水","木","金","土"))</f>
        <v/>
      </c>
      <c r="D20" s="31"/>
      <c r="E20" s="15" t="str">
        <f aca="false">IF(D20="","",IFERROR(INDEX(マスタ!$B$25:$B$40,MATCH(D20,マスタ!$A$25:$A$40,0)),"未登録"))</f>
        <v/>
      </c>
      <c r="F20" s="31"/>
      <c r="G20" s="39"/>
      <c r="H20" s="39"/>
      <c r="I20" s="39"/>
      <c r="J20" s="18" t="str">
        <f aca="false">IF(OR(G20="",H20=""),"",MOD(H20-G20,1)-N(I20))</f>
        <v/>
      </c>
      <c r="K20" s="18" t="str">
        <f aca="false">IF(J20="","",MAX(0,J20-設定!$B$15))</f>
        <v/>
      </c>
      <c r="L20" s="18" t="str">
        <f aca="false">IF(OR(G20="",H20=""),"",MAX(0,MIN(H20+IF(H20&lt;G20,1,0),1+設定!$B$14)-MAX(G20,設定!$B$13))+MAX(0,MIN(H20+IF(H20&lt;G20,1,0),設定!$B$14)-G20))</f>
        <v/>
      </c>
      <c r="M20" s="39"/>
      <c r="N20" s="19" t="str">
        <f aca="false">IF(D20="","",IFERROR(INDEX(マスタ!$C$25:$C$40,MATCH(D20,マスタ!$A$25:$A$40,0)),0))</f>
        <v/>
      </c>
      <c r="O20" s="19" t="str">
        <f aca="false">IF(J20="","",ROUND(K20*24*N20*(1+設定!$B$17)+L20*24*N20*設定!$B$18,0))</f>
        <v/>
      </c>
      <c r="P20" s="40" t="str">
        <f aca="false">IF(J20="","",TRIM(IF(K20&gt;0,"残業あり ","")&amp;IF(L20&gt;0,"深夜あり ","")&amp;IF(N(M20)&gt;設定!$B$19,"待機超過","")))</f>
        <v/>
      </c>
      <c r="Q20" s="38"/>
    </row>
    <row r="21" customFormat="false" ht="15" hidden="false" customHeight="false" outlineLevel="0" collapsed="false">
      <c r="A21" s="31" t="n">
        <v>17</v>
      </c>
      <c r="B21" s="37"/>
      <c r="C21" s="15" t="str">
        <f aca="false">IF(B21="","",CHOOSE(WEEKDAY(B21),"日","月","火","水","木","金","土"))</f>
        <v/>
      </c>
      <c r="D21" s="31"/>
      <c r="E21" s="15" t="str">
        <f aca="false">IF(D21="","",IFERROR(INDEX(マスタ!$B$25:$B$40,MATCH(D21,マスタ!$A$25:$A$40,0)),"未登録"))</f>
        <v/>
      </c>
      <c r="F21" s="31"/>
      <c r="G21" s="39"/>
      <c r="H21" s="39"/>
      <c r="I21" s="39"/>
      <c r="J21" s="18" t="str">
        <f aca="false">IF(OR(G21="",H21=""),"",MOD(H21-G21,1)-N(I21))</f>
        <v/>
      </c>
      <c r="K21" s="18" t="str">
        <f aca="false">IF(J21="","",MAX(0,J21-設定!$B$15))</f>
        <v/>
      </c>
      <c r="L21" s="18" t="str">
        <f aca="false">IF(OR(G21="",H21=""),"",MAX(0,MIN(H21+IF(H21&lt;G21,1,0),1+設定!$B$14)-MAX(G21,設定!$B$13))+MAX(0,MIN(H21+IF(H21&lt;G21,1,0),設定!$B$14)-G21))</f>
        <v/>
      </c>
      <c r="M21" s="39"/>
      <c r="N21" s="19" t="str">
        <f aca="false">IF(D21="","",IFERROR(INDEX(マスタ!$C$25:$C$40,MATCH(D21,マスタ!$A$25:$A$40,0)),0))</f>
        <v/>
      </c>
      <c r="O21" s="19" t="str">
        <f aca="false">IF(J21="","",ROUND(K21*24*N21*(1+設定!$B$17)+L21*24*N21*設定!$B$18,0))</f>
        <v/>
      </c>
      <c r="P21" s="40" t="str">
        <f aca="false">IF(J21="","",TRIM(IF(K21&gt;0,"残業あり ","")&amp;IF(L21&gt;0,"深夜あり ","")&amp;IF(N(M21)&gt;設定!$B$19,"待機超過","")))</f>
        <v/>
      </c>
      <c r="Q21" s="38"/>
    </row>
    <row r="22" customFormat="false" ht="15" hidden="false" customHeight="false" outlineLevel="0" collapsed="false">
      <c r="A22" s="31" t="n">
        <v>18</v>
      </c>
      <c r="B22" s="37"/>
      <c r="C22" s="15" t="str">
        <f aca="false">IF(B22="","",CHOOSE(WEEKDAY(B22),"日","月","火","水","木","金","土"))</f>
        <v/>
      </c>
      <c r="D22" s="31"/>
      <c r="E22" s="15" t="str">
        <f aca="false">IF(D22="","",IFERROR(INDEX(マスタ!$B$25:$B$40,MATCH(D22,マスタ!$A$25:$A$40,0)),"未登録"))</f>
        <v/>
      </c>
      <c r="F22" s="31"/>
      <c r="G22" s="39"/>
      <c r="H22" s="39"/>
      <c r="I22" s="39"/>
      <c r="J22" s="18" t="str">
        <f aca="false">IF(OR(G22="",H22=""),"",MOD(H22-G22,1)-N(I22))</f>
        <v/>
      </c>
      <c r="K22" s="18" t="str">
        <f aca="false">IF(J22="","",MAX(0,J22-設定!$B$15))</f>
        <v/>
      </c>
      <c r="L22" s="18" t="str">
        <f aca="false">IF(OR(G22="",H22=""),"",MAX(0,MIN(H22+IF(H22&lt;G22,1,0),1+設定!$B$14)-MAX(G22,設定!$B$13))+MAX(0,MIN(H22+IF(H22&lt;G22,1,0),設定!$B$14)-G22))</f>
        <v/>
      </c>
      <c r="M22" s="39"/>
      <c r="N22" s="19" t="str">
        <f aca="false">IF(D22="","",IFERROR(INDEX(マスタ!$C$25:$C$40,MATCH(D22,マスタ!$A$25:$A$40,0)),0))</f>
        <v/>
      </c>
      <c r="O22" s="19" t="str">
        <f aca="false">IF(J22="","",ROUND(K22*24*N22*(1+設定!$B$17)+L22*24*N22*設定!$B$18,0))</f>
        <v/>
      </c>
      <c r="P22" s="40" t="str">
        <f aca="false">IF(J22="","",TRIM(IF(K22&gt;0,"残業あり ","")&amp;IF(L22&gt;0,"深夜あり ","")&amp;IF(N(M22)&gt;設定!$B$19,"待機超過","")))</f>
        <v/>
      </c>
      <c r="Q22" s="38"/>
    </row>
    <row r="23" customFormat="false" ht="15" hidden="false" customHeight="false" outlineLevel="0" collapsed="false">
      <c r="A23" s="31" t="n">
        <v>19</v>
      </c>
      <c r="B23" s="37"/>
      <c r="C23" s="15" t="str">
        <f aca="false">IF(B23="","",CHOOSE(WEEKDAY(B23),"日","月","火","水","木","金","土"))</f>
        <v/>
      </c>
      <c r="D23" s="31"/>
      <c r="E23" s="15" t="str">
        <f aca="false">IF(D23="","",IFERROR(INDEX(マスタ!$B$25:$B$40,MATCH(D23,マスタ!$A$25:$A$40,0)),"未登録"))</f>
        <v/>
      </c>
      <c r="F23" s="31"/>
      <c r="G23" s="39"/>
      <c r="H23" s="39"/>
      <c r="I23" s="39"/>
      <c r="J23" s="18" t="str">
        <f aca="false">IF(OR(G23="",H23=""),"",MOD(H23-G23,1)-N(I23))</f>
        <v/>
      </c>
      <c r="K23" s="18" t="str">
        <f aca="false">IF(J23="","",MAX(0,J23-設定!$B$15))</f>
        <v/>
      </c>
      <c r="L23" s="18" t="str">
        <f aca="false">IF(OR(G23="",H23=""),"",MAX(0,MIN(H23+IF(H23&lt;G23,1,0),1+設定!$B$14)-MAX(G23,設定!$B$13))+MAX(0,MIN(H23+IF(H23&lt;G23,1,0),設定!$B$14)-G23))</f>
        <v/>
      </c>
      <c r="M23" s="39"/>
      <c r="N23" s="19" t="str">
        <f aca="false">IF(D23="","",IFERROR(INDEX(マスタ!$C$25:$C$40,MATCH(D23,マスタ!$A$25:$A$40,0)),0))</f>
        <v/>
      </c>
      <c r="O23" s="19" t="str">
        <f aca="false">IF(J23="","",ROUND(K23*24*N23*(1+設定!$B$17)+L23*24*N23*設定!$B$18,0))</f>
        <v/>
      </c>
      <c r="P23" s="40" t="str">
        <f aca="false">IF(J23="","",TRIM(IF(K23&gt;0,"残業あり ","")&amp;IF(L23&gt;0,"深夜あり ","")&amp;IF(N(M23)&gt;設定!$B$19,"待機超過","")))</f>
        <v/>
      </c>
      <c r="Q23" s="38"/>
    </row>
    <row r="24" customFormat="false" ht="15" hidden="false" customHeight="false" outlineLevel="0" collapsed="false">
      <c r="A24" s="31" t="n">
        <v>20</v>
      </c>
      <c r="B24" s="37"/>
      <c r="C24" s="15" t="str">
        <f aca="false">IF(B24="","",CHOOSE(WEEKDAY(B24),"日","月","火","水","木","金","土"))</f>
        <v/>
      </c>
      <c r="D24" s="31"/>
      <c r="E24" s="15" t="str">
        <f aca="false">IF(D24="","",IFERROR(INDEX(マスタ!$B$25:$B$40,MATCH(D24,マスタ!$A$25:$A$40,0)),"未登録"))</f>
        <v/>
      </c>
      <c r="F24" s="31"/>
      <c r="G24" s="39"/>
      <c r="H24" s="39"/>
      <c r="I24" s="39"/>
      <c r="J24" s="18" t="str">
        <f aca="false">IF(OR(G24="",H24=""),"",MOD(H24-G24,1)-N(I24))</f>
        <v/>
      </c>
      <c r="K24" s="18" t="str">
        <f aca="false">IF(J24="","",MAX(0,J24-設定!$B$15))</f>
        <v/>
      </c>
      <c r="L24" s="18" t="str">
        <f aca="false">IF(OR(G24="",H24=""),"",MAX(0,MIN(H24+IF(H24&lt;G24,1,0),1+設定!$B$14)-MAX(G24,設定!$B$13))+MAX(0,MIN(H24+IF(H24&lt;G24,1,0),設定!$B$14)-G24))</f>
        <v/>
      </c>
      <c r="M24" s="39"/>
      <c r="N24" s="19" t="str">
        <f aca="false">IF(D24="","",IFERROR(INDEX(マスタ!$C$25:$C$40,MATCH(D24,マスタ!$A$25:$A$40,0)),0))</f>
        <v/>
      </c>
      <c r="O24" s="19" t="str">
        <f aca="false">IF(J24="","",ROUND(K24*24*N24*(1+設定!$B$17)+L24*24*N24*設定!$B$18,0))</f>
        <v/>
      </c>
      <c r="P24" s="40" t="str">
        <f aca="false">IF(J24="","",TRIM(IF(K24&gt;0,"残業あり ","")&amp;IF(L24&gt;0,"深夜あり ","")&amp;IF(N(M24)&gt;設定!$B$19,"待機超過","")))</f>
        <v/>
      </c>
      <c r="Q24" s="38"/>
    </row>
    <row r="25" customFormat="false" ht="15" hidden="false" customHeight="false" outlineLevel="0" collapsed="false">
      <c r="A25" s="31" t="n">
        <v>21</v>
      </c>
      <c r="B25" s="37"/>
      <c r="C25" s="15" t="str">
        <f aca="false">IF(B25="","",CHOOSE(WEEKDAY(B25),"日","月","火","水","木","金","土"))</f>
        <v/>
      </c>
      <c r="D25" s="31"/>
      <c r="E25" s="15" t="str">
        <f aca="false">IF(D25="","",IFERROR(INDEX(マスタ!$B$25:$B$40,MATCH(D25,マスタ!$A$25:$A$40,0)),"未登録"))</f>
        <v/>
      </c>
      <c r="F25" s="31"/>
      <c r="G25" s="39"/>
      <c r="H25" s="39"/>
      <c r="I25" s="39"/>
      <c r="J25" s="18" t="str">
        <f aca="false">IF(OR(G25="",H25=""),"",MOD(H25-G25,1)-N(I25))</f>
        <v/>
      </c>
      <c r="K25" s="18" t="str">
        <f aca="false">IF(J25="","",MAX(0,J25-設定!$B$15))</f>
        <v/>
      </c>
      <c r="L25" s="18" t="str">
        <f aca="false">IF(OR(G25="",H25=""),"",MAX(0,MIN(H25+IF(H25&lt;G25,1,0),1+設定!$B$14)-MAX(G25,設定!$B$13))+MAX(0,MIN(H25+IF(H25&lt;G25,1,0),設定!$B$14)-G25))</f>
        <v/>
      </c>
      <c r="M25" s="39"/>
      <c r="N25" s="19" t="str">
        <f aca="false">IF(D25="","",IFERROR(INDEX(マスタ!$C$25:$C$40,MATCH(D25,マスタ!$A$25:$A$40,0)),0))</f>
        <v/>
      </c>
      <c r="O25" s="19" t="str">
        <f aca="false">IF(J25="","",ROUND(K25*24*N25*(1+設定!$B$17)+L25*24*N25*設定!$B$18,0))</f>
        <v/>
      </c>
      <c r="P25" s="40" t="str">
        <f aca="false">IF(J25="","",TRIM(IF(K25&gt;0,"残業あり ","")&amp;IF(L25&gt;0,"深夜あり ","")&amp;IF(N(M25)&gt;設定!$B$19,"待機超過","")))</f>
        <v/>
      </c>
      <c r="Q25" s="38"/>
    </row>
    <row r="26" customFormat="false" ht="15" hidden="false" customHeight="false" outlineLevel="0" collapsed="false">
      <c r="A26" s="31" t="n">
        <v>22</v>
      </c>
      <c r="B26" s="37"/>
      <c r="C26" s="15" t="str">
        <f aca="false">IF(B26="","",CHOOSE(WEEKDAY(B26),"日","月","火","水","木","金","土"))</f>
        <v/>
      </c>
      <c r="D26" s="31"/>
      <c r="E26" s="15" t="str">
        <f aca="false">IF(D26="","",IFERROR(INDEX(マスタ!$B$25:$B$40,MATCH(D26,マスタ!$A$25:$A$40,0)),"未登録"))</f>
        <v/>
      </c>
      <c r="F26" s="31"/>
      <c r="G26" s="39"/>
      <c r="H26" s="39"/>
      <c r="I26" s="39"/>
      <c r="J26" s="18" t="str">
        <f aca="false">IF(OR(G26="",H26=""),"",MOD(H26-G26,1)-N(I26))</f>
        <v/>
      </c>
      <c r="K26" s="18" t="str">
        <f aca="false">IF(J26="","",MAX(0,J26-設定!$B$15))</f>
        <v/>
      </c>
      <c r="L26" s="18" t="str">
        <f aca="false">IF(OR(G26="",H26=""),"",MAX(0,MIN(H26+IF(H26&lt;G26,1,0),1+設定!$B$14)-MAX(G26,設定!$B$13))+MAX(0,MIN(H26+IF(H26&lt;G26,1,0),設定!$B$14)-G26))</f>
        <v/>
      </c>
      <c r="M26" s="39"/>
      <c r="N26" s="19" t="str">
        <f aca="false">IF(D26="","",IFERROR(INDEX(マスタ!$C$25:$C$40,MATCH(D26,マスタ!$A$25:$A$40,0)),0))</f>
        <v/>
      </c>
      <c r="O26" s="19" t="str">
        <f aca="false">IF(J26="","",ROUND(K26*24*N26*(1+設定!$B$17)+L26*24*N26*設定!$B$18,0))</f>
        <v/>
      </c>
      <c r="P26" s="40" t="str">
        <f aca="false">IF(J26="","",TRIM(IF(K26&gt;0,"残業あり ","")&amp;IF(L26&gt;0,"深夜あり ","")&amp;IF(N(M26)&gt;設定!$B$19,"待機超過","")))</f>
        <v/>
      </c>
      <c r="Q26" s="38"/>
    </row>
    <row r="27" customFormat="false" ht="15" hidden="false" customHeight="false" outlineLevel="0" collapsed="false">
      <c r="A27" s="31" t="n">
        <v>23</v>
      </c>
      <c r="B27" s="37"/>
      <c r="C27" s="15" t="str">
        <f aca="false">IF(B27="","",CHOOSE(WEEKDAY(B27),"日","月","火","水","木","金","土"))</f>
        <v/>
      </c>
      <c r="D27" s="31"/>
      <c r="E27" s="15" t="str">
        <f aca="false">IF(D27="","",IFERROR(INDEX(マスタ!$B$25:$B$40,MATCH(D27,マスタ!$A$25:$A$40,0)),"未登録"))</f>
        <v/>
      </c>
      <c r="F27" s="31"/>
      <c r="G27" s="39"/>
      <c r="H27" s="39"/>
      <c r="I27" s="39"/>
      <c r="J27" s="18" t="str">
        <f aca="false">IF(OR(G27="",H27=""),"",MOD(H27-G27,1)-N(I27))</f>
        <v/>
      </c>
      <c r="K27" s="18" t="str">
        <f aca="false">IF(J27="","",MAX(0,J27-設定!$B$15))</f>
        <v/>
      </c>
      <c r="L27" s="18" t="str">
        <f aca="false">IF(OR(G27="",H27=""),"",MAX(0,MIN(H27+IF(H27&lt;G27,1,0),1+設定!$B$14)-MAX(G27,設定!$B$13))+MAX(0,MIN(H27+IF(H27&lt;G27,1,0),設定!$B$14)-G27))</f>
        <v/>
      </c>
      <c r="M27" s="39"/>
      <c r="N27" s="19" t="str">
        <f aca="false">IF(D27="","",IFERROR(INDEX(マスタ!$C$25:$C$40,MATCH(D27,マスタ!$A$25:$A$40,0)),0))</f>
        <v/>
      </c>
      <c r="O27" s="19" t="str">
        <f aca="false">IF(J27="","",ROUND(K27*24*N27*(1+設定!$B$17)+L27*24*N27*設定!$B$18,0))</f>
        <v/>
      </c>
      <c r="P27" s="40" t="str">
        <f aca="false">IF(J27="","",TRIM(IF(K27&gt;0,"残業あり ","")&amp;IF(L27&gt;0,"深夜あり ","")&amp;IF(N(M27)&gt;設定!$B$19,"待機超過","")))</f>
        <v/>
      </c>
      <c r="Q27" s="38"/>
    </row>
    <row r="28" customFormat="false" ht="15" hidden="false" customHeight="false" outlineLevel="0" collapsed="false">
      <c r="A28" s="31" t="n">
        <v>24</v>
      </c>
      <c r="B28" s="37"/>
      <c r="C28" s="15" t="str">
        <f aca="false">IF(B28="","",CHOOSE(WEEKDAY(B28),"日","月","火","水","木","金","土"))</f>
        <v/>
      </c>
      <c r="D28" s="31"/>
      <c r="E28" s="15" t="str">
        <f aca="false">IF(D28="","",IFERROR(INDEX(マスタ!$B$25:$B$40,MATCH(D28,マスタ!$A$25:$A$40,0)),"未登録"))</f>
        <v/>
      </c>
      <c r="F28" s="31"/>
      <c r="G28" s="39"/>
      <c r="H28" s="39"/>
      <c r="I28" s="39"/>
      <c r="J28" s="18" t="str">
        <f aca="false">IF(OR(G28="",H28=""),"",MOD(H28-G28,1)-N(I28))</f>
        <v/>
      </c>
      <c r="K28" s="18" t="str">
        <f aca="false">IF(J28="","",MAX(0,J28-設定!$B$15))</f>
        <v/>
      </c>
      <c r="L28" s="18" t="str">
        <f aca="false">IF(OR(G28="",H28=""),"",MAX(0,MIN(H28+IF(H28&lt;G28,1,0),1+設定!$B$14)-MAX(G28,設定!$B$13))+MAX(0,MIN(H28+IF(H28&lt;G28,1,0),設定!$B$14)-G28))</f>
        <v/>
      </c>
      <c r="M28" s="39"/>
      <c r="N28" s="19" t="str">
        <f aca="false">IF(D28="","",IFERROR(INDEX(マスタ!$C$25:$C$40,MATCH(D28,マスタ!$A$25:$A$40,0)),0))</f>
        <v/>
      </c>
      <c r="O28" s="19" t="str">
        <f aca="false">IF(J28="","",ROUND(K28*24*N28*(1+設定!$B$17)+L28*24*N28*設定!$B$18,0))</f>
        <v/>
      </c>
      <c r="P28" s="40" t="str">
        <f aca="false">IF(J28="","",TRIM(IF(K28&gt;0,"残業あり ","")&amp;IF(L28&gt;0,"深夜あり ","")&amp;IF(N(M28)&gt;設定!$B$19,"待機超過","")))</f>
        <v/>
      </c>
      <c r="Q28" s="38"/>
    </row>
    <row r="29" customFormat="false" ht="15" hidden="false" customHeight="false" outlineLevel="0" collapsed="false">
      <c r="A29" s="31" t="n">
        <v>25</v>
      </c>
      <c r="B29" s="37"/>
      <c r="C29" s="15" t="str">
        <f aca="false">IF(B29="","",CHOOSE(WEEKDAY(B29),"日","月","火","水","木","金","土"))</f>
        <v/>
      </c>
      <c r="D29" s="31"/>
      <c r="E29" s="15" t="str">
        <f aca="false">IF(D29="","",IFERROR(INDEX(マスタ!$B$25:$B$40,MATCH(D29,マスタ!$A$25:$A$40,0)),"未登録"))</f>
        <v/>
      </c>
      <c r="F29" s="31"/>
      <c r="G29" s="39"/>
      <c r="H29" s="39"/>
      <c r="I29" s="39"/>
      <c r="J29" s="18" t="str">
        <f aca="false">IF(OR(G29="",H29=""),"",MOD(H29-G29,1)-N(I29))</f>
        <v/>
      </c>
      <c r="K29" s="18" t="str">
        <f aca="false">IF(J29="","",MAX(0,J29-設定!$B$15))</f>
        <v/>
      </c>
      <c r="L29" s="18" t="str">
        <f aca="false">IF(OR(G29="",H29=""),"",MAX(0,MIN(H29+IF(H29&lt;G29,1,0),1+設定!$B$14)-MAX(G29,設定!$B$13))+MAX(0,MIN(H29+IF(H29&lt;G29,1,0),設定!$B$14)-G29))</f>
        <v/>
      </c>
      <c r="M29" s="39"/>
      <c r="N29" s="19" t="str">
        <f aca="false">IF(D29="","",IFERROR(INDEX(マスタ!$C$25:$C$40,MATCH(D29,マスタ!$A$25:$A$40,0)),0))</f>
        <v/>
      </c>
      <c r="O29" s="19" t="str">
        <f aca="false">IF(J29="","",ROUND(K29*24*N29*(1+設定!$B$17)+L29*24*N29*設定!$B$18,0))</f>
        <v/>
      </c>
      <c r="P29" s="40" t="str">
        <f aca="false">IF(J29="","",TRIM(IF(K29&gt;0,"残業あり ","")&amp;IF(L29&gt;0,"深夜あり ","")&amp;IF(N(M29)&gt;設定!$B$19,"待機超過","")))</f>
        <v/>
      </c>
      <c r="Q29" s="38"/>
    </row>
    <row r="30" customFormat="false" ht="15" hidden="false" customHeight="false" outlineLevel="0" collapsed="false">
      <c r="A30" s="31" t="n">
        <v>26</v>
      </c>
      <c r="B30" s="37"/>
      <c r="C30" s="15" t="str">
        <f aca="false">IF(B30="","",CHOOSE(WEEKDAY(B30),"日","月","火","水","木","金","土"))</f>
        <v/>
      </c>
      <c r="D30" s="31"/>
      <c r="E30" s="15" t="str">
        <f aca="false">IF(D30="","",IFERROR(INDEX(マスタ!$B$25:$B$40,MATCH(D30,マスタ!$A$25:$A$40,0)),"未登録"))</f>
        <v/>
      </c>
      <c r="F30" s="31"/>
      <c r="G30" s="39"/>
      <c r="H30" s="39"/>
      <c r="I30" s="39"/>
      <c r="J30" s="18" t="str">
        <f aca="false">IF(OR(G30="",H30=""),"",MOD(H30-G30,1)-N(I30))</f>
        <v/>
      </c>
      <c r="K30" s="18" t="str">
        <f aca="false">IF(J30="","",MAX(0,J30-設定!$B$15))</f>
        <v/>
      </c>
      <c r="L30" s="18" t="str">
        <f aca="false">IF(OR(G30="",H30=""),"",MAX(0,MIN(H30+IF(H30&lt;G30,1,0),1+設定!$B$14)-MAX(G30,設定!$B$13))+MAX(0,MIN(H30+IF(H30&lt;G30,1,0),設定!$B$14)-G30))</f>
        <v/>
      </c>
      <c r="M30" s="39"/>
      <c r="N30" s="19" t="str">
        <f aca="false">IF(D30="","",IFERROR(INDEX(マスタ!$C$25:$C$40,MATCH(D30,マスタ!$A$25:$A$40,0)),0))</f>
        <v/>
      </c>
      <c r="O30" s="19" t="str">
        <f aca="false">IF(J30="","",ROUND(K30*24*N30*(1+設定!$B$17)+L30*24*N30*設定!$B$18,0))</f>
        <v/>
      </c>
      <c r="P30" s="40" t="str">
        <f aca="false">IF(J30="","",TRIM(IF(K30&gt;0,"残業あり ","")&amp;IF(L30&gt;0,"深夜あり ","")&amp;IF(N(M30)&gt;設定!$B$19,"待機超過","")))</f>
        <v/>
      </c>
      <c r="Q30" s="38"/>
    </row>
    <row r="31" customFormat="false" ht="15" hidden="false" customHeight="false" outlineLevel="0" collapsed="false">
      <c r="A31" s="31" t="n">
        <v>27</v>
      </c>
      <c r="B31" s="37"/>
      <c r="C31" s="15" t="str">
        <f aca="false">IF(B31="","",CHOOSE(WEEKDAY(B31),"日","月","火","水","木","金","土"))</f>
        <v/>
      </c>
      <c r="D31" s="31"/>
      <c r="E31" s="15" t="str">
        <f aca="false">IF(D31="","",IFERROR(INDEX(マスタ!$B$25:$B$40,MATCH(D31,マスタ!$A$25:$A$40,0)),"未登録"))</f>
        <v/>
      </c>
      <c r="F31" s="31"/>
      <c r="G31" s="39"/>
      <c r="H31" s="39"/>
      <c r="I31" s="39"/>
      <c r="J31" s="18" t="str">
        <f aca="false">IF(OR(G31="",H31=""),"",MOD(H31-G31,1)-N(I31))</f>
        <v/>
      </c>
      <c r="K31" s="18" t="str">
        <f aca="false">IF(J31="","",MAX(0,J31-設定!$B$15))</f>
        <v/>
      </c>
      <c r="L31" s="18" t="str">
        <f aca="false">IF(OR(G31="",H31=""),"",MAX(0,MIN(H31+IF(H31&lt;G31,1,0),1+設定!$B$14)-MAX(G31,設定!$B$13))+MAX(0,MIN(H31+IF(H31&lt;G31,1,0),設定!$B$14)-G31))</f>
        <v/>
      </c>
      <c r="M31" s="39"/>
      <c r="N31" s="19" t="str">
        <f aca="false">IF(D31="","",IFERROR(INDEX(マスタ!$C$25:$C$40,MATCH(D31,マスタ!$A$25:$A$40,0)),0))</f>
        <v/>
      </c>
      <c r="O31" s="19" t="str">
        <f aca="false">IF(J31="","",ROUND(K31*24*N31*(1+設定!$B$17)+L31*24*N31*設定!$B$18,0))</f>
        <v/>
      </c>
      <c r="P31" s="40" t="str">
        <f aca="false">IF(J31="","",TRIM(IF(K31&gt;0,"残業あり ","")&amp;IF(L31&gt;0,"深夜あり ","")&amp;IF(N(M31)&gt;設定!$B$19,"待機超過","")))</f>
        <v/>
      </c>
      <c r="Q31" s="38"/>
    </row>
    <row r="32" customFormat="false" ht="15" hidden="false" customHeight="false" outlineLevel="0" collapsed="false">
      <c r="A32" s="31" t="n">
        <v>28</v>
      </c>
      <c r="B32" s="37"/>
      <c r="C32" s="15" t="str">
        <f aca="false">IF(B32="","",CHOOSE(WEEKDAY(B32),"日","月","火","水","木","金","土"))</f>
        <v/>
      </c>
      <c r="D32" s="31"/>
      <c r="E32" s="15" t="str">
        <f aca="false">IF(D32="","",IFERROR(INDEX(マスタ!$B$25:$B$40,MATCH(D32,マスタ!$A$25:$A$40,0)),"未登録"))</f>
        <v/>
      </c>
      <c r="F32" s="31"/>
      <c r="G32" s="39"/>
      <c r="H32" s="39"/>
      <c r="I32" s="39"/>
      <c r="J32" s="18" t="str">
        <f aca="false">IF(OR(G32="",H32=""),"",MOD(H32-G32,1)-N(I32))</f>
        <v/>
      </c>
      <c r="K32" s="18" t="str">
        <f aca="false">IF(J32="","",MAX(0,J32-設定!$B$15))</f>
        <v/>
      </c>
      <c r="L32" s="18" t="str">
        <f aca="false">IF(OR(G32="",H32=""),"",MAX(0,MIN(H32+IF(H32&lt;G32,1,0),1+設定!$B$14)-MAX(G32,設定!$B$13))+MAX(0,MIN(H32+IF(H32&lt;G32,1,0),設定!$B$14)-G32))</f>
        <v/>
      </c>
      <c r="M32" s="39"/>
      <c r="N32" s="19" t="str">
        <f aca="false">IF(D32="","",IFERROR(INDEX(マスタ!$C$25:$C$40,MATCH(D32,マスタ!$A$25:$A$40,0)),0))</f>
        <v/>
      </c>
      <c r="O32" s="19" t="str">
        <f aca="false">IF(J32="","",ROUND(K32*24*N32*(1+設定!$B$17)+L32*24*N32*設定!$B$18,0))</f>
        <v/>
      </c>
      <c r="P32" s="40" t="str">
        <f aca="false">IF(J32="","",TRIM(IF(K32&gt;0,"残業あり ","")&amp;IF(L32&gt;0,"深夜あり ","")&amp;IF(N(M32)&gt;設定!$B$19,"待機超過","")))</f>
        <v/>
      </c>
      <c r="Q32" s="38"/>
    </row>
    <row r="33" customFormat="false" ht="15" hidden="false" customHeight="false" outlineLevel="0" collapsed="false">
      <c r="A33" s="31" t="n">
        <v>29</v>
      </c>
      <c r="B33" s="37"/>
      <c r="C33" s="15" t="str">
        <f aca="false">IF(B33="","",CHOOSE(WEEKDAY(B33),"日","月","火","水","木","金","土"))</f>
        <v/>
      </c>
      <c r="D33" s="31"/>
      <c r="E33" s="15" t="str">
        <f aca="false">IF(D33="","",IFERROR(INDEX(マスタ!$B$25:$B$40,MATCH(D33,マスタ!$A$25:$A$40,0)),"未登録"))</f>
        <v/>
      </c>
      <c r="F33" s="31"/>
      <c r="G33" s="39"/>
      <c r="H33" s="39"/>
      <c r="I33" s="39"/>
      <c r="J33" s="18" t="str">
        <f aca="false">IF(OR(G33="",H33=""),"",MOD(H33-G33,1)-N(I33))</f>
        <v/>
      </c>
      <c r="K33" s="18" t="str">
        <f aca="false">IF(J33="","",MAX(0,J33-設定!$B$15))</f>
        <v/>
      </c>
      <c r="L33" s="18" t="str">
        <f aca="false">IF(OR(G33="",H33=""),"",MAX(0,MIN(H33+IF(H33&lt;G33,1,0),1+設定!$B$14)-MAX(G33,設定!$B$13))+MAX(0,MIN(H33+IF(H33&lt;G33,1,0),設定!$B$14)-G33))</f>
        <v/>
      </c>
      <c r="M33" s="39"/>
      <c r="N33" s="19" t="str">
        <f aca="false">IF(D33="","",IFERROR(INDEX(マスタ!$C$25:$C$40,MATCH(D33,マスタ!$A$25:$A$40,0)),0))</f>
        <v/>
      </c>
      <c r="O33" s="19" t="str">
        <f aca="false">IF(J33="","",ROUND(K33*24*N33*(1+設定!$B$17)+L33*24*N33*設定!$B$18,0))</f>
        <v/>
      </c>
      <c r="P33" s="40" t="str">
        <f aca="false">IF(J33="","",TRIM(IF(K33&gt;0,"残業あり ","")&amp;IF(L33&gt;0,"深夜あり ","")&amp;IF(N(M33)&gt;設定!$B$19,"待機超過","")))</f>
        <v/>
      </c>
      <c r="Q33" s="38"/>
    </row>
    <row r="34" customFormat="false" ht="15" hidden="false" customHeight="false" outlineLevel="0" collapsed="false">
      <c r="A34" s="31" t="n">
        <v>30</v>
      </c>
      <c r="B34" s="37"/>
      <c r="C34" s="15" t="str">
        <f aca="false">IF(B34="","",CHOOSE(WEEKDAY(B34),"日","月","火","水","木","金","土"))</f>
        <v/>
      </c>
      <c r="D34" s="31"/>
      <c r="E34" s="15" t="str">
        <f aca="false">IF(D34="","",IFERROR(INDEX(マスタ!$B$25:$B$40,MATCH(D34,マスタ!$A$25:$A$40,0)),"未登録"))</f>
        <v/>
      </c>
      <c r="F34" s="31"/>
      <c r="G34" s="39"/>
      <c r="H34" s="39"/>
      <c r="I34" s="39"/>
      <c r="J34" s="18" t="str">
        <f aca="false">IF(OR(G34="",H34=""),"",MOD(H34-G34,1)-N(I34))</f>
        <v/>
      </c>
      <c r="K34" s="18" t="str">
        <f aca="false">IF(J34="","",MAX(0,J34-設定!$B$15))</f>
        <v/>
      </c>
      <c r="L34" s="18" t="str">
        <f aca="false">IF(OR(G34="",H34=""),"",MAX(0,MIN(H34+IF(H34&lt;G34,1,0),1+設定!$B$14)-MAX(G34,設定!$B$13))+MAX(0,MIN(H34+IF(H34&lt;G34,1,0),設定!$B$14)-G34))</f>
        <v/>
      </c>
      <c r="M34" s="39"/>
      <c r="N34" s="19" t="str">
        <f aca="false">IF(D34="","",IFERROR(INDEX(マスタ!$C$25:$C$40,MATCH(D34,マスタ!$A$25:$A$40,0)),0))</f>
        <v/>
      </c>
      <c r="O34" s="19" t="str">
        <f aca="false">IF(J34="","",ROUND(K34*24*N34*(1+設定!$B$17)+L34*24*N34*設定!$B$18,0))</f>
        <v/>
      </c>
      <c r="P34" s="40" t="str">
        <f aca="false">IF(J34="","",TRIM(IF(K34&gt;0,"残業あり ","")&amp;IF(L34&gt;0,"深夜あり ","")&amp;IF(N(M34)&gt;設定!$B$19,"待機超過","")))</f>
        <v/>
      </c>
      <c r="Q34" s="38"/>
    </row>
    <row r="35" customFormat="false" ht="15" hidden="false" customHeight="false" outlineLevel="0" collapsed="false">
      <c r="A35" s="31" t="n">
        <v>31</v>
      </c>
      <c r="B35" s="37"/>
      <c r="C35" s="15" t="str">
        <f aca="false">IF(B35="","",CHOOSE(WEEKDAY(B35),"日","月","火","水","木","金","土"))</f>
        <v/>
      </c>
      <c r="D35" s="31"/>
      <c r="E35" s="15" t="str">
        <f aca="false">IF(D35="","",IFERROR(INDEX(マスタ!$B$25:$B$40,MATCH(D35,マスタ!$A$25:$A$40,0)),"未登録"))</f>
        <v/>
      </c>
      <c r="F35" s="31"/>
      <c r="G35" s="39"/>
      <c r="H35" s="39"/>
      <c r="I35" s="39"/>
      <c r="J35" s="18" t="str">
        <f aca="false">IF(OR(G35="",H35=""),"",MOD(H35-G35,1)-N(I35))</f>
        <v/>
      </c>
      <c r="K35" s="18" t="str">
        <f aca="false">IF(J35="","",MAX(0,J35-設定!$B$15))</f>
        <v/>
      </c>
      <c r="L35" s="18" t="str">
        <f aca="false">IF(OR(G35="",H35=""),"",MAX(0,MIN(H35+IF(H35&lt;G35,1,0),1+設定!$B$14)-MAX(G35,設定!$B$13))+MAX(0,MIN(H35+IF(H35&lt;G35,1,0),設定!$B$14)-G35))</f>
        <v/>
      </c>
      <c r="M35" s="39"/>
      <c r="N35" s="19" t="str">
        <f aca="false">IF(D35="","",IFERROR(INDEX(マスタ!$C$25:$C$40,MATCH(D35,マスタ!$A$25:$A$40,0)),0))</f>
        <v/>
      </c>
      <c r="O35" s="19" t="str">
        <f aca="false">IF(J35="","",ROUND(K35*24*N35*(1+設定!$B$17)+L35*24*N35*設定!$B$18,0))</f>
        <v/>
      </c>
      <c r="P35" s="40" t="str">
        <f aca="false">IF(J35="","",TRIM(IF(K35&gt;0,"残業あり ","")&amp;IF(L35&gt;0,"深夜あり ","")&amp;IF(N(M35)&gt;設定!$B$19,"待機超過","")))</f>
        <v/>
      </c>
      <c r="Q35" s="38"/>
    </row>
    <row r="36" customFormat="false" ht="15" hidden="false" customHeight="false" outlineLevel="0" collapsed="false">
      <c r="A36" s="31" t="n">
        <v>32</v>
      </c>
      <c r="B36" s="37"/>
      <c r="C36" s="15" t="str">
        <f aca="false">IF(B36="","",CHOOSE(WEEKDAY(B36),"日","月","火","水","木","金","土"))</f>
        <v/>
      </c>
      <c r="D36" s="31"/>
      <c r="E36" s="15" t="str">
        <f aca="false">IF(D36="","",IFERROR(INDEX(マスタ!$B$25:$B$40,MATCH(D36,マスタ!$A$25:$A$40,0)),"未登録"))</f>
        <v/>
      </c>
      <c r="F36" s="31"/>
      <c r="G36" s="39"/>
      <c r="H36" s="39"/>
      <c r="I36" s="39"/>
      <c r="J36" s="18" t="str">
        <f aca="false">IF(OR(G36="",H36=""),"",MOD(H36-G36,1)-N(I36))</f>
        <v/>
      </c>
      <c r="K36" s="18" t="str">
        <f aca="false">IF(J36="","",MAX(0,J36-設定!$B$15))</f>
        <v/>
      </c>
      <c r="L36" s="18" t="str">
        <f aca="false">IF(OR(G36="",H36=""),"",MAX(0,MIN(H36+IF(H36&lt;G36,1,0),1+設定!$B$14)-MAX(G36,設定!$B$13))+MAX(0,MIN(H36+IF(H36&lt;G36,1,0),設定!$B$14)-G36))</f>
        <v/>
      </c>
      <c r="M36" s="39"/>
      <c r="N36" s="19" t="str">
        <f aca="false">IF(D36="","",IFERROR(INDEX(マスタ!$C$25:$C$40,MATCH(D36,マスタ!$A$25:$A$40,0)),0))</f>
        <v/>
      </c>
      <c r="O36" s="19" t="str">
        <f aca="false">IF(J36="","",ROUND(K36*24*N36*(1+設定!$B$17)+L36*24*N36*設定!$B$18,0))</f>
        <v/>
      </c>
      <c r="P36" s="40" t="str">
        <f aca="false">IF(J36="","",TRIM(IF(K36&gt;0,"残業あり ","")&amp;IF(L36&gt;0,"深夜あり ","")&amp;IF(N(M36)&gt;設定!$B$19,"待機超過","")))</f>
        <v/>
      </c>
      <c r="Q36" s="38"/>
    </row>
    <row r="37" customFormat="false" ht="15" hidden="false" customHeight="false" outlineLevel="0" collapsed="false">
      <c r="A37" s="31" t="n">
        <v>33</v>
      </c>
      <c r="B37" s="37"/>
      <c r="C37" s="15" t="str">
        <f aca="false">IF(B37="","",CHOOSE(WEEKDAY(B37),"日","月","火","水","木","金","土"))</f>
        <v/>
      </c>
      <c r="D37" s="31"/>
      <c r="E37" s="15" t="str">
        <f aca="false">IF(D37="","",IFERROR(INDEX(マスタ!$B$25:$B$40,MATCH(D37,マスタ!$A$25:$A$40,0)),"未登録"))</f>
        <v/>
      </c>
      <c r="F37" s="31"/>
      <c r="G37" s="39"/>
      <c r="H37" s="39"/>
      <c r="I37" s="39"/>
      <c r="J37" s="18" t="str">
        <f aca="false">IF(OR(G37="",H37=""),"",MOD(H37-G37,1)-N(I37))</f>
        <v/>
      </c>
      <c r="K37" s="18" t="str">
        <f aca="false">IF(J37="","",MAX(0,J37-設定!$B$15))</f>
        <v/>
      </c>
      <c r="L37" s="18" t="str">
        <f aca="false">IF(OR(G37="",H37=""),"",MAX(0,MIN(H37+IF(H37&lt;G37,1,0),1+設定!$B$14)-MAX(G37,設定!$B$13))+MAX(0,MIN(H37+IF(H37&lt;G37,1,0),設定!$B$14)-G37))</f>
        <v/>
      </c>
      <c r="M37" s="39"/>
      <c r="N37" s="19" t="str">
        <f aca="false">IF(D37="","",IFERROR(INDEX(マスタ!$C$25:$C$40,MATCH(D37,マスタ!$A$25:$A$40,0)),0))</f>
        <v/>
      </c>
      <c r="O37" s="19" t="str">
        <f aca="false">IF(J37="","",ROUND(K37*24*N37*(1+設定!$B$17)+L37*24*N37*設定!$B$18,0))</f>
        <v/>
      </c>
      <c r="P37" s="40" t="str">
        <f aca="false">IF(J37="","",TRIM(IF(K37&gt;0,"残業あり ","")&amp;IF(L37&gt;0,"深夜あり ","")&amp;IF(N(M37)&gt;設定!$B$19,"待機超過","")))</f>
        <v/>
      </c>
      <c r="Q37" s="38"/>
    </row>
    <row r="38" customFormat="false" ht="15" hidden="false" customHeight="false" outlineLevel="0" collapsed="false">
      <c r="A38" s="31" t="n">
        <v>34</v>
      </c>
      <c r="B38" s="37"/>
      <c r="C38" s="15" t="str">
        <f aca="false">IF(B38="","",CHOOSE(WEEKDAY(B38),"日","月","火","水","木","金","土"))</f>
        <v/>
      </c>
      <c r="D38" s="31"/>
      <c r="E38" s="15" t="str">
        <f aca="false">IF(D38="","",IFERROR(INDEX(マスタ!$B$25:$B$40,MATCH(D38,マスタ!$A$25:$A$40,0)),"未登録"))</f>
        <v/>
      </c>
      <c r="F38" s="31"/>
      <c r="G38" s="39"/>
      <c r="H38" s="39"/>
      <c r="I38" s="39"/>
      <c r="J38" s="18" t="str">
        <f aca="false">IF(OR(G38="",H38=""),"",MOD(H38-G38,1)-N(I38))</f>
        <v/>
      </c>
      <c r="K38" s="18" t="str">
        <f aca="false">IF(J38="","",MAX(0,J38-設定!$B$15))</f>
        <v/>
      </c>
      <c r="L38" s="18" t="str">
        <f aca="false">IF(OR(G38="",H38=""),"",MAX(0,MIN(H38+IF(H38&lt;G38,1,0),1+設定!$B$14)-MAX(G38,設定!$B$13))+MAX(0,MIN(H38+IF(H38&lt;G38,1,0),設定!$B$14)-G38))</f>
        <v/>
      </c>
      <c r="M38" s="39"/>
      <c r="N38" s="19" t="str">
        <f aca="false">IF(D38="","",IFERROR(INDEX(マスタ!$C$25:$C$40,MATCH(D38,マスタ!$A$25:$A$40,0)),0))</f>
        <v/>
      </c>
      <c r="O38" s="19" t="str">
        <f aca="false">IF(J38="","",ROUND(K38*24*N38*(1+設定!$B$17)+L38*24*N38*設定!$B$18,0))</f>
        <v/>
      </c>
      <c r="P38" s="40" t="str">
        <f aca="false">IF(J38="","",TRIM(IF(K38&gt;0,"残業あり ","")&amp;IF(L38&gt;0,"深夜あり ","")&amp;IF(N(M38)&gt;設定!$B$19,"待機超過","")))</f>
        <v/>
      </c>
      <c r="Q38" s="38"/>
    </row>
    <row r="39" customFormat="false" ht="15" hidden="false" customHeight="false" outlineLevel="0" collapsed="false">
      <c r="A39" s="31" t="n">
        <v>35</v>
      </c>
      <c r="B39" s="37"/>
      <c r="C39" s="15" t="str">
        <f aca="false">IF(B39="","",CHOOSE(WEEKDAY(B39),"日","月","火","水","木","金","土"))</f>
        <v/>
      </c>
      <c r="D39" s="31"/>
      <c r="E39" s="15" t="str">
        <f aca="false">IF(D39="","",IFERROR(INDEX(マスタ!$B$25:$B$40,MATCH(D39,マスタ!$A$25:$A$40,0)),"未登録"))</f>
        <v/>
      </c>
      <c r="F39" s="31"/>
      <c r="G39" s="39"/>
      <c r="H39" s="39"/>
      <c r="I39" s="39"/>
      <c r="J39" s="18" t="str">
        <f aca="false">IF(OR(G39="",H39=""),"",MOD(H39-G39,1)-N(I39))</f>
        <v/>
      </c>
      <c r="K39" s="18" t="str">
        <f aca="false">IF(J39="","",MAX(0,J39-設定!$B$15))</f>
        <v/>
      </c>
      <c r="L39" s="18" t="str">
        <f aca="false">IF(OR(G39="",H39=""),"",MAX(0,MIN(H39+IF(H39&lt;G39,1,0),1+設定!$B$14)-MAX(G39,設定!$B$13))+MAX(0,MIN(H39+IF(H39&lt;G39,1,0),設定!$B$14)-G39))</f>
        <v/>
      </c>
      <c r="M39" s="39"/>
      <c r="N39" s="19" t="str">
        <f aca="false">IF(D39="","",IFERROR(INDEX(マスタ!$C$25:$C$40,MATCH(D39,マスタ!$A$25:$A$40,0)),0))</f>
        <v/>
      </c>
      <c r="O39" s="19" t="str">
        <f aca="false">IF(J39="","",ROUND(K39*24*N39*(1+設定!$B$17)+L39*24*N39*設定!$B$18,0))</f>
        <v/>
      </c>
      <c r="P39" s="40" t="str">
        <f aca="false">IF(J39="","",TRIM(IF(K39&gt;0,"残業あり ","")&amp;IF(L39&gt;0,"深夜あり ","")&amp;IF(N(M39)&gt;設定!$B$19,"待機超過","")))</f>
        <v/>
      </c>
      <c r="Q39" s="38"/>
    </row>
    <row r="40" customFormat="false" ht="15" hidden="false" customHeight="false" outlineLevel="0" collapsed="false">
      <c r="A40" s="31" t="n">
        <v>36</v>
      </c>
      <c r="B40" s="37"/>
      <c r="C40" s="15" t="str">
        <f aca="false">IF(B40="","",CHOOSE(WEEKDAY(B40),"日","月","火","水","木","金","土"))</f>
        <v/>
      </c>
      <c r="D40" s="31"/>
      <c r="E40" s="15" t="str">
        <f aca="false">IF(D40="","",IFERROR(INDEX(マスタ!$B$25:$B$40,MATCH(D40,マスタ!$A$25:$A$40,0)),"未登録"))</f>
        <v/>
      </c>
      <c r="F40" s="31"/>
      <c r="G40" s="39"/>
      <c r="H40" s="39"/>
      <c r="I40" s="39"/>
      <c r="J40" s="18" t="str">
        <f aca="false">IF(OR(G40="",H40=""),"",MOD(H40-G40,1)-N(I40))</f>
        <v/>
      </c>
      <c r="K40" s="18" t="str">
        <f aca="false">IF(J40="","",MAX(0,J40-設定!$B$15))</f>
        <v/>
      </c>
      <c r="L40" s="18" t="str">
        <f aca="false">IF(OR(G40="",H40=""),"",MAX(0,MIN(H40+IF(H40&lt;G40,1,0),1+設定!$B$14)-MAX(G40,設定!$B$13))+MAX(0,MIN(H40+IF(H40&lt;G40,1,0),設定!$B$14)-G40))</f>
        <v/>
      </c>
      <c r="M40" s="39"/>
      <c r="N40" s="19" t="str">
        <f aca="false">IF(D40="","",IFERROR(INDEX(マスタ!$C$25:$C$40,MATCH(D40,マスタ!$A$25:$A$40,0)),0))</f>
        <v/>
      </c>
      <c r="O40" s="19" t="str">
        <f aca="false">IF(J40="","",ROUND(K40*24*N40*(1+設定!$B$17)+L40*24*N40*設定!$B$18,0))</f>
        <v/>
      </c>
      <c r="P40" s="40" t="str">
        <f aca="false">IF(J40="","",TRIM(IF(K40&gt;0,"残業あり ","")&amp;IF(L40&gt;0,"深夜あり ","")&amp;IF(N(M40)&gt;設定!$B$19,"待機超過","")))</f>
        <v/>
      </c>
      <c r="Q40" s="38"/>
    </row>
    <row r="41" customFormat="false" ht="15" hidden="false" customHeight="false" outlineLevel="0" collapsed="false">
      <c r="A41" s="31" t="n">
        <v>37</v>
      </c>
      <c r="B41" s="37"/>
      <c r="C41" s="15" t="str">
        <f aca="false">IF(B41="","",CHOOSE(WEEKDAY(B41),"日","月","火","水","木","金","土"))</f>
        <v/>
      </c>
      <c r="D41" s="31"/>
      <c r="E41" s="15" t="str">
        <f aca="false">IF(D41="","",IFERROR(INDEX(マスタ!$B$25:$B$40,MATCH(D41,マスタ!$A$25:$A$40,0)),"未登録"))</f>
        <v/>
      </c>
      <c r="F41" s="31"/>
      <c r="G41" s="39"/>
      <c r="H41" s="39"/>
      <c r="I41" s="39"/>
      <c r="J41" s="18" t="str">
        <f aca="false">IF(OR(G41="",H41=""),"",MOD(H41-G41,1)-N(I41))</f>
        <v/>
      </c>
      <c r="K41" s="18" t="str">
        <f aca="false">IF(J41="","",MAX(0,J41-設定!$B$15))</f>
        <v/>
      </c>
      <c r="L41" s="18" t="str">
        <f aca="false">IF(OR(G41="",H41=""),"",MAX(0,MIN(H41+IF(H41&lt;G41,1,0),1+設定!$B$14)-MAX(G41,設定!$B$13))+MAX(0,MIN(H41+IF(H41&lt;G41,1,0),設定!$B$14)-G41))</f>
        <v/>
      </c>
      <c r="M41" s="39"/>
      <c r="N41" s="19" t="str">
        <f aca="false">IF(D41="","",IFERROR(INDEX(マスタ!$C$25:$C$40,MATCH(D41,マスタ!$A$25:$A$40,0)),0))</f>
        <v/>
      </c>
      <c r="O41" s="19" t="str">
        <f aca="false">IF(J41="","",ROUND(K41*24*N41*(1+設定!$B$17)+L41*24*N41*設定!$B$18,0))</f>
        <v/>
      </c>
      <c r="P41" s="40" t="str">
        <f aca="false">IF(J41="","",TRIM(IF(K41&gt;0,"残業あり ","")&amp;IF(L41&gt;0,"深夜あり ","")&amp;IF(N(M41)&gt;設定!$B$19,"待機超過","")))</f>
        <v/>
      </c>
      <c r="Q41" s="38"/>
    </row>
    <row r="42" customFormat="false" ht="15" hidden="false" customHeight="false" outlineLevel="0" collapsed="false">
      <c r="A42" s="31" t="n">
        <v>38</v>
      </c>
      <c r="B42" s="37"/>
      <c r="C42" s="15" t="str">
        <f aca="false">IF(B42="","",CHOOSE(WEEKDAY(B42),"日","月","火","水","木","金","土"))</f>
        <v/>
      </c>
      <c r="D42" s="31"/>
      <c r="E42" s="15" t="str">
        <f aca="false">IF(D42="","",IFERROR(INDEX(マスタ!$B$25:$B$40,MATCH(D42,マスタ!$A$25:$A$40,0)),"未登録"))</f>
        <v/>
      </c>
      <c r="F42" s="31"/>
      <c r="G42" s="39"/>
      <c r="H42" s="39"/>
      <c r="I42" s="39"/>
      <c r="J42" s="18" t="str">
        <f aca="false">IF(OR(G42="",H42=""),"",MOD(H42-G42,1)-N(I42))</f>
        <v/>
      </c>
      <c r="K42" s="18" t="str">
        <f aca="false">IF(J42="","",MAX(0,J42-設定!$B$15))</f>
        <v/>
      </c>
      <c r="L42" s="18" t="str">
        <f aca="false">IF(OR(G42="",H42=""),"",MAX(0,MIN(H42+IF(H42&lt;G42,1,0),1+設定!$B$14)-MAX(G42,設定!$B$13))+MAX(0,MIN(H42+IF(H42&lt;G42,1,0),設定!$B$14)-G42))</f>
        <v/>
      </c>
      <c r="M42" s="39"/>
      <c r="N42" s="19" t="str">
        <f aca="false">IF(D42="","",IFERROR(INDEX(マスタ!$C$25:$C$40,MATCH(D42,マスタ!$A$25:$A$40,0)),0))</f>
        <v/>
      </c>
      <c r="O42" s="19" t="str">
        <f aca="false">IF(J42="","",ROUND(K42*24*N42*(1+設定!$B$17)+L42*24*N42*設定!$B$18,0))</f>
        <v/>
      </c>
      <c r="P42" s="40" t="str">
        <f aca="false">IF(J42="","",TRIM(IF(K42&gt;0,"残業あり ","")&amp;IF(L42&gt;0,"深夜あり ","")&amp;IF(N(M42)&gt;設定!$B$19,"待機超過","")))</f>
        <v/>
      </c>
      <c r="Q42" s="38"/>
    </row>
    <row r="43" customFormat="false" ht="15" hidden="false" customHeight="false" outlineLevel="0" collapsed="false">
      <c r="A43" s="31" t="n">
        <v>39</v>
      </c>
      <c r="B43" s="37"/>
      <c r="C43" s="15" t="str">
        <f aca="false">IF(B43="","",CHOOSE(WEEKDAY(B43),"日","月","火","水","木","金","土"))</f>
        <v/>
      </c>
      <c r="D43" s="31"/>
      <c r="E43" s="15" t="str">
        <f aca="false">IF(D43="","",IFERROR(INDEX(マスタ!$B$25:$B$40,MATCH(D43,マスタ!$A$25:$A$40,0)),"未登録"))</f>
        <v/>
      </c>
      <c r="F43" s="31"/>
      <c r="G43" s="39"/>
      <c r="H43" s="39"/>
      <c r="I43" s="39"/>
      <c r="J43" s="18" t="str">
        <f aca="false">IF(OR(G43="",H43=""),"",MOD(H43-G43,1)-N(I43))</f>
        <v/>
      </c>
      <c r="K43" s="18" t="str">
        <f aca="false">IF(J43="","",MAX(0,J43-設定!$B$15))</f>
        <v/>
      </c>
      <c r="L43" s="18" t="str">
        <f aca="false">IF(OR(G43="",H43=""),"",MAX(0,MIN(H43+IF(H43&lt;G43,1,0),1+設定!$B$14)-MAX(G43,設定!$B$13))+MAX(0,MIN(H43+IF(H43&lt;G43,1,0),設定!$B$14)-G43))</f>
        <v/>
      </c>
      <c r="M43" s="39"/>
      <c r="N43" s="19" t="str">
        <f aca="false">IF(D43="","",IFERROR(INDEX(マスタ!$C$25:$C$40,MATCH(D43,マスタ!$A$25:$A$40,0)),0))</f>
        <v/>
      </c>
      <c r="O43" s="19" t="str">
        <f aca="false">IF(J43="","",ROUND(K43*24*N43*(1+設定!$B$17)+L43*24*N43*設定!$B$18,0))</f>
        <v/>
      </c>
      <c r="P43" s="40" t="str">
        <f aca="false">IF(J43="","",TRIM(IF(K43&gt;0,"残業あり ","")&amp;IF(L43&gt;0,"深夜あり ","")&amp;IF(N(M43)&gt;設定!$B$19,"待機超過","")))</f>
        <v/>
      </c>
      <c r="Q43" s="38"/>
    </row>
    <row r="44" customFormat="false" ht="15" hidden="false" customHeight="false" outlineLevel="0" collapsed="false">
      <c r="A44" s="31" t="n">
        <v>40</v>
      </c>
      <c r="B44" s="37"/>
      <c r="C44" s="15" t="str">
        <f aca="false">IF(B44="","",CHOOSE(WEEKDAY(B44),"日","月","火","水","木","金","土"))</f>
        <v/>
      </c>
      <c r="D44" s="31"/>
      <c r="E44" s="15" t="str">
        <f aca="false">IF(D44="","",IFERROR(INDEX(マスタ!$B$25:$B$40,MATCH(D44,マスタ!$A$25:$A$40,0)),"未登録"))</f>
        <v/>
      </c>
      <c r="F44" s="31"/>
      <c r="G44" s="39"/>
      <c r="H44" s="39"/>
      <c r="I44" s="39"/>
      <c r="J44" s="18" t="str">
        <f aca="false">IF(OR(G44="",H44=""),"",MOD(H44-G44,1)-N(I44))</f>
        <v/>
      </c>
      <c r="K44" s="18" t="str">
        <f aca="false">IF(J44="","",MAX(0,J44-設定!$B$15))</f>
        <v/>
      </c>
      <c r="L44" s="18" t="str">
        <f aca="false">IF(OR(G44="",H44=""),"",MAX(0,MIN(H44+IF(H44&lt;G44,1,0),1+設定!$B$14)-MAX(G44,設定!$B$13))+MAX(0,MIN(H44+IF(H44&lt;G44,1,0),設定!$B$14)-G44))</f>
        <v/>
      </c>
      <c r="M44" s="39"/>
      <c r="N44" s="19" t="str">
        <f aca="false">IF(D44="","",IFERROR(INDEX(マスタ!$C$25:$C$40,MATCH(D44,マスタ!$A$25:$A$40,0)),0))</f>
        <v/>
      </c>
      <c r="O44" s="19" t="str">
        <f aca="false">IF(J44="","",ROUND(K44*24*N44*(1+設定!$B$17)+L44*24*N44*設定!$B$18,0))</f>
        <v/>
      </c>
      <c r="P44" s="40" t="str">
        <f aca="false">IF(J44="","",TRIM(IF(K44&gt;0,"残業あり ","")&amp;IF(L44&gt;0,"深夜あり ","")&amp;IF(N(M44)&gt;設定!$B$19,"待機超過","")))</f>
        <v/>
      </c>
      <c r="Q44" s="38"/>
    </row>
  </sheetData>
  <autoFilter ref="A4:Q44"/>
  <conditionalFormatting sqref="P5:P44">
    <cfRule type="expression" priority="2" aboveAverage="0" equalAverage="0" bottom="0" percent="0" rank="0" text="" dxfId="0">
      <formula>ISNUMBER(SEARCH("深夜",P5))</formula>
    </cfRule>
    <cfRule type="expression" priority="3" aboveAverage="0" equalAverage="0" bottom="0" percent="0" rank="0" text="" dxfId="1">
      <formula>P5&lt;&gt;""</formula>
    </cfRule>
  </conditionalFormatting>
  <conditionalFormatting sqref="K5:K44">
    <cfRule type="expression" priority="4" aboveAverage="0" equalAverage="0" bottom="0" percent="0" rank="0" text="" dxfId="13">
      <formula>AND(ISNUMBER(K5),K5&gt;0)</formula>
    </cfRule>
  </conditionalFormatting>
  <conditionalFormatting sqref="L5:L44">
    <cfRule type="expression" priority="5" aboveAverage="0" equalAverage="0" bottom="0" percent="0" rank="0" text="" dxfId="12">
      <formula>AND(ISNUMBER(L5),L5&gt;0)</formula>
    </cfRule>
  </conditionalFormatting>
  <conditionalFormatting sqref="M5:M44">
    <cfRule type="expression" priority="6" aboveAverage="0" equalAverage="0" bottom="0" percent="0" rank="0" text="" dxfId="13">
      <formula>AND(ISNUMBER(M5),M5&gt;設定!$B$19)</formula>
    </cfRule>
  </conditionalFormatting>
  <dataValidations count="2">
    <dataValidation allowBlank="true" errorStyle="stop" operator="between" showDropDown="false" showErrorMessage="false" showInputMessage="false" sqref="D5:D44" type="list">
      <formula1>マスタ!$A$25:$A$40</formula1>
      <formula2>0</formula2>
    </dataValidation>
    <dataValidation allowBlank="true" errorStyle="stop" operator="between" showDropDown="false" showErrorMessage="false" showInputMessage="false" sqref="F5:F44" type="list">
      <formula1>マスタ!$C$3:$C$8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6"/>
    <col collapsed="false" customWidth="true" hidden="false" outlineLevel="0" max="6" min="6" style="0" width="8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1" t="s">
        <v>226</v>
      </c>
    </row>
    <row r="2" customFormat="false" ht="15" hidden="false" customHeight="false" outlineLevel="0" collapsed="false">
      <c r="A2" s="2" t="s">
        <v>227</v>
      </c>
    </row>
    <row r="4" customFormat="false" ht="31.5" hidden="false" customHeight="true" outlineLevel="0" collapsed="false">
      <c r="A4" s="22" t="s">
        <v>228</v>
      </c>
      <c r="B4" s="22" t="s">
        <v>96</v>
      </c>
      <c r="C4" s="22" t="s">
        <v>229</v>
      </c>
      <c r="D4" s="22" t="s">
        <v>230</v>
      </c>
      <c r="E4" s="22" t="s">
        <v>169</v>
      </c>
      <c r="F4" s="22" t="s">
        <v>231</v>
      </c>
      <c r="G4" s="22" t="s">
        <v>57</v>
      </c>
      <c r="H4" s="22" t="s">
        <v>232</v>
      </c>
      <c r="I4" s="22" t="s">
        <v>182</v>
      </c>
    </row>
    <row r="5" customFormat="false" ht="26.85" hidden="false" customHeight="false" outlineLevel="0" collapsed="false">
      <c r="A5" s="40" t="s">
        <v>34</v>
      </c>
      <c r="B5" s="41" t="s">
        <v>233</v>
      </c>
      <c r="C5" s="31" t="s">
        <v>157</v>
      </c>
      <c r="D5" s="17" t="n">
        <f aca="false">IF(設定!$B$7="","",設定!$B$7+(-14))</f>
        <v>46326</v>
      </c>
      <c r="E5" s="40" t="str">
        <f aca="false">IF(D5="","",CHOOSE(WEEKDAY(D5),"日","月","火","水","木","金","土"))</f>
        <v>土</v>
      </c>
      <c r="F5" s="16" t="n">
        <f aca="true">IF(OR(D5="",G5="✓"),"",D5-TODAY())</f>
        <v>10</v>
      </c>
      <c r="G5" s="32"/>
      <c r="H5" s="37"/>
      <c r="I5" s="42"/>
    </row>
    <row r="6" customFormat="false" ht="15" hidden="false" customHeight="false" outlineLevel="0" collapsed="false">
      <c r="A6" s="40" t="s">
        <v>34</v>
      </c>
      <c r="B6" s="41" t="s">
        <v>234</v>
      </c>
      <c r="C6" s="31" t="s">
        <v>157</v>
      </c>
      <c r="D6" s="17" t="n">
        <f aca="false">IF(設定!$B$7="","",設定!$B$7+(-14))</f>
        <v>46326</v>
      </c>
      <c r="E6" s="40" t="str">
        <f aca="false">IF(D6="","",CHOOSE(WEEKDAY(D6),"日","月","火","水","木","金","土"))</f>
        <v>土</v>
      </c>
      <c r="F6" s="16" t="n">
        <f aca="true">IF(OR(D6="",G6="✓"),"",D6-TODAY())</f>
        <v>10</v>
      </c>
      <c r="G6" s="32"/>
      <c r="H6" s="37"/>
      <c r="I6" s="42"/>
    </row>
    <row r="7" customFormat="false" ht="26.85" hidden="false" customHeight="false" outlineLevel="0" collapsed="false">
      <c r="A7" s="40" t="s">
        <v>36</v>
      </c>
      <c r="B7" s="41" t="s">
        <v>235</v>
      </c>
      <c r="C7" s="31" t="s">
        <v>157</v>
      </c>
      <c r="D7" s="17" t="n">
        <f aca="false">IF(設定!$B$7="","",設定!$B$7+(-10))</f>
        <v>46330</v>
      </c>
      <c r="E7" s="40" t="str">
        <f aca="false">IF(D7="","",CHOOSE(WEEKDAY(D7),"日","月","火","水","木","金","土"))</f>
        <v>水</v>
      </c>
      <c r="F7" s="16" t="n">
        <f aca="true">IF(OR(D7="",G7="✓"),"",D7-TODAY())</f>
        <v>14</v>
      </c>
      <c r="G7" s="32"/>
      <c r="H7" s="37"/>
      <c r="I7" s="42"/>
    </row>
    <row r="8" customFormat="false" ht="15" hidden="false" customHeight="false" outlineLevel="0" collapsed="false">
      <c r="A8" s="40" t="s">
        <v>36</v>
      </c>
      <c r="B8" s="41" t="s">
        <v>236</v>
      </c>
      <c r="C8" s="31" t="s">
        <v>157</v>
      </c>
      <c r="D8" s="17" t="n">
        <f aca="false">IF(設定!$B$7="","",設定!$B$7+(-10))</f>
        <v>46330</v>
      </c>
      <c r="E8" s="40" t="str">
        <f aca="false">IF(D8="","",CHOOSE(WEEKDAY(D8),"日","月","火","水","木","金","土"))</f>
        <v>水</v>
      </c>
      <c r="F8" s="16" t="n">
        <f aca="true">IF(OR(D8="",G8="✓"),"",D8-TODAY())</f>
        <v>14</v>
      </c>
      <c r="G8" s="32"/>
      <c r="H8" s="37"/>
      <c r="I8" s="42"/>
    </row>
    <row r="9" customFormat="false" ht="26.85" hidden="false" customHeight="false" outlineLevel="0" collapsed="false">
      <c r="A9" s="40" t="s">
        <v>38</v>
      </c>
      <c r="B9" s="41" t="s">
        <v>237</v>
      </c>
      <c r="C9" s="31" t="s">
        <v>157</v>
      </c>
      <c r="D9" s="17" t="n">
        <f aca="false">IF(設定!$B$7="","",設定!$B$7+(-7))</f>
        <v>46333</v>
      </c>
      <c r="E9" s="40" t="str">
        <f aca="false">IF(D9="","",CHOOSE(WEEKDAY(D9),"日","月","火","水","木","金","土"))</f>
        <v>土</v>
      </c>
      <c r="F9" s="16" t="n">
        <f aca="true">IF(OR(D9="",G9="✓"),"",D9-TODAY())</f>
        <v>17</v>
      </c>
      <c r="G9" s="32"/>
      <c r="H9" s="37"/>
      <c r="I9" s="42"/>
    </row>
    <row r="10" customFormat="false" ht="26.85" hidden="false" customHeight="false" outlineLevel="0" collapsed="false">
      <c r="A10" s="40" t="s">
        <v>38</v>
      </c>
      <c r="B10" s="41" t="s">
        <v>238</v>
      </c>
      <c r="C10" s="31" t="s">
        <v>157</v>
      </c>
      <c r="D10" s="17" t="n">
        <f aca="false">IF(設定!$B$7="","",設定!$B$7+(-7))</f>
        <v>46333</v>
      </c>
      <c r="E10" s="40" t="str">
        <f aca="false">IF(D10="","",CHOOSE(WEEKDAY(D10),"日","月","火","水","木","金","土"))</f>
        <v>土</v>
      </c>
      <c r="F10" s="16" t="n">
        <f aca="true">IF(OR(D10="",G10="✓"),"",D10-TODAY())</f>
        <v>17</v>
      </c>
      <c r="G10" s="32"/>
      <c r="H10" s="37"/>
      <c r="I10" s="42"/>
    </row>
    <row r="11" customFormat="false" ht="26.85" hidden="false" customHeight="false" outlineLevel="0" collapsed="false">
      <c r="A11" s="40" t="s">
        <v>40</v>
      </c>
      <c r="B11" s="41" t="s">
        <v>239</v>
      </c>
      <c r="C11" s="31" t="s">
        <v>157</v>
      </c>
      <c r="D11" s="17" t="n">
        <f aca="false">IF(設定!$B$7="","",設定!$B$7+(-5))</f>
        <v>46335</v>
      </c>
      <c r="E11" s="40" t="str">
        <f aca="false">IF(D11="","",CHOOSE(WEEKDAY(D11),"日","月","火","水","木","金","土"))</f>
        <v>月</v>
      </c>
      <c r="F11" s="16" t="n">
        <f aca="true">IF(OR(D11="",G11="✓"),"",D11-TODAY())</f>
        <v>19</v>
      </c>
      <c r="G11" s="32"/>
      <c r="H11" s="37"/>
      <c r="I11" s="42"/>
    </row>
    <row r="12" customFormat="false" ht="15" hidden="false" customHeight="false" outlineLevel="0" collapsed="false">
      <c r="A12" s="40" t="s">
        <v>240</v>
      </c>
      <c r="B12" s="41" t="s">
        <v>241</v>
      </c>
      <c r="C12" s="31" t="s">
        <v>157</v>
      </c>
      <c r="D12" s="17" t="n">
        <f aca="false">IF(設定!$B$7="","",設定!$B$7+(-3))</f>
        <v>46337</v>
      </c>
      <c r="E12" s="40" t="str">
        <f aca="false">IF(D12="","",CHOOSE(WEEKDAY(D12),"日","月","火","水","木","金","土"))</f>
        <v>水</v>
      </c>
      <c r="F12" s="16" t="n">
        <f aca="true">IF(OR(D12="",G12="✓"),"",D12-TODAY())</f>
        <v>21</v>
      </c>
      <c r="G12" s="32"/>
      <c r="H12" s="37"/>
      <c r="I12" s="42"/>
    </row>
    <row r="13" customFormat="false" ht="15" hidden="false" customHeight="false" outlineLevel="0" collapsed="false">
      <c r="A13" s="40" t="s">
        <v>240</v>
      </c>
      <c r="B13" s="41" t="s">
        <v>242</v>
      </c>
      <c r="C13" s="31" t="s">
        <v>157</v>
      </c>
      <c r="D13" s="17" t="n">
        <f aca="false">IF(設定!$B$7="","",設定!$B$7+(-3))</f>
        <v>46337</v>
      </c>
      <c r="E13" s="40" t="str">
        <f aca="false">IF(D13="","",CHOOSE(WEEKDAY(D13),"日","月","火","水","木","金","土"))</f>
        <v>水</v>
      </c>
      <c r="F13" s="16" t="n">
        <f aca="true">IF(OR(D13="",G13="✓"),"",D13-TODAY())</f>
        <v>21</v>
      </c>
      <c r="G13" s="32"/>
      <c r="H13" s="37"/>
      <c r="I13" s="42"/>
    </row>
    <row r="14" customFormat="false" ht="15" hidden="false" customHeight="false" outlineLevel="0" collapsed="false">
      <c r="A14" s="40" t="s">
        <v>243</v>
      </c>
      <c r="B14" s="41" t="s">
        <v>244</v>
      </c>
      <c r="C14" s="31" t="s">
        <v>160</v>
      </c>
      <c r="D14" s="17" t="n">
        <f aca="false">IF(設定!$B$7="","",設定!$B$7+(-1))</f>
        <v>46339</v>
      </c>
      <c r="E14" s="40" t="str">
        <f aca="false">IF(D14="","",CHOOSE(WEEKDAY(D14),"日","月","火","水","木","金","土"))</f>
        <v>金</v>
      </c>
      <c r="F14" s="16" t="n">
        <f aca="true">IF(OR(D14="",G14="✓"),"",D14-TODAY())</f>
        <v>23</v>
      </c>
      <c r="G14" s="32"/>
      <c r="H14" s="37"/>
      <c r="I14" s="42"/>
    </row>
    <row r="15" customFormat="false" ht="26.85" hidden="false" customHeight="false" outlineLevel="0" collapsed="false">
      <c r="A15" s="40" t="s">
        <v>243</v>
      </c>
      <c r="B15" s="41" t="s">
        <v>245</v>
      </c>
      <c r="C15" s="31" t="s">
        <v>157</v>
      </c>
      <c r="D15" s="17" t="n">
        <f aca="false">IF(設定!$B$7="","",設定!$B$7+(-1))</f>
        <v>46339</v>
      </c>
      <c r="E15" s="40" t="str">
        <f aca="false">IF(D15="","",CHOOSE(WEEKDAY(D15),"日","月","火","水","木","金","土"))</f>
        <v>金</v>
      </c>
      <c r="F15" s="16" t="n">
        <f aca="true">IF(OR(D15="",G15="✓"),"",D15-TODAY())</f>
        <v>23</v>
      </c>
      <c r="G15" s="32"/>
      <c r="H15" s="37"/>
      <c r="I15" s="42"/>
    </row>
    <row r="16" customFormat="false" ht="15" hidden="false" customHeight="false" outlineLevel="0" collapsed="false">
      <c r="A16" s="15" t="s">
        <v>246</v>
      </c>
      <c r="B16" s="41" t="s">
        <v>247</v>
      </c>
      <c r="C16" s="31" t="s">
        <v>157</v>
      </c>
      <c r="D16" s="17" t="n">
        <f aca="false">IF(設定!$B$7="","",設定!$B$7+(0))</f>
        <v>46340</v>
      </c>
      <c r="E16" s="15" t="str">
        <f aca="false">IF(D16="","",CHOOSE(WEEKDAY(D16),"日","月","火","水","木","金","土"))</f>
        <v>土</v>
      </c>
      <c r="F16" s="16" t="n">
        <f aca="true">IF(OR(D16="",G16="✓"),"",D16-TODAY())</f>
        <v>24</v>
      </c>
      <c r="G16" s="32"/>
      <c r="H16" s="37"/>
      <c r="I16" s="42"/>
    </row>
    <row r="17" customFormat="false" ht="15" hidden="false" customHeight="false" outlineLevel="0" collapsed="false">
      <c r="A17" s="15" t="s">
        <v>246</v>
      </c>
      <c r="B17" s="41" t="s">
        <v>248</v>
      </c>
      <c r="C17" s="31" t="s">
        <v>160</v>
      </c>
      <c r="D17" s="17" t="n">
        <f aca="false">IF(設定!$B$7="","",設定!$B$7+(0))</f>
        <v>46340</v>
      </c>
      <c r="E17" s="15" t="str">
        <f aca="false">IF(D17="","",CHOOSE(WEEKDAY(D17),"日","月","火","水","木","金","土"))</f>
        <v>土</v>
      </c>
      <c r="F17" s="16" t="n">
        <f aca="true">IF(OR(D17="",G17="✓"),"",D17-TODAY())</f>
        <v>24</v>
      </c>
      <c r="G17" s="32"/>
      <c r="H17" s="37"/>
      <c r="I17" s="42"/>
    </row>
    <row r="18" customFormat="false" ht="26.85" hidden="false" customHeight="false" outlineLevel="0" collapsed="false">
      <c r="A18" s="15" t="s">
        <v>249</v>
      </c>
      <c r="B18" s="41" t="s">
        <v>250</v>
      </c>
      <c r="C18" s="31" t="s">
        <v>157</v>
      </c>
      <c r="D18" s="17" t="n">
        <f aca="false">IF(設定!$B$9="","",設定!$B$9+(1))</f>
        <v>46342</v>
      </c>
      <c r="E18" s="15" t="str">
        <f aca="false">IF(D18="","",CHOOSE(WEEKDAY(D18),"日","月","火","水","木","金","土"))</f>
        <v>月</v>
      </c>
      <c r="F18" s="16" t="n">
        <f aca="true">IF(OR(D18="",G18="✓"),"",D18-TODAY())</f>
        <v>26</v>
      </c>
      <c r="G18" s="32"/>
      <c r="H18" s="37"/>
      <c r="I18" s="42"/>
    </row>
    <row r="19" customFormat="false" ht="15" hidden="false" customHeight="false" outlineLevel="0" collapsed="false">
      <c r="A19" s="15" t="s">
        <v>251</v>
      </c>
      <c r="B19" s="41" t="s">
        <v>252</v>
      </c>
      <c r="C19" s="31" t="s">
        <v>157</v>
      </c>
      <c r="D19" s="17" t="n">
        <f aca="false">IF(設定!$B$9="","",設定!$B$9+(2))</f>
        <v>46343</v>
      </c>
      <c r="E19" s="15" t="str">
        <f aca="false">IF(D19="","",CHOOSE(WEEKDAY(D19),"日","月","火","水","木","金","土"))</f>
        <v>火</v>
      </c>
      <c r="F19" s="16" t="n">
        <f aca="true">IF(OR(D19="",G19="✓"),"",D19-TODAY())</f>
        <v>27</v>
      </c>
      <c r="G19" s="32"/>
      <c r="H19" s="37"/>
      <c r="I19" s="42"/>
    </row>
  </sheetData>
  <conditionalFormatting sqref="A5:I19">
    <cfRule type="expression" priority="2" aboveAverage="0" equalAverage="0" bottom="0" percent="0" rank="0" text="" dxfId="11">
      <formula>$G5="✓"</formula>
    </cfRule>
  </conditionalFormatting>
  <conditionalFormatting sqref="F5:F19">
    <cfRule type="expression" priority="3" aboveAverage="0" equalAverage="0" bottom="0" percent="0" rank="0" text="" dxfId="0">
      <formula>AND(ISNUMBER(F5),F5&lt;0)</formula>
    </cfRule>
    <cfRule type="expression" priority="4" aboveAverage="0" equalAverage="0" bottom="0" percent="0" rank="0" text="" dxfId="13">
      <formula>AND(ISNUMBER(F5),F5&lt;=3)</formula>
    </cfRule>
  </conditionalFormatting>
  <dataValidations count="2">
    <dataValidation allowBlank="true" errorStyle="stop" operator="between" showDropDown="false" showErrorMessage="false" showInputMessage="false" sqref="G5:G19" type="list">
      <formula1>"✓"</formula1>
      <formula2>0</formula2>
    </dataValidation>
    <dataValidation allowBlank="true" errorStyle="stop" operator="between" showDropDown="false" showErrorMessage="false" showInputMessage="false" sqref="C5:C19" type="list">
      <formula1>マスタ!$A$25:$A$40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2026-10-21T02:43:18Z</dcterms:created>
  <dc:creator>openpyxl</dc:creator>
  <dc:description/>
  <dc:language>en-US</dc:language>
  <cp:lastModifiedBy/>
  <dcterms:modified xsi:type="dcterms:W3CDTF">2026-10-21T02:43:19Z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